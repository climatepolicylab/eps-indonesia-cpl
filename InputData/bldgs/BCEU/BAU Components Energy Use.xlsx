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ssy02/Desktop/Postdoc Projects/eps-indonesia-cpl/InputData/bldgs/BCEU/"/>
    </mc:Choice>
  </mc:AlternateContent>
  <xr:revisionPtr revIDLastSave="0" documentId="13_ncr:1_{AAEAA49A-65D8-BE4E-8B15-ABB27F15B1FE}" xr6:coauthVersionLast="47" xr6:coauthVersionMax="47" xr10:uidLastSave="{00000000-0000-0000-0000-000000000000}"/>
  <bookViews>
    <workbookView xWindow="0" yWindow="760" windowWidth="34200" windowHeight="21380" firstSheet="28" activeTab="35" xr2:uid="{0E0FA73B-1414-F645-9160-0CF9E3925685}"/>
  </bookViews>
  <sheets>
    <sheet name="About " sheetId="1" r:id="rId1"/>
    <sheet name="Commercial" sheetId="42" r:id="rId2"/>
    <sheet name="Commercial-Conversion" sheetId="11" r:id="rId3"/>
    <sheet name="Electricity" sheetId="43" r:id="rId4"/>
    <sheet name="Electricity-Conversion" sheetId="13" r:id="rId5"/>
    <sheet name="Total Other Sectors" sheetId="12" r:id="rId6"/>
    <sheet name="Total Electricity Consumption" sheetId="14" r:id="rId7"/>
    <sheet name="Commercial-Heating" sheetId="5" r:id="rId8"/>
    <sheet name="Commercial-Cooling" sheetId="6" r:id="rId9"/>
    <sheet name="Commercial-Lighting" sheetId="7" r:id="rId10"/>
    <sheet name="Commercial-Appliances" sheetId="8" r:id="rId11"/>
    <sheet name="Commercial-Others" sheetId="9" r:id="rId12"/>
    <sheet name="Residential" sheetId="44" r:id="rId13"/>
    <sheet name="Residential-Conversion" sheetId="15" r:id="rId14"/>
    <sheet name="Residentail-Heating" sheetId="16" r:id="rId15"/>
    <sheet name="Residential-Cooling" sheetId="17" r:id="rId16"/>
    <sheet name="Residential-lighting" sheetId="18" r:id="rId17"/>
    <sheet name="Residential-Appliances" sheetId="19" r:id="rId18"/>
    <sheet name="Residential-Other" sheetId="20" r:id="rId19"/>
    <sheet name="Conversion" sheetId="25" r:id="rId20"/>
    <sheet name="BCEU-urban-residential-heating" sheetId="26" r:id="rId21"/>
    <sheet name="BCEU-urban-residential-cooling" sheetId="27" r:id="rId22"/>
    <sheet name="BCEU-urban-residential-lighting" sheetId="28" r:id="rId23"/>
    <sheet name="BCEU-urban-residential-appl" sheetId="29" r:id="rId24"/>
    <sheet name="BCEU-urban-residential-other" sheetId="30" r:id="rId25"/>
    <sheet name="BCEU-rural-residential-heating" sheetId="31" r:id="rId26"/>
    <sheet name="BCEU-rural-residential-cooling" sheetId="32" r:id="rId27"/>
    <sheet name="BCEU-rural-residential-lighting" sheetId="33" r:id="rId28"/>
    <sheet name="BCEU-rural-residential-appl" sheetId="36" r:id="rId29"/>
    <sheet name="BCEU-rural-residential-other" sheetId="34" r:id="rId30"/>
    <sheet name="BCEU-commercial-heating" sheetId="35" r:id="rId31"/>
    <sheet name="BCEU-commercial-cooling" sheetId="37" r:id="rId32"/>
    <sheet name="BCEU-commercial-lighting" sheetId="38" r:id="rId33"/>
    <sheet name="BCEU-commercial-appl" sheetId="39" r:id="rId34"/>
    <sheet name="BCEU-commercial-other" sheetId="40" r:id="rId35"/>
    <sheet name="BCEU-all-envelope" sheetId="41" r:id="rId36"/>
  </sheets>
  <definedNames>
    <definedName name="_xlchart.v1.0" hidden="1">Commercial!$A$141</definedName>
    <definedName name="_xlchart.v1.1" hidden="1">Commercial!$A$142</definedName>
    <definedName name="_xlchart.v1.10" hidden="1">Commercial!$B$142:$AX$142</definedName>
    <definedName name="_xlchart.v1.11" hidden="1">Commercial!$B$143:$AX$143</definedName>
    <definedName name="_xlchart.v1.12" hidden="1">Commercial!$B$144:$AX$144</definedName>
    <definedName name="_xlchart.v1.13" hidden="1">Commercial!$B$145:$AX$145</definedName>
    <definedName name="_xlchart.v1.14" hidden="1">Commercial!$B$146:$AX$146</definedName>
    <definedName name="_xlchart.v1.15" hidden="1">Commercial!$B$147:$AX$147</definedName>
    <definedName name="_xlchart.v1.16" hidden="1">Commercial!$B$148:$AX$148</definedName>
    <definedName name="_xlchart.v1.17" hidden="1">Commercial!$B$149:$AX$149</definedName>
    <definedName name="_xlchart.v1.18" hidden="1">Commercial!$A$141</definedName>
    <definedName name="_xlchart.v1.19" hidden="1">Commercial!$A$142</definedName>
    <definedName name="_xlchart.v1.2" hidden="1">Commercial!$A$143</definedName>
    <definedName name="_xlchart.v1.20" hidden="1">Commercial!$A$143</definedName>
    <definedName name="_xlchart.v1.21" hidden="1">Commercial!$A$144</definedName>
    <definedName name="_xlchart.v1.22" hidden="1">Commercial!$A$145</definedName>
    <definedName name="_xlchart.v1.23" hidden="1">Commercial!$A$146</definedName>
    <definedName name="_xlchart.v1.24" hidden="1">Commercial!$A$147</definedName>
    <definedName name="_xlchart.v1.25" hidden="1">Commercial!$A$148</definedName>
    <definedName name="_xlchart.v1.26" hidden="1">Commercial!$A$149</definedName>
    <definedName name="_xlchart.v1.27" hidden="1">Commercial!$B$141:$AX$141</definedName>
    <definedName name="_xlchart.v1.28" hidden="1">Commercial!$B$142:$AX$142</definedName>
    <definedName name="_xlchart.v1.29" hidden="1">Commercial!$B$143:$AX$143</definedName>
    <definedName name="_xlchart.v1.3" hidden="1">Commercial!$A$144</definedName>
    <definedName name="_xlchart.v1.30" hidden="1">Commercial!$B$144:$AX$144</definedName>
    <definedName name="_xlchart.v1.31" hidden="1">Commercial!$B$145:$AX$145</definedName>
    <definedName name="_xlchart.v1.32" hidden="1">Commercial!$B$146:$AX$146</definedName>
    <definedName name="_xlchart.v1.33" hidden="1">Commercial!$B$147:$AX$147</definedName>
    <definedName name="_xlchart.v1.34" hidden="1">Commercial!$B$148:$AX$148</definedName>
    <definedName name="_xlchart.v1.35" hidden="1">Commercial!$B$149:$AX$149</definedName>
    <definedName name="_xlchart.v1.4" hidden="1">Commercial!$A$145</definedName>
    <definedName name="_xlchart.v1.5" hidden="1">Commercial!$A$146</definedName>
    <definedName name="_xlchart.v1.6" hidden="1">Commercial!$A$147</definedName>
    <definedName name="_xlchart.v1.7" hidden="1">Commercial!$A$148</definedName>
    <definedName name="_xlchart.v1.8" hidden="1">Commercial!$A$149</definedName>
    <definedName name="_xlchart.v1.9" hidden="1">Commercial!$B$141:$AX$141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 i="40" l="1"/>
  <c r="AS2" i="40"/>
  <c r="AT2" i="40"/>
  <c r="AU2" i="40"/>
  <c r="AV2" i="40"/>
  <c r="AW2" i="40"/>
  <c r="AX2" i="40"/>
  <c r="AY2" i="40"/>
  <c r="AZ2" i="40"/>
  <c r="BA2" i="40"/>
  <c r="AR3" i="40"/>
  <c r="AS3" i="40"/>
  <c r="AT3" i="40"/>
  <c r="AU3" i="40"/>
  <c r="AV3" i="40"/>
  <c r="AW3" i="40"/>
  <c r="AX3" i="40"/>
  <c r="AY3" i="40"/>
  <c r="AZ3" i="40"/>
  <c r="BA3" i="40"/>
  <c r="AR4" i="40"/>
  <c r="AS4" i="40"/>
  <c r="AT4" i="40"/>
  <c r="AU4" i="40"/>
  <c r="AV4" i="40"/>
  <c r="AW4" i="40"/>
  <c r="AX4" i="40"/>
  <c r="AY4" i="40"/>
  <c r="AZ4" i="40"/>
  <c r="BA4" i="40"/>
  <c r="AR5" i="40"/>
  <c r="AS5" i="40"/>
  <c r="AT5" i="40"/>
  <c r="AU5" i="40"/>
  <c r="AV5" i="40"/>
  <c r="AW5" i="40"/>
  <c r="AX5" i="40"/>
  <c r="AY5" i="40"/>
  <c r="AZ5" i="40"/>
  <c r="BA5" i="40"/>
  <c r="AR6" i="40"/>
  <c r="AS6" i="40"/>
  <c r="AT6" i="40"/>
  <c r="AU6" i="40"/>
  <c r="AV6" i="40"/>
  <c r="AW6" i="40"/>
  <c r="AX6" i="40"/>
  <c r="AY6" i="40"/>
  <c r="AZ6" i="40"/>
  <c r="BA6" i="40"/>
  <c r="AR7" i="40"/>
  <c r="AS7" i="40"/>
  <c r="AT7" i="40"/>
  <c r="AU7" i="40"/>
  <c r="AV7" i="40"/>
  <c r="AW7" i="40"/>
  <c r="AX7" i="40"/>
  <c r="AY7" i="40"/>
  <c r="AZ7" i="40"/>
  <c r="BA7" i="40"/>
  <c r="AR8" i="40"/>
  <c r="AS8" i="40"/>
  <c r="AT8" i="40"/>
  <c r="AU8" i="40"/>
  <c r="AV8" i="40"/>
  <c r="AW8" i="40"/>
  <c r="AX8" i="40"/>
  <c r="AY8" i="40"/>
  <c r="AZ8" i="40"/>
  <c r="BA8" i="40"/>
  <c r="AR9" i="40"/>
  <c r="AS9" i="40"/>
  <c r="AT9" i="40"/>
  <c r="AU9" i="40"/>
  <c r="AV9" i="40"/>
  <c r="AW9" i="40"/>
  <c r="AX9" i="40"/>
  <c r="AY9" i="40"/>
  <c r="AZ9" i="40"/>
  <c r="BA9" i="40"/>
  <c r="AR10" i="40"/>
  <c r="AS10" i="40"/>
  <c r="AT10" i="40"/>
  <c r="AU10" i="40"/>
  <c r="AV10" i="40"/>
  <c r="AW10" i="40"/>
  <c r="AX10" i="40"/>
  <c r="AY10" i="40"/>
  <c r="AZ10" i="40"/>
  <c r="BA10" i="40"/>
  <c r="AR11" i="40"/>
  <c r="AS11" i="40"/>
  <c r="AT11" i="40"/>
  <c r="AU11" i="40"/>
  <c r="AV11" i="40"/>
  <c r="AW11" i="40"/>
  <c r="AX11" i="40"/>
  <c r="AY11" i="40"/>
  <c r="AZ11" i="40"/>
  <c r="BA11" i="40"/>
  <c r="AR2" i="39"/>
  <c r="AS2" i="39"/>
  <c r="AT2" i="39"/>
  <c r="AU2" i="39"/>
  <c r="AV2" i="39"/>
  <c r="AW2" i="39"/>
  <c r="AX2" i="39"/>
  <c r="AY2" i="39"/>
  <c r="AZ2" i="39"/>
  <c r="BA2" i="39"/>
  <c r="AR3" i="39"/>
  <c r="AS3" i="39"/>
  <c r="AT3" i="39"/>
  <c r="AU3" i="39"/>
  <c r="AV3" i="39"/>
  <c r="AW3" i="39"/>
  <c r="AX3" i="39"/>
  <c r="AY3" i="39"/>
  <c r="AZ3" i="39"/>
  <c r="BA3" i="39"/>
  <c r="AR4" i="39"/>
  <c r="AS4" i="39"/>
  <c r="AT4" i="39"/>
  <c r="AU4" i="39"/>
  <c r="AV4" i="39"/>
  <c r="AW4" i="39"/>
  <c r="AX4" i="39"/>
  <c r="AY4" i="39"/>
  <c r="AZ4" i="39"/>
  <c r="BA4" i="39"/>
  <c r="AR5" i="39"/>
  <c r="AS5" i="39"/>
  <c r="AT5" i="39"/>
  <c r="AU5" i="39"/>
  <c r="AV5" i="39"/>
  <c r="AW5" i="39"/>
  <c r="AX5" i="39"/>
  <c r="AY5" i="39"/>
  <c r="AZ5" i="39"/>
  <c r="BA5" i="39"/>
  <c r="AR6" i="39"/>
  <c r="AS6" i="39"/>
  <c r="AT6" i="39"/>
  <c r="AU6" i="39"/>
  <c r="AV6" i="39"/>
  <c r="AW6" i="39"/>
  <c r="AX6" i="39"/>
  <c r="AY6" i="39"/>
  <c r="AZ6" i="39"/>
  <c r="BA6" i="39"/>
  <c r="AR7" i="39"/>
  <c r="AS7" i="39"/>
  <c r="AT7" i="39"/>
  <c r="AU7" i="39"/>
  <c r="AV7" i="39"/>
  <c r="AW7" i="39"/>
  <c r="AX7" i="39"/>
  <c r="AY7" i="39"/>
  <c r="AZ7" i="39"/>
  <c r="BA7" i="39"/>
  <c r="AR8" i="39"/>
  <c r="AS8" i="39"/>
  <c r="AT8" i="39"/>
  <c r="AU8" i="39"/>
  <c r="AV8" i="39"/>
  <c r="AW8" i="39"/>
  <c r="AX8" i="39"/>
  <c r="AY8" i="39"/>
  <c r="AZ8" i="39"/>
  <c r="BA8" i="39"/>
  <c r="AR9" i="39"/>
  <c r="AS9" i="39"/>
  <c r="AT9" i="39"/>
  <c r="AU9" i="39"/>
  <c r="AV9" i="39"/>
  <c r="AW9" i="39"/>
  <c r="AX9" i="39"/>
  <c r="AY9" i="39"/>
  <c r="AZ9" i="39"/>
  <c r="BA9" i="39"/>
  <c r="AR10" i="39"/>
  <c r="AS10" i="39"/>
  <c r="AT10" i="39"/>
  <c r="AU10" i="39"/>
  <c r="AV10" i="39"/>
  <c r="AW10" i="39"/>
  <c r="AX10" i="39"/>
  <c r="AY10" i="39"/>
  <c r="AZ10" i="39"/>
  <c r="BA10" i="39"/>
  <c r="AR11" i="39"/>
  <c r="AS11" i="39"/>
  <c r="AT11" i="39"/>
  <c r="AU11" i="39"/>
  <c r="AV11" i="39"/>
  <c r="AW11" i="39"/>
  <c r="AX11" i="39"/>
  <c r="AY11" i="39"/>
  <c r="AZ11" i="39"/>
  <c r="BA11" i="39"/>
  <c r="AR2" i="38"/>
  <c r="AS2" i="38"/>
  <c r="AT2" i="38"/>
  <c r="AU2" i="38"/>
  <c r="AV2" i="38"/>
  <c r="AW2" i="38"/>
  <c r="AX2" i="38"/>
  <c r="AY2" i="38"/>
  <c r="AZ2" i="38"/>
  <c r="BA2" i="38"/>
  <c r="AR3" i="38"/>
  <c r="AS3" i="38"/>
  <c r="AT3" i="38"/>
  <c r="AU3" i="38"/>
  <c r="AV3" i="38"/>
  <c r="AW3" i="38"/>
  <c r="AX3" i="38"/>
  <c r="AY3" i="38"/>
  <c r="AZ3" i="38"/>
  <c r="BA3" i="38"/>
  <c r="AR4" i="38"/>
  <c r="AS4" i="38"/>
  <c r="AT4" i="38"/>
  <c r="AU4" i="38"/>
  <c r="AV4" i="38"/>
  <c r="AW4" i="38"/>
  <c r="AX4" i="38"/>
  <c r="AY4" i="38"/>
  <c r="AZ4" i="38"/>
  <c r="BA4" i="38"/>
  <c r="AR5" i="38"/>
  <c r="AS5" i="38"/>
  <c r="AT5" i="38"/>
  <c r="AU5" i="38"/>
  <c r="AV5" i="38"/>
  <c r="AW5" i="38"/>
  <c r="AX5" i="38"/>
  <c r="AY5" i="38"/>
  <c r="AZ5" i="38"/>
  <c r="BA5" i="38"/>
  <c r="AR6" i="38"/>
  <c r="AS6" i="38"/>
  <c r="AT6" i="38"/>
  <c r="AU6" i="38"/>
  <c r="AV6" i="38"/>
  <c r="AW6" i="38"/>
  <c r="AX6" i="38"/>
  <c r="AY6" i="38"/>
  <c r="AZ6" i="38"/>
  <c r="BA6" i="38"/>
  <c r="AR7" i="38"/>
  <c r="AS7" i="38"/>
  <c r="AT7" i="38"/>
  <c r="AU7" i="38"/>
  <c r="AV7" i="38"/>
  <c r="AW7" i="38"/>
  <c r="AX7" i="38"/>
  <c r="AY7" i="38"/>
  <c r="AZ7" i="38"/>
  <c r="BA7" i="38"/>
  <c r="AR8" i="38"/>
  <c r="AS8" i="38"/>
  <c r="AT8" i="38"/>
  <c r="AU8" i="38"/>
  <c r="AV8" i="38"/>
  <c r="AW8" i="38"/>
  <c r="AX8" i="38"/>
  <c r="AY8" i="38"/>
  <c r="AZ8" i="38"/>
  <c r="BA8" i="38"/>
  <c r="AR9" i="38"/>
  <c r="AS9" i="38"/>
  <c r="AT9" i="38"/>
  <c r="AU9" i="38"/>
  <c r="AV9" i="38"/>
  <c r="AW9" i="38"/>
  <c r="AX9" i="38"/>
  <c r="AY9" i="38"/>
  <c r="AZ9" i="38"/>
  <c r="BA9" i="38"/>
  <c r="AR10" i="38"/>
  <c r="AS10" i="38"/>
  <c r="AT10" i="38"/>
  <c r="AU10" i="38"/>
  <c r="AV10" i="38"/>
  <c r="AW10" i="38"/>
  <c r="AX10" i="38"/>
  <c r="AY10" i="38"/>
  <c r="AZ10" i="38"/>
  <c r="BA10" i="38"/>
  <c r="AR11" i="38"/>
  <c r="AS11" i="38"/>
  <c r="AT11" i="38"/>
  <c r="AU11" i="38"/>
  <c r="AV11" i="38"/>
  <c r="AW11" i="38"/>
  <c r="AX11" i="38"/>
  <c r="AY11" i="38"/>
  <c r="AZ11" i="38"/>
  <c r="BA11" i="38"/>
  <c r="AR2" i="37"/>
  <c r="AS2" i="37"/>
  <c r="AT2" i="37"/>
  <c r="AU2" i="37"/>
  <c r="AV2" i="37"/>
  <c r="AW2" i="37"/>
  <c r="AX2" i="37"/>
  <c r="AY2" i="37"/>
  <c r="AZ2" i="37"/>
  <c r="BA2" i="37"/>
  <c r="AR3" i="37"/>
  <c r="AS3" i="37"/>
  <c r="AT3" i="37"/>
  <c r="AU3" i="37"/>
  <c r="AV3" i="37"/>
  <c r="AW3" i="37"/>
  <c r="AX3" i="37"/>
  <c r="AY3" i="37"/>
  <c r="AZ3" i="37"/>
  <c r="BA3" i="37"/>
  <c r="AR4" i="37"/>
  <c r="AS4" i="37"/>
  <c r="AT4" i="37"/>
  <c r="AU4" i="37"/>
  <c r="AV4" i="37"/>
  <c r="AW4" i="37"/>
  <c r="AX4" i="37"/>
  <c r="AY4" i="37"/>
  <c r="AZ4" i="37"/>
  <c r="BA4" i="37"/>
  <c r="AR5" i="37"/>
  <c r="AS5" i="37"/>
  <c r="AT5" i="37"/>
  <c r="AU5" i="37"/>
  <c r="AV5" i="37"/>
  <c r="AW5" i="37"/>
  <c r="AX5" i="37"/>
  <c r="AY5" i="37"/>
  <c r="AZ5" i="37"/>
  <c r="BA5" i="37"/>
  <c r="AR6" i="37"/>
  <c r="AS6" i="37"/>
  <c r="AT6" i="37"/>
  <c r="AU6" i="37"/>
  <c r="AV6" i="37"/>
  <c r="AW6" i="37"/>
  <c r="AX6" i="37"/>
  <c r="AY6" i="37"/>
  <c r="AZ6" i="37"/>
  <c r="BA6" i="37"/>
  <c r="AR7" i="37"/>
  <c r="AS7" i="37"/>
  <c r="AT7" i="37"/>
  <c r="AU7" i="37"/>
  <c r="AV7" i="37"/>
  <c r="AW7" i="37"/>
  <c r="AX7" i="37"/>
  <c r="AY7" i="37"/>
  <c r="AZ7" i="37"/>
  <c r="BA7" i="37"/>
  <c r="AR8" i="37"/>
  <c r="AS8" i="37"/>
  <c r="AT8" i="37"/>
  <c r="AU8" i="37"/>
  <c r="AV8" i="37"/>
  <c r="AW8" i="37"/>
  <c r="AX8" i="37"/>
  <c r="AY8" i="37"/>
  <c r="AZ8" i="37"/>
  <c r="BA8" i="37"/>
  <c r="AR9" i="37"/>
  <c r="AS9" i="37"/>
  <c r="AT9" i="37"/>
  <c r="AU9" i="37"/>
  <c r="AV9" i="37"/>
  <c r="AW9" i="37"/>
  <c r="AX9" i="37"/>
  <c r="AY9" i="37"/>
  <c r="AZ9" i="37"/>
  <c r="BA9" i="37"/>
  <c r="AR10" i="37"/>
  <c r="AS10" i="37"/>
  <c r="AT10" i="37"/>
  <c r="AU10" i="37"/>
  <c r="AV10" i="37"/>
  <c r="AW10" i="37"/>
  <c r="AX10" i="37"/>
  <c r="AY10" i="37"/>
  <c r="AZ10" i="37"/>
  <c r="BA10" i="37"/>
  <c r="AR11" i="37"/>
  <c r="AS11" i="37"/>
  <c r="AT11" i="37"/>
  <c r="AU11" i="37"/>
  <c r="AV11" i="37"/>
  <c r="AW11" i="37"/>
  <c r="AX11" i="37"/>
  <c r="AY11" i="37"/>
  <c r="AZ11" i="37"/>
  <c r="BA11" i="37"/>
  <c r="AR2" i="35"/>
  <c r="AS2" i="35"/>
  <c r="AT2" i="35"/>
  <c r="AU2" i="35"/>
  <c r="AV2" i="35"/>
  <c r="AW2" i="35"/>
  <c r="AX2" i="35"/>
  <c r="AY2" i="35"/>
  <c r="AZ2" i="35"/>
  <c r="BA2" i="35"/>
  <c r="AR3" i="35"/>
  <c r="AS3" i="35"/>
  <c r="AT3" i="35"/>
  <c r="AU3" i="35"/>
  <c r="AV3" i="35"/>
  <c r="AW3" i="35"/>
  <c r="AX3" i="35"/>
  <c r="AY3" i="35"/>
  <c r="AZ3" i="35"/>
  <c r="BA3" i="35"/>
  <c r="AR4" i="35"/>
  <c r="AS4" i="35"/>
  <c r="AT4" i="35"/>
  <c r="AU4" i="35"/>
  <c r="AV4" i="35"/>
  <c r="AW4" i="35"/>
  <c r="AX4" i="35"/>
  <c r="AY4" i="35"/>
  <c r="AZ4" i="35"/>
  <c r="BA4" i="35"/>
  <c r="AR5" i="35"/>
  <c r="AS5" i="35"/>
  <c r="AT5" i="35"/>
  <c r="AU5" i="35"/>
  <c r="AV5" i="35"/>
  <c r="AW5" i="35"/>
  <c r="AX5" i="35"/>
  <c r="AY5" i="35"/>
  <c r="AZ5" i="35"/>
  <c r="BA5" i="35"/>
  <c r="AR6" i="35"/>
  <c r="AS6" i="35"/>
  <c r="AT6" i="35"/>
  <c r="AU6" i="35"/>
  <c r="AV6" i="35"/>
  <c r="AW6" i="35"/>
  <c r="AX6" i="35"/>
  <c r="AY6" i="35"/>
  <c r="AZ6" i="35"/>
  <c r="BA6" i="35"/>
  <c r="AR7" i="35"/>
  <c r="AS7" i="35"/>
  <c r="AT7" i="35"/>
  <c r="AU7" i="35"/>
  <c r="AV7" i="35"/>
  <c r="AW7" i="35"/>
  <c r="AX7" i="35"/>
  <c r="AY7" i="35"/>
  <c r="AZ7" i="35"/>
  <c r="BA7" i="35"/>
  <c r="AR8" i="35"/>
  <c r="AS8" i="35"/>
  <c r="AT8" i="35"/>
  <c r="AU8" i="35"/>
  <c r="AV8" i="35"/>
  <c r="AW8" i="35"/>
  <c r="AX8" i="35"/>
  <c r="AY8" i="35"/>
  <c r="AZ8" i="35"/>
  <c r="BA8" i="35"/>
  <c r="AR9" i="35"/>
  <c r="AS9" i="35"/>
  <c r="AT9" i="35"/>
  <c r="AU9" i="35"/>
  <c r="AV9" i="35"/>
  <c r="AW9" i="35"/>
  <c r="AX9" i="35"/>
  <c r="AY9" i="35"/>
  <c r="AZ9" i="35"/>
  <c r="BA9" i="35"/>
  <c r="AR10" i="35"/>
  <c r="AS10" i="35"/>
  <c r="AT10" i="35"/>
  <c r="AU10" i="35"/>
  <c r="AV10" i="35"/>
  <c r="AW10" i="35"/>
  <c r="AX10" i="35"/>
  <c r="AY10" i="35"/>
  <c r="AZ10" i="35"/>
  <c r="BA10" i="35"/>
  <c r="AR11" i="35"/>
  <c r="AS11" i="35"/>
  <c r="AT11" i="35"/>
  <c r="AU11" i="35"/>
  <c r="AV11" i="35"/>
  <c r="AW11" i="35"/>
  <c r="AX11" i="35"/>
  <c r="AY11" i="35"/>
  <c r="AZ11" i="35"/>
  <c r="BA11" i="35"/>
  <c r="AR2" i="30"/>
  <c r="AS2" i="30"/>
  <c r="AT2" i="30"/>
  <c r="AU2" i="30"/>
  <c r="AV2" i="30"/>
  <c r="AW2" i="30"/>
  <c r="AX2" i="30"/>
  <c r="AY2" i="30"/>
  <c r="AZ2" i="30"/>
  <c r="BA2" i="30"/>
  <c r="AR3" i="30"/>
  <c r="AS3" i="30"/>
  <c r="AT3" i="30"/>
  <c r="AU3" i="30"/>
  <c r="AV3" i="30"/>
  <c r="AW3" i="30"/>
  <c r="AX3" i="30"/>
  <c r="AY3" i="30"/>
  <c r="AZ3" i="30"/>
  <c r="BA3" i="30"/>
  <c r="AR4" i="30"/>
  <c r="AS4" i="30"/>
  <c r="AT4" i="30"/>
  <c r="AU4" i="30"/>
  <c r="AV4" i="30"/>
  <c r="AW4" i="30"/>
  <c r="AX4" i="30"/>
  <c r="AY4" i="30"/>
  <c r="AZ4" i="30"/>
  <c r="BA4" i="30"/>
  <c r="AR5" i="30"/>
  <c r="AS5" i="30"/>
  <c r="AT5" i="30"/>
  <c r="AU5" i="30"/>
  <c r="AV5" i="30"/>
  <c r="AW5" i="30"/>
  <c r="AX5" i="30"/>
  <c r="AY5" i="30"/>
  <c r="AZ5" i="30"/>
  <c r="BA5" i="30"/>
  <c r="AR6" i="30"/>
  <c r="AS6" i="30"/>
  <c r="AT6" i="30"/>
  <c r="AU6" i="30"/>
  <c r="AV6" i="30"/>
  <c r="AW6" i="30"/>
  <c r="AX6" i="30"/>
  <c r="AY6" i="30"/>
  <c r="AZ6" i="30"/>
  <c r="BA6" i="30"/>
  <c r="AR7" i="30"/>
  <c r="AS7" i="30"/>
  <c r="AT7" i="30"/>
  <c r="AU7" i="30"/>
  <c r="AV7" i="30"/>
  <c r="AW7" i="30"/>
  <c r="AX7" i="30"/>
  <c r="AY7" i="30"/>
  <c r="AZ7" i="30"/>
  <c r="BA7" i="30"/>
  <c r="AR8" i="30"/>
  <c r="AS8" i="30"/>
  <c r="AT8" i="30"/>
  <c r="AU8" i="30"/>
  <c r="AV8" i="30"/>
  <c r="AW8" i="30"/>
  <c r="AX8" i="30"/>
  <c r="AY8" i="30"/>
  <c r="AZ8" i="30"/>
  <c r="BA8" i="30"/>
  <c r="AR9" i="30"/>
  <c r="AS9" i="30"/>
  <c r="AT9" i="30"/>
  <c r="AU9" i="30"/>
  <c r="AV9" i="30"/>
  <c r="AW9" i="30"/>
  <c r="AX9" i="30"/>
  <c r="AY9" i="30"/>
  <c r="AZ9" i="30"/>
  <c r="BA9" i="30"/>
  <c r="AR10" i="30"/>
  <c r="AS10" i="30"/>
  <c r="AT10" i="30"/>
  <c r="AU10" i="30"/>
  <c r="AV10" i="30"/>
  <c r="AW10" i="30"/>
  <c r="AX10" i="30"/>
  <c r="AY10" i="30"/>
  <c r="AZ10" i="30"/>
  <c r="BA10" i="30"/>
  <c r="AR11" i="30"/>
  <c r="AS11" i="30"/>
  <c r="AT11" i="30"/>
  <c r="AU11" i="30"/>
  <c r="AV11" i="30"/>
  <c r="AW11" i="30"/>
  <c r="AX11" i="30"/>
  <c r="AY11" i="30"/>
  <c r="AZ11" i="30"/>
  <c r="BA11" i="30"/>
  <c r="AR2" i="29"/>
  <c r="AS2" i="29"/>
  <c r="AT2" i="29"/>
  <c r="AU2" i="29"/>
  <c r="AV2" i="29"/>
  <c r="AW2" i="29"/>
  <c r="AX2" i="29"/>
  <c r="AY2" i="29"/>
  <c r="AZ2" i="29"/>
  <c r="BA2" i="29"/>
  <c r="AR3" i="29"/>
  <c r="AS3" i="29"/>
  <c r="AT3" i="29"/>
  <c r="AU3" i="29"/>
  <c r="AV3" i="29"/>
  <c r="AW3" i="29"/>
  <c r="AX3" i="29"/>
  <c r="AY3" i="29"/>
  <c r="AZ3" i="29"/>
  <c r="BA3" i="29"/>
  <c r="AR4" i="29"/>
  <c r="AS4" i="29"/>
  <c r="AT4" i="29"/>
  <c r="AU4" i="29"/>
  <c r="AV4" i="29"/>
  <c r="AW4" i="29"/>
  <c r="AX4" i="29"/>
  <c r="AY4" i="29"/>
  <c r="AZ4" i="29"/>
  <c r="BA4" i="29"/>
  <c r="AR5" i="29"/>
  <c r="AS5" i="29"/>
  <c r="AT5" i="29"/>
  <c r="AU5" i="29"/>
  <c r="AV5" i="29"/>
  <c r="AW5" i="29"/>
  <c r="AX5" i="29"/>
  <c r="AY5" i="29"/>
  <c r="AZ5" i="29"/>
  <c r="BA5" i="29"/>
  <c r="AR6" i="29"/>
  <c r="AS6" i="29"/>
  <c r="AT6" i="29"/>
  <c r="AU6" i="29"/>
  <c r="AV6" i="29"/>
  <c r="AW6" i="29"/>
  <c r="AX6" i="29"/>
  <c r="AY6" i="29"/>
  <c r="AZ6" i="29"/>
  <c r="BA6" i="29"/>
  <c r="AR7" i="29"/>
  <c r="AS7" i="29"/>
  <c r="AT7" i="29"/>
  <c r="AU7" i="29"/>
  <c r="AV7" i="29"/>
  <c r="AW7" i="29"/>
  <c r="AX7" i="29"/>
  <c r="AY7" i="29"/>
  <c r="AZ7" i="29"/>
  <c r="BA7" i="29"/>
  <c r="AR8" i="29"/>
  <c r="AS8" i="29"/>
  <c r="AT8" i="29"/>
  <c r="AU8" i="29"/>
  <c r="AV8" i="29"/>
  <c r="AW8" i="29"/>
  <c r="AX8" i="29"/>
  <c r="AY8" i="29"/>
  <c r="AZ8" i="29"/>
  <c r="BA8" i="29"/>
  <c r="AR9" i="29"/>
  <c r="AS9" i="29"/>
  <c r="AT9" i="29"/>
  <c r="AU9" i="29"/>
  <c r="AV9" i="29"/>
  <c r="AW9" i="29"/>
  <c r="AX9" i="29"/>
  <c r="AY9" i="29"/>
  <c r="AZ9" i="29"/>
  <c r="BA9" i="29"/>
  <c r="AR10" i="29"/>
  <c r="AS10" i="29"/>
  <c r="AT10" i="29"/>
  <c r="AU10" i="29"/>
  <c r="AV10" i="29"/>
  <c r="AW10" i="29"/>
  <c r="AX10" i="29"/>
  <c r="AY10" i="29"/>
  <c r="AZ10" i="29"/>
  <c r="BA10" i="29"/>
  <c r="AR11" i="29"/>
  <c r="AS11" i="29"/>
  <c r="AT11" i="29"/>
  <c r="AU11" i="29"/>
  <c r="AV11" i="29"/>
  <c r="AW11" i="29"/>
  <c r="AX11" i="29"/>
  <c r="AY11" i="29"/>
  <c r="AZ11" i="29"/>
  <c r="BA11" i="29"/>
  <c r="AR2" i="28"/>
  <c r="AS2" i="28"/>
  <c r="AT2" i="28"/>
  <c r="AU2" i="28"/>
  <c r="AV2" i="28"/>
  <c r="AW2" i="28"/>
  <c r="AX2" i="28"/>
  <c r="AY2" i="28"/>
  <c r="AZ2" i="28"/>
  <c r="BA2" i="28"/>
  <c r="AR3" i="28"/>
  <c r="AS3" i="28"/>
  <c r="AT3" i="28"/>
  <c r="AU3" i="28"/>
  <c r="AV3" i="28"/>
  <c r="AW3" i="28"/>
  <c r="AX3" i="28"/>
  <c r="AY3" i="28"/>
  <c r="AZ3" i="28"/>
  <c r="BA3" i="28"/>
  <c r="AR4" i="28"/>
  <c r="AS4" i="28"/>
  <c r="AT4" i="28"/>
  <c r="AU4" i="28"/>
  <c r="AV4" i="28"/>
  <c r="AW4" i="28"/>
  <c r="AX4" i="28"/>
  <c r="AY4" i="28"/>
  <c r="AZ4" i="28"/>
  <c r="BA4" i="28"/>
  <c r="AR5" i="28"/>
  <c r="AS5" i="28"/>
  <c r="AT5" i="28"/>
  <c r="AU5" i="28"/>
  <c r="AV5" i="28"/>
  <c r="AW5" i="28"/>
  <c r="AX5" i="28"/>
  <c r="AY5" i="28"/>
  <c r="AZ5" i="28"/>
  <c r="BA5" i="28"/>
  <c r="AR6" i="28"/>
  <c r="AS6" i="28"/>
  <c r="AT6" i="28"/>
  <c r="AU6" i="28"/>
  <c r="AV6" i="28"/>
  <c r="AW6" i="28"/>
  <c r="AX6" i="28"/>
  <c r="AY6" i="28"/>
  <c r="AZ6" i="28"/>
  <c r="BA6" i="28"/>
  <c r="AR7" i="28"/>
  <c r="AS7" i="28"/>
  <c r="AT7" i="28"/>
  <c r="AU7" i="28"/>
  <c r="AV7" i="28"/>
  <c r="AW7" i="28"/>
  <c r="AX7" i="28"/>
  <c r="AY7" i="28"/>
  <c r="AZ7" i="28"/>
  <c r="BA7" i="28"/>
  <c r="AR8" i="28"/>
  <c r="AS8" i="28"/>
  <c r="AT8" i="28"/>
  <c r="AU8" i="28"/>
  <c r="AV8" i="28"/>
  <c r="AW8" i="28"/>
  <c r="AX8" i="28"/>
  <c r="AY8" i="28"/>
  <c r="AZ8" i="28"/>
  <c r="BA8" i="28"/>
  <c r="AR9" i="28"/>
  <c r="AS9" i="28"/>
  <c r="AT9" i="28"/>
  <c r="AU9" i="28"/>
  <c r="AV9" i="28"/>
  <c r="AW9" i="28"/>
  <c r="AX9" i="28"/>
  <c r="AY9" i="28"/>
  <c r="AZ9" i="28"/>
  <c r="BA9" i="28"/>
  <c r="AR10" i="28"/>
  <c r="AS10" i="28"/>
  <c r="AT10" i="28"/>
  <c r="AU10" i="28"/>
  <c r="AV10" i="28"/>
  <c r="AW10" i="28"/>
  <c r="AX10" i="28"/>
  <c r="AY10" i="28"/>
  <c r="AZ10" i="28"/>
  <c r="BA10" i="28"/>
  <c r="AR11" i="28"/>
  <c r="AS11" i="28"/>
  <c r="AT11" i="28"/>
  <c r="AU11" i="28"/>
  <c r="AV11" i="28"/>
  <c r="AW11" i="28"/>
  <c r="AX11" i="28"/>
  <c r="AY11" i="28"/>
  <c r="AZ11" i="28"/>
  <c r="BA11" i="28"/>
  <c r="AR2" i="27"/>
  <c r="AS2" i="27"/>
  <c r="AT2" i="27"/>
  <c r="AU2" i="27"/>
  <c r="AV2" i="27"/>
  <c r="AW2" i="27"/>
  <c r="AX2" i="27"/>
  <c r="AY2" i="27"/>
  <c r="AZ2" i="27"/>
  <c r="BA2" i="27"/>
  <c r="AR3" i="27"/>
  <c r="AS3" i="27"/>
  <c r="AT3" i="27"/>
  <c r="AU3" i="27"/>
  <c r="AV3" i="27"/>
  <c r="AW3" i="27"/>
  <c r="AX3" i="27"/>
  <c r="AY3" i="27"/>
  <c r="AZ3" i="27"/>
  <c r="BA3" i="27"/>
  <c r="AR4" i="27"/>
  <c r="AS4" i="27"/>
  <c r="AT4" i="27"/>
  <c r="AU4" i="27"/>
  <c r="AV4" i="27"/>
  <c r="AW4" i="27"/>
  <c r="AX4" i="27"/>
  <c r="AY4" i="27"/>
  <c r="AZ4" i="27"/>
  <c r="BA4" i="27"/>
  <c r="AR5" i="27"/>
  <c r="AS5" i="27"/>
  <c r="AT5" i="27"/>
  <c r="AU5" i="27"/>
  <c r="AV5" i="27"/>
  <c r="AW5" i="27"/>
  <c r="AX5" i="27"/>
  <c r="AY5" i="27"/>
  <c r="AZ5" i="27"/>
  <c r="BA5" i="27"/>
  <c r="AR6" i="27"/>
  <c r="AS6" i="27"/>
  <c r="AT6" i="27"/>
  <c r="AU6" i="27"/>
  <c r="AV6" i="27"/>
  <c r="AW6" i="27"/>
  <c r="AX6" i="27"/>
  <c r="AY6" i="27"/>
  <c r="AZ6" i="27"/>
  <c r="BA6" i="27"/>
  <c r="AR7" i="27"/>
  <c r="AS7" i="27"/>
  <c r="AT7" i="27"/>
  <c r="AU7" i="27"/>
  <c r="AV7" i="27"/>
  <c r="AW7" i="27"/>
  <c r="AX7" i="27"/>
  <c r="AY7" i="27"/>
  <c r="AZ7" i="27"/>
  <c r="BA7" i="27"/>
  <c r="AR8" i="27"/>
  <c r="AS8" i="27"/>
  <c r="AT8" i="27"/>
  <c r="AU8" i="27"/>
  <c r="AV8" i="27"/>
  <c r="AW8" i="27"/>
  <c r="AX8" i="27"/>
  <c r="AY8" i="27"/>
  <c r="AZ8" i="27"/>
  <c r="BA8" i="27"/>
  <c r="AR9" i="27"/>
  <c r="AS9" i="27"/>
  <c r="AT9" i="27"/>
  <c r="AU9" i="27"/>
  <c r="AV9" i="27"/>
  <c r="AW9" i="27"/>
  <c r="AX9" i="27"/>
  <c r="AY9" i="27"/>
  <c r="AZ9" i="27"/>
  <c r="BA9" i="27"/>
  <c r="AR10" i="27"/>
  <c r="AS10" i="27"/>
  <c r="AT10" i="27"/>
  <c r="AU10" i="27"/>
  <c r="AV10" i="27"/>
  <c r="AW10" i="27"/>
  <c r="AX10" i="27"/>
  <c r="AY10" i="27"/>
  <c r="AZ10" i="27"/>
  <c r="BA10" i="27"/>
  <c r="AR11" i="27"/>
  <c r="AS11" i="27"/>
  <c r="AT11" i="27"/>
  <c r="AU11" i="27"/>
  <c r="AV11" i="27"/>
  <c r="AW11" i="27"/>
  <c r="AX11" i="27"/>
  <c r="AY11" i="27"/>
  <c r="AZ11" i="27"/>
  <c r="BA11" i="27"/>
  <c r="AR2" i="26"/>
  <c r="AS2" i="26"/>
  <c r="AT2" i="26"/>
  <c r="AU2" i="26"/>
  <c r="AV2" i="26"/>
  <c r="AW2" i="26"/>
  <c r="AX2" i="26"/>
  <c r="AY2" i="26"/>
  <c r="AZ2" i="26"/>
  <c r="BA2" i="26"/>
  <c r="AR3" i="26"/>
  <c r="AS3" i="26"/>
  <c r="AT3" i="26"/>
  <c r="AU3" i="26"/>
  <c r="AV3" i="26"/>
  <c r="AW3" i="26"/>
  <c r="AX3" i="26"/>
  <c r="AY3" i="26"/>
  <c r="AZ3" i="26"/>
  <c r="BA3" i="26"/>
  <c r="AR4" i="26"/>
  <c r="AS4" i="26"/>
  <c r="AT4" i="26"/>
  <c r="AU4" i="26"/>
  <c r="AV4" i="26"/>
  <c r="AW4" i="26"/>
  <c r="AX4" i="26"/>
  <c r="AY4" i="26"/>
  <c r="AZ4" i="26"/>
  <c r="BA4" i="26"/>
  <c r="AR5" i="26"/>
  <c r="AS5" i="26"/>
  <c r="AT5" i="26"/>
  <c r="AU5" i="26"/>
  <c r="AV5" i="26"/>
  <c r="AW5" i="26"/>
  <c r="AX5" i="26"/>
  <c r="AY5" i="26"/>
  <c r="AZ5" i="26"/>
  <c r="BA5" i="26"/>
  <c r="AR6" i="26"/>
  <c r="AS6" i="26"/>
  <c r="AT6" i="26"/>
  <c r="AU6" i="26"/>
  <c r="AV6" i="26"/>
  <c r="AW6" i="26"/>
  <c r="AX6" i="26"/>
  <c r="AY6" i="26"/>
  <c r="AZ6" i="26"/>
  <c r="BA6" i="26"/>
  <c r="AR7" i="26"/>
  <c r="AS7" i="26"/>
  <c r="AT7" i="26"/>
  <c r="AU7" i="26"/>
  <c r="AV7" i="26"/>
  <c r="AW7" i="26"/>
  <c r="AX7" i="26"/>
  <c r="AY7" i="26"/>
  <c r="AZ7" i="26"/>
  <c r="BA7" i="26"/>
  <c r="AR8" i="26"/>
  <c r="AS8" i="26"/>
  <c r="AT8" i="26"/>
  <c r="AU8" i="26"/>
  <c r="AV8" i="26"/>
  <c r="AW8" i="26"/>
  <c r="AX8" i="26"/>
  <c r="AY8" i="26"/>
  <c r="AZ8" i="26"/>
  <c r="BA8" i="26"/>
  <c r="AR9" i="26"/>
  <c r="AS9" i="26"/>
  <c r="AT9" i="26"/>
  <c r="AU9" i="26"/>
  <c r="AV9" i="26"/>
  <c r="AW9" i="26"/>
  <c r="AX9" i="26"/>
  <c r="AY9" i="26"/>
  <c r="AZ9" i="26"/>
  <c r="BA9" i="26"/>
  <c r="AR10" i="26"/>
  <c r="AS10" i="26"/>
  <c r="AT10" i="26"/>
  <c r="AU10" i="26"/>
  <c r="AV10" i="26"/>
  <c r="AW10" i="26"/>
  <c r="AX10" i="26"/>
  <c r="AY10" i="26"/>
  <c r="AZ10" i="26"/>
  <c r="BA10" i="26"/>
  <c r="AR11" i="26"/>
  <c r="AS11" i="26"/>
  <c r="AT11" i="26"/>
  <c r="AU11" i="26"/>
  <c r="AV11" i="26"/>
  <c r="AW11" i="26"/>
  <c r="AX11" i="26"/>
  <c r="AY11" i="26"/>
  <c r="AZ11" i="26"/>
  <c r="BA11" i="26"/>
  <c r="V57" i="19" a="1"/>
  <c r="V57" i="19" s="1"/>
  <c r="Q57" i="19" a="1"/>
  <c r="Q57" i="19" s="1"/>
  <c r="L57" i="19" a="1"/>
  <c r="L57" i="19" s="1"/>
  <c r="G57" i="19" a="1"/>
  <c r="G57" i="19" s="1"/>
  <c r="B57" i="19" a="1"/>
  <c r="B57" i="19" s="1"/>
  <c r="AR2" i="19"/>
  <c r="AS2" i="19"/>
  <c r="AT2" i="19"/>
  <c r="AU2" i="19"/>
  <c r="AV2" i="19"/>
  <c r="AW2" i="19"/>
  <c r="AX2" i="19"/>
  <c r="AY2" i="19"/>
  <c r="AZ2" i="19"/>
  <c r="BA2" i="19"/>
  <c r="AR4" i="19"/>
  <c r="AS4" i="19"/>
  <c r="AT4" i="19"/>
  <c r="AU4" i="19"/>
  <c r="AV4" i="19"/>
  <c r="AW4" i="19"/>
  <c r="AX4" i="19"/>
  <c r="AY4" i="19"/>
  <c r="AZ4" i="19"/>
  <c r="BA4" i="19"/>
  <c r="AR7" i="19"/>
  <c r="AS7" i="19"/>
  <c r="AT7" i="19"/>
  <c r="AU7" i="19"/>
  <c r="AV7" i="19"/>
  <c r="AW7" i="19"/>
  <c r="AX7" i="19"/>
  <c r="AY7" i="19"/>
  <c r="AZ7" i="19"/>
  <c r="BA7" i="19"/>
  <c r="AR8" i="19"/>
  <c r="AS8" i="19"/>
  <c r="AT8" i="19"/>
  <c r="AU8" i="19"/>
  <c r="AV8" i="19"/>
  <c r="AW8" i="19"/>
  <c r="AX8" i="19"/>
  <c r="AY8" i="19"/>
  <c r="AZ8" i="19"/>
  <c r="BA8" i="19"/>
  <c r="AR10" i="19"/>
  <c r="AS10" i="19"/>
  <c r="AT10" i="19"/>
  <c r="AU10" i="19"/>
  <c r="AV10" i="19"/>
  <c r="AW10" i="19"/>
  <c r="AX10" i="19"/>
  <c r="AY10" i="19"/>
  <c r="AZ10" i="19"/>
  <c r="BA10" i="19"/>
  <c r="G57" i="18" a="1"/>
  <c r="G57" i="18" s="1"/>
  <c r="B57" i="18" a="1"/>
  <c r="B57" i="18" s="1"/>
  <c r="AR2" i="18"/>
  <c r="AS2" i="18"/>
  <c r="AT2" i="18"/>
  <c r="AU2" i="18"/>
  <c r="AV2" i="18"/>
  <c r="AW2" i="18"/>
  <c r="AX2" i="18"/>
  <c r="AY2" i="18"/>
  <c r="AZ2" i="18"/>
  <c r="BA2" i="18"/>
  <c r="AR8" i="18"/>
  <c r="AS8" i="18"/>
  <c r="AT8" i="18"/>
  <c r="AU8" i="18"/>
  <c r="AV8" i="18"/>
  <c r="AW8" i="18"/>
  <c r="AX8" i="18"/>
  <c r="AY8" i="18"/>
  <c r="AZ8" i="18"/>
  <c r="BA8" i="18"/>
  <c r="B57" i="17" a="1"/>
  <c r="B57" i="17" s="1"/>
  <c r="AR2" i="17"/>
  <c r="AS2" i="17"/>
  <c r="AT2" i="17"/>
  <c r="AU2" i="17"/>
  <c r="AV2" i="17"/>
  <c r="AW2" i="17"/>
  <c r="AX2" i="17"/>
  <c r="AY2" i="17"/>
  <c r="AZ2" i="17"/>
  <c r="BA2" i="17"/>
  <c r="B57" i="16" a="1"/>
  <c r="B57" i="16" s="1"/>
  <c r="AR10" i="16"/>
  <c r="AS10" i="16"/>
  <c r="AT10" i="16"/>
  <c r="AU10" i="16"/>
  <c r="AV10" i="16"/>
  <c r="AW10" i="16"/>
  <c r="AX10" i="16"/>
  <c r="AY10" i="16"/>
  <c r="AZ10" i="16"/>
  <c r="BA10" i="16"/>
  <c r="AO143" i="15"/>
  <c r="AP143" i="15"/>
  <c r="AQ143" i="15"/>
  <c r="AR143" i="15"/>
  <c r="AS143" i="15"/>
  <c r="AT143" i="15"/>
  <c r="AU143" i="15"/>
  <c r="AV143" i="15"/>
  <c r="AW143" i="15"/>
  <c r="AX143" i="15"/>
  <c r="AO135" i="15"/>
  <c r="AP135" i="15"/>
  <c r="AQ135" i="15"/>
  <c r="AR135" i="15"/>
  <c r="AS135" i="15"/>
  <c r="AT135" i="15"/>
  <c r="AU135" i="15"/>
  <c r="AV135" i="15"/>
  <c r="AW135" i="15"/>
  <c r="AX135" i="15"/>
  <c r="AO127" i="15"/>
  <c r="AP127" i="15"/>
  <c r="AQ127" i="15"/>
  <c r="AR127" i="15"/>
  <c r="AS127" i="15"/>
  <c r="AT127" i="15"/>
  <c r="AU127" i="15"/>
  <c r="AV127" i="15"/>
  <c r="AW127" i="15"/>
  <c r="AX127" i="15"/>
  <c r="AO119" i="15"/>
  <c r="AP119" i="15"/>
  <c r="AQ119" i="15"/>
  <c r="AR119" i="15"/>
  <c r="AS119" i="15"/>
  <c r="AT119" i="15"/>
  <c r="AU119" i="15"/>
  <c r="AV119" i="15"/>
  <c r="AW119" i="15"/>
  <c r="AX119" i="15"/>
  <c r="AO111" i="15"/>
  <c r="AP111" i="15"/>
  <c r="AQ111" i="15"/>
  <c r="AR111" i="15"/>
  <c r="AS111" i="15"/>
  <c r="AT111" i="15"/>
  <c r="AU111" i="15"/>
  <c r="AV111" i="15"/>
  <c r="AW111" i="15"/>
  <c r="AX111" i="15"/>
  <c r="AO103" i="15"/>
  <c r="AP103" i="15"/>
  <c r="AQ103" i="15"/>
  <c r="AR103" i="15"/>
  <c r="AS103" i="15"/>
  <c r="AT103" i="15"/>
  <c r="AU103" i="15"/>
  <c r="AV103" i="15"/>
  <c r="AW103" i="15"/>
  <c r="AX103" i="15"/>
  <c r="AO95" i="15"/>
  <c r="AP95" i="15"/>
  <c r="AQ95" i="15"/>
  <c r="AR95" i="15"/>
  <c r="AS95" i="15"/>
  <c r="AT95" i="15"/>
  <c r="AU95" i="15"/>
  <c r="AV95" i="15"/>
  <c r="AW95" i="15"/>
  <c r="AX95" i="15"/>
  <c r="AO87" i="15"/>
  <c r="AP87" i="15"/>
  <c r="AQ87" i="15"/>
  <c r="AR87" i="15"/>
  <c r="AS87" i="15"/>
  <c r="AT87" i="15"/>
  <c r="AU87" i="15"/>
  <c r="AV87" i="15"/>
  <c r="AW87" i="15"/>
  <c r="AX87" i="15"/>
  <c r="AO79" i="15"/>
  <c r="AP79" i="15"/>
  <c r="AQ79" i="15"/>
  <c r="AR79" i="15"/>
  <c r="AS79" i="15"/>
  <c r="AT79" i="15"/>
  <c r="AU79" i="15"/>
  <c r="AV79" i="15"/>
  <c r="AW79" i="15"/>
  <c r="AX79" i="15"/>
  <c r="AO71" i="15"/>
  <c r="AP71" i="15"/>
  <c r="AQ71" i="15"/>
  <c r="AR71" i="15"/>
  <c r="AS71" i="15"/>
  <c r="AT71" i="15"/>
  <c r="AU71" i="15"/>
  <c r="AV71" i="15"/>
  <c r="AW71" i="15"/>
  <c r="AX71" i="15"/>
  <c r="AO63" i="15"/>
  <c r="AP63" i="15"/>
  <c r="AQ63" i="15"/>
  <c r="AR63" i="15"/>
  <c r="AS63" i="15"/>
  <c r="AT63" i="15"/>
  <c r="AU63" i="15"/>
  <c r="AV63" i="15"/>
  <c r="AW63" i="15"/>
  <c r="AX63" i="15"/>
  <c r="AO55" i="15"/>
  <c r="AP55" i="15"/>
  <c r="AQ55" i="15"/>
  <c r="AR55" i="15"/>
  <c r="AS55" i="15"/>
  <c r="AT55" i="15"/>
  <c r="AU55" i="15"/>
  <c r="AV55" i="15"/>
  <c r="AW55" i="15"/>
  <c r="AX55" i="15"/>
  <c r="AO47" i="15"/>
  <c r="AP47" i="15"/>
  <c r="AQ47" i="15"/>
  <c r="AR47" i="15"/>
  <c r="AS47" i="15"/>
  <c r="AT47" i="15"/>
  <c r="AU47" i="15"/>
  <c r="AV47" i="15"/>
  <c r="AW47" i="15"/>
  <c r="AX47" i="15"/>
  <c r="AO39" i="15"/>
  <c r="AP39" i="15"/>
  <c r="AQ39" i="15"/>
  <c r="AR39" i="15"/>
  <c r="AS39" i="15"/>
  <c r="AT39" i="15"/>
  <c r="AU39" i="15"/>
  <c r="AV39" i="15"/>
  <c r="AW39" i="15"/>
  <c r="AX39" i="15"/>
  <c r="AP31" i="44"/>
  <c r="AQ31" i="44" s="1"/>
  <c r="AO31" i="44"/>
  <c r="AO31" i="15" s="1"/>
  <c r="AP31" i="15"/>
  <c r="AO23" i="15"/>
  <c r="AP23" i="15"/>
  <c r="AQ23" i="15"/>
  <c r="AR23" i="15"/>
  <c r="AS23" i="15"/>
  <c r="AT23" i="15"/>
  <c r="AU23" i="15"/>
  <c r="AV23" i="15"/>
  <c r="AW23" i="15"/>
  <c r="AX23" i="15"/>
  <c r="AO15" i="15"/>
  <c r="AP15" i="15"/>
  <c r="AQ15" i="15"/>
  <c r="AR15" i="15"/>
  <c r="AS15" i="15"/>
  <c r="AT15" i="15"/>
  <c r="AU15" i="15"/>
  <c r="AV15" i="15"/>
  <c r="AW15" i="15"/>
  <c r="AX15" i="15"/>
  <c r="AO7" i="15"/>
  <c r="AP7" i="15"/>
  <c r="AQ7" i="15"/>
  <c r="AR7" i="15"/>
  <c r="AS7" i="15"/>
  <c r="AT7" i="15"/>
  <c r="AU7" i="15"/>
  <c r="AV7" i="15"/>
  <c r="AW7" i="15"/>
  <c r="AX7" i="15"/>
  <c r="AP143" i="44"/>
  <c r="AQ143" i="44" s="1"/>
  <c r="AR143" i="44" s="1"/>
  <c r="AS143" i="44" s="1"/>
  <c r="AT143" i="44" s="1"/>
  <c r="AU143" i="44" s="1"/>
  <c r="AV143" i="44" s="1"/>
  <c r="AW143" i="44" s="1"/>
  <c r="AX143" i="44" s="1"/>
  <c r="AO143" i="44"/>
  <c r="AP135" i="44"/>
  <c r="AQ135" i="44" s="1"/>
  <c r="AR135" i="44" s="1"/>
  <c r="AS135" i="44" s="1"/>
  <c r="AT135" i="44" s="1"/>
  <c r="AU135" i="44" s="1"/>
  <c r="AV135" i="44" s="1"/>
  <c r="AW135" i="44" s="1"/>
  <c r="AX135" i="44" s="1"/>
  <c r="AO135" i="44"/>
  <c r="AP127" i="44"/>
  <c r="AQ127" i="44" s="1"/>
  <c r="AR127" i="44" s="1"/>
  <c r="AS127" i="44" s="1"/>
  <c r="AT127" i="44" s="1"/>
  <c r="AU127" i="44" s="1"/>
  <c r="AV127" i="44" s="1"/>
  <c r="AW127" i="44" s="1"/>
  <c r="AX127" i="44" s="1"/>
  <c r="AO127" i="44"/>
  <c r="AP119" i="44"/>
  <c r="AQ119" i="44"/>
  <c r="AR119" i="44"/>
  <c r="AS119" i="44"/>
  <c r="AT119" i="44"/>
  <c r="AU119" i="44"/>
  <c r="AV119" i="44"/>
  <c r="AW119" i="44"/>
  <c r="AX119" i="44" s="1"/>
  <c r="AO119" i="44"/>
  <c r="AP111" i="44"/>
  <c r="AQ111" i="44" s="1"/>
  <c r="AR111" i="44" s="1"/>
  <c r="AS111" i="44" s="1"/>
  <c r="AT111" i="44" s="1"/>
  <c r="AU111" i="44" s="1"/>
  <c r="AV111" i="44" s="1"/>
  <c r="AW111" i="44" s="1"/>
  <c r="AX111" i="44" s="1"/>
  <c r="AO111" i="44"/>
  <c r="AP103" i="44"/>
  <c r="AQ103" i="44" s="1"/>
  <c r="AR103" i="44" s="1"/>
  <c r="AS103" i="44" s="1"/>
  <c r="AT103" i="44" s="1"/>
  <c r="AU103" i="44" s="1"/>
  <c r="AV103" i="44" s="1"/>
  <c r="AW103" i="44" s="1"/>
  <c r="AX103" i="44" s="1"/>
  <c r="AO103" i="44"/>
  <c r="AP95" i="44"/>
  <c r="AQ95" i="44" s="1"/>
  <c r="AR95" i="44" s="1"/>
  <c r="AS95" i="44" s="1"/>
  <c r="AT95" i="44" s="1"/>
  <c r="AU95" i="44" s="1"/>
  <c r="AV95" i="44" s="1"/>
  <c r="AW95" i="44" s="1"/>
  <c r="AX95" i="44" s="1"/>
  <c r="AO95" i="44"/>
  <c r="AP87" i="44"/>
  <c r="AQ87" i="44" s="1"/>
  <c r="AR87" i="44" s="1"/>
  <c r="AS87" i="44" s="1"/>
  <c r="AT87" i="44" s="1"/>
  <c r="AU87" i="44" s="1"/>
  <c r="AV87" i="44" s="1"/>
  <c r="AW87" i="44" s="1"/>
  <c r="AX87" i="44" s="1"/>
  <c r="AO87" i="44"/>
  <c r="AP79" i="44"/>
  <c r="AQ79" i="44" s="1"/>
  <c r="AR79" i="44" s="1"/>
  <c r="AS79" i="44" s="1"/>
  <c r="AT79" i="44" s="1"/>
  <c r="AU79" i="44" s="1"/>
  <c r="AV79" i="44" s="1"/>
  <c r="AW79" i="44" s="1"/>
  <c r="AX79" i="44" s="1"/>
  <c r="AO79" i="44"/>
  <c r="AP71" i="44"/>
  <c r="AQ71" i="44" s="1"/>
  <c r="AR71" i="44" s="1"/>
  <c r="AS71" i="44" s="1"/>
  <c r="AT71" i="44" s="1"/>
  <c r="AU71" i="44" s="1"/>
  <c r="AV71" i="44" s="1"/>
  <c r="AW71" i="44" s="1"/>
  <c r="AX71" i="44" s="1"/>
  <c r="AO71" i="44"/>
  <c r="AP63" i="44"/>
  <c r="AQ63" i="44" s="1"/>
  <c r="AR63" i="44" s="1"/>
  <c r="AS63" i="44" s="1"/>
  <c r="AT63" i="44" s="1"/>
  <c r="AU63" i="44" s="1"/>
  <c r="AV63" i="44" s="1"/>
  <c r="AW63" i="44" s="1"/>
  <c r="AX63" i="44" s="1"/>
  <c r="AO63" i="44"/>
  <c r="AP55" i="44"/>
  <c r="AQ55" i="44" s="1"/>
  <c r="AR55" i="44" s="1"/>
  <c r="AS55" i="44" s="1"/>
  <c r="AT55" i="44" s="1"/>
  <c r="AU55" i="44" s="1"/>
  <c r="AV55" i="44" s="1"/>
  <c r="AW55" i="44" s="1"/>
  <c r="AX55" i="44" s="1"/>
  <c r="AO55" i="44"/>
  <c r="AP47" i="44"/>
  <c r="AQ47" i="44" s="1"/>
  <c r="AR47" i="44" s="1"/>
  <c r="AS47" i="44" s="1"/>
  <c r="AT47" i="44" s="1"/>
  <c r="AU47" i="44" s="1"/>
  <c r="AV47" i="44" s="1"/>
  <c r="AW47" i="44" s="1"/>
  <c r="AX47" i="44" s="1"/>
  <c r="AO47" i="44"/>
  <c r="AP39" i="44"/>
  <c r="AQ39" i="44" s="1"/>
  <c r="AR39" i="44" s="1"/>
  <c r="AS39" i="44" s="1"/>
  <c r="AT39" i="44" s="1"/>
  <c r="AU39" i="44" s="1"/>
  <c r="AV39" i="44" s="1"/>
  <c r="AW39" i="44" s="1"/>
  <c r="AX39" i="44" s="1"/>
  <c r="AO39" i="44"/>
  <c r="AO142" i="44"/>
  <c r="AP142" i="44" s="1"/>
  <c r="AQ142" i="44" s="1"/>
  <c r="AR142" i="44" s="1"/>
  <c r="AS142" i="44" s="1"/>
  <c r="AT142" i="44" s="1"/>
  <c r="AU142" i="44" s="1"/>
  <c r="AV142" i="44" s="1"/>
  <c r="AW142" i="44" s="1"/>
  <c r="AX142" i="44" s="1"/>
  <c r="AO134" i="44"/>
  <c r="AP134" i="44" s="1"/>
  <c r="AQ134" i="44" s="1"/>
  <c r="AR134" i="44" s="1"/>
  <c r="AS134" i="44" s="1"/>
  <c r="AT134" i="44" s="1"/>
  <c r="AU134" i="44" s="1"/>
  <c r="AV134" i="44" s="1"/>
  <c r="AW134" i="44" s="1"/>
  <c r="AX134" i="44" s="1"/>
  <c r="AO126" i="44"/>
  <c r="AP126" i="44" s="1"/>
  <c r="AQ126" i="44" s="1"/>
  <c r="AR126" i="44" s="1"/>
  <c r="AS126" i="44" s="1"/>
  <c r="AT126" i="44" s="1"/>
  <c r="AU126" i="44" s="1"/>
  <c r="AV126" i="44" s="1"/>
  <c r="AW126" i="44" s="1"/>
  <c r="AX126" i="44" s="1"/>
  <c r="AO118" i="44"/>
  <c r="AP118" i="44" s="1"/>
  <c r="AQ118" i="44" s="1"/>
  <c r="AR118" i="44" s="1"/>
  <c r="AS118" i="44" s="1"/>
  <c r="AT118" i="44" s="1"/>
  <c r="AU118" i="44" s="1"/>
  <c r="AV118" i="44" s="1"/>
  <c r="AW118" i="44" s="1"/>
  <c r="AX118" i="44" s="1"/>
  <c r="AO110" i="44"/>
  <c r="AP110" i="44" s="1"/>
  <c r="AQ110" i="44" s="1"/>
  <c r="AR110" i="44" s="1"/>
  <c r="AS110" i="44" s="1"/>
  <c r="AT110" i="44" s="1"/>
  <c r="AU110" i="44" s="1"/>
  <c r="AV110" i="44" s="1"/>
  <c r="AW110" i="44" s="1"/>
  <c r="AX110" i="44" s="1"/>
  <c r="AO102" i="44"/>
  <c r="AP102" i="44" s="1"/>
  <c r="AQ102" i="44" s="1"/>
  <c r="AR102" i="44" s="1"/>
  <c r="AS102" i="44" s="1"/>
  <c r="AT102" i="44" s="1"/>
  <c r="AU102" i="44" s="1"/>
  <c r="AV102" i="44" s="1"/>
  <c r="AW102" i="44" s="1"/>
  <c r="AX102" i="44" s="1"/>
  <c r="AO94" i="44"/>
  <c r="AP94" i="44" s="1"/>
  <c r="AQ94" i="44" s="1"/>
  <c r="AR94" i="44" s="1"/>
  <c r="AS94" i="44" s="1"/>
  <c r="AT94" i="44" s="1"/>
  <c r="AU94" i="44" s="1"/>
  <c r="AV94" i="44" s="1"/>
  <c r="AW94" i="44" s="1"/>
  <c r="AX94" i="44" s="1"/>
  <c r="AO86" i="44"/>
  <c r="AP86" i="44" s="1"/>
  <c r="AQ86" i="44" s="1"/>
  <c r="AR86" i="44" s="1"/>
  <c r="AS86" i="44" s="1"/>
  <c r="AT86" i="44" s="1"/>
  <c r="AU86" i="44" s="1"/>
  <c r="AV86" i="44" s="1"/>
  <c r="AW86" i="44" s="1"/>
  <c r="AX86" i="44" s="1"/>
  <c r="AO78" i="44"/>
  <c r="AP78" i="44" s="1"/>
  <c r="AQ78" i="44" s="1"/>
  <c r="AR78" i="44" s="1"/>
  <c r="AS78" i="44" s="1"/>
  <c r="AT78" i="44" s="1"/>
  <c r="AU78" i="44" s="1"/>
  <c r="AV78" i="44" s="1"/>
  <c r="AW78" i="44" s="1"/>
  <c r="AX78" i="44" s="1"/>
  <c r="AO70" i="44"/>
  <c r="AP70" i="44" s="1"/>
  <c r="AQ70" i="44" s="1"/>
  <c r="AR70" i="44" s="1"/>
  <c r="AS70" i="44" s="1"/>
  <c r="AT70" i="44" s="1"/>
  <c r="AU70" i="44" s="1"/>
  <c r="AV70" i="44" s="1"/>
  <c r="AW70" i="44" s="1"/>
  <c r="AX70" i="44" s="1"/>
  <c r="AO62" i="44"/>
  <c r="AP62" i="44" s="1"/>
  <c r="AQ62" i="44" s="1"/>
  <c r="AR62" i="44" s="1"/>
  <c r="AS62" i="44" s="1"/>
  <c r="AT62" i="44" s="1"/>
  <c r="AU62" i="44" s="1"/>
  <c r="AV62" i="44" s="1"/>
  <c r="AW62" i="44" s="1"/>
  <c r="AX62" i="44" s="1"/>
  <c r="AO54" i="44"/>
  <c r="AP54" i="44" s="1"/>
  <c r="AQ54" i="44" s="1"/>
  <c r="AR54" i="44" s="1"/>
  <c r="AS54" i="44" s="1"/>
  <c r="AT54" i="44" s="1"/>
  <c r="AU54" i="44" s="1"/>
  <c r="AV54" i="44" s="1"/>
  <c r="AW54" i="44" s="1"/>
  <c r="AX54" i="44" s="1"/>
  <c r="AO46" i="44"/>
  <c r="AP46" i="44" s="1"/>
  <c r="AQ46" i="44" s="1"/>
  <c r="AR46" i="44" s="1"/>
  <c r="AS46" i="44" s="1"/>
  <c r="AT46" i="44" s="1"/>
  <c r="AU46" i="44" s="1"/>
  <c r="AV46" i="44" s="1"/>
  <c r="AW46" i="44" s="1"/>
  <c r="AX46" i="44" s="1"/>
  <c r="AN144" i="44"/>
  <c r="AN136" i="44"/>
  <c r="AN128" i="44"/>
  <c r="AN120" i="44"/>
  <c r="AN112" i="44"/>
  <c r="AN104" i="44"/>
  <c r="AN96" i="44"/>
  <c r="AN88" i="44"/>
  <c r="AN80" i="44"/>
  <c r="AN72" i="44"/>
  <c r="AN64" i="44"/>
  <c r="AN56" i="44"/>
  <c r="AN48" i="44"/>
  <c r="AN40" i="44"/>
  <c r="AN32" i="44"/>
  <c r="AP23" i="44"/>
  <c r="AQ23" i="44" s="1"/>
  <c r="AR23" i="44" s="1"/>
  <c r="AS23" i="44" s="1"/>
  <c r="AT23" i="44" s="1"/>
  <c r="AU23" i="44" s="1"/>
  <c r="AV23" i="44" s="1"/>
  <c r="AW23" i="44" s="1"/>
  <c r="AX23" i="44" s="1"/>
  <c r="AO23" i="44"/>
  <c r="AN24" i="44"/>
  <c r="AP15" i="44"/>
  <c r="AQ15" i="44" s="1"/>
  <c r="AR15" i="44" s="1"/>
  <c r="AS15" i="44" s="1"/>
  <c r="AT15" i="44" s="1"/>
  <c r="AU15" i="44" s="1"/>
  <c r="AV15" i="44" s="1"/>
  <c r="AW15" i="44" s="1"/>
  <c r="AX15" i="44" s="1"/>
  <c r="AO15" i="44"/>
  <c r="AN16" i="44"/>
  <c r="AP7" i="44"/>
  <c r="AQ7" i="44" s="1"/>
  <c r="AR7" i="44" s="1"/>
  <c r="AS7" i="44" s="1"/>
  <c r="AT7" i="44" s="1"/>
  <c r="AU7" i="44" s="1"/>
  <c r="AV7" i="44" s="1"/>
  <c r="AW7" i="44" s="1"/>
  <c r="AX7" i="44" s="1"/>
  <c r="AO7" i="44"/>
  <c r="AN8" i="44"/>
  <c r="AR2" i="9"/>
  <c r="AS2" i="9"/>
  <c r="AT2" i="9"/>
  <c r="AU2" i="9"/>
  <c r="AV2" i="9"/>
  <c r="AW2" i="9"/>
  <c r="AX2" i="9"/>
  <c r="AY2" i="9"/>
  <c r="AZ2" i="9"/>
  <c r="BA2" i="9"/>
  <c r="AR4" i="9"/>
  <c r="AS4" i="9"/>
  <c r="AT4" i="9"/>
  <c r="AU4" i="9"/>
  <c r="AV4" i="9"/>
  <c r="AW4" i="9"/>
  <c r="AX4" i="9"/>
  <c r="AY4" i="9"/>
  <c r="AZ4" i="9"/>
  <c r="BA4" i="9"/>
  <c r="AR5" i="9"/>
  <c r="AS5" i="9"/>
  <c r="AT5" i="9"/>
  <c r="AU5" i="9"/>
  <c r="AV5" i="9"/>
  <c r="AW5" i="9"/>
  <c r="AX5" i="9"/>
  <c r="AY5" i="9"/>
  <c r="AZ5" i="9"/>
  <c r="BA5" i="9"/>
  <c r="AR6" i="9"/>
  <c r="AS6" i="9"/>
  <c r="AT6" i="9"/>
  <c r="AU6" i="9"/>
  <c r="AV6" i="9"/>
  <c r="AW6" i="9"/>
  <c r="AX6" i="9"/>
  <c r="AY6" i="9"/>
  <c r="AZ6" i="9"/>
  <c r="BA6" i="9"/>
  <c r="AR7" i="9"/>
  <c r="AS7" i="9"/>
  <c r="AT7" i="9"/>
  <c r="AU7" i="9"/>
  <c r="AV7" i="9"/>
  <c r="AW7" i="9"/>
  <c r="AX7" i="9"/>
  <c r="AY7" i="9"/>
  <c r="AZ7" i="9"/>
  <c r="BA7" i="9"/>
  <c r="AR8" i="9"/>
  <c r="AS8" i="9"/>
  <c r="AT8" i="9"/>
  <c r="AU8" i="9"/>
  <c r="AV8" i="9"/>
  <c r="AW8" i="9"/>
  <c r="AX8" i="9"/>
  <c r="AY8" i="9"/>
  <c r="AZ8" i="9"/>
  <c r="BA8" i="9"/>
  <c r="AR10" i="9"/>
  <c r="AS10" i="9"/>
  <c r="AT10" i="9"/>
  <c r="AU10" i="9"/>
  <c r="AV10" i="9"/>
  <c r="AW10" i="9"/>
  <c r="AX10" i="9"/>
  <c r="AY10" i="9"/>
  <c r="AZ10" i="9"/>
  <c r="BA10" i="9"/>
  <c r="AR2" i="8"/>
  <c r="AS2" i="8"/>
  <c r="AT2" i="8"/>
  <c r="AU2" i="8"/>
  <c r="AV2" i="8"/>
  <c r="AW2" i="8"/>
  <c r="AX2" i="8"/>
  <c r="AY2" i="8"/>
  <c r="AZ2" i="8"/>
  <c r="BA2" i="8"/>
  <c r="AR2" i="7"/>
  <c r="AS2" i="7"/>
  <c r="AT2" i="7"/>
  <c r="AU2" i="7"/>
  <c r="AV2" i="7"/>
  <c r="AW2" i="7"/>
  <c r="AX2" i="7"/>
  <c r="AY2" i="7"/>
  <c r="AZ2" i="7"/>
  <c r="BA2" i="7"/>
  <c r="AR2" i="6"/>
  <c r="AS2" i="6"/>
  <c r="AT2" i="6"/>
  <c r="AU2" i="6"/>
  <c r="AV2" i="6"/>
  <c r="AW2" i="6"/>
  <c r="AX2" i="6"/>
  <c r="AY2" i="6"/>
  <c r="AZ2" i="6"/>
  <c r="BA2" i="6"/>
  <c r="H57" i="14" a="1"/>
  <c r="H57" i="14" s="1"/>
  <c r="F57" i="14" a="1"/>
  <c r="F57" i="14" s="1"/>
  <c r="D57" i="14" a="1"/>
  <c r="D57" i="14" s="1"/>
  <c r="B57" i="14" a="1"/>
  <c r="B57" i="14" s="1"/>
  <c r="AO2" i="14"/>
  <c r="AP2" i="14"/>
  <c r="AQ2" i="14"/>
  <c r="AR2" i="14"/>
  <c r="AS2" i="14"/>
  <c r="AT2" i="14"/>
  <c r="AU2" i="14"/>
  <c r="AV2" i="14"/>
  <c r="AW2" i="14"/>
  <c r="AX2" i="14"/>
  <c r="AO3" i="14"/>
  <c r="AP3" i="14"/>
  <c r="AQ3" i="14"/>
  <c r="AR3" i="14"/>
  <c r="AS3" i="14"/>
  <c r="AT3" i="14"/>
  <c r="AU3" i="14"/>
  <c r="AV3" i="14"/>
  <c r="AW3" i="14"/>
  <c r="AX3" i="14"/>
  <c r="AO4" i="14"/>
  <c r="AP4" i="14"/>
  <c r="AQ4" i="14"/>
  <c r="AR4" i="14"/>
  <c r="AS4" i="14"/>
  <c r="AT4" i="14"/>
  <c r="AU4" i="14"/>
  <c r="AV4" i="14"/>
  <c r="AW4" i="14"/>
  <c r="AX4" i="14"/>
  <c r="AO5" i="14"/>
  <c r="AP5" i="14"/>
  <c r="AQ5" i="14"/>
  <c r="AR5" i="14"/>
  <c r="AS5" i="14"/>
  <c r="AT5" i="14"/>
  <c r="AU5" i="14"/>
  <c r="AV5" i="14"/>
  <c r="AW5" i="14"/>
  <c r="AX5" i="14"/>
  <c r="D57" i="12" a="1"/>
  <c r="D57" i="12" s="1"/>
  <c r="P57" i="12" a="1"/>
  <c r="P57" i="12" s="1"/>
  <c r="N57" i="12" a="1"/>
  <c r="N57" i="12" s="1"/>
  <c r="L57" i="12" a="1"/>
  <c r="L57" i="12" s="1"/>
  <c r="J57" i="12" a="1"/>
  <c r="J57" i="12" s="1"/>
  <c r="H57" i="12" a="1"/>
  <c r="H57" i="12" s="1"/>
  <c r="F57" i="12" a="1"/>
  <c r="F57" i="12" s="1"/>
  <c r="B57" i="12" a="1"/>
  <c r="B57" i="12" s="1"/>
  <c r="AO2" i="12"/>
  <c r="AP2" i="12"/>
  <c r="AQ2" i="12"/>
  <c r="AR2" i="12"/>
  <c r="AS2" i="12"/>
  <c r="AT2" i="12"/>
  <c r="AU2" i="12"/>
  <c r="AV2" i="12"/>
  <c r="AW2" i="12"/>
  <c r="AX2" i="12"/>
  <c r="AO3" i="12"/>
  <c r="AP3" i="12"/>
  <c r="AQ3" i="12"/>
  <c r="AR3" i="12"/>
  <c r="AS3" i="12"/>
  <c r="AT3" i="12"/>
  <c r="AU3" i="12"/>
  <c r="AV3" i="12"/>
  <c r="AW3" i="12"/>
  <c r="AX3" i="12"/>
  <c r="AO4" i="12"/>
  <c r="AP4" i="12"/>
  <c r="AQ4" i="12"/>
  <c r="AR4" i="12"/>
  <c r="AS4" i="12"/>
  <c r="AT4" i="12"/>
  <c r="AU4" i="12"/>
  <c r="AV4" i="12"/>
  <c r="AW4" i="12"/>
  <c r="AX4" i="12"/>
  <c r="AO5" i="12"/>
  <c r="AP5" i="12"/>
  <c r="AQ5" i="12"/>
  <c r="AR5" i="12"/>
  <c r="AS5" i="12"/>
  <c r="AT5" i="12"/>
  <c r="AU5" i="12"/>
  <c r="AV5" i="12"/>
  <c r="AW5" i="12"/>
  <c r="AX5" i="12"/>
  <c r="AO6" i="12"/>
  <c r="AP6" i="12"/>
  <c r="AQ6" i="12"/>
  <c r="AR6" i="12"/>
  <c r="AS6" i="12"/>
  <c r="AT6" i="12"/>
  <c r="AU6" i="12"/>
  <c r="AV6" i="12"/>
  <c r="AW6" i="12"/>
  <c r="AX6" i="12"/>
  <c r="AO7" i="12"/>
  <c r="AP7" i="12"/>
  <c r="AQ7" i="12"/>
  <c r="AR7" i="12"/>
  <c r="AS7" i="12"/>
  <c r="AT7" i="12"/>
  <c r="AU7" i="12"/>
  <c r="AV7" i="12"/>
  <c r="AW7" i="12"/>
  <c r="AX7" i="12"/>
  <c r="AO8" i="12"/>
  <c r="AP8" i="12"/>
  <c r="AQ8" i="12"/>
  <c r="AR8" i="12"/>
  <c r="AS8" i="12"/>
  <c r="AT8" i="12"/>
  <c r="AU8" i="12"/>
  <c r="AV8" i="12"/>
  <c r="AW8" i="12"/>
  <c r="AX8" i="12"/>
  <c r="AO9" i="12"/>
  <c r="AP9" i="12"/>
  <c r="AQ9" i="12"/>
  <c r="AR9" i="12"/>
  <c r="AS9" i="12"/>
  <c r="AT9" i="12"/>
  <c r="AU9" i="12"/>
  <c r="AV9" i="12"/>
  <c r="AW9" i="12"/>
  <c r="AX9" i="12"/>
  <c r="AO173" i="13"/>
  <c r="AP173" i="13"/>
  <c r="AQ173" i="13"/>
  <c r="AR173" i="13"/>
  <c r="AS173" i="13"/>
  <c r="AT173" i="13"/>
  <c r="AU173" i="13"/>
  <c r="AV173" i="13"/>
  <c r="AW173" i="13"/>
  <c r="AX173" i="13"/>
  <c r="AO174" i="13"/>
  <c r="AP174" i="13"/>
  <c r="AQ174" i="13"/>
  <c r="AR174" i="13"/>
  <c r="AS174" i="13"/>
  <c r="AT174" i="13"/>
  <c r="AU174" i="13"/>
  <c r="AV174" i="13"/>
  <c r="AW174" i="13"/>
  <c r="AX174" i="13"/>
  <c r="AO175" i="13"/>
  <c r="AP175" i="13"/>
  <c r="AQ175" i="13"/>
  <c r="AR175" i="13"/>
  <c r="AS175" i="13"/>
  <c r="AT175" i="13"/>
  <c r="AU175" i="13"/>
  <c r="AV175" i="13"/>
  <c r="AW175" i="13"/>
  <c r="AX175" i="13"/>
  <c r="AO176" i="13"/>
  <c r="AP176" i="13"/>
  <c r="AQ176" i="13"/>
  <c r="AR176" i="13"/>
  <c r="AS176" i="13"/>
  <c r="AT176" i="13"/>
  <c r="AU176" i="13"/>
  <c r="AV176" i="13"/>
  <c r="AW176" i="13"/>
  <c r="AX176" i="13"/>
  <c r="AO161" i="13"/>
  <c r="AP161" i="13"/>
  <c r="AQ161" i="13"/>
  <c r="AR161" i="13"/>
  <c r="AS161" i="13"/>
  <c r="AT161" i="13"/>
  <c r="AU161" i="13"/>
  <c r="AV161" i="13"/>
  <c r="AW161" i="13"/>
  <c r="AX161" i="13"/>
  <c r="AO162" i="13"/>
  <c r="AP162" i="13"/>
  <c r="AQ162" i="13"/>
  <c r="AR162" i="13"/>
  <c r="AS162" i="13"/>
  <c r="AT162" i="13"/>
  <c r="AU162" i="13"/>
  <c r="AV162" i="13"/>
  <c r="AW162" i="13"/>
  <c r="AX162" i="13"/>
  <c r="AO163" i="13"/>
  <c r="AP163" i="13"/>
  <c r="AQ163" i="13"/>
  <c r="AR163" i="13"/>
  <c r="AS163" i="13"/>
  <c r="AT163" i="13"/>
  <c r="AU163" i="13"/>
  <c r="AV163" i="13"/>
  <c r="AW163" i="13"/>
  <c r="AX163" i="13"/>
  <c r="AO164" i="13"/>
  <c r="AP164" i="13"/>
  <c r="AQ164" i="13"/>
  <c r="AR164" i="13"/>
  <c r="AS164" i="13"/>
  <c r="AT164" i="13"/>
  <c r="AU164" i="13"/>
  <c r="AV164" i="13"/>
  <c r="AW164" i="13"/>
  <c r="AX164" i="13"/>
  <c r="AO150" i="13"/>
  <c r="AP150" i="13"/>
  <c r="AQ150" i="13"/>
  <c r="AR150" i="13"/>
  <c r="AS150" i="13"/>
  <c r="AT150" i="13"/>
  <c r="AU150" i="13"/>
  <c r="AV150" i="13"/>
  <c r="AW150" i="13"/>
  <c r="AX150" i="13"/>
  <c r="AO151" i="13"/>
  <c r="AP151" i="13"/>
  <c r="AQ151" i="13"/>
  <c r="AR151" i="13"/>
  <c r="AS151" i="13"/>
  <c r="AT151" i="13"/>
  <c r="AU151" i="13"/>
  <c r="AV151" i="13"/>
  <c r="AW151" i="13"/>
  <c r="AX151" i="13"/>
  <c r="AO152" i="13"/>
  <c r="AP152" i="13"/>
  <c r="AQ152" i="13"/>
  <c r="AR152" i="13"/>
  <c r="AS152" i="13"/>
  <c r="AT152" i="13"/>
  <c r="AU152" i="13"/>
  <c r="AV152" i="13"/>
  <c r="AW152" i="13"/>
  <c r="AX152" i="13"/>
  <c r="AO153" i="13"/>
  <c r="AP153" i="13"/>
  <c r="AQ153" i="13"/>
  <c r="AR153" i="13"/>
  <c r="AS153" i="13"/>
  <c r="AT153" i="13"/>
  <c r="AU153" i="13"/>
  <c r="AV153" i="13"/>
  <c r="AW153" i="13"/>
  <c r="AX153" i="13"/>
  <c r="AO139" i="13"/>
  <c r="AP139" i="13"/>
  <c r="AQ139" i="13"/>
  <c r="AR139" i="13"/>
  <c r="AS139" i="13"/>
  <c r="AT139" i="13"/>
  <c r="AU139" i="13"/>
  <c r="AV139" i="13"/>
  <c r="AW139" i="13"/>
  <c r="AX139" i="13"/>
  <c r="AO140" i="13"/>
  <c r="AP140" i="13"/>
  <c r="AQ140" i="13"/>
  <c r="AR140" i="13"/>
  <c r="AS140" i="13"/>
  <c r="AT140" i="13"/>
  <c r="AU140" i="13"/>
  <c r="AV140" i="13"/>
  <c r="AW140" i="13"/>
  <c r="AX140" i="13"/>
  <c r="AO141" i="13"/>
  <c r="AP141" i="13"/>
  <c r="AQ141" i="13"/>
  <c r="AR141" i="13"/>
  <c r="AS141" i="13"/>
  <c r="AT141" i="13"/>
  <c r="AU141" i="13"/>
  <c r="AV141" i="13"/>
  <c r="AW141" i="13"/>
  <c r="AX141" i="13"/>
  <c r="AO142" i="13"/>
  <c r="AP142" i="13"/>
  <c r="AQ142" i="13"/>
  <c r="AR142" i="13"/>
  <c r="AS142" i="13"/>
  <c r="AT142" i="13"/>
  <c r="AU142" i="13"/>
  <c r="AV142" i="13"/>
  <c r="AW142" i="13"/>
  <c r="AX142" i="13"/>
  <c r="AO128" i="13"/>
  <c r="AP128" i="13"/>
  <c r="AQ128" i="13"/>
  <c r="AR128" i="13"/>
  <c r="AS128" i="13"/>
  <c r="AT128" i="13"/>
  <c r="AU128" i="13"/>
  <c r="AV128" i="13"/>
  <c r="AW128" i="13"/>
  <c r="AX128" i="13"/>
  <c r="AO129" i="13"/>
  <c r="AP129" i="13"/>
  <c r="AQ129" i="13"/>
  <c r="AR129" i="13"/>
  <c r="AS129" i="13"/>
  <c r="AT129" i="13"/>
  <c r="AU129" i="13"/>
  <c r="AV129" i="13"/>
  <c r="AW129" i="13"/>
  <c r="AX129" i="13"/>
  <c r="AO130" i="13"/>
  <c r="AP130" i="13"/>
  <c r="AQ130" i="13"/>
  <c r="AR130" i="13"/>
  <c r="AS130" i="13"/>
  <c r="AT130" i="13"/>
  <c r="AU130" i="13"/>
  <c r="AV130" i="13"/>
  <c r="AW130" i="13"/>
  <c r="AX130" i="13"/>
  <c r="AO131" i="13"/>
  <c r="AP131" i="13"/>
  <c r="AQ131" i="13"/>
  <c r="AR131" i="13"/>
  <c r="AS131" i="13"/>
  <c r="AT131" i="13"/>
  <c r="AU131" i="13"/>
  <c r="AV131" i="13"/>
  <c r="AW131" i="13"/>
  <c r="AX131" i="13"/>
  <c r="AO117" i="13"/>
  <c r="AP117" i="13"/>
  <c r="AQ117" i="13"/>
  <c r="AR117" i="13"/>
  <c r="AS117" i="13"/>
  <c r="AT117" i="13"/>
  <c r="AU117" i="13"/>
  <c r="AV117" i="13"/>
  <c r="AW117" i="13"/>
  <c r="AX117" i="13"/>
  <c r="AO118" i="13"/>
  <c r="AP118" i="13"/>
  <c r="AQ118" i="13"/>
  <c r="AR118" i="13"/>
  <c r="AS118" i="13"/>
  <c r="AT118" i="13"/>
  <c r="AU118" i="13"/>
  <c r="AV118" i="13"/>
  <c r="AW118" i="13"/>
  <c r="AX118" i="13"/>
  <c r="AO119" i="13"/>
  <c r="AP119" i="13"/>
  <c r="AQ119" i="13"/>
  <c r="AR119" i="13"/>
  <c r="AS119" i="13"/>
  <c r="AT119" i="13"/>
  <c r="AU119" i="13"/>
  <c r="AV119" i="13"/>
  <c r="AW119" i="13"/>
  <c r="AX119" i="13"/>
  <c r="AO120" i="13"/>
  <c r="AP120" i="13"/>
  <c r="AQ120" i="13"/>
  <c r="AR120" i="13"/>
  <c r="AS120" i="13"/>
  <c r="AT120" i="13"/>
  <c r="AU120" i="13"/>
  <c r="AV120" i="13"/>
  <c r="AW120" i="13"/>
  <c r="AX120" i="13"/>
  <c r="AO106" i="13"/>
  <c r="AP106" i="13"/>
  <c r="AQ106" i="13"/>
  <c r="AR106" i="13"/>
  <c r="AS106" i="13"/>
  <c r="AT106" i="13"/>
  <c r="AU106" i="13"/>
  <c r="AV106" i="13"/>
  <c r="AW106" i="13"/>
  <c r="AX106" i="13"/>
  <c r="AO107" i="13"/>
  <c r="AP107" i="13"/>
  <c r="AQ107" i="13"/>
  <c r="AR107" i="13"/>
  <c r="AS107" i="13"/>
  <c r="AT107" i="13"/>
  <c r="AU107" i="13"/>
  <c r="AV107" i="13"/>
  <c r="AW107" i="13"/>
  <c r="AX107" i="13"/>
  <c r="AO108" i="13"/>
  <c r="AP108" i="13"/>
  <c r="AQ108" i="13"/>
  <c r="AR108" i="13"/>
  <c r="AS108" i="13"/>
  <c r="AT108" i="13"/>
  <c r="AU108" i="13"/>
  <c r="AV108" i="13"/>
  <c r="AW108" i="13"/>
  <c r="AX108" i="13"/>
  <c r="AO109" i="13"/>
  <c r="AP109" i="13"/>
  <c r="AQ109" i="13"/>
  <c r="AR109" i="13"/>
  <c r="AS109" i="13"/>
  <c r="AT109" i="13"/>
  <c r="AU109" i="13"/>
  <c r="AV109" i="13"/>
  <c r="AW109" i="13"/>
  <c r="AX109" i="13"/>
  <c r="AO95" i="13"/>
  <c r="AP95" i="13"/>
  <c r="AQ95" i="13"/>
  <c r="AR95" i="13"/>
  <c r="AS95" i="13"/>
  <c r="AT95" i="13"/>
  <c r="AU95" i="13"/>
  <c r="AV95" i="13"/>
  <c r="AW95" i="13"/>
  <c r="AX95" i="13"/>
  <c r="AO96" i="13"/>
  <c r="AP96" i="13"/>
  <c r="AQ96" i="13"/>
  <c r="AR96" i="13"/>
  <c r="AS96" i="13"/>
  <c r="AT96" i="13"/>
  <c r="AU96" i="13"/>
  <c r="AV96" i="13"/>
  <c r="AW96" i="13"/>
  <c r="AX96" i="13"/>
  <c r="AO97" i="13"/>
  <c r="AP97" i="13"/>
  <c r="AQ97" i="13"/>
  <c r="AR97" i="13"/>
  <c r="AS97" i="13"/>
  <c r="AT97" i="13"/>
  <c r="AU97" i="13"/>
  <c r="AV97" i="13"/>
  <c r="AW97" i="13"/>
  <c r="AX97" i="13"/>
  <c r="AO98" i="13"/>
  <c r="AP98" i="13"/>
  <c r="AQ98" i="13"/>
  <c r="AR98" i="13"/>
  <c r="AS98" i="13"/>
  <c r="AT98" i="13"/>
  <c r="AU98" i="13"/>
  <c r="AV98" i="13"/>
  <c r="AW98" i="13"/>
  <c r="AX98" i="13"/>
  <c r="AO84" i="13"/>
  <c r="AP84" i="13"/>
  <c r="AQ84" i="13"/>
  <c r="AR84" i="13"/>
  <c r="AS84" i="13"/>
  <c r="AT84" i="13"/>
  <c r="AU84" i="13"/>
  <c r="AV84" i="13"/>
  <c r="AW84" i="13"/>
  <c r="AX84" i="13"/>
  <c r="AO85" i="13"/>
  <c r="AP85" i="13"/>
  <c r="AQ85" i="13"/>
  <c r="AR85" i="13"/>
  <c r="AS85" i="13"/>
  <c r="AT85" i="13"/>
  <c r="AU85" i="13"/>
  <c r="AV85" i="13"/>
  <c r="AW85" i="13"/>
  <c r="AX85" i="13"/>
  <c r="AO86" i="13"/>
  <c r="AP86" i="13"/>
  <c r="AQ86" i="13"/>
  <c r="AR86" i="13"/>
  <c r="AS86" i="13"/>
  <c r="AT86" i="13"/>
  <c r="AU86" i="13"/>
  <c r="AV86" i="13"/>
  <c r="AW86" i="13"/>
  <c r="AX86" i="13"/>
  <c r="AO87" i="13"/>
  <c r="AP87" i="13"/>
  <c r="AQ87" i="13"/>
  <c r="AR87" i="13"/>
  <c r="AS87" i="13"/>
  <c r="AT87" i="13"/>
  <c r="AU87" i="13"/>
  <c r="AV87" i="13"/>
  <c r="AW87" i="13"/>
  <c r="AX87" i="13"/>
  <c r="AO73" i="13"/>
  <c r="AP73" i="13"/>
  <c r="AQ73" i="13"/>
  <c r="AR73" i="13"/>
  <c r="AS73" i="13"/>
  <c r="AT73" i="13"/>
  <c r="AU73" i="13"/>
  <c r="AV73" i="13"/>
  <c r="AW73" i="13"/>
  <c r="AX73" i="13"/>
  <c r="AO74" i="13"/>
  <c r="AP74" i="13"/>
  <c r="AQ74" i="13"/>
  <c r="AR74" i="13"/>
  <c r="AS74" i="13"/>
  <c r="AT74" i="13"/>
  <c r="AU74" i="13"/>
  <c r="AV74" i="13"/>
  <c r="AW74" i="13"/>
  <c r="AX74" i="13"/>
  <c r="AO75" i="13"/>
  <c r="AP75" i="13"/>
  <c r="AQ75" i="13"/>
  <c r="AR75" i="13"/>
  <c r="AS75" i="13"/>
  <c r="AT75" i="13"/>
  <c r="AU75" i="13"/>
  <c r="AV75" i="13"/>
  <c r="AW75" i="13"/>
  <c r="AX75" i="13"/>
  <c r="AO76" i="13"/>
  <c r="AP76" i="13"/>
  <c r="AQ76" i="13"/>
  <c r="AR76" i="13"/>
  <c r="AS76" i="13"/>
  <c r="AT76" i="13"/>
  <c r="AU76" i="13"/>
  <c r="AV76" i="13"/>
  <c r="AW76" i="13"/>
  <c r="AX76" i="13"/>
  <c r="AO62" i="13"/>
  <c r="AP62" i="13"/>
  <c r="AQ62" i="13"/>
  <c r="AR62" i="13"/>
  <c r="AS62" i="13"/>
  <c r="AT62" i="13"/>
  <c r="AU62" i="13"/>
  <c r="AV62" i="13"/>
  <c r="AW62" i="13"/>
  <c r="AX62" i="13"/>
  <c r="AO63" i="13"/>
  <c r="AP63" i="13"/>
  <c r="AQ63" i="13"/>
  <c r="AR63" i="13"/>
  <c r="AS63" i="13"/>
  <c r="AT63" i="13"/>
  <c r="AU63" i="13"/>
  <c r="AV63" i="13"/>
  <c r="AW63" i="13"/>
  <c r="AX63" i="13"/>
  <c r="AO64" i="13"/>
  <c r="AP64" i="13"/>
  <c r="AQ64" i="13"/>
  <c r="AR64" i="13"/>
  <c r="AS64" i="13"/>
  <c r="AT64" i="13"/>
  <c r="AU64" i="13"/>
  <c r="AV64" i="13"/>
  <c r="AW64" i="13"/>
  <c r="AX64" i="13"/>
  <c r="AO65" i="13"/>
  <c r="AP65" i="13"/>
  <c r="AQ65" i="13"/>
  <c r="AR65" i="13"/>
  <c r="AS65" i="13"/>
  <c r="AT65" i="13"/>
  <c r="AU65" i="13"/>
  <c r="AV65" i="13"/>
  <c r="AW65" i="13"/>
  <c r="AX65" i="13"/>
  <c r="AO51" i="13"/>
  <c r="AP51" i="13"/>
  <c r="AQ51" i="13"/>
  <c r="AR51" i="13"/>
  <c r="AS51" i="13"/>
  <c r="AT51" i="13"/>
  <c r="AU51" i="13"/>
  <c r="AV51" i="13"/>
  <c r="AW51" i="13"/>
  <c r="AX51" i="13"/>
  <c r="AO52" i="13"/>
  <c r="AP52" i="13"/>
  <c r="AQ52" i="13"/>
  <c r="AR52" i="13"/>
  <c r="AS52" i="13"/>
  <c r="AT52" i="13"/>
  <c r="AU52" i="13"/>
  <c r="AV52" i="13"/>
  <c r="AW52" i="13"/>
  <c r="AX52" i="13"/>
  <c r="AO53" i="13"/>
  <c r="AP53" i="13"/>
  <c r="AQ53" i="13"/>
  <c r="AR53" i="13"/>
  <c r="AS53" i="13"/>
  <c r="AT53" i="13"/>
  <c r="AU53" i="13"/>
  <c r="AV53" i="13"/>
  <c r="AW53" i="13"/>
  <c r="AX53" i="13"/>
  <c r="AO54" i="13"/>
  <c r="AP54" i="13"/>
  <c r="AQ54" i="13"/>
  <c r="AR54" i="13"/>
  <c r="AS54" i="13"/>
  <c r="AT54" i="13"/>
  <c r="AU54" i="13"/>
  <c r="AV54" i="13"/>
  <c r="AW54" i="13"/>
  <c r="AX54" i="13"/>
  <c r="AO40" i="13"/>
  <c r="AP40" i="13"/>
  <c r="AQ40" i="13"/>
  <c r="AR40" i="13"/>
  <c r="AS40" i="13"/>
  <c r="AT40" i="13"/>
  <c r="AU40" i="13"/>
  <c r="AV40" i="13"/>
  <c r="AW40" i="13"/>
  <c r="AX40" i="13"/>
  <c r="AO41" i="13"/>
  <c r="AP41" i="13"/>
  <c r="AQ41" i="13"/>
  <c r="AR41" i="13"/>
  <c r="AS41" i="13"/>
  <c r="AT41" i="13"/>
  <c r="AU41" i="13"/>
  <c r="AV41" i="13"/>
  <c r="AW41" i="13"/>
  <c r="AX41" i="13"/>
  <c r="AO42" i="13"/>
  <c r="AP42" i="13"/>
  <c r="AQ42" i="13"/>
  <c r="AR42" i="13"/>
  <c r="AS42" i="13"/>
  <c r="AT42" i="13"/>
  <c r="AU42" i="13"/>
  <c r="AV42" i="13"/>
  <c r="AW42" i="13"/>
  <c r="AX42" i="13"/>
  <c r="AO43" i="13"/>
  <c r="AP43" i="13"/>
  <c r="AQ43" i="13"/>
  <c r="AR43" i="13"/>
  <c r="AS43" i="13"/>
  <c r="AT43" i="13"/>
  <c r="AU43" i="13"/>
  <c r="AV43" i="13"/>
  <c r="AW43" i="13"/>
  <c r="AX43" i="13"/>
  <c r="AO29" i="13"/>
  <c r="AP29" i="13"/>
  <c r="AQ29" i="13"/>
  <c r="AR29" i="13"/>
  <c r="AS29" i="13"/>
  <c r="AT29" i="13"/>
  <c r="AU29" i="13"/>
  <c r="AV29" i="13"/>
  <c r="AW29" i="13"/>
  <c r="AX29" i="13"/>
  <c r="AO30" i="13"/>
  <c r="AP30" i="13"/>
  <c r="AQ30" i="13"/>
  <c r="AR30" i="13"/>
  <c r="AS30" i="13"/>
  <c r="AT30" i="13"/>
  <c r="AU30" i="13"/>
  <c r="AV30" i="13"/>
  <c r="AW30" i="13"/>
  <c r="AX30" i="13"/>
  <c r="AO31" i="13"/>
  <c r="AP31" i="13"/>
  <c r="AQ31" i="13"/>
  <c r="AR31" i="13"/>
  <c r="AS31" i="13"/>
  <c r="AT31" i="13"/>
  <c r="AU31" i="13"/>
  <c r="AV31" i="13"/>
  <c r="AW31" i="13"/>
  <c r="AX31" i="13"/>
  <c r="AO32" i="13"/>
  <c r="AP32" i="13"/>
  <c r="AQ32" i="13"/>
  <c r="AR32" i="13"/>
  <c r="AS32" i="13"/>
  <c r="AT32" i="13"/>
  <c r="AU32" i="13"/>
  <c r="AV32" i="13"/>
  <c r="AW32" i="13"/>
  <c r="AX32" i="13"/>
  <c r="AO18" i="13"/>
  <c r="AP18" i="13"/>
  <c r="AQ18" i="13"/>
  <c r="AR18" i="13"/>
  <c r="AS18" i="13"/>
  <c r="AT18" i="13"/>
  <c r="AU18" i="13"/>
  <c r="AV18" i="13"/>
  <c r="AW18" i="13"/>
  <c r="AX18" i="13"/>
  <c r="AO19" i="13"/>
  <c r="AP19" i="13"/>
  <c r="AQ19" i="13"/>
  <c r="AR19" i="13"/>
  <c r="AS19" i="13"/>
  <c r="AT19" i="13"/>
  <c r="AU19" i="13"/>
  <c r="AV19" i="13"/>
  <c r="AW19" i="13"/>
  <c r="AX19" i="13"/>
  <c r="AO20" i="13"/>
  <c r="AP20" i="13"/>
  <c r="AQ20" i="13"/>
  <c r="AR20" i="13"/>
  <c r="AS20" i="13"/>
  <c r="AT20" i="13"/>
  <c r="AU20" i="13"/>
  <c r="AV20" i="13"/>
  <c r="AW20" i="13"/>
  <c r="AX20" i="13"/>
  <c r="AO21" i="13"/>
  <c r="AP21" i="13"/>
  <c r="AQ21" i="13"/>
  <c r="AR21" i="13"/>
  <c r="AS21" i="13"/>
  <c r="AT21" i="13"/>
  <c r="AU21" i="13"/>
  <c r="AV21" i="13"/>
  <c r="AW21" i="13"/>
  <c r="AX21" i="13"/>
  <c r="AO7" i="13"/>
  <c r="AP7" i="13"/>
  <c r="AQ7" i="13"/>
  <c r="AR7" i="13"/>
  <c r="AS7" i="13"/>
  <c r="AT7" i="13"/>
  <c r="AU7" i="13"/>
  <c r="AV7" i="13"/>
  <c r="AW7" i="13"/>
  <c r="AX7" i="13"/>
  <c r="AO8" i="13"/>
  <c r="AP8" i="13"/>
  <c r="AQ8" i="13"/>
  <c r="AR8" i="13"/>
  <c r="AS8" i="13"/>
  <c r="AT8" i="13"/>
  <c r="AU8" i="13"/>
  <c r="AV8" i="13"/>
  <c r="AW8" i="13"/>
  <c r="AX8" i="13"/>
  <c r="AO9" i="13"/>
  <c r="AP9" i="13"/>
  <c r="AQ9" i="13"/>
  <c r="AR9" i="13"/>
  <c r="AS9" i="13"/>
  <c r="AT9" i="13"/>
  <c r="AU9" i="13"/>
  <c r="AV9" i="13"/>
  <c r="AW9" i="13"/>
  <c r="AX9" i="13"/>
  <c r="AO10" i="13"/>
  <c r="AP10" i="13"/>
  <c r="AQ10" i="13"/>
  <c r="AR10" i="13"/>
  <c r="AS10" i="13"/>
  <c r="AT10" i="13"/>
  <c r="AU10" i="13"/>
  <c r="AV10" i="13"/>
  <c r="AW10" i="13"/>
  <c r="AX10" i="13"/>
  <c r="AP173" i="43"/>
  <c r="AQ173" i="43" s="1"/>
  <c r="AR173" i="43" s="1"/>
  <c r="AS173" i="43" s="1"/>
  <c r="AT173" i="43" s="1"/>
  <c r="AU173" i="43" s="1"/>
  <c r="AV173" i="43" s="1"/>
  <c r="AW173" i="43" s="1"/>
  <c r="AX173" i="43" s="1"/>
  <c r="AP174" i="43"/>
  <c r="AQ174" i="43" s="1"/>
  <c r="AR174" i="43" s="1"/>
  <c r="AS174" i="43" s="1"/>
  <c r="AT174" i="43" s="1"/>
  <c r="AU174" i="43" s="1"/>
  <c r="AV174" i="43" s="1"/>
  <c r="AW174" i="43" s="1"/>
  <c r="AX174" i="43" s="1"/>
  <c r="AP175" i="43"/>
  <c r="AQ175" i="43"/>
  <c r="AR175" i="43"/>
  <c r="AS175" i="43"/>
  <c r="AT175" i="43"/>
  <c r="AU175" i="43"/>
  <c r="AV175" i="43" s="1"/>
  <c r="AW175" i="43" s="1"/>
  <c r="AX175" i="43" s="1"/>
  <c r="AP176" i="43"/>
  <c r="AQ176" i="43"/>
  <c r="AR176" i="43"/>
  <c r="AS176" i="43"/>
  <c r="AT176" i="43"/>
  <c r="AU176" i="43" s="1"/>
  <c r="AV176" i="43" s="1"/>
  <c r="AW176" i="43" s="1"/>
  <c r="AX176" i="43" s="1"/>
  <c r="AO174" i="43"/>
  <c r="AO175" i="43"/>
  <c r="AO176" i="43"/>
  <c r="AO173" i="43"/>
  <c r="AN180" i="43"/>
  <c r="AN179" i="43"/>
  <c r="AN178" i="43"/>
  <c r="AN177" i="43"/>
  <c r="AP161" i="43"/>
  <c r="AQ161" i="43" s="1"/>
  <c r="AR161" i="43" s="1"/>
  <c r="AS161" i="43" s="1"/>
  <c r="AT161" i="43" s="1"/>
  <c r="AU161" i="43" s="1"/>
  <c r="AV161" i="43" s="1"/>
  <c r="AW161" i="43" s="1"/>
  <c r="AX161" i="43" s="1"/>
  <c r="AP162" i="43"/>
  <c r="AQ162" i="43"/>
  <c r="AR162" i="43" s="1"/>
  <c r="AS162" i="43" s="1"/>
  <c r="AT162" i="43" s="1"/>
  <c r="AU162" i="43" s="1"/>
  <c r="AV162" i="43" s="1"/>
  <c r="AW162" i="43" s="1"/>
  <c r="AX162" i="43" s="1"/>
  <c r="AP163" i="43"/>
  <c r="AQ163" i="43" s="1"/>
  <c r="AR163" i="43" s="1"/>
  <c r="AS163" i="43" s="1"/>
  <c r="AT163" i="43" s="1"/>
  <c r="AU163" i="43" s="1"/>
  <c r="AV163" i="43" s="1"/>
  <c r="AW163" i="43" s="1"/>
  <c r="AX163" i="43" s="1"/>
  <c r="AP164" i="43"/>
  <c r="AQ164" i="43" s="1"/>
  <c r="AR164" i="43" s="1"/>
  <c r="AS164" i="43" s="1"/>
  <c r="AT164" i="43" s="1"/>
  <c r="AU164" i="43" s="1"/>
  <c r="AV164" i="43" s="1"/>
  <c r="AW164" i="43" s="1"/>
  <c r="AX164" i="43" s="1"/>
  <c r="AO162" i="43"/>
  <c r="AO163" i="43"/>
  <c r="AO164" i="43"/>
  <c r="AO161" i="43"/>
  <c r="AN168" i="43"/>
  <c r="AN167" i="43"/>
  <c r="AN166" i="43"/>
  <c r="AN165" i="43"/>
  <c r="AP150" i="43"/>
  <c r="AQ150" i="43" s="1"/>
  <c r="AR150" i="43" s="1"/>
  <c r="AS150" i="43" s="1"/>
  <c r="AT150" i="43" s="1"/>
  <c r="AU150" i="43" s="1"/>
  <c r="AV150" i="43" s="1"/>
  <c r="AW150" i="43" s="1"/>
  <c r="AX150" i="43" s="1"/>
  <c r="AP151" i="43"/>
  <c r="AQ151" i="43" s="1"/>
  <c r="AR151" i="43" s="1"/>
  <c r="AS151" i="43" s="1"/>
  <c r="AT151" i="43" s="1"/>
  <c r="AU151" i="43" s="1"/>
  <c r="AV151" i="43" s="1"/>
  <c r="AW151" i="43" s="1"/>
  <c r="AX151" i="43" s="1"/>
  <c r="AP152" i="43"/>
  <c r="AQ152" i="43"/>
  <c r="AR152" i="43"/>
  <c r="AS152" i="43"/>
  <c r="AT152" i="43"/>
  <c r="AU152" i="43"/>
  <c r="AV152" i="43" s="1"/>
  <c r="AW152" i="43" s="1"/>
  <c r="AX152" i="43" s="1"/>
  <c r="AP153" i="43"/>
  <c r="AQ153" i="43"/>
  <c r="AR153" i="43"/>
  <c r="AS153" i="43"/>
  <c r="AT153" i="43"/>
  <c r="AU153" i="43" s="1"/>
  <c r="AV153" i="43" s="1"/>
  <c r="AW153" i="43" s="1"/>
  <c r="AX153" i="43" s="1"/>
  <c r="AO151" i="43"/>
  <c r="AO152" i="43"/>
  <c r="AO153" i="43"/>
  <c r="AO150" i="43"/>
  <c r="AN157" i="43"/>
  <c r="AN156" i="43"/>
  <c r="AN155" i="43"/>
  <c r="AN154" i="43"/>
  <c r="AP139" i="43"/>
  <c r="AQ139" i="43" s="1"/>
  <c r="AR139" i="43" s="1"/>
  <c r="AS139" i="43" s="1"/>
  <c r="AT139" i="43" s="1"/>
  <c r="AU139" i="43" s="1"/>
  <c r="AV139" i="43" s="1"/>
  <c r="AW139" i="43" s="1"/>
  <c r="AX139" i="43" s="1"/>
  <c r="AP140" i="43"/>
  <c r="AQ140" i="43" s="1"/>
  <c r="AR140" i="43" s="1"/>
  <c r="AS140" i="43" s="1"/>
  <c r="AT140" i="43" s="1"/>
  <c r="AU140" i="43" s="1"/>
  <c r="AV140" i="43" s="1"/>
  <c r="AW140" i="43" s="1"/>
  <c r="AX140" i="43" s="1"/>
  <c r="AP141" i="43"/>
  <c r="AQ141" i="43"/>
  <c r="AR141" i="43"/>
  <c r="AS141" i="43"/>
  <c r="AT141" i="43" s="1"/>
  <c r="AU141" i="43" s="1"/>
  <c r="AV141" i="43" s="1"/>
  <c r="AW141" i="43" s="1"/>
  <c r="AX141" i="43" s="1"/>
  <c r="AP142" i="43"/>
  <c r="AQ142" i="43"/>
  <c r="AR142" i="43"/>
  <c r="AS142" i="43" s="1"/>
  <c r="AT142" i="43" s="1"/>
  <c r="AU142" i="43" s="1"/>
  <c r="AV142" i="43" s="1"/>
  <c r="AW142" i="43" s="1"/>
  <c r="AX142" i="43" s="1"/>
  <c r="AO140" i="43"/>
  <c r="AO141" i="43"/>
  <c r="AO142" i="43"/>
  <c r="AO139" i="43"/>
  <c r="AN146" i="43"/>
  <c r="AN145" i="43"/>
  <c r="AN144" i="43"/>
  <c r="AN143" i="43"/>
  <c r="AP128" i="43"/>
  <c r="AQ128" i="43" s="1"/>
  <c r="AR128" i="43" s="1"/>
  <c r="AS128" i="43" s="1"/>
  <c r="AT128" i="43" s="1"/>
  <c r="AU128" i="43" s="1"/>
  <c r="AV128" i="43" s="1"/>
  <c r="AW128" i="43" s="1"/>
  <c r="AX128" i="43" s="1"/>
  <c r="AP129" i="43"/>
  <c r="AQ129" i="43" s="1"/>
  <c r="AR129" i="43" s="1"/>
  <c r="AS129" i="43" s="1"/>
  <c r="AT129" i="43" s="1"/>
  <c r="AU129" i="43" s="1"/>
  <c r="AV129" i="43" s="1"/>
  <c r="AW129" i="43" s="1"/>
  <c r="AX129" i="43" s="1"/>
  <c r="AP130" i="43"/>
  <c r="AQ130" i="43"/>
  <c r="AR130" i="43"/>
  <c r="AS130" i="43"/>
  <c r="AT130" i="43"/>
  <c r="AU130" i="43"/>
  <c r="AV130" i="43" s="1"/>
  <c r="AW130" i="43" s="1"/>
  <c r="AX130" i="43" s="1"/>
  <c r="AP131" i="43"/>
  <c r="AQ131" i="43"/>
  <c r="AR131" i="43"/>
  <c r="AS131" i="43"/>
  <c r="AT131" i="43"/>
  <c r="AU131" i="43" s="1"/>
  <c r="AV131" i="43" s="1"/>
  <c r="AW131" i="43" s="1"/>
  <c r="AX131" i="43" s="1"/>
  <c r="AO129" i="43"/>
  <c r="AO130" i="43"/>
  <c r="AO131" i="43"/>
  <c r="AO128" i="43"/>
  <c r="AN135" i="43"/>
  <c r="AN134" i="43"/>
  <c r="AN133" i="43"/>
  <c r="AN132" i="43"/>
  <c r="AN124" i="43"/>
  <c r="AN123" i="43"/>
  <c r="AN122" i="43"/>
  <c r="AN121" i="43"/>
  <c r="AO120" i="43" s="1"/>
  <c r="AP120" i="43" s="1"/>
  <c r="AQ120" i="43" s="1"/>
  <c r="AR120" i="43" s="1"/>
  <c r="AS120" i="43" s="1"/>
  <c r="AT120" i="43" s="1"/>
  <c r="AU120" i="43" s="1"/>
  <c r="AV120" i="43" s="1"/>
  <c r="AW120" i="43" s="1"/>
  <c r="AX120" i="43" s="1"/>
  <c r="AO117" i="43"/>
  <c r="AP117" i="43" s="1"/>
  <c r="AQ117" i="43" s="1"/>
  <c r="AR117" i="43" s="1"/>
  <c r="AS117" i="43" s="1"/>
  <c r="AT117" i="43" s="1"/>
  <c r="AU117" i="43" s="1"/>
  <c r="AV117" i="43" s="1"/>
  <c r="AW117" i="43" s="1"/>
  <c r="AX117" i="43" s="1"/>
  <c r="AP106" i="43"/>
  <c r="AQ106" i="43" s="1"/>
  <c r="AR106" i="43" s="1"/>
  <c r="AS106" i="43" s="1"/>
  <c r="AT106" i="43" s="1"/>
  <c r="AU106" i="43" s="1"/>
  <c r="AV106" i="43" s="1"/>
  <c r="AW106" i="43" s="1"/>
  <c r="AX106" i="43" s="1"/>
  <c r="AP107" i="43"/>
  <c r="AQ107" i="43" s="1"/>
  <c r="AR107" i="43" s="1"/>
  <c r="AS107" i="43" s="1"/>
  <c r="AT107" i="43" s="1"/>
  <c r="AU107" i="43" s="1"/>
  <c r="AV107" i="43" s="1"/>
  <c r="AW107" i="43" s="1"/>
  <c r="AX107" i="43" s="1"/>
  <c r="AP108" i="43"/>
  <c r="AQ108" i="43"/>
  <c r="AR108" i="43"/>
  <c r="AS108" i="43"/>
  <c r="AT108" i="43"/>
  <c r="AU108" i="43"/>
  <c r="AV108" i="43" s="1"/>
  <c r="AW108" i="43" s="1"/>
  <c r="AX108" i="43" s="1"/>
  <c r="AP109" i="43"/>
  <c r="AQ109" i="43"/>
  <c r="AR109" i="43"/>
  <c r="AS109" i="43"/>
  <c r="AT109" i="43"/>
  <c r="AU109" i="43" s="1"/>
  <c r="AV109" i="43" s="1"/>
  <c r="AW109" i="43" s="1"/>
  <c r="AX109" i="43" s="1"/>
  <c r="AO107" i="43"/>
  <c r="AO108" i="43"/>
  <c r="AO109" i="43"/>
  <c r="AO106" i="43"/>
  <c r="AN113" i="43"/>
  <c r="AN112" i="43"/>
  <c r="AN111" i="43"/>
  <c r="AN110" i="43"/>
  <c r="AP95" i="43"/>
  <c r="AQ95" i="43" s="1"/>
  <c r="AR95" i="43" s="1"/>
  <c r="AS95" i="43" s="1"/>
  <c r="AT95" i="43" s="1"/>
  <c r="AU95" i="43" s="1"/>
  <c r="AV95" i="43" s="1"/>
  <c r="AW95" i="43" s="1"/>
  <c r="AX95" i="43" s="1"/>
  <c r="AP96" i="43"/>
  <c r="AQ96" i="43" s="1"/>
  <c r="AR96" i="43" s="1"/>
  <c r="AS96" i="43" s="1"/>
  <c r="AT96" i="43" s="1"/>
  <c r="AU96" i="43" s="1"/>
  <c r="AV96" i="43" s="1"/>
  <c r="AW96" i="43" s="1"/>
  <c r="AX96" i="43" s="1"/>
  <c r="AP97" i="43"/>
  <c r="AQ97" i="43"/>
  <c r="AR97" i="43" s="1"/>
  <c r="AS97" i="43" s="1"/>
  <c r="AT97" i="43" s="1"/>
  <c r="AU97" i="43" s="1"/>
  <c r="AV97" i="43" s="1"/>
  <c r="AW97" i="43" s="1"/>
  <c r="AX97" i="43" s="1"/>
  <c r="AP98" i="43"/>
  <c r="AQ98" i="43" s="1"/>
  <c r="AR98" i="43" s="1"/>
  <c r="AS98" i="43" s="1"/>
  <c r="AT98" i="43" s="1"/>
  <c r="AU98" i="43" s="1"/>
  <c r="AV98" i="43" s="1"/>
  <c r="AW98" i="43" s="1"/>
  <c r="AX98" i="43" s="1"/>
  <c r="AO96" i="43"/>
  <c r="AO97" i="43"/>
  <c r="AO98" i="43"/>
  <c r="AO95" i="43"/>
  <c r="AN102" i="43"/>
  <c r="AN101" i="43"/>
  <c r="AN100" i="43"/>
  <c r="AN99" i="43"/>
  <c r="AP84" i="43"/>
  <c r="AQ84" i="43" s="1"/>
  <c r="AR84" i="43" s="1"/>
  <c r="AS84" i="43" s="1"/>
  <c r="AT84" i="43" s="1"/>
  <c r="AU84" i="43" s="1"/>
  <c r="AV84" i="43" s="1"/>
  <c r="AW84" i="43" s="1"/>
  <c r="AX84" i="43" s="1"/>
  <c r="AP85" i="43"/>
  <c r="AQ85" i="43" s="1"/>
  <c r="AR85" i="43" s="1"/>
  <c r="AS85" i="43" s="1"/>
  <c r="AT85" i="43" s="1"/>
  <c r="AU85" i="43" s="1"/>
  <c r="AV85" i="43" s="1"/>
  <c r="AW85" i="43" s="1"/>
  <c r="AX85" i="43" s="1"/>
  <c r="AP86" i="43"/>
  <c r="AQ86" i="43"/>
  <c r="AR86" i="43" s="1"/>
  <c r="AS86" i="43" s="1"/>
  <c r="AT86" i="43" s="1"/>
  <c r="AU86" i="43" s="1"/>
  <c r="AV86" i="43" s="1"/>
  <c r="AW86" i="43" s="1"/>
  <c r="AX86" i="43" s="1"/>
  <c r="AP87" i="43"/>
  <c r="AQ87" i="43" s="1"/>
  <c r="AR87" i="43" s="1"/>
  <c r="AS87" i="43" s="1"/>
  <c r="AT87" i="43" s="1"/>
  <c r="AU87" i="43" s="1"/>
  <c r="AV87" i="43" s="1"/>
  <c r="AW87" i="43" s="1"/>
  <c r="AX87" i="43" s="1"/>
  <c r="AO85" i="43"/>
  <c r="AO86" i="43"/>
  <c r="AO87" i="43"/>
  <c r="AO84" i="43"/>
  <c r="AN91" i="43"/>
  <c r="AN90" i="43"/>
  <c r="AN89" i="43"/>
  <c r="AN88" i="43"/>
  <c r="AP73" i="43"/>
  <c r="AQ73" i="43" s="1"/>
  <c r="AR73" i="43" s="1"/>
  <c r="AS73" i="43" s="1"/>
  <c r="AT73" i="43" s="1"/>
  <c r="AU73" i="43" s="1"/>
  <c r="AV73" i="43" s="1"/>
  <c r="AW73" i="43" s="1"/>
  <c r="AX73" i="43" s="1"/>
  <c r="AP74" i="43"/>
  <c r="AQ74" i="43" s="1"/>
  <c r="AR74" i="43" s="1"/>
  <c r="AS74" i="43" s="1"/>
  <c r="AT74" i="43" s="1"/>
  <c r="AU74" i="43" s="1"/>
  <c r="AV74" i="43" s="1"/>
  <c r="AW74" i="43" s="1"/>
  <c r="AX74" i="43" s="1"/>
  <c r="AP75" i="43"/>
  <c r="AQ75" i="43"/>
  <c r="AR75" i="43"/>
  <c r="AS75" i="43"/>
  <c r="AT75" i="43"/>
  <c r="AU75" i="43"/>
  <c r="AV75" i="43" s="1"/>
  <c r="AW75" i="43" s="1"/>
  <c r="AX75" i="43" s="1"/>
  <c r="AP76" i="43"/>
  <c r="AQ76" i="43"/>
  <c r="AR76" i="43"/>
  <c r="AS76" i="43"/>
  <c r="AT76" i="43"/>
  <c r="AU76" i="43" s="1"/>
  <c r="AV76" i="43" s="1"/>
  <c r="AW76" i="43" s="1"/>
  <c r="AX76" i="43" s="1"/>
  <c r="AO74" i="43"/>
  <c r="AO75" i="43"/>
  <c r="AO76" i="43"/>
  <c r="AO73" i="43"/>
  <c r="AN80" i="43"/>
  <c r="AN79" i="43"/>
  <c r="AN78" i="43"/>
  <c r="AN77" i="43"/>
  <c r="AP62" i="43"/>
  <c r="AQ62" i="43" s="1"/>
  <c r="AR62" i="43" s="1"/>
  <c r="AS62" i="43" s="1"/>
  <c r="AT62" i="43" s="1"/>
  <c r="AU62" i="43" s="1"/>
  <c r="AV62" i="43" s="1"/>
  <c r="AW62" i="43" s="1"/>
  <c r="AX62" i="43" s="1"/>
  <c r="AP63" i="43"/>
  <c r="AQ63" i="43"/>
  <c r="AR63" i="43"/>
  <c r="AS63" i="43"/>
  <c r="AT63" i="43" s="1"/>
  <c r="AU63" i="43" s="1"/>
  <c r="AV63" i="43" s="1"/>
  <c r="AW63" i="43" s="1"/>
  <c r="AX63" i="43" s="1"/>
  <c r="AP64" i="43"/>
  <c r="AQ64" i="43"/>
  <c r="AR64" i="43"/>
  <c r="AS64" i="43" s="1"/>
  <c r="AT64" i="43" s="1"/>
  <c r="AU64" i="43" s="1"/>
  <c r="AV64" i="43" s="1"/>
  <c r="AW64" i="43" s="1"/>
  <c r="AX64" i="43" s="1"/>
  <c r="AP65" i="43"/>
  <c r="AQ65" i="43"/>
  <c r="AR65" i="43" s="1"/>
  <c r="AS65" i="43" s="1"/>
  <c r="AT65" i="43" s="1"/>
  <c r="AU65" i="43" s="1"/>
  <c r="AV65" i="43" s="1"/>
  <c r="AW65" i="43" s="1"/>
  <c r="AX65" i="43" s="1"/>
  <c r="AO63" i="43"/>
  <c r="AO64" i="43"/>
  <c r="AO65" i="43"/>
  <c r="AO62" i="43"/>
  <c r="AN69" i="43"/>
  <c r="AN68" i="43"/>
  <c r="AN67" i="43"/>
  <c r="AN66" i="43"/>
  <c r="AP51" i="43"/>
  <c r="AQ51" i="43" s="1"/>
  <c r="AR51" i="43" s="1"/>
  <c r="AS51" i="43" s="1"/>
  <c r="AT51" i="43" s="1"/>
  <c r="AU51" i="43" s="1"/>
  <c r="AV51" i="43" s="1"/>
  <c r="AW51" i="43" s="1"/>
  <c r="AX51" i="43" s="1"/>
  <c r="AP52" i="43"/>
  <c r="AQ52" i="43" s="1"/>
  <c r="AR52" i="43" s="1"/>
  <c r="AS52" i="43" s="1"/>
  <c r="AT52" i="43" s="1"/>
  <c r="AU52" i="43" s="1"/>
  <c r="AV52" i="43" s="1"/>
  <c r="AW52" i="43" s="1"/>
  <c r="AX52" i="43" s="1"/>
  <c r="AP53" i="43"/>
  <c r="AQ53" i="43"/>
  <c r="AR53" i="43"/>
  <c r="AS53" i="43"/>
  <c r="AT53" i="43"/>
  <c r="AU53" i="43"/>
  <c r="AV53" i="43" s="1"/>
  <c r="AW53" i="43" s="1"/>
  <c r="AX53" i="43" s="1"/>
  <c r="AP54" i="43"/>
  <c r="AQ54" i="43"/>
  <c r="AR54" i="43"/>
  <c r="AS54" i="43"/>
  <c r="AT54" i="43"/>
  <c r="AU54" i="43" s="1"/>
  <c r="AV54" i="43" s="1"/>
  <c r="AW54" i="43" s="1"/>
  <c r="AX54" i="43" s="1"/>
  <c r="AO52" i="43"/>
  <c r="AO53" i="43"/>
  <c r="AO54" i="43"/>
  <c r="AO51" i="43"/>
  <c r="AN58" i="43"/>
  <c r="AN57" i="43"/>
  <c r="AN56" i="43"/>
  <c r="AN55" i="43"/>
  <c r="AP40" i="43"/>
  <c r="AQ40" i="43" s="1"/>
  <c r="AR40" i="43" s="1"/>
  <c r="AS40" i="43" s="1"/>
  <c r="AT40" i="43" s="1"/>
  <c r="AU40" i="43" s="1"/>
  <c r="AV40" i="43" s="1"/>
  <c r="AW40" i="43" s="1"/>
  <c r="AX40" i="43" s="1"/>
  <c r="AP41" i="43"/>
  <c r="AQ41" i="43"/>
  <c r="AR41" i="43"/>
  <c r="AS41" i="43"/>
  <c r="AT41" i="43"/>
  <c r="AU41" i="43"/>
  <c r="AV41" i="43"/>
  <c r="AW41" i="43" s="1"/>
  <c r="AX41" i="43" s="1"/>
  <c r="AP42" i="43"/>
  <c r="AQ42" i="43"/>
  <c r="AR42" i="43"/>
  <c r="AS42" i="43"/>
  <c r="AT42" i="43"/>
  <c r="AU42" i="43"/>
  <c r="AV42" i="43" s="1"/>
  <c r="AW42" i="43" s="1"/>
  <c r="AX42" i="43" s="1"/>
  <c r="AP43" i="43"/>
  <c r="AQ43" i="43"/>
  <c r="AR43" i="43"/>
  <c r="AS43" i="43"/>
  <c r="AT43" i="43"/>
  <c r="AU43" i="43" s="1"/>
  <c r="AV43" i="43" s="1"/>
  <c r="AW43" i="43" s="1"/>
  <c r="AX43" i="43" s="1"/>
  <c r="AO41" i="43"/>
  <c r="AO42" i="43"/>
  <c r="AO43" i="43"/>
  <c r="AO40" i="43"/>
  <c r="AN47" i="43"/>
  <c r="AN46" i="43"/>
  <c r="AN45" i="43"/>
  <c r="AN44" i="43"/>
  <c r="AP29" i="43"/>
  <c r="AQ29" i="43" s="1"/>
  <c r="AR29" i="43" s="1"/>
  <c r="AS29" i="43" s="1"/>
  <c r="AT29" i="43" s="1"/>
  <c r="AU29" i="43" s="1"/>
  <c r="AV29" i="43" s="1"/>
  <c r="AW29" i="43" s="1"/>
  <c r="AX29" i="43" s="1"/>
  <c r="AP30" i="43"/>
  <c r="AQ30" i="43" s="1"/>
  <c r="AR30" i="43" s="1"/>
  <c r="AS30" i="43" s="1"/>
  <c r="AT30" i="43" s="1"/>
  <c r="AU30" i="43" s="1"/>
  <c r="AV30" i="43" s="1"/>
  <c r="AW30" i="43" s="1"/>
  <c r="AX30" i="43" s="1"/>
  <c r="AP31" i="43"/>
  <c r="AQ31" i="43"/>
  <c r="AR31" i="43"/>
  <c r="AS31" i="43" s="1"/>
  <c r="AT31" i="43" s="1"/>
  <c r="AU31" i="43" s="1"/>
  <c r="AV31" i="43" s="1"/>
  <c r="AW31" i="43" s="1"/>
  <c r="AX31" i="43" s="1"/>
  <c r="AP32" i="43"/>
  <c r="AQ32" i="43"/>
  <c r="AR32" i="43" s="1"/>
  <c r="AS32" i="43" s="1"/>
  <c r="AT32" i="43" s="1"/>
  <c r="AU32" i="43" s="1"/>
  <c r="AV32" i="43" s="1"/>
  <c r="AW32" i="43" s="1"/>
  <c r="AX32" i="43" s="1"/>
  <c r="AO30" i="43"/>
  <c r="AO31" i="43"/>
  <c r="AO32" i="43"/>
  <c r="AO29" i="43"/>
  <c r="AN36" i="43"/>
  <c r="AN35" i="43"/>
  <c r="AN34" i="43"/>
  <c r="AN33" i="43"/>
  <c r="AP18" i="43"/>
  <c r="AQ18" i="43" s="1"/>
  <c r="AR18" i="43" s="1"/>
  <c r="AS18" i="43" s="1"/>
  <c r="AT18" i="43" s="1"/>
  <c r="AU18" i="43" s="1"/>
  <c r="AV18" i="43" s="1"/>
  <c r="AW18" i="43" s="1"/>
  <c r="AX18" i="43" s="1"/>
  <c r="AP19" i="43"/>
  <c r="AQ19" i="43" s="1"/>
  <c r="AR19" i="43" s="1"/>
  <c r="AS19" i="43" s="1"/>
  <c r="AT19" i="43" s="1"/>
  <c r="AU19" i="43" s="1"/>
  <c r="AV19" i="43" s="1"/>
  <c r="AW19" i="43" s="1"/>
  <c r="AX19" i="43" s="1"/>
  <c r="AP20" i="43"/>
  <c r="AQ20" i="43"/>
  <c r="AR20" i="43"/>
  <c r="AS20" i="43"/>
  <c r="AT20" i="43"/>
  <c r="AU20" i="43"/>
  <c r="AV20" i="43" s="1"/>
  <c r="AW20" i="43" s="1"/>
  <c r="AX20" i="43" s="1"/>
  <c r="AP21" i="43"/>
  <c r="AQ21" i="43"/>
  <c r="AR21" i="43"/>
  <c r="AS21" i="43"/>
  <c r="AT21" i="43"/>
  <c r="AU21" i="43" s="1"/>
  <c r="AV21" i="43" s="1"/>
  <c r="AW21" i="43" s="1"/>
  <c r="AX21" i="43" s="1"/>
  <c r="AO19" i="43"/>
  <c r="AO20" i="43"/>
  <c r="AO21" i="43"/>
  <c r="AO18" i="43"/>
  <c r="AN25" i="43"/>
  <c r="AN24" i="43"/>
  <c r="AN23" i="43"/>
  <c r="AN22" i="43"/>
  <c r="AP7" i="43"/>
  <c r="AQ7" i="43" s="1"/>
  <c r="AR7" i="43" s="1"/>
  <c r="AS7" i="43" s="1"/>
  <c r="AT7" i="43" s="1"/>
  <c r="AU7" i="43" s="1"/>
  <c r="AV7" i="43" s="1"/>
  <c r="AW7" i="43" s="1"/>
  <c r="AX7" i="43" s="1"/>
  <c r="AP8" i="43"/>
  <c r="AQ8" i="43" s="1"/>
  <c r="AR8" i="43" s="1"/>
  <c r="AS8" i="43" s="1"/>
  <c r="AT8" i="43" s="1"/>
  <c r="AU8" i="43" s="1"/>
  <c r="AV8" i="43" s="1"/>
  <c r="AW8" i="43" s="1"/>
  <c r="AX8" i="43" s="1"/>
  <c r="AP9" i="43"/>
  <c r="AQ9" i="43"/>
  <c r="AR9" i="43"/>
  <c r="AS9" i="43"/>
  <c r="AT9" i="43"/>
  <c r="AU9" i="43"/>
  <c r="AV9" i="43" s="1"/>
  <c r="AW9" i="43" s="1"/>
  <c r="AX9" i="43" s="1"/>
  <c r="AP10" i="43"/>
  <c r="AQ10" i="43"/>
  <c r="AR10" i="43"/>
  <c r="AS10" i="43"/>
  <c r="AT10" i="43"/>
  <c r="AU10" i="43" s="1"/>
  <c r="AV10" i="43" s="1"/>
  <c r="AW10" i="43" s="1"/>
  <c r="AX10" i="43" s="1"/>
  <c r="AO8" i="43"/>
  <c r="AO9" i="43"/>
  <c r="AO10" i="43"/>
  <c r="AO7" i="43"/>
  <c r="AN12" i="43"/>
  <c r="AN13" i="43"/>
  <c r="AN14" i="43"/>
  <c r="AN11" i="43"/>
  <c r="AO207" i="11"/>
  <c r="AP207" i="11"/>
  <c r="AQ207" i="11"/>
  <c r="AR207" i="11"/>
  <c r="AS207" i="11"/>
  <c r="AT207" i="11"/>
  <c r="AU207" i="11"/>
  <c r="AV207" i="11"/>
  <c r="AW207" i="11"/>
  <c r="AX207" i="11"/>
  <c r="AO208" i="11"/>
  <c r="AP208" i="11"/>
  <c r="AQ208" i="11"/>
  <c r="AR208" i="11"/>
  <c r="AS208" i="11"/>
  <c r="AT208" i="11"/>
  <c r="AU208" i="11"/>
  <c r="AV208" i="11"/>
  <c r="AW208" i="11"/>
  <c r="AX208" i="11"/>
  <c r="AO209" i="11"/>
  <c r="AP209" i="11"/>
  <c r="AQ209" i="11"/>
  <c r="AR209" i="11"/>
  <c r="AS209" i="11"/>
  <c r="AT209" i="11"/>
  <c r="AU209" i="11"/>
  <c r="AV209" i="11"/>
  <c r="AW209" i="11"/>
  <c r="AX209" i="11"/>
  <c r="AO210" i="11"/>
  <c r="AP210" i="11"/>
  <c r="AQ210" i="11"/>
  <c r="AR210" i="11"/>
  <c r="AS210" i="11"/>
  <c r="AT210" i="11"/>
  <c r="AU210" i="11"/>
  <c r="AV210" i="11"/>
  <c r="AW210" i="11"/>
  <c r="AX210" i="11"/>
  <c r="AO211" i="11"/>
  <c r="AP211" i="11"/>
  <c r="AQ211" i="11"/>
  <c r="AR211" i="11"/>
  <c r="AS211" i="11"/>
  <c r="AT211" i="11"/>
  <c r="AU211" i="11"/>
  <c r="AV211" i="11"/>
  <c r="AW211" i="11"/>
  <c r="AX211" i="11"/>
  <c r="AO197" i="11"/>
  <c r="AP197" i="11"/>
  <c r="AQ197" i="11"/>
  <c r="AR197" i="11"/>
  <c r="AS197" i="11"/>
  <c r="AT197" i="11"/>
  <c r="AU197" i="11"/>
  <c r="AV197" i="11"/>
  <c r="AW197" i="11"/>
  <c r="AX197" i="11"/>
  <c r="AO198" i="11"/>
  <c r="AP198" i="11"/>
  <c r="AQ198" i="11"/>
  <c r="AR198" i="11"/>
  <c r="AS198" i="11"/>
  <c r="AT198" i="11"/>
  <c r="AU198" i="11"/>
  <c r="AV198" i="11"/>
  <c r="AW198" i="11"/>
  <c r="AX198" i="11"/>
  <c r="AO199" i="11"/>
  <c r="AP199" i="11"/>
  <c r="AQ199" i="11"/>
  <c r="AR199" i="11"/>
  <c r="AS199" i="11"/>
  <c r="AT199" i="11"/>
  <c r="AU199" i="11"/>
  <c r="AV199" i="11"/>
  <c r="AW199" i="11"/>
  <c r="AX199" i="11"/>
  <c r="AO187" i="11"/>
  <c r="AP187" i="11"/>
  <c r="AQ187" i="11"/>
  <c r="AR187" i="11"/>
  <c r="AS187" i="11"/>
  <c r="AT187" i="11"/>
  <c r="AU187" i="11"/>
  <c r="AV187" i="11"/>
  <c r="AW187" i="11"/>
  <c r="AX187" i="11"/>
  <c r="AO188" i="11"/>
  <c r="AP188" i="11"/>
  <c r="AQ188" i="11"/>
  <c r="AR188" i="11"/>
  <c r="AS188" i="11"/>
  <c r="AT188" i="11"/>
  <c r="AU188" i="11"/>
  <c r="AV188" i="11"/>
  <c r="AW188" i="11"/>
  <c r="AX188" i="11"/>
  <c r="AO189" i="11"/>
  <c r="AP189" i="11"/>
  <c r="AQ189" i="11"/>
  <c r="AR189" i="11"/>
  <c r="AS189" i="11"/>
  <c r="AT189" i="11"/>
  <c r="AU189" i="11"/>
  <c r="AV189" i="11"/>
  <c r="AW189" i="11"/>
  <c r="AX189" i="11"/>
  <c r="AO177" i="11"/>
  <c r="AP177" i="11"/>
  <c r="AQ177" i="11"/>
  <c r="AR177" i="11"/>
  <c r="AS177" i="11"/>
  <c r="AT177" i="11"/>
  <c r="AU177" i="11"/>
  <c r="AV177" i="11"/>
  <c r="AW177" i="11"/>
  <c r="AX177" i="11"/>
  <c r="AO178" i="11"/>
  <c r="AP178" i="11"/>
  <c r="AQ178" i="11"/>
  <c r="AR178" i="11"/>
  <c r="AS178" i="11"/>
  <c r="AT178" i="11"/>
  <c r="AU178" i="11"/>
  <c r="AV178" i="11"/>
  <c r="AW178" i="11"/>
  <c r="AX178" i="11"/>
  <c r="AO179" i="11"/>
  <c r="AP179" i="11"/>
  <c r="AQ179" i="11"/>
  <c r="AR179" i="11"/>
  <c r="AS179" i="11"/>
  <c r="AT179" i="11"/>
  <c r="AU179" i="11"/>
  <c r="AV179" i="11"/>
  <c r="AW179" i="11"/>
  <c r="AX179" i="11"/>
  <c r="AO152" i="11"/>
  <c r="AP152" i="11"/>
  <c r="AQ152" i="11"/>
  <c r="AR152" i="11"/>
  <c r="AS152" i="11"/>
  <c r="AT152" i="11"/>
  <c r="AU152" i="11"/>
  <c r="AV152" i="11"/>
  <c r="AW152" i="11"/>
  <c r="AX152" i="11"/>
  <c r="AO153" i="11"/>
  <c r="AP153" i="11"/>
  <c r="AQ153" i="11"/>
  <c r="AR153" i="11"/>
  <c r="AS153" i="11"/>
  <c r="AT153" i="11"/>
  <c r="AU153" i="11"/>
  <c r="AV153" i="11"/>
  <c r="AW153" i="11"/>
  <c r="AX153" i="11"/>
  <c r="AO154" i="11"/>
  <c r="AP154" i="11"/>
  <c r="AQ154" i="11"/>
  <c r="AR154" i="11"/>
  <c r="AS154" i="11"/>
  <c r="AT154" i="11"/>
  <c r="AU154" i="11"/>
  <c r="AV154" i="11"/>
  <c r="AW154" i="11"/>
  <c r="AX154" i="11"/>
  <c r="AO155" i="11"/>
  <c r="AP155" i="11"/>
  <c r="AQ155" i="11"/>
  <c r="AR155" i="11"/>
  <c r="AS155" i="11"/>
  <c r="AT155" i="11"/>
  <c r="AU155" i="11"/>
  <c r="AV155" i="11"/>
  <c r="AW155" i="11"/>
  <c r="AX155" i="11"/>
  <c r="AO156" i="11"/>
  <c r="AP156" i="11"/>
  <c r="AQ156" i="11"/>
  <c r="AR156" i="11"/>
  <c r="AS156" i="11"/>
  <c r="AT156" i="11"/>
  <c r="AU156" i="11"/>
  <c r="AV156" i="11"/>
  <c r="AW156" i="11"/>
  <c r="AX156" i="11"/>
  <c r="AO157" i="11"/>
  <c r="AP157" i="11"/>
  <c r="AQ157" i="11"/>
  <c r="AR157" i="11"/>
  <c r="AS157" i="11"/>
  <c r="AT157" i="11"/>
  <c r="AU157" i="11"/>
  <c r="AV157" i="11"/>
  <c r="AW157" i="11"/>
  <c r="AX157" i="11"/>
  <c r="AO158" i="11"/>
  <c r="AP158" i="11"/>
  <c r="AQ158" i="11"/>
  <c r="AR158" i="11"/>
  <c r="AS158" i="11"/>
  <c r="AT158" i="11"/>
  <c r="AU158" i="11"/>
  <c r="AV158" i="11"/>
  <c r="AW158" i="11"/>
  <c r="AX158" i="11"/>
  <c r="AO159" i="11"/>
  <c r="AP159" i="11"/>
  <c r="AQ159" i="11"/>
  <c r="AR159" i="11"/>
  <c r="AS159" i="11"/>
  <c r="AT159" i="11"/>
  <c r="AU159" i="11"/>
  <c r="AV159" i="11"/>
  <c r="AW159" i="11"/>
  <c r="AX159" i="11"/>
  <c r="AO137" i="11"/>
  <c r="AP137" i="11"/>
  <c r="AQ137" i="11"/>
  <c r="AR137" i="11"/>
  <c r="AS137" i="11"/>
  <c r="AT137" i="11"/>
  <c r="AU137" i="11"/>
  <c r="AV137" i="11"/>
  <c r="AW137" i="11"/>
  <c r="AX137" i="11"/>
  <c r="AO138" i="11"/>
  <c r="AP138" i="11"/>
  <c r="AQ138" i="11"/>
  <c r="AR138" i="11"/>
  <c r="AS138" i="11"/>
  <c r="AT138" i="11"/>
  <c r="AU138" i="11"/>
  <c r="AV138" i="11"/>
  <c r="AW138" i="11"/>
  <c r="AX138" i="11"/>
  <c r="AO139" i="11"/>
  <c r="AP139" i="11"/>
  <c r="AQ139" i="11"/>
  <c r="AR139" i="11"/>
  <c r="AS139" i="11"/>
  <c r="AT139" i="11"/>
  <c r="AU139" i="11"/>
  <c r="AV139" i="11"/>
  <c r="AW139" i="11"/>
  <c r="AX139" i="11"/>
  <c r="AO140" i="11"/>
  <c r="AP140" i="11"/>
  <c r="AQ140" i="11"/>
  <c r="AR140" i="11"/>
  <c r="AS140" i="11"/>
  <c r="AT140" i="11"/>
  <c r="AU140" i="11"/>
  <c r="AV140" i="11"/>
  <c r="AW140" i="11"/>
  <c r="AX140" i="11"/>
  <c r="AO141" i="11"/>
  <c r="AP141" i="11"/>
  <c r="AQ141" i="11"/>
  <c r="AR141" i="11"/>
  <c r="AS141" i="11"/>
  <c r="AT141" i="11"/>
  <c r="AU141" i="11"/>
  <c r="AV141" i="11"/>
  <c r="AW141" i="11"/>
  <c r="AX141" i="11"/>
  <c r="AO142" i="11"/>
  <c r="AP142" i="11"/>
  <c r="AQ142" i="11"/>
  <c r="AR142" i="11"/>
  <c r="AS142" i="11"/>
  <c r="AT142" i="11"/>
  <c r="AU142" i="11"/>
  <c r="AV142" i="11"/>
  <c r="AW142" i="11"/>
  <c r="AX142" i="11"/>
  <c r="AO143" i="11"/>
  <c r="AP143" i="11"/>
  <c r="AQ143" i="11"/>
  <c r="AR143" i="11"/>
  <c r="AS143" i="11"/>
  <c r="AT143" i="11"/>
  <c r="AU143" i="11"/>
  <c r="AV143" i="11"/>
  <c r="AW143" i="11"/>
  <c r="AX143" i="11"/>
  <c r="AO144" i="11"/>
  <c r="AP144" i="11"/>
  <c r="AQ144" i="11"/>
  <c r="AR144" i="11"/>
  <c r="AS144" i="11"/>
  <c r="AT144" i="11"/>
  <c r="AU144" i="11"/>
  <c r="AV144" i="11"/>
  <c r="AW144" i="11"/>
  <c r="AX144" i="11"/>
  <c r="AO122" i="11"/>
  <c r="AP122" i="11"/>
  <c r="AQ122" i="11"/>
  <c r="AR122" i="11"/>
  <c r="AS122" i="11"/>
  <c r="AT122" i="11"/>
  <c r="AU122" i="11"/>
  <c r="AV122" i="11"/>
  <c r="AW122" i="11"/>
  <c r="AX122" i="11"/>
  <c r="AO123" i="11"/>
  <c r="AP123" i="11"/>
  <c r="AQ123" i="11"/>
  <c r="AR123" i="11"/>
  <c r="AS123" i="11"/>
  <c r="AT123" i="11"/>
  <c r="AU123" i="11"/>
  <c r="AV123" i="11"/>
  <c r="AW123" i="11"/>
  <c r="AX123" i="11"/>
  <c r="AO124" i="11"/>
  <c r="AP124" i="11"/>
  <c r="AQ124" i="11"/>
  <c r="AR124" i="11"/>
  <c r="AS124" i="11"/>
  <c r="AT124" i="11"/>
  <c r="AU124" i="11"/>
  <c r="AV124" i="11"/>
  <c r="AW124" i="11"/>
  <c r="AX124" i="11"/>
  <c r="AO125" i="11"/>
  <c r="AP125" i="11"/>
  <c r="AQ125" i="11"/>
  <c r="AR125" i="11"/>
  <c r="AS125" i="11"/>
  <c r="AT125" i="11"/>
  <c r="AU125" i="11"/>
  <c r="AV125" i="11"/>
  <c r="AW125" i="11"/>
  <c r="AX125" i="11"/>
  <c r="AO126" i="11"/>
  <c r="AP126" i="11"/>
  <c r="AQ126" i="11"/>
  <c r="AR126" i="11"/>
  <c r="AS126" i="11"/>
  <c r="AT126" i="11"/>
  <c r="AU126" i="11"/>
  <c r="AV126" i="11"/>
  <c r="AW126" i="11"/>
  <c r="AX126" i="11"/>
  <c r="AO127" i="11"/>
  <c r="AP127" i="11"/>
  <c r="AQ127" i="11"/>
  <c r="AR127" i="11"/>
  <c r="AS127" i="11"/>
  <c r="AT127" i="11"/>
  <c r="AU127" i="11"/>
  <c r="AV127" i="11"/>
  <c r="AW127" i="11"/>
  <c r="AX127" i="11"/>
  <c r="AO128" i="11"/>
  <c r="AP128" i="11"/>
  <c r="AQ128" i="11"/>
  <c r="AR128" i="11"/>
  <c r="AS128" i="11"/>
  <c r="AT128" i="11"/>
  <c r="AU128" i="11"/>
  <c r="AV128" i="11"/>
  <c r="AW128" i="11"/>
  <c r="AX128" i="11"/>
  <c r="AO129" i="11"/>
  <c r="AP129" i="11"/>
  <c r="AQ129" i="11"/>
  <c r="AR129" i="11"/>
  <c r="AS129" i="11"/>
  <c r="AT129" i="11"/>
  <c r="AU129" i="11"/>
  <c r="AV129" i="11"/>
  <c r="AW129" i="11"/>
  <c r="AX129" i="11"/>
  <c r="AO107" i="11"/>
  <c r="AP107" i="11"/>
  <c r="AQ107" i="11"/>
  <c r="AR107" i="11"/>
  <c r="AS107" i="11"/>
  <c r="AT107" i="11"/>
  <c r="AU107" i="11"/>
  <c r="AV107" i="11"/>
  <c r="AW107" i="11"/>
  <c r="AX107" i="11"/>
  <c r="AO108" i="11"/>
  <c r="AP108" i="11"/>
  <c r="AQ108" i="11"/>
  <c r="AR108" i="11"/>
  <c r="AS108" i="11"/>
  <c r="AT108" i="11"/>
  <c r="AU108" i="11"/>
  <c r="AV108" i="11"/>
  <c r="AW108" i="11"/>
  <c r="AX108" i="11"/>
  <c r="AO109" i="11"/>
  <c r="AP109" i="11"/>
  <c r="AQ109" i="11"/>
  <c r="AR109" i="11"/>
  <c r="AS109" i="11"/>
  <c r="AT109" i="11"/>
  <c r="AU109" i="11"/>
  <c r="AV109" i="11"/>
  <c r="AW109" i="11"/>
  <c r="AX109" i="11"/>
  <c r="AO110" i="11"/>
  <c r="AP110" i="11"/>
  <c r="AQ110" i="11"/>
  <c r="AR110" i="11"/>
  <c r="AS110" i="11"/>
  <c r="AT110" i="11"/>
  <c r="AU110" i="11"/>
  <c r="AV110" i="11"/>
  <c r="AW110" i="11"/>
  <c r="AX110" i="11"/>
  <c r="AO111" i="11"/>
  <c r="AP111" i="11"/>
  <c r="AQ111" i="11"/>
  <c r="AR111" i="11"/>
  <c r="AS111" i="11"/>
  <c r="AT111" i="11"/>
  <c r="AU111" i="11"/>
  <c r="AV111" i="11"/>
  <c r="AW111" i="11"/>
  <c r="AX111" i="11"/>
  <c r="AO112" i="11"/>
  <c r="AP112" i="11"/>
  <c r="AQ112" i="11"/>
  <c r="AR112" i="11"/>
  <c r="AS112" i="11"/>
  <c r="AT112" i="11"/>
  <c r="AU112" i="11"/>
  <c r="AV112" i="11"/>
  <c r="AW112" i="11"/>
  <c r="AX112" i="11"/>
  <c r="AO113" i="11"/>
  <c r="AP113" i="11"/>
  <c r="AQ113" i="11"/>
  <c r="AR113" i="11"/>
  <c r="AS113" i="11"/>
  <c r="AT113" i="11"/>
  <c r="AU113" i="11"/>
  <c r="AV113" i="11"/>
  <c r="AW113" i="11"/>
  <c r="AX113" i="11"/>
  <c r="AO114" i="11"/>
  <c r="AP114" i="11"/>
  <c r="AQ114" i="11"/>
  <c r="AR114" i="11"/>
  <c r="AS114" i="11"/>
  <c r="AT114" i="11"/>
  <c r="AU114" i="11"/>
  <c r="AV114" i="11"/>
  <c r="AW114" i="11"/>
  <c r="AX114" i="11"/>
  <c r="AO92" i="11"/>
  <c r="AP92" i="11"/>
  <c r="AQ92" i="11"/>
  <c r="AR92" i="11"/>
  <c r="AS92" i="11"/>
  <c r="AT92" i="11"/>
  <c r="AU92" i="11"/>
  <c r="AV92" i="11"/>
  <c r="AW92" i="11"/>
  <c r="AX92" i="11"/>
  <c r="AO93" i="11"/>
  <c r="AP93" i="11"/>
  <c r="AQ93" i="11"/>
  <c r="AR93" i="11"/>
  <c r="AS93" i="11"/>
  <c r="AT93" i="11"/>
  <c r="AU93" i="11"/>
  <c r="AV93" i="11"/>
  <c r="AW93" i="11"/>
  <c r="AX93" i="11"/>
  <c r="AO94" i="11"/>
  <c r="AP94" i="11"/>
  <c r="AQ94" i="11"/>
  <c r="AR94" i="11"/>
  <c r="AS94" i="11"/>
  <c r="AT94" i="11"/>
  <c r="AU94" i="11"/>
  <c r="AV94" i="11"/>
  <c r="AW94" i="11"/>
  <c r="AX94" i="11"/>
  <c r="AO95" i="11"/>
  <c r="AP95" i="11"/>
  <c r="AQ95" i="11"/>
  <c r="AR95" i="11"/>
  <c r="AS95" i="11"/>
  <c r="AT95" i="11"/>
  <c r="AU95" i="11"/>
  <c r="AV95" i="11"/>
  <c r="AW95" i="11"/>
  <c r="AX95" i="11"/>
  <c r="AO96" i="11"/>
  <c r="AP96" i="11"/>
  <c r="AQ96" i="11"/>
  <c r="AR96" i="11"/>
  <c r="AS96" i="11"/>
  <c r="AT96" i="11"/>
  <c r="AU96" i="11"/>
  <c r="AV96" i="11"/>
  <c r="AW96" i="11"/>
  <c r="AX96" i="11"/>
  <c r="AO97" i="11"/>
  <c r="AP97" i="11"/>
  <c r="AQ97" i="11"/>
  <c r="AR97" i="11"/>
  <c r="AS97" i="11"/>
  <c r="AT97" i="11"/>
  <c r="AU97" i="11"/>
  <c r="AV97" i="11"/>
  <c r="AW97" i="11"/>
  <c r="AX97" i="11"/>
  <c r="AO98" i="11"/>
  <c r="AP98" i="11"/>
  <c r="AQ98" i="11"/>
  <c r="AR98" i="11"/>
  <c r="AS98" i="11"/>
  <c r="AT98" i="11"/>
  <c r="AU98" i="11"/>
  <c r="AV98" i="11"/>
  <c r="AW98" i="11"/>
  <c r="AX98" i="11"/>
  <c r="AO99" i="11"/>
  <c r="AP99" i="11"/>
  <c r="AQ99" i="11"/>
  <c r="AR99" i="11"/>
  <c r="AS99" i="11"/>
  <c r="AT99" i="11"/>
  <c r="AU99" i="11"/>
  <c r="AV99" i="11"/>
  <c r="AW99" i="11"/>
  <c r="AX99" i="11"/>
  <c r="AO77" i="11"/>
  <c r="AP77" i="11"/>
  <c r="AQ77" i="11"/>
  <c r="AR77" i="11"/>
  <c r="AS77" i="11"/>
  <c r="AT77" i="11"/>
  <c r="AU77" i="11"/>
  <c r="AV77" i="11"/>
  <c r="AW77" i="11"/>
  <c r="AX77" i="11"/>
  <c r="AO78" i="11"/>
  <c r="AP78" i="11"/>
  <c r="AQ78" i="11"/>
  <c r="AR78" i="11"/>
  <c r="AS78" i="11"/>
  <c r="AT78" i="11"/>
  <c r="AU78" i="11"/>
  <c r="AV78" i="11"/>
  <c r="AW78" i="11"/>
  <c r="AX78" i="11"/>
  <c r="AO79" i="11"/>
  <c r="AP79" i="11"/>
  <c r="AQ79" i="11"/>
  <c r="AR79" i="11"/>
  <c r="AS79" i="11"/>
  <c r="AT79" i="11"/>
  <c r="AU79" i="11"/>
  <c r="AV79" i="11"/>
  <c r="AW79" i="11"/>
  <c r="AX79" i="11"/>
  <c r="AO80" i="11"/>
  <c r="AP80" i="11"/>
  <c r="AQ80" i="11"/>
  <c r="AR80" i="11"/>
  <c r="AS80" i="11"/>
  <c r="AT80" i="11"/>
  <c r="AU80" i="11"/>
  <c r="AV80" i="11"/>
  <c r="AW80" i="11"/>
  <c r="AX80" i="11"/>
  <c r="AO81" i="11"/>
  <c r="AP81" i="11"/>
  <c r="AQ81" i="11"/>
  <c r="AR81" i="11"/>
  <c r="AS81" i="11"/>
  <c r="AT81" i="11"/>
  <c r="AU81" i="11"/>
  <c r="AV81" i="11"/>
  <c r="AW81" i="11"/>
  <c r="AX81" i="11"/>
  <c r="AO82" i="11"/>
  <c r="AP82" i="11"/>
  <c r="AQ82" i="11"/>
  <c r="AR82" i="11"/>
  <c r="AS82" i="11"/>
  <c r="AT82" i="11"/>
  <c r="AU82" i="11"/>
  <c r="AV82" i="11"/>
  <c r="AW82" i="11"/>
  <c r="AX82" i="11"/>
  <c r="AO83" i="11"/>
  <c r="AP83" i="11"/>
  <c r="AQ83" i="11"/>
  <c r="AR83" i="11"/>
  <c r="AS83" i="11"/>
  <c r="AT83" i="11"/>
  <c r="AU83" i="11"/>
  <c r="AV83" i="11"/>
  <c r="AW83" i="11"/>
  <c r="AX83" i="11"/>
  <c r="AO84" i="11"/>
  <c r="AP84" i="11"/>
  <c r="AQ84" i="11"/>
  <c r="AR84" i="11"/>
  <c r="AS84" i="11"/>
  <c r="AT84" i="11"/>
  <c r="AU84" i="11"/>
  <c r="AV84" i="11"/>
  <c r="AW84" i="11"/>
  <c r="AX84" i="11"/>
  <c r="AO62" i="11"/>
  <c r="AP62" i="11"/>
  <c r="AQ62" i="11"/>
  <c r="AR62" i="11"/>
  <c r="AS62" i="11"/>
  <c r="AT62" i="11"/>
  <c r="AU62" i="11"/>
  <c r="AV62" i="11"/>
  <c r="AW62" i="11"/>
  <c r="AX62" i="11"/>
  <c r="AO63" i="11"/>
  <c r="AP63" i="11"/>
  <c r="AQ63" i="11"/>
  <c r="AR63" i="11"/>
  <c r="AS63" i="11"/>
  <c r="AT63" i="11"/>
  <c r="AU63" i="11"/>
  <c r="AV63" i="11"/>
  <c r="AW63" i="11"/>
  <c r="AX63" i="11"/>
  <c r="AO64" i="11"/>
  <c r="AP64" i="11"/>
  <c r="AQ64" i="11"/>
  <c r="AR64" i="11"/>
  <c r="AS64" i="11"/>
  <c r="AT64" i="11"/>
  <c r="AU64" i="11"/>
  <c r="AV64" i="11"/>
  <c r="AW64" i="11"/>
  <c r="AX64" i="11"/>
  <c r="AO65" i="11"/>
  <c r="AP65" i="11"/>
  <c r="AQ65" i="11"/>
  <c r="AR65" i="11"/>
  <c r="AS65" i="11"/>
  <c r="AT65" i="11"/>
  <c r="AU65" i="11"/>
  <c r="AV65" i="11"/>
  <c r="AW65" i="11"/>
  <c r="AX65" i="11"/>
  <c r="AO66" i="11"/>
  <c r="AP66" i="11"/>
  <c r="AQ66" i="11"/>
  <c r="AR66" i="11"/>
  <c r="AS66" i="11"/>
  <c r="AT66" i="11"/>
  <c r="AU66" i="11"/>
  <c r="AV66" i="11"/>
  <c r="AW66" i="11"/>
  <c r="AX66" i="11"/>
  <c r="AO67" i="11"/>
  <c r="AP67" i="11"/>
  <c r="AQ67" i="11"/>
  <c r="AR67" i="11"/>
  <c r="AS67" i="11"/>
  <c r="AT67" i="11"/>
  <c r="AU67" i="11"/>
  <c r="AV67" i="11"/>
  <c r="AW67" i="11"/>
  <c r="AX67" i="11"/>
  <c r="AO68" i="11"/>
  <c r="AP68" i="11"/>
  <c r="AQ68" i="11"/>
  <c r="AR68" i="11"/>
  <c r="AS68" i="11"/>
  <c r="AT68" i="11"/>
  <c r="AU68" i="11"/>
  <c r="AV68" i="11"/>
  <c r="AW68" i="11"/>
  <c r="AX68" i="11"/>
  <c r="AO69" i="11"/>
  <c r="AP69" i="11"/>
  <c r="AQ69" i="11"/>
  <c r="AR69" i="11"/>
  <c r="AS69" i="11"/>
  <c r="AT69" i="11"/>
  <c r="AU69" i="11"/>
  <c r="AV69" i="11"/>
  <c r="AW69" i="11"/>
  <c r="AX69" i="11"/>
  <c r="AO47" i="11"/>
  <c r="AP47" i="11"/>
  <c r="AQ47" i="11"/>
  <c r="AR47" i="11"/>
  <c r="AS47" i="11"/>
  <c r="AT47" i="11"/>
  <c r="AU47" i="11"/>
  <c r="AV47" i="11"/>
  <c r="AW47" i="11"/>
  <c r="AX47" i="11"/>
  <c r="AO48" i="11"/>
  <c r="AP48" i="11"/>
  <c r="AQ48" i="11"/>
  <c r="AR48" i="11"/>
  <c r="AS48" i="11"/>
  <c r="AT48" i="11"/>
  <c r="AU48" i="11"/>
  <c r="AV48" i="11"/>
  <c r="AW48" i="11"/>
  <c r="AX48" i="11"/>
  <c r="AO49" i="11"/>
  <c r="AP49" i="11"/>
  <c r="AQ49" i="11"/>
  <c r="AR49" i="11"/>
  <c r="AS49" i="11"/>
  <c r="AT49" i="11"/>
  <c r="AU49" i="11"/>
  <c r="AV49" i="11"/>
  <c r="AW49" i="11"/>
  <c r="AX49" i="11"/>
  <c r="AO50" i="11"/>
  <c r="AP50" i="11"/>
  <c r="AQ50" i="11"/>
  <c r="AR50" i="11"/>
  <c r="AS50" i="11"/>
  <c r="AT50" i="11"/>
  <c r="AU50" i="11"/>
  <c r="AV50" i="11"/>
  <c r="AW50" i="11"/>
  <c r="AX50" i="11"/>
  <c r="AO51" i="11"/>
  <c r="AP51" i="11"/>
  <c r="AQ51" i="11"/>
  <c r="AR51" i="11"/>
  <c r="AS51" i="11"/>
  <c r="AT51" i="11"/>
  <c r="AU51" i="11"/>
  <c r="AV51" i="11"/>
  <c r="AW51" i="11"/>
  <c r="AX51" i="11"/>
  <c r="AO52" i="11"/>
  <c r="AP52" i="11"/>
  <c r="AQ52" i="11"/>
  <c r="AR52" i="11"/>
  <c r="AS52" i="11"/>
  <c r="AT52" i="11"/>
  <c r="AU52" i="11"/>
  <c r="AV52" i="11"/>
  <c r="AW52" i="11"/>
  <c r="AX52" i="11"/>
  <c r="AO53" i="11"/>
  <c r="AP53" i="11"/>
  <c r="AQ53" i="11"/>
  <c r="AR53" i="11"/>
  <c r="AS53" i="11"/>
  <c r="AT53" i="11"/>
  <c r="AU53" i="11"/>
  <c r="AV53" i="11"/>
  <c r="AW53" i="11"/>
  <c r="AX53" i="11"/>
  <c r="AO54" i="11"/>
  <c r="AP54" i="11"/>
  <c r="AQ54" i="11"/>
  <c r="AR54" i="11"/>
  <c r="AS54" i="11"/>
  <c r="AT54" i="11"/>
  <c r="AU54" i="11"/>
  <c r="AV54" i="11"/>
  <c r="AW54" i="11"/>
  <c r="AX54" i="11"/>
  <c r="AO32" i="11"/>
  <c r="AP32" i="11"/>
  <c r="AQ32" i="11"/>
  <c r="AR32" i="11"/>
  <c r="AS32" i="11"/>
  <c r="AT32" i="11"/>
  <c r="AU32" i="11"/>
  <c r="AV32" i="11"/>
  <c r="AW32" i="11"/>
  <c r="AX32" i="11"/>
  <c r="AO33" i="11"/>
  <c r="AP33" i="11"/>
  <c r="AQ33" i="11"/>
  <c r="AR33" i="11"/>
  <c r="AS33" i="11"/>
  <c r="AT33" i="11"/>
  <c r="AU33" i="11"/>
  <c r="AV33" i="11"/>
  <c r="AW33" i="11"/>
  <c r="AX33" i="11"/>
  <c r="AO34" i="11"/>
  <c r="AP34" i="11"/>
  <c r="AQ34" i="11"/>
  <c r="AR34" i="11"/>
  <c r="AS34" i="11"/>
  <c r="AT34" i="11"/>
  <c r="AU34" i="11"/>
  <c r="AV34" i="11"/>
  <c r="AW34" i="11"/>
  <c r="AX34" i="11"/>
  <c r="AO35" i="11"/>
  <c r="AP35" i="11"/>
  <c r="AQ35" i="11"/>
  <c r="AR35" i="11"/>
  <c r="AS35" i="11"/>
  <c r="AT35" i="11"/>
  <c r="AU35" i="11"/>
  <c r="AV35" i="11"/>
  <c r="AW35" i="11"/>
  <c r="AX35" i="11"/>
  <c r="AO36" i="11"/>
  <c r="AP36" i="11"/>
  <c r="AQ36" i="11"/>
  <c r="AR36" i="11"/>
  <c r="AS36" i="11"/>
  <c r="AT36" i="11"/>
  <c r="AU36" i="11"/>
  <c r="AV36" i="11"/>
  <c r="AW36" i="11"/>
  <c r="AX36" i="11"/>
  <c r="AO37" i="11"/>
  <c r="AP37" i="11"/>
  <c r="AQ37" i="11"/>
  <c r="AR37" i="11"/>
  <c r="AS37" i="11"/>
  <c r="AT37" i="11"/>
  <c r="AU37" i="11"/>
  <c r="AV37" i="11"/>
  <c r="AW37" i="11"/>
  <c r="AX37" i="11"/>
  <c r="AO38" i="11"/>
  <c r="AP38" i="11"/>
  <c r="AQ38" i="11"/>
  <c r="AR38" i="11"/>
  <c r="AS38" i="11"/>
  <c r="AT38" i="11"/>
  <c r="AU38" i="11"/>
  <c r="AV38" i="11"/>
  <c r="AW38" i="11"/>
  <c r="AX38" i="11"/>
  <c r="AO39" i="11"/>
  <c r="AP39" i="11"/>
  <c r="AQ39" i="11"/>
  <c r="AR39" i="11"/>
  <c r="AS39" i="11"/>
  <c r="AT39" i="11"/>
  <c r="AU39" i="11"/>
  <c r="AV39" i="11"/>
  <c r="AW39" i="11"/>
  <c r="AX39" i="11"/>
  <c r="AO17" i="11"/>
  <c r="AP17" i="11"/>
  <c r="AQ17" i="11"/>
  <c r="AR17" i="11"/>
  <c r="AS17" i="11"/>
  <c r="AT17" i="11"/>
  <c r="AU17" i="11"/>
  <c r="AV17" i="11"/>
  <c r="AW17" i="11"/>
  <c r="AX17" i="11"/>
  <c r="AO18" i="11"/>
  <c r="AP18" i="11"/>
  <c r="AQ18" i="11"/>
  <c r="AR18" i="11"/>
  <c r="AS18" i="11"/>
  <c r="AT18" i="11"/>
  <c r="AU18" i="11"/>
  <c r="AV18" i="11"/>
  <c r="AW18" i="11"/>
  <c r="AX18" i="11"/>
  <c r="AO19" i="11"/>
  <c r="AP19" i="11"/>
  <c r="AQ19" i="11"/>
  <c r="AR19" i="11"/>
  <c r="AS19" i="11"/>
  <c r="AT19" i="11"/>
  <c r="AU19" i="11"/>
  <c r="AV19" i="11"/>
  <c r="AW19" i="11"/>
  <c r="AX19" i="11"/>
  <c r="AO20" i="11"/>
  <c r="AP20" i="11"/>
  <c r="AQ20" i="11"/>
  <c r="AR20" i="11"/>
  <c r="AS20" i="11"/>
  <c r="AT20" i="11"/>
  <c r="AU20" i="11"/>
  <c r="AV20" i="11"/>
  <c r="AW20" i="11"/>
  <c r="AX20" i="11"/>
  <c r="AO21" i="11"/>
  <c r="AP21" i="11"/>
  <c r="AQ21" i="11"/>
  <c r="AR21" i="11"/>
  <c r="AS21" i="11"/>
  <c r="AT21" i="11"/>
  <c r="AU21" i="11"/>
  <c r="AV21" i="11"/>
  <c r="AW21" i="11"/>
  <c r="AX21" i="11"/>
  <c r="AO22" i="11"/>
  <c r="AP22" i="11"/>
  <c r="AQ22" i="11"/>
  <c r="AR22" i="11"/>
  <c r="AS22" i="11"/>
  <c r="AT22" i="11"/>
  <c r="AU22" i="11"/>
  <c r="AV22" i="11"/>
  <c r="AW22" i="11"/>
  <c r="AX22" i="11"/>
  <c r="AO23" i="11"/>
  <c r="AP23" i="11"/>
  <c r="AQ23" i="11"/>
  <c r="AR23" i="11"/>
  <c r="AS23" i="11"/>
  <c r="AT23" i="11"/>
  <c r="AU23" i="11"/>
  <c r="AV23" i="11"/>
  <c r="AW23" i="11"/>
  <c r="AX23" i="11"/>
  <c r="AO24" i="11"/>
  <c r="AP24" i="11"/>
  <c r="AQ24" i="11"/>
  <c r="AR24" i="11"/>
  <c r="AS24" i="11"/>
  <c r="AT24" i="11"/>
  <c r="AU24" i="11"/>
  <c r="AV24" i="11"/>
  <c r="AW24" i="11"/>
  <c r="AX24" i="11"/>
  <c r="AO7" i="11"/>
  <c r="AP7" i="11"/>
  <c r="AQ7" i="11"/>
  <c r="AR7" i="11"/>
  <c r="AS7" i="11"/>
  <c r="AT7" i="11"/>
  <c r="AU7" i="11"/>
  <c r="AV7" i="11"/>
  <c r="AW7" i="11"/>
  <c r="AX7" i="11"/>
  <c r="AO8" i="11"/>
  <c r="AP8" i="11"/>
  <c r="AQ8" i="11"/>
  <c r="AR8" i="11"/>
  <c r="AS8" i="11"/>
  <c r="AT8" i="11"/>
  <c r="AU8" i="11"/>
  <c r="AV8" i="11"/>
  <c r="AW8" i="11"/>
  <c r="AX8" i="11"/>
  <c r="AO9" i="11"/>
  <c r="AP9" i="11"/>
  <c r="AQ9" i="11"/>
  <c r="AR9" i="11"/>
  <c r="AS9" i="11"/>
  <c r="AT9" i="11"/>
  <c r="AU9" i="11"/>
  <c r="AV9" i="11"/>
  <c r="AW9" i="11"/>
  <c r="AX9" i="11"/>
  <c r="AO6" i="11"/>
  <c r="AP6" i="11" s="1"/>
  <c r="AQ6" i="11" s="1"/>
  <c r="AR6" i="11" s="1"/>
  <c r="AS6" i="11" s="1"/>
  <c r="AT6" i="11" s="1"/>
  <c r="AU6" i="11" s="1"/>
  <c r="AV6" i="11" s="1"/>
  <c r="AW6" i="11" s="1"/>
  <c r="AX6" i="11" s="1"/>
  <c r="AO16" i="11"/>
  <c r="AP16" i="11" s="1"/>
  <c r="AQ16" i="11" s="1"/>
  <c r="AR16" i="11" s="1"/>
  <c r="AS16" i="11" s="1"/>
  <c r="AT16" i="11" s="1"/>
  <c r="AU16" i="11" s="1"/>
  <c r="AV16" i="11" s="1"/>
  <c r="AW16" i="11" s="1"/>
  <c r="AX16" i="11" s="1"/>
  <c r="AO31" i="11"/>
  <c r="AP31" i="11" s="1"/>
  <c r="AQ31" i="11" s="1"/>
  <c r="AR31" i="11" s="1"/>
  <c r="AS31" i="11" s="1"/>
  <c r="AT31" i="11" s="1"/>
  <c r="AU31" i="11" s="1"/>
  <c r="AV31" i="11" s="1"/>
  <c r="AW31" i="11" s="1"/>
  <c r="AX31" i="11" s="1"/>
  <c r="AO46" i="11"/>
  <c r="AP46" i="11" s="1"/>
  <c r="AQ46" i="11" s="1"/>
  <c r="AR46" i="11" s="1"/>
  <c r="AS46" i="11" s="1"/>
  <c r="AT46" i="11" s="1"/>
  <c r="AU46" i="11" s="1"/>
  <c r="AV46" i="11" s="1"/>
  <c r="AW46" i="11" s="1"/>
  <c r="AX46" i="11" s="1"/>
  <c r="AP211" i="42"/>
  <c r="AQ211" i="42" s="1"/>
  <c r="AR211" i="42" s="1"/>
  <c r="AS211" i="42" s="1"/>
  <c r="AT211" i="42" s="1"/>
  <c r="AU211" i="42" s="1"/>
  <c r="AV211" i="42" s="1"/>
  <c r="AW211" i="42" s="1"/>
  <c r="AX211" i="42" s="1"/>
  <c r="AP212" i="42"/>
  <c r="AQ212" i="42"/>
  <c r="AR212" i="42"/>
  <c r="AS212" i="42"/>
  <c r="AT212" i="42"/>
  <c r="AU212" i="42"/>
  <c r="AV212" i="42"/>
  <c r="AW212" i="42" s="1"/>
  <c r="AX212" i="42" s="1"/>
  <c r="AP213" i="42"/>
  <c r="AQ213" i="42"/>
  <c r="AR213" i="42"/>
  <c r="AS213" i="42"/>
  <c r="AT213" i="42"/>
  <c r="AU213" i="42"/>
  <c r="AV213" i="42" s="1"/>
  <c r="AW213" i="42" s="1"/>
  <c r="AX213" i="42" s="1"/>
  <c r="AP214" i="42"/>
  <c r="AQ214" i="42"/>
  <c r="AR214" i="42"/>
  <c r="AS214" i="42"/>
  <c r="AT214" i="42"/>
  <c r="AU214" i="42" s="1"/>
  <c r="AV214" i="42" s="1"/>
  <c r="AW214" i="42" s="1"/>
  <c r="AX214" i="42" s="1"/>
  <c r="AP215" i="42"/>
  <c r="AQ215" i="42"/>
  <c r="AR215" i="42"/>
  <c r="AS215" i="42"/>
  <c r="AT215" i="42" s="1"/>
  <c r="AU215" i="42" s="1"/>
  <c r="AV215" i="42" s="1"/>
  <c r="AW215" i="42" s="1"/>
  <c r="AX215" i="42" s="1"/>
  <c r="AO212" i="42"/>
  <c r="AO213" i="42"/>
  <c r="AO214" i="42"/>
  <c r="AO215" i="42"/>
  <c r="AO211" i="42"/>
  <c r="AN218" i="42"/>
  <c r="AN217" i="42"/>
  <c r="AN216" i="42"/>
  <c r="AP201" i="42"/>
  <c r="AQ201" i="42" s="1"/>
  <c r="AR201" i="42" s="1"/>
  <c r="AS201" i="42" s="1"/>
  <c r="AT201" i="42" s="1"/>
  <c r="AU201" i="42" s="1"/>
  <c r="AV201" i="42" s="1"/>
  <c r="AW201" i="42" s="1"/>
  <c r="AX201" i="42" s="1"/>
  <c r="AP202" i="42"/>
  <c r="AQ202" i="42"/>
  <c r="AR202" i="42"/>
  <c r="AS202" i="42"/>
  <c r="AT202" i="42"/>
  <c r="AU202" i="42"/>
  <c r="AV202" i="42"/>
  <c r="AW202" i="42" s="1"/>
  <c r="AX202" i="42" s="1"/>
  <c r="AP203" i="42"/>
  <c r="AQ203" i="42"/>
  <c r="AR203" i="42"/>
  <c r="AS203" i="42"/>
  <c r="AT203" i="42"/>
  <c r="AU203" i="42"/>
  <c r="AV203" i="42" s="1"/>
  <c r="AW203" i="42" s="1"/>
  <c r="AX203" i="42" s="1"/>
  <c r="AO202" i="42"/>
  <c r="AO203" i="42"/>
  <c r="AO201" i="42"/>
  <c r="AN206" i="42"/>
  <c r="AN205" i="42"/>
  <c r="AN204" i="42"/>
  <c r="AP191" i="42"/>
  <c r="AQ191" i="42" s="1"/>
  <c r="AR191" i="42" s="1"/>
  <c r="AS191" i="42" s="1"/>
  <c r="AT191" i="42" s="1"/>
  <c r="AU191" i="42" s="1"/>
  <c r="AV191" i="42" s="1"/>
  <c r="AW191" i="42" s="1"/>
  <c r="AX191" i="42" s="1"/>
  <c r="AP192" i="42"/>
  <c r="AQ192" i="42" s="1"/>
  <c r="AR192" i="42" s="1"/>
  <c r="AS192" i="42" s="1"/>
  <c r="AT192" i="42" s="1"/>
  <c r="AU192" i="42" s="1"/>
  <c r="AV192" i="42" s="1"/>
  <c r="AW192" i="42" s="1"/>
  <c r="AX192" i="42" s="1"/>
  <c r="AP193" i="42"/>
  <c r="AQ193" i="42"/>
  <c r="AR193" i="42" s="1"/>
  <c r="AS193" i="42" s="1"/>
  <c r="AT193" i="42" s="1"/>
  <c r="AU193" i="42" s="1"/>
  <c r="AV193" i="42" s="1"/>
  <c r="AW193" i="42" s="1"/>
  <c r="AX193" i="42" s="1"/>
  <c r="AO192" i="42"/>
  <c r="AO193" i="42"/>
  <c r="AO191" i="42"/>
  <c r="AN196" i="42"/>
  <c r="AN195" i="42"/>
  <c r="AN194" i="42"/>
  <c r="AP181" i="42"/>
  <c r="AQ181" i="42" s="1"/>
  <c r="AR181" i="42" s="1"/>
  <c r="AS181" i="42" s="1"/>
  <c r="AT181" i="42" s="1"/>
  <c r="AU181" i="42" s="1"/>
  <c r="AV181" i="42" s="1"/>
  <c r="AW181" i="42" s="1"/>
  <c r="AX181" i="42" s="1"/>
  <c r="AP182" i="42"/>
  <c r="AQ182" i="42" s="1"/>
  <c r="AR182" i="42" s="1"/>
  <c r="AS182" i="42" s="1"/>
  <c r="AT182" i="42" s="1"/>
  <c r="AU182" i="42" s="1"/>
  <c r="AV182" i="42" s="1"/>
  <c r="AW182" i="42" s="1"/>
  <c r="AX182" i="42" s="1"/>
  <c r="AP183" i="42"/>
  <c r="AQ183" i="42"/>
  <c r="AR183" i="42"/>
  <c r="AS183" i="42"/>
  <c r="AT183" i="42"/>
  <c r="AU183" i="42"/>
  <c r="AV183" i="42" s="1"/>
  <c r="AW183" i="42" s="1"/>
  <c r="AX183" i="42" s="1"/>
  <c r="AO182" i="42"/>
  <c r="AO183" i="42"/>
  <c r="AO181" i="42"/>
  <c r="AN186" i="42"/>
  <c r="AN185" i="42"/>
  <c r="AN184" i="42"/>
  <c r="AP172" i="42"/>
  <c r="AQ172" i="42" s="1"/>
  <c r="AR172" i="42" s="1"/>
  <c r="AS172" i="42" s="1"/>
  <c r="AT172" i="42" s="1"/>
  <c r="AU172" i="42" s="1"/>
  <c r="AV172" i="42" s="1"/>
  <c r="AW172" i="42" s="1"/>
  <c r="AX172" i="42" s="1"/>
  <c r="AP173" i="42"/>
  <c r="AQ173" i="42" s="1"/>
  <c r="AR173" i="42" s="1"/>
  <c r="AS173" i="42" s="1"/>
  <c r="AT173" i="42" s="1"/>
  <c r="AU173" i="42" s="1"/>
  <c r="AV173" i="42" s="1"/>
  <c r="AW173" i="42" s="1"/>
  <c r="AX173" i="42" s="1"/>
  <c r="AP174" i="42"/>
  <c r="AQ174" i="42"/>
  <c r="AR174" i="42"/>
  <c r="AS174" i="42"/>
  <c r="AT174" i="42"/>
  <c r="AU174" i="42"/>
  <c r="AV174" i="42" s="1"/>
  <c r="AW174" i="42" s="1"/>
  <c r="AX174" i="42" s="1"/>
  <c r="AO173" i="42"/>
  <c r="AO174" i="42"/>
  <c r="AO172" i="42"/>
  <c r="AN176" i="42"/>
  <c r="AN177" i="42"/>
  <c r="AN175" i="42"/>
  <c r="AO158" i="42"/>
  <c r="AP158" i="42" s="1"/>
  <c r="AQ158" i="42" s="1"/>
  <c r="AR158" i="42" s="1"/>
  <c r="AS158" i="42" s="1"/>
  <c r="AT158" i="42" s="1"/>
  <c r="AU158" i="42" s="1"/>
  <c r="AV158" i="42" s="1"/>
  <c r="AW158" i="42" s="1"/>
  <c r="AX158" i="42" s="1"/>
  <c r="AO159" i="42"/>
  <c r="AP159" i="42" s="1"/>
  <c r="AQ159" i="42" s="1"/>
  <c r="AR159" i="42" s="1"/>
  <c r="AS159" i="42" s="1"/>
  <c r="AT159" i="42" s="1"/>
  <c r="AU159" i="42" s="1"/>
  <c r="AV159" i="42" s="1"/>
  <c r="AW159" i="42" s="1"/>
  <c r="AX159" i="42" s="1"/>
  <c r="AO160" i="42"/>
  <c r="AP160" i="42" s="1"/>
  <c r="AQ160" i="42" s="1"/>
  <c r="AR160" i="42" s="1"/>
  <c r="AS160" i="42" s="1"/>
  <c r="AT160" i="42" s="1"/>
  <c r="AU160" i="42" s="1"/>
  <c r="AV160" i="42" s="1"/>
  <c r="AW160" i="42" s="1"/>
  <c r="AX160" i="42" s="1"/>
  <c r="AO162" i="42"/>
  <c r="AP162" i="42" s="1"/>
  <c r="AQ162" i="42" s="1"/>
  <c r="AR162" i="42" s="1"/>
  <c r="AS162" i="42" s="1"/>
  <c r="AT162" i="42" s="1"/>
  <c r="AU162" i="42" s="1"/>
  <c r="AV162" i="42" s="1"/>
  <c r="AW162" i="42" s="1"/>
  <c r="AX162" i="42" s="1"/>
  <c r="AO163" i="42"/>
  <c r="AP163" i="42" s="1"/>
  <c r="AQ163" i="42" s="1"/>
  <c r="AR163" i="42" s="1"/>
  <c r="AS163" i="42" s="1"/>
  <c r="AT163" i="42" s="1"/>
  <c r="AU163" i="42" s="1"/>
  <c r="AV163" i="42" s="1"/>
  <c r="AW163" i="42" s="1"/>
  <c r="AX163" i="42" s="1"/>
  <c r="AO157" i="42"/>
  <c r="AP157" i="42" s="1"/>
  <c r="AQ157" i="42" s="1"/>
  <c r="AR157" i="42" s="1"/>
  <c r="AS157" i="42" s="1"/>
  <c r="AT157" i="42" s="1"/>
  <c r="AU157" i="42" s="1"/>
  <c r="AV157" i="42" s="1"/>
  <c r="AW157" i="42" s="1"/>
  <c r="AX157" i="42" s="1"/>
  <c r="AN168" i="42"/>
  <c r="AN167" i="42"/>
  <c r="AN166" i="42"/>
  <c r="AN165" i="42"/>
  <c r="AO161" i="42" s="1"/>
  <c r="AP161" i="42" s="1"/>
  <c r="AQ161" i="42" s="1"/>
  <c r="AR161" i="42" s="1"/>
  <c r="AS161" i="42" s="1"/>
  <c r="AT161" i="42" s="1"/>
  <c r="AU161" i="42" s="1"/>
  <c r="AV161" i="42" s="1"/>
  <c r="AW161" i="42" s="1"/>
  <c r="AX161" i="42" s="1"/>
  <c r="AP143" i="42"/>
  <c r="AQ143" i="42" s="1"/>
  <c r="AR143" i="42" s="1"/>
  <c r="AS143" i="42" s="1"/>
  <c r="AT143" i="42" s="1"/>
  <c r="AU143" i="42" s="1"/>
  <c r="AV143" i="42" s="1"/>
  <c r="AW143" i="42" s="1"/>
  <c r="AX143" i="42" s="1"/>
  <c r="AP145" i="42"/>
  <c r="AQ145" i="42" s="1"/>
  <c r="AR145" i="42" s="1"/>
  <c r="AS145" i="42" s="1"/>
  <c r="AT145" i="42" s="1"/>
  <c r="AU145" i="42" s="1"/>
  <c r="AV145" i="42" s="1"/>
  <c r="AW145" i="42" s="1"/>
  <c r="AX145" i="42" s="1"/>
  <c r="AO143" i="42"/>
  <c r="AO144" i="42"/>
  <c r="AP144" i="42" s="1"/>
  <c r="AQ144" i="42" s="1"/>
  <c r="AR144" i="42" s="1"/>
  <c r="AS144" i="42" s="1"/>
  <c r="AT144" i="42" s="1"/>
  <c r="AU144" i="42" s="1"/>
  <c r="AV144" i="42" s="1"/>
  <c r="AW144" i="42" s="1"/>
  <c r="AX144" i="42" s="1"/>
  <c r="AO145" i="42"/>
  <c r="AO147" i="42"/>
  <c r="AP147" i="42" s="1"/>
  <c r="AQ147" i="42" s="1"/>
  <c r="AR147" i="42" s="1"/>
  <c r="AS147" i="42" s="1"/>
  <c r="AT147" i="42" s="1"/>
  <c r="AU147" i="42" s="1"/>
  <c r="AV147" i="42" s="1"/>
  <c r="AW147" i="42" s="1"/>
  <c r="AX147" i="42" s="1"/>
  <c r="AO148" i="42"/>
  <c r="AP148" i="42" s="1"/>
  <c r="AQ148" i="42" s="1"/>
  <c r="AR148" i="42" s="1"/>
  <c r="AS148" i="42" s="1"/>
  <c r="AT148" i="42" s="1"/>
  <c r="AU148" i="42" s="1"/>
  <c r="AV148" i="42" s="1"/>
  <c r="AW148" i="42" s="1"/>
  <c r="AX148" i="42" s="1"/>
  <c r="AO149" i="42"/>
  <c r="AP149" i="42" s="1"/>
  <c r="AQ149" i="42" s="1"/>
  <c r="AR149" i="42" s="1"/>
  <c r="AS149" i="42" s="1"/>
  <c r="AT149" i="42" s="1"/>
  <c r="AU149" i="42" s="1"/>
  <c r="AV149" i="42" s="1"/>
  <c r="AW149" i="42" s="1"/>
  <c r="AX149" i="42" s="1"/>
  <c r="AO142" i="42"/>
  <c r="AP142" i="42" s="1"/>
  <c r="AQ142" i="42" s="1"/>
  <c r="AR142" i="42" s="1"/>
  <c r="AS142" i="42" s="1"/>
  <c r="AT142" i="42" s="1"/>
  <c r="AU142" i="42" s="1"/>
  <c r="AV142" i="42" s="1"/>
  <c r="AW142" i="42" s="1"/>
  <c r="AX142" i="42" s="1"/>
  <c r="AN153" i="42"/>
  <c r="AN152" i="42"/>
  <c r="AN151" i="42"/>
  <c r="AN150" i="42"/>
  <c r="AO146" i="42" s="1"/>
  <c r="AP146" i="42" s="1"/>
  <c r="AQ146" i="42" s="1"/>
  <c r="AR146" i="42" s="1"/>
  <c r="AS146" i="42" s="1"/>
  <c r="AT146" i="42" s="1"/>
  <c r="AU146" i="42" s="1"/>
  <c r="AV146" i="42" s="1"/>
  <c r="AW146" i="42" s="1"/>
  <c r="AX146" i="42" s="1"/>
  <c r="AO132" i="42"/>
  <c r="AP132" i="42" s="1"/>
  <c r="AQ132" i="42" s="1"/>
  <c r="AR132" i="42" s="1"/>
  <c r="AS132" i="42" s="1"/>
  <c r="AT132" i="42" s="1"/>
  <c r="AU132" i="42" s="1"/>
  <c r="AV132" i="42" s="1"/>
  <c r="AW132" i="42" s="1"/>
  <c r="AX132" i="42" s="1"/>
  <c r="AN138" i="42"/>
  <c r="AN137" i="42"/>
  <c r="AN136" i="42"/>
  <c r="AN135" i="42"/>
  <c r="AO133" i="42" s="1"/>
  <c r="AP133" i="42" s="1"/>
  <c r="AQ133" i="42" s="1"/>
  <c r="AR133" i="42" s="1"/>
  <c r="AS133" i="42" s="1"/>
  <c r="AT133" i="42" s="1"/>
  <c r="AU133" i="42" s="1"/>
  <c r="AV133" i="42" s="1"/>
  <c r="AW133" i="42" s="1"/>
  <c r="AX133" i="42" s="1"/>
  <c r="AP112" i="42"/>
  <c r="AQ112" i="42" s="1"/>
  <c r="AR112" i="42" s="1"/>
  <c r="AS112" i="42" s="1"/>
  <c r="AT112" i="42" s="1"/>
  <c r="AU112" i="42" s="1"/>
  <c r="AV112" i="42" s="1"/>
  <c r="AW112" i="42" s="1"/>
  <c r="AX112" i="42" s="1"/>
  <c r="AO113" i="42"/>
  <c r="AP113" i="42" s="1"/>
  <c r="AQ113" i="42" s="1"/>
  <c r="AR113" i="42" s="1"/>
  <c r="AS113" i="42" s="1"/>
  <c r="AT113" i="42" s="1"/>
  <c r="AU113" i="42" s="1"/>
  <c r="AV113" i="42" s="1"/>
  <c r="AW113" i="42" s="1"/>
  <c r="AX113" i="42" s="1"/>
  <c r="AO114" i="42"/>
  <c r="AP114" i="42" s="1"/>
  <c r="AQ114" i="42" s="1"/>
  <c r="AR114" i="42" s="1"/>
  <c r="AS114" i="42" s="1"/>
  <c r="AT114" i="42" s="1"/>
  <c r="AU114" i="42" s="1"/>
  <c r="AV114" i="42" s="1"/>
  <c r="AW114" i="42" s="1"/>
  <c r="AX114" i="42" s="1"/>
  <c r="AO115" i="42"/>
  <c r="AP115" i="42" s="1"/>
  <c r="AQ115" i="42" s="1"/>
  <c r="AR115" i="42" s="1"/>
  <c r="AS115" i="42" s="1"/>
  <c r="AT115" i="42" s="1"/>
  <c r="AU115" i="42" s="1"/>
  <c r="AV115" i="42" s="1"/>
  <c r="AW115" i="42" s="1"/>
  <c r="AX115" i="42" s="1"/>
  <c r="AO117" i="42"/>
  <c r="AP117" i="42" s="1"/>
  <c r="AQ117" i="42" s="1"/>
  <c r="AR117" i="42" s="1"/>
  <c r="AS117" i="42" s="1"/>
  <c r="AT117" i="42" s="1"/>
  <c r="AU117" i="42" s="1"/>
  <c r="AV117" i="42" s="1"/>
  <c r="AW117" i="42" s="1"/>
  <c r="AX117" i="42" s="1"/>
  <c r="AO118" i="42"/>
  <c r="AP118" i="42" s="1"/>
  <c r="AQ118" i="42" s="1"/>
  <c r="AR118" i="42" s="1"/>
  <c r="AS118" i="42" s="1"/>
  <c r="AT118" i="42" s="1"/>
  <c r="AU118" i="42" s="1"/>
  <c r="AV118" i="42" s="1"/>
  <c r="AW118" i="42" s="1"/>
  <c r="AX118" i="42" s="1"/>
  <c r="AO112" i="42"/>
  <c r="AN123" i="42"/>
  <c r="AN122" i="42"/>
  <c r="AN121" i="42"/>
  <c r="AN120" i="42"/>
  <c r="AO116" i="42" s="1"/>
  <c r="AP116" i="42" s="1"/>
  <c r="AQ116" i="42" s="1"/>
  <c r="AR116" i="42" s="1"/>
  <c r="AS116" i="42" s="1"/>
  <c r="AT116" i="42" s="1"/>
  <c r="AU116" i="42" s="1"/>
  <c r="AV116" i="42" s="1"/>
  <c r="AW116" i="42" s="1"/>
  <c r="AX116" i="42" s="1"/>
  <c r="AP98" i="42"/>
  <c r="AQ98" i="42" s="1"/>
  <c r="AR98" i="42" s="1"/>
  <c r="AS98" i="42" s="1"/>
  <c r="AT98" i="42" s="1"/>
  <c r="AU98" i="42" s="1"/>
  <c r="AV98" i="42" s="1"/>
  <c r="AW98" i="42" s="1"/>
  <c r="AX98" i="42" s="1"/>
  <c r="AP100" i="42"/>
  <c r="AQ100" i="42" s="1"/>
  <c r="AR100" i="42" s="1"/>
  <c r="AS100" i="42" s="1"/>
  <c r="AT100" i="42" s="1"/>
  <c r="AU100" i="42" s="1"/>
  <c r="AV100" i="42" s="1"/>
  <c r="AW100" i="42" s="1"/>
  <c r="AX100" i="42" s="1"/>
  <c r="AP104" i="42"/>
  <c r="AQ104" i="42" s="1"/>
  <c r="AR104" i="42" s="1"/>
  <c r="AS104" i="42" s="1"/>
  <c r="AT104" i="42" s="1"/>
  <c r="AU104" i="42" s="1"/>
  <c r="AV104" i="42" s="1"/>
  <c r="AW104" i="42" s="1"/>
  <c r="AX104" i="42" s="1"/>
  <c r="AO98" i="42"/>
  <c r="AO99" i="42"/>
  <c r="AP99" i="42" s="1"/>
  <c r="AQ99" i="42" s="1"/>
  <c r="AR99" i="42" s="1"/>
  <c r="AS99" i="42" s="1"/>
  <c r="AT99" i="42" s="1"/>
  <c r="AU99" i="42" s="1"/>
  <c r="AV99" i="42" s="1"/>
  <c r="AW99" i="42" s="1"/>
  <c r="AX99" i="42" s="1"/>
  <c r="AO100" i="42"/>
  <c r="AO102" i="42"/>
  <c r="AP102" i="42" s="1"/>
  <c r="AQ102" i="42" s="1"/>
  <c r="AR102" i="42" s="1"/>
  <c r="AS102" i="42" s="1"/>
  <c r="AT102" i="42" s="1"/>
  <c r="AU102" i="42" s="1"/>
  <c r="AV102" i="42" s="1"/>
  <c r="AW102" i="42" s="1"/>
  <c r="AX102" i="42" s="1"/>
  <c r="AO103" i="42"/>
  <c r="AP103" i="42" s="1"/>
  <c r="AQ103" i="42" s="1"/>
  <c r="AR103" i="42" s="1"/>
  <c r="AS103" i="42" s="1"/>
  <c r="AT103" i="42" s="1"/>
  <c r="AU103" i="42" s="1"/>
  <c r="AV103" i="42" s="1"/>
  <c r="AW103" i="42" s="1"/>
  <c r="AX103" i="42" s="1"/>
  <c r="AO104" i="42"/>
  <c r="AO97" i="42"/>
  <c r="AP97" i="42" s="1"/>
  <c r="AQ97" i="42" s="1"/>
  <c r="AR97" i="42" s="1"/>
  <c r="AS97" i="42" s="1"/>
  <c r="AT97" i="42" s="1"/>
  <c r="AU97" i="42" s="1"/>
  <c r="AV97" i="42" s="1"/>
  <c r="AW97" i="42" s="1"/>
  <c r="AX97" i="42" s="1"/>
  <c r="AN108" i="42"/>
  <c r="AN107" i="42"/>
  <c r="AN106" i="42"/>
  <c r="AN105" i="42"/>
  <c r="AO101" i="42" s="1"/>
  <c r="AP101" i="42" s="1"/>
  <c r="AQ101" i="42" s="1"/>
  <c r="AR101" i="42" s="1"/>
  <c r="AS101" i="42" s="1"/>
  <c r="AT101" i="42" s="1"/>
  <c r="AU101" i="42" s="1"/>
  <c r="AV101" i="42" s="1"/>
  <c r="AW101" i="42" s="1"/>
  <c r="AX101" i="42" s="1"/>
  <c r="AN91" i="42"/>
  <c r="AN92" i="42"/>
  <c r="AN93" i="42"/>
  <c r="AN90" i="42"/>
  <c r="AP67" i="42"/>
  <c r="AQ67" i="42" s="1"/>
  <c r="AR67" i="42" s="1"/>
  <c r="AS67" i="42" s="1"/>
  <c r="AT67" i="42" s="1"/>
  <c r="AU67" i="42" s="1"/>
  <c r="AV67" i="42" s="1"/>
  <c r="AW67" i="42" s="1"/>
  <c r="AX67" i="42" s="1"/>
  <c r="AP72" i="42"/>
  <c r="AQ72" i="42" s="1"/>
  <c r="AR72" i="42" s="1"/>
  <c r="AS72" i="42" s="1"/>
  <c r="AT72" i="42" s="1"/>
  <c r="AU72" i="42" s="1"/>
  <c r="AV72" i="42" s="1"/>
  <c r="AW72" i="42" s="1"/>
  <c r="AX72" i="42" s="1"/>
  <c r="AO68" i="42"/>
  <c r="AP68" i="42" s="1"/>
  <c r="AQ68" i="42" s="1"/>
  <c r="AR68" i="42" s="1"/>
  <c r="AS68" i="42" s="1"/>
  <c r="AT68" i="42" s="1"/>
  <c r="AU68" i="42" s="1"/>
  <c r="AV68" i="42" s="1"/>
  <c r="AW68" i="42" s="1"/>
  <c r="AX68" i="42" s="1"/>
  <c r="AO69" i="42"/>
  <c r="AP69" i="42" s="1"/>
  <c r="AQ69" i="42" s="1"/>
  <c r="AR69" i="42" s="1"/>
  <c r="AS69" i="42" s="1"/>
  <c r="AT69" i="42" s="1"/>
  <c r="AU69" i="42" s="1"/>
  <c r="AV69" i="42" s="1"/>
  <c r="AW69" i="42" s="1"/>
  <c r="AX69" i="42" s="1"/>
  <c r="AO72" i="42"/>
  <c r="AO73" i="42"/>
  <c r="AP73" i="42" s="1"/>
  <c r="AQ73" i="42" s="1"/>
  <c r="AR73" i="42" s="1"/>
  <c r="AS73" i="42" s="1"/>
  <c r="AT73" i="42" s="1"/>
  <c r="AU73" i="42" s="1"/>
  <c r="AV73" i="42" s="1"/>
  <c r="AW73" i="42" s="1"/>
  <c r="AX73" i="42" s="1"/>
  <c r="AO74" i="42"/>
  <c r="AP74" i="42" s="1"/>
  <c r="AQ74" i="42" s="1"/>
  <c r="AR74" i="42" s="1"/>
  <c r="AS74" i="42" s="1"/>
  <c r="AT74" i="42" s="1"/>
  <c r="AU74" i="42" s="1"/>
  <c r="AV74" i="42" s="1"/>
  <c r="AW74" i="42" s="1"/>
  <c r="AX74" i="42" s="1"/>
  <c r="AN76" i="42"/>
  <c r="AN77" i="42"/>
  <c r="AN78" i="42"/>
  <c r="AN75" i="42"/>
  <c r="AO67" i="42" s="1"/>
  <c r="AP53" i="42"/>
  <c r="AQ53" i="42" s="1"/>
  <c r="AR53" i="42" s="1"/>
  <c r="AS53" i="42" s="1"/>
  <c r="AT53" i="42" s="1"/>
  <c r="AU53" i="42" s="1"/>
  <c r="AV53" i="42" s="1"/>
  <c r="AW53" i="42" s="1"/>
  <c r="AX53" i="42" s="1"/>
  <c r="AP54" i="42"/>
  <c r="AQ54" i="42" s="1"/>
  <c r="AR54" i="42" s="1"/>
  <c r="AS54" i="42" s="1"/>
  <c r="AT54" i="42" s="1"/>
  <c r="AU54" i="42" s="1"/>
  <c r="AV54" i="42" s="1"/>
  <c r="AW54" i="42" s="1"/>
  <c r="AX54" i="42" s="1"/>
  <c r="AP56" i="42"/>
  <c r="AQ56" i="42"/>
  <c r="AR56" i="42" s="1"/>
  <c r="AS56" i="42" s="1"/>
  <c r="AT56" i="42" s="1"/>
  <c r="AU56" i="42" s="1"/>
  <c r="AV56" i="42" s="1"/>
  <c r="AW56" i="42" s="1"/>
  <c r="AX56" i="42" s="1"/>
  <c r="AO53" i="42"/>
  <c r="AO54" i="42"/>
  <c r="AO55" i="42"/>
  <c r="AP55" i="42" s="1"/>
  <c r="AQ55" i="42" s="1"/>
  <c r="AR55" i="42" s="1"/>
  <c r="AS55" i="42" s="1"/>
  <c r="AT55" i="42" s="1"/>
  <c r="AU55" i="42" s="1"/>
  <c r="AV55" i="42" s="1"/>
  <c r="AW55" i="42" s="1"/>
  <c r="AX55" i="42" s="1"/>
  <c r="AO56" i="42"/>
  <c r="AO58" i="42"/>
  <c r="AP58" i="42" s="1"/>
  <c r="AQ58" i="42" s="1"/>
  <c r="AR58" i="42" s="1"/>
  <c r="AS58" i="42" s="1"/>
  <c r="AT58" i="42" s="1"/>
  <c r="AU58" i="42" s="1"/>
  <c r="AV58" i="42" s="1"/>
  <c r="AW58" i="42" s="1"/>
  <c r="AX58" i="42" s="1"/>
  <c r="AO59" i="42"/>
  <c r="AP59" i="42" s="1"/>
  <c r="AQ59" i="42" s="1"/>
  <c r="AR59" i="42" s="1"/>
  <c r="AS59" i="42" s="1"/>
  <c r="AT59" i="42" s="1"/>
  <c r="AU59" i="42" s="1"/>
  <c r="AV59" i="42" s="1"/>
  <c r="AW59" i="42" s="1"/>
  <c r="AX59" i="42" s="1"/>
  <c r="AN61" i="42"/>
  <c r="AN62" i="42"/>
  <c r="AN63" i="42"/>
  <c r="AN64" i="42"/>
  <c r="AN60" i="42"/>
  <c r="AO57" i="42" s="1"/>
  <c r="AP57" i="42" s="1"/>
  <c r="AQ57" i="42" s="1"/>
  <c r="AR57" i="42" s="1"/>
  <c r="AS57" i="42" s="1"/>
  <c r="AT57" i="42" s="1"/>
  <c r="AU57" i="42" s="1"/>
  <c r="AV57" i="42" s="1"/>
  <c r="AW57" i="42" s="1"/>
  <c r="AX57" i="42" s="1"/>
  <c r="AO41" i="42"/>
  <c r="AP41" i="42" s="1"/>
  <c r="AQ41" i="42" s="1"/>
  <c r="AR41" i="42" s="1"/>
  <c r="AS41" i="42" s="1"/>
  <c r="AT41" i="42" s="1"/>
  <c r="AU41" i="42" s="1"/>
  <c r="AV41" i="42" s="1"/>
  <c r="AW41" i="42" s="1"/>
  <c r="AX41" i="42" s="1"/>
  <c r="AO42" i="42"/>
  <c r="AP42" i="42" s="1"/>
  <c r="AQ42" i="42" s="1"/>
  <c r="AR42" i="42" s="1"/>
  <c r="AS42" i="42" s="1"/>
  <c r="AT42" i="42" s="1"/>
  <c r="AU42" i="42" s="1"/>
  <c r="AV42" i="42" s="1"/>
  <c r="AW42" i="42" s="1"/>
  <c r="AX42" i="42" s="1"/>
  <c r="AN46" i="42"/>
  <c r="AN47" i="42"/>
  <c r="AN48" i="42"/>
  <c r="AN49" i="42"/>
  <c r="AN45" i="42"/>
  <c r="AQ20" i="42"/>
  <c r="AR20" i="42" s="1"/>
  <c r="AS20" i="42" s="1"/>
  <c r="AT20" i="42" s="1"/>
  <c r="AU20" i="42" s="1"/>
  <c r="AV20" i="42" s="1"/>
  <c r="AW20" i="42" s="1"/>
  <c r="AX20" i="42" s="1"/>
  <c r="AP21" i="42"/>
  <c r="AQ21" i="42" s="1"/>
  <c r="AR21" i="42" s="1"/>
  <c r="AS21" i="42" s="1"/>
  <c r="AT21" i="42" s="1"/>
  <c r="AU21" i="42" s="1"/>
  <c r="AV21" i="42" s="1"/>
  <c r="AW21" i="42" s="1"/>
  <c r="AX21" i="42" s="1"/>
  <c r="AO19" i="42"/>
  <c r="AP19" i="42" s="1"/>
  <c r="AQ19" i="42" s="1"/>
  <c r="AR19" i="42" s="1"/>
  <c r="AS19" i="42" s="1"/>
  <c r="AT19" i="42" s="1"/>
  <c r="AU19" i="42" s="1"/>
  <c r="AV19" i="42" s="1"/>
  <c r="AW19" i="42" s="1"/>
  <c r="AX19" i="42" s="1"/>
  <c r="AO20" i="42"/>
  <c r="AP20" i="42" s="1"/>
  <c r="AO22" i="42"/>
  <c r="AP22" i="42" s="1"/>
  <c r="AQ22" i="42" s="1"/>
  <c r="AR22" i="42" s="1"/>
  <c r="AS22" i="42" s="1"/>
  <c r="AT22" i="42" s="1"/>
  <c r="AU22" i="42" s="1"/>
  <c r="AV22" i="42" s="1"/>
  <c r="AW22" i="42" s="1"/>
  <c r="AX22" i="42" s="1"/>
  <c r="AO23" i="42"/>
  <c r="AP23" i="42" s="1"/>
  <c r="AQ23" i="42" s="1"/>
  <c r="AR23" i="42" s="1"/>
  <c r="AS23" i="42" s="1"/>
  <c r="AT23" i="42" s="1"/>
  <c r="AU23" i="42" s="1"/>
  <c r="AV23" i="42" s="1"/>
  <c r="AW23" i="42" s="1"/>
  <c r="AX23" i="42" s="1"/>
  <c r="AN26" i="42"/>
  <c r="AN27" i="42"/>
  <c r="AN28" i="42"/>
  <c r="AN29" i="42"/>
  <c r="AN30" i="42"/>
  <c r="AN31" i="42"/>
  <c r="AN32" i="42"/>
  <c r="AN25" i="42"/>
  <c r="AO21" i="42" s="1"/>
  <c r="AN11" i="42"/>
  <c r="AO8" i="42" s="1"/>
  <c r="AP8" i="42" s="1"/>
  <c r="AQ8" i="42" s="1"/>
  <c r="AR8" i="42" s="1"/>
  <c r="AS8" i="42" s="1"/>
  <c r="AT8" i="42" s="1"/>
  <c r="AU8" i="42" s="1"/>
  <c r="AV8" i="42" s="1"/>
  <c r="AW8" i="42" s="1"/>
  <c r="AX8" i="42" s="1"/>
  <c r="AN12" i="42"/>
  <c r="AO9" i="42" s="1"/>
  <c r="AP9" i="42" s="1"/>
  <c r="AQ9" i="42" s="1"/>
  <c r="AR9" i="42" s="1"/>
  <c r="AS9" i="42" s="1"/>
  <c r="AT9" i="42" s="1"/>
  <c r="AU9" i="42" s="1"/>
  <c r="AV9" i="42" s="1"/>
  <c r="AW9" i="42" s="1"/>
  <c r="AX9" i="42" s="1"/>
  <c r="AN10" i="42"/>
  <c r="AO7" i="42" s="1"/>
  <c r="AP7" i="42" s="1"/>
  <c r="AQ7" i="42" s="1"/>
  <c r="AR7" i="42" s="1"/>
  <c r="AS7" i="42" s="1"/>
  <c r="AT7" i="42" s="1"/>
  <c r="AU7" i="42" s="1"/>
  <c r="AV7" i="42" s="1"/>
  <c r="AW7" i="42" s="1"/>
  <c r="AX7" i="42" s="1"/>
  <c r="AR1" i="41"/>
  <c r="AS1" i="41" s="1"/>
  <c r="AT1" i="41" s="1"/>
  <c r="AU1" i="41" s="1"/>
  <c r="AV1" i="41" s="1"/>
  <c r="AW1" i="41" s="1"/>
  <c r="AX1" i="41" s="1"/>
  <c r="AY1" i="41" s="1"/>
  <c r="AZ1" i="41" s="1"/>
  <c r="BA1" i="41" s="1"/>
  <c r="AR1" i="40"/>
  <c r="AS1" i="40" s="1"/>
  <c r="AT1" i="40" s="1"/>
  <c r="AU1" i="40" s="1"/>
  <c r="AV1" i="40" s="1"/>
  <c r="AW1" i="40" s="1"/>
  <c r="AX1" i="40" s="1"/>
  <c r="AY1" i="40" s="1"/>
  <c r="AZ1" i="40" s="1"/>
  <c r="BA1" i="40" s="1"/>
  <c r="AS1" i="39"/>
  <c r="AT1" i="39" s="1"/>
  <c r="AU1" i="39" s="1"/>
  <c r="AV1" i="39" s="1"/>
  <c r="AW1" i="39" s="1"/>
  <c r="AX1" i="39" s="1"/>
  <c r="AY1" i="39" s="1"/>
  <c r="AZ1" i="39" s="1"/>
  <c r="BA1" i="39" s="1"/>
  <c r="AR1" i="39"/>
  <c r="AR1" i="38"/>
  <c r="AS1" i="38" s="1"/>
  <c r="AT1" i="38" s="1"/>
  <c r="AU1" i="38" s="1"/>
  <c r="AV1" i="38" s="1"/>
  <c r="AW1" i="38" s="1"/>
  <c r="AX1" i="38" s="1"/>
  <c r="AY1" i="38" s="1"/>
  <c r="AZ1" i="38" s="1"/>
  <c r="BA1" i="38" s="1"/>
  <c r="AR1" i="37"/>
  <c r="AS1" i="37" s="1"/>
  <c r="AT1" i="37" s="1"/>
  <c r="AU1" i="37" s="1"/>
  <c r="AV1" i="37" s="1"/>
  <c r="AW1" i="37" s="1"/>
  <c r="AX1" i="37" s="1"/>
  <c r="AY1" i="37" s="1"/>
  <c r="AZ1" i="37" s="1"/>
  <c r="BA1" i="37" s="1"/>
  <c r="AR1" i="35"/>
  <c r="AS1" i="35" s="1"/>
  <c r="AT1" i="35" s="1"/>
  <c r="AU1" i="35" s="1"/>
  <c r="AV1" i="35" s="1"/>
  <c r="AW1" i="35" s="1"/>
  <c r="AX1" i="35" s="1"/>
  <c r="AY1" i="35" s="1"/>
  <c r="AZ1" i="35" s="1"/>
  <c r="BA1" i="35" s="1"/>
  <c r="AR1" i="34"/>
  <c r="AS1" i="34" s="1"/>
  <c r="AT1" i="34" s="1"/>
  <c r="AU1" i="34" s="1"/>
  <c r="AV1" i="34" s="1"/>
  <c r="AW1" i="34" s="1"/>
  <c r="AX1" i="34" s="1"/>
  <c r="AY1" i="34" s="1"/>
  <c r="AZ1" i="34" s="1"/>
  <c r="BA1" i="34" s="1"/>
  <c r="AR1" i="36"/>
  <c r="AS1" i="36" s="1"/>
  <c r="AT1" i="36" s="1"/>
  <c r="AU1" i="36" s="1"/>
  <c r="AV1" i="36" s="1"/>
  <c r="AW1" i="36" s="1"/>
  <c r="AX1" i="36" s="1"/>
  <c r="AY1" i="36" s="1"/>
  <c r="AZ1" i="36" s="1"/>
  <c r="BA1" i="36" s="1"/>
  <c r="AR1" i="33"/>
  <c r="AS1" i="33" s="1"/>
  <c r="AT1" i="33" s="1"/>
  <c r="AU1" i="33" s="1"/>
  <c r="AV1" i="33" s="1"/>
  <c r="AW1" i="33" s="1"/>
  <c r="AX1" i="33" s="1"/>
  <c r="AY1" i="33" s="1"/>
  <c r="AZ1" i="33" s="1"/>
  <c r="BA1" i="33" s="1"/>
  <c r="AR1" i="32"/>
  <c r="AS1" i="32" s="1"/>
  <c r="AT1" i="32" s="1"/>
  <c r="AU1" i="32" s="1"/>
  <c r="AV1" i="32" s="1"/>
  <c r="AW1" i="32" s="1"/>
  <c r="AX1" i="32" s="1"/>
  <c r="AY1" i="32" s="1"/>
  <c r="AZ1" i="32" s="1"/>
  <c r="BA1" i="32" s="1"/>
  <c r="AR1" i="31"/>
  <c r="AS1" i="31" s="1"/>
  <c r="AT1" i="31" s="1"/>
  <c r="AU1" i="31" s="1"/>
  <c r="AV1" i="31" s="1"/>
  <c r="AW1" i="31" s="1"/>
  <c r="AX1" i="31" s="1"/>
  <c r="AY1" i="31" s="1"/>
  <c r="AZ1" i="31" s="1"/>
  <c r="BA1" i="31" s="1"/>
  <c r="AR1" i="30"/>
  <c r="AS1" i="30" s="1"/>
  <c r="AT1" i="30" s="1"/>
  <c r="AU1" i="30" s="1"/>
  <c r="AV1" i="30" s="1"/>
  <c r="AW1" i="30" s="1"/>
  <c r="AX1" i="30" s="1"/>
  <c r="AY1" i="30" s="1"/>
  <c r="AZ1" i="30" s="1"/>
  <c r="BA1" i="30" s="1"/>
  <c r="AR1" i="29"/>
  <c r="AS1" i="29" s="1"/>
  <c r="AT1" i="29" s="1"/>
  <c r="AU1" i="29" s="1"/>
  <c r="AV1" i="29" s="1"/>
  <c r="AW1" i="29" s="1"/>
  <c r="AX1" i="29" s="1"/>
  <c r="AY1" i="29" s="1"/>
  <c r="AZ1" i="29" s="1"/>
  <c r="BA1" i="29" s="1"/>
  <c r="AR1" i="28"/>
  <c r="AS1" i="28" s="1"/>
  <c r="AT1" i="28" s="1"/>
  <c r="AU1" i="28" s="1"/>
  <c r="AV1" i="28" s="1"/>
  <c r="AW1" i="28" s="1"/>
  <c r="AX1" i="28" s="1"/>
  <c r="AY1" i="28" s="1"/>
  <c r="AZ1" i="28" s="1"/>
  <c r="BA1" i="28" s="1"/>
  <c r="AR1" i="27"/>
  <c r="AS1" i="27" s="1"/>
  <c r="AT1" i="27" s="1"/>
  <c r="AU1" i="27" s="1"/>
  <c r="AV1" i="27" s="1"/>
  <c r="AW1" i="27" s="1"/>
  <c r="AX1" i="27" s="1"/>
  <c r="AY1" i="27" s="1"/>
  <c r="AZ1" i="27" s="1"/>
  <c r="BA1" i="27" s="1"/>
  <c r="AR1" i="26"/>
  <c r="AS1" i="26" s="1"/>
  <c r="AT1" i="26" s="1"/>
  <c r="AU1" i="26" s="1"/>
  <c r="AV1" i="26" s="1"/>
  <c r="AW1" i="26" s="1"/>
  <c r="AX1" i="26" s="1"/>
  <c r="AY1" i="26" s="1"/>
  <c r="AZ1" i="26" s="1"/>
  <c r="BA1" i="26" s="1"/>
  <c r="AQ1" i="20"/>
  <c r="AR1" i="20" s="1"/>
  <c r="AS1" i="20" s="1"/>
  <c r="AT1" i="20" s="1"/>
  <c r="AU1" i="20" s="1"/>
  <c r="AV1" i="20" s="1"/>
  <c r="AW1" i="20" s="1"/>
  <c r="AX1" i="20" s="1"/>
  <c r="AY1" i="20" s="1"/>
  <c r="AZ1" i="20" s="1"/>
  <c r="AR1" i="19"/>
  <c r="AS1" i="19" s="1"/>
  <c r="AT1" i="19" s="1"/>
  <c r="AU1" i="19" s="1"/>
  <c r="AV1" i="19" s="1"/>
  <c r="AW1" i="19" s="1"/>
  <c r="AX1" i="19" s="1"/>
  <c r="AY1" i="19" s="1"/>
  <c r="AZ1" i="19" s="1"/>
  <c r="BA1" i="19" s="1"/>
  <c r="AR1" i="18"/>
  <c r="AS1" i="18" s="1"/>
  <c r="AT1" i="18" s="1"/>
  <c r="AU1" i="18" s="1"/>
  <c r="AV1" i="18" s="1"/>
  <c r="AW1" i="18" s="1"/>
  <c r="AX1" i="18" s="1"/>
  <c r="AY1" i="18" s="1"/>
  <c r="AZ1" i="18" s="1"/>
  <c r="BA1" i="18" s="1"/>
  <c r="AR1" i="17"/>
  <c r="AS1" i="17" s="1"/>
  <c r="AT1" i="17" s="1"/>
  <c r="AU1" i="17" s="1"/>
  <c r="AV1" i="17" s="1"/>
  <c r="AW1" i="17" s="1"/>
  <c r="AX1" i="17" s="1"/>
  <c r="AY1" i="17" s="1"/>
  <c r="AZ1" i="17" s="1"/>
  <c r="BA1" i="17" s="1"/>
  <c r="AR1" i="16"/>
  <c r="AS1" i="16" s="1"/>
  <c r="AT1" i="16" s="1"/>
  <c r="AU1" i="16" s="1"/>
  <c r="AV1" i="16" s="1"/>
  <c r="AW1" i="16" s="1"/>
  <c r="AX1" i="16" s="1"/>
  <c r="AY1" i="16" s="1"/>
  <c r="AZ1" i="16" s="1"/>
  <c r="BA1" i="16" s="1"/>
  <c r="AO142" i="15"/>
  <c r="AP142" i="15" s="1"/>
  <c r="AQ142" i="15" s="1"/>
  <c r="AR142" i="15" s="1"/>
  <c r="AS142" i="15" s="1"/>
  <c r="AT142" i="15" s="1"/>
  <c r="AU142" i="15" s="1"/>
  <c r="AV142" i="15" s="1"/>
  <c r="AW142" i="15" s="1"/>
  <c r="AX142" i="15" s="1"/>
  <c r="AO134" i="15"/>
  <c r="AP134" i="15" s="1"/>
  <c r="AQ134" i="15" s="1"/>
  <c r="AR134" i="15" s="1"/>
  <c r="AS134" i="15" s="1"/>
  <c r="AT134" i="15" s="1"/>
  <c r="AU134" i="15" s="1"/>
  <c r="AV134" i="15" s="1"/>
  <c r="AW134" i="15" s="1"/>
  <c r="AX134" i="15" s="1"/>
  <c r="AO126" i="15"/>
  <c r="AP126" i="15" s="1"/>
  <c r="AQ126" i="15" s="1"/>
  <c r="AR126" i="15" s="1"/>
  <c r="AS126" i="15" s="1"/>
  <c r="AT126" i="15" s="1"/>
  <c r="AU126" i="15" s="1"/>
  <c r="AV126" i="15" s="1"/>
  <c r="AW126" i="15" s="1"/>
  <c r="AX126" i="15" s="1"/>
  <c r="AO118" i="15"/>
  <c r="AP118" i="15" s="1"/>
  <c r="AQ118" i="15" s="1"/>
  <c r="AR118" i="15" s="1"/>
  <c r="AS118" i="15" s="1"/>
  <c r="AT118" i="15" s="1"/>
  <c r="AU118" i="15" s="1"/>
  <c r="AV118" i="15" s="1"/>
  <c r="AW118" i="15" s="1"/>
  <c r="AX118" i="15" s="1"/>
  <c r="AO110" i="15"/>
  <c r="AP110" i="15" s="1"/>
  <c r="AQ110" i="15" s="1"/>
  <c r="AR110" i="15" s="1"/>
  <c r="AS110" i="15" s="1"/>
  <c r="AT110" i="15" s="1"/>
  <c r="AU110" i="15" s="1"/>
  <c r="AV110" i="15" s="1"/>
  <c r="AW110" i="15" s="1"/>
  <c r="AX110" i="15" s="1"/>
  <c r="AO102" i="15"/>
  <c r="AP102" i="15" s="1"/>
  <c r="AQ102" i="15" s="1"/>
  <c r="AR102" i="15" s="1"/>
  <c r="AS102" i="15" s="1"/>
  <c r="AT102" i="15" s="1"/>
  <c r="AU102" i="15" s="1"/>
  <c r="AV102" i="15" s="1"/>
  <c r="AW102" i="15" s="1"/>
  <c r="AX102" i="15" s="1"/>
  <c r="AO94" i="15"/>
  <c r="AP94" i="15" s="1"/>
  <c r="AQ94" i="15" s="1"/>
  <c r="AR94" i="15" s="1"/>
  <c r="AS94" i="15" s="1"/>
  <c r="AT94" i="15" s="1"/>
  <c r="AU94" i="15" s="1"/>
  <c r="AV94" i="15" s="1"/>
  <c r="AW94" i="15" s="1"/>
  <c r="AX94" i="15" s="1"/>
  <c r="AO86" i="15"/>
  <c r="AP86" i="15" s="1"/>
  <c r="AQ86" i="15" s="1"/>
  <c r="AR86" i="15" s="1"/>
  <c r="AS86" i="15" s="1"/>
  <c r="AT86" i="15" s="1"/>
  <c r="AU86" i="15" s="1"/>
  <c r="AV86" i="15" s="1"/>
  <c r="AW86" i="15" s="1"/>
  <c r="AX86" i="15" s="1"/>
  <c r="AP78" i="15"/>
  <c r="AQ78" i="15" s="1"/>
  <c r="AR78" i="15" s="1"/>
  <c r="AS78" i="15" s="1"/>
  <c r="AT78" i="15" s="1"/>
  <c r="AU78" i="15" s="1"/>
  <c r="AV78" i="15" s="1"/>
  <c r="AW78" i="15" s="1"/>
  <c r="AX78" i="15" s="1"/>
  <c r="AO78" i="15"/>
  <c r="AO70" i="15"/>
  <c r="AP70" i="15" s="1"/>
  <c r="AQ70" i="15" s="1"/>
  <c r="AR70" i="15" s="1"/>
  <c r="AS70" i="15" s="1"/>
  <c r="AT70" i="15" s="1"/>
  <c r="AU70" i="15" s="1"/>
  <c r="AV70" i="15" s="1"/>
  <c r="AW70" i="15" s="1"/>
  <c r="AX70" i="15" s="1"/>
  <c r="AO62" i="15"/>
  <c r="AP62" i="15" s="1"/>
  <c r="AQ62" i="15" s="1"/>
  <c r="AR62" i="15" s="1"/>
  <c r="AS62" i="15" s="1"/>
  <c r="AT62" i="15" s="1"/>
  <c r="AU62" i="15" s="1"/>
  <c r="AV62" i="15" s="1"/>
  <c r="AW62" i="15" s="1"/>
  <c r="AX62" i="15" s="1"/>
  <c r="AO54" i="15"/>
  <c r="AP54" i="15" s="1"/>
  <c r="AQ54" i="15" s="1"/>
  <c r="AR54" i="15" s="1"/>
  <c r="AS54" i="15" s="1"/>
  <c r="AT54" i="15" s="1"/>
  <c r="AU54" i="15" s="1"/>
  <c r="AV54" i="15" s="1"/>
  <c r="AW54" i="15" s="1"/>
  <c r="AX54" i="15" s="1"/>
  <c r="AO46" i="15"/>
  <c r="AP46" i="15" s="1"/>
  <c r="AQ46" i="15" s="1"/>
  <c r="AR46" i="15" s="1"/>
  <c r="AS46" i="15" s="1"/>
  <c r="AT46" i="15" s="1"/>
  <c r="AU46" i="15" s="1"/>
  <c r="AV46" i="15" s="1"/>
  <c r="AW46" i="15" s="1"/>
  <c r="AX46" i="15" s="1"/>
  <c r="AO38" i="15"/>
  <c r="AP38" i="15" s="1"/>
  <c r="AQ38" i="15" s="1"/>
  <c r="AR38" i="15" s="1"/>
  <c r="AS38" i="15" s="1"/>
  <c r="AT38" i="15" s="1"/>
  <c r="AU38" i="15" s="1"/>
  <c r="AV38" i="15" s="1"/>
  <c r="AW38" i="15" s="1"/>
  <c r="AX38" i="15" s="1"/>
  <c r="AO30" i="15"/>
  <c r="AP30" i="15" s="1"/>
  <c r="AQ30" i="15" s="1"/>
  <c r="AR30" i="15" s="1"/>
  <c r="AS30" i="15" s="1"/>
  <c r="AT30" i="15" s="1"/>
  <c r="AU30" i="15" s="1"/>
  <c r="AV30" i="15" s="1"/>
  <c r="AW30" i="15" s="1"/>
  <c r="AX30" i="15" s="1"/>
  <c r="AO22" i="15"/>
  <c r="AP22" i="15" s="1"/>
  <c r="AQ22" i="15" s="1"/>
  <c r="AR22" i="15" s="1"/>
  <c r="AS22" i="15" s="1"/>
  <c r="AT22" i="15" s="1"/>
  <c r="AU22" i="15" s="1"/>
  <c r="AV22" i="15" s="1"/>
  <c r="AW22" i="15" s="1"/>
  <c r="AX22" i="15" s="1"/>
  <c r="AO14" i="15"/>
  <c r="AP14" i="15" s="1"/>
  <c r="AQ14" i="15" s="1"/>
  <c r="AR14" i="15" s="1"/>
  <c r="AS14" i="15" s="1"/>
  <c r="AT14" i="15" s="1"/>
  <c r="AU14" i="15" s="1"/>
  <c r="AV14" i="15" s="1"/>
  <c r="AW14" i="15" s="1"/>
  <c r="AX14" i="15" s="1"/>
  <c r="AO6" i="15"/>
  <c r="AP6" i="15" s="1"/>
  <c r="AQ6" i="15" s="1"/>
  <c r="AR6" i="15" s="1"/>
  <c r="AS6" i="15" s="1"/>
  <c r="AT6" i="15" s="1"/>
  <c r="AU6" i="15" s="1"/>
  <c r="AV6" i="15" s="1"/>
  <c r="AW6" i="15" s="1"/>
  <c r="AX6" i="15" s="1"/>
  <c r="AO6" i="44"/>
  <c r="AP6" i="44" s="1"/>
  <c r="AQ6" i="44" s="1"/>
  <c r="AR6" i="44" s="1"/>
  <c r="AS6" i="44" s="1"/>
  <c r="AT6" i="44" s="1"/>
  <c r="AU6" i="44" s="1"/>
  <c r="AV6" i="44" s="1"/>
  <c r="AW6" i="44" s="1"/>
  <c r="AX6" i="44" s="1"/>
  <c r="AO14" i="44"/>
  <c r="AP14" i="44" s="1"/>
  <c r="AQ14" i="44" s="1"/>
  <c r="AR14" i="44" s="1"/>
  <c r="AS14" i="44" s="1"/>
  <c r="AT14" i="44" s="1"/>
  <c r="AU14" i="44" s="1"/>
  <c r="AV14" i="44" s="1"/>
  <c r="AW14" i="44" s="1"/>
  <c r="AX14" i="44" s="1"/>
  <c r="AO22" i="44"/>
  <c r="AP22" i="44" s="1"/>
  <c r="AQ22" i="44" s="1"/>
  <c r="AR22" i="44" s="1"/>
  <c r="AS22" i="44" s="1"/>
  <c r="AT22" i="44" s="1"/>
  <c r="AU22" i="44" s="1"/>
  <c r="AV22" i="44" s="1"/>
  <c r="AW22" i="44" s="1"/>
  <c r="AX22" i="44" s="1"/>
  <c r="AO38" i="44"/>
  <c r="AP38" i="44" s="1"/>
  <c r="AQ38" i="44" s="1"/>
  <c r="AR38" i="44" s="1"/>
  <c r="AS38" i="44" s="1"/>
  <c r="AT38" i="44" s="1"/>
  <c r="AU38" i="44" s="1"/>
  <c r="AV38" i="44" s="1"/>
  <c r="AW38" i="44" s="1"/>
  <c r="AX38" i="44" s="1"/>
  <c r="AO30" i="44"/>
  <c r="AP30" i="44" s="1"/>
  <c r="AQ30" i="44" s="1"/>
  <c r="AR30" i="44" s="1"/>
  <c r="AS30" i="44" s="1"/>
  <c r="AT30" i="44" s="1"/>
  <c r="AU30" i="44" s="1"/>
  <c r="AV30" i="44" s="1"/>
  <c r="AW30" i="44" s="1"/>
  <c r="AX30" i="44" s="1"/>
  <c r="AR1" i="9"/>
  <c r="AS1" i="9" s="1"/>
  <c r="AT1" i="9" s="1"/>
  <c r="AU1" i="9" s="1"/>
  <c r="AV1" i="9" s="1"/>
  <c r="AW1" i="9" s="1"/>
  <c r="AX1" i="9" s="1"/>
  <c r="AY1" i="9" s="1"/>
  <c r="AZ1" i="9" s="1"/>
  <c r="BA1" i="9" s="1"/>
  <c r="AR1" i="8"/>
  <c r="AS1" i="8" s="1"/>
  <c r="AT1" i="8" s="1"/>
  <c r="AU1" i="8" s="1"/>
  <c r="AV1" i="8" s="1"/>
  <c r="AW1" i="8" s="1"/>
  <c r="AX1" i="8" s="1"/>
  <c r="AY1" i="8" s="1"/>
  <c r="AZ1" i="8" s="1"/>
  <c r="BA1" i="8" s="1"/>
  <c r="AR1" i="7"/>
  <c r="AS1" i="7" s="1"/>
  <c r="AT1" i="7" s="1"/>
  <c r="AU1" i="7" s="1"/>
  <c r="AV1" i="7" s="1"/>
  <c r="AW1" i="7" s="1"/>
  <c r="AX1" i="7" s="1"/>
  <c r="AY1" i="7" s="1"/>
  <c r="AZ1" i="7" s="1"/>
  <c r="BA1" i="7" s="1"/>
  <c r="AR1" i="6"/>
  <c r="AS1" i="6" s="1"/>
  <c r="AT1" i="6" s="1"/>
  <c r="AU1" i="6" s="1"/>
  <c r="AV1" i="6" s="1"/>
  <c r="AW1" i="6" s="1"/>
  <c r="AX1" i="6" s="1"/>
  <c r="AY1" i="6" s="1"/>
  <c r="AZ1" i="6" s="1"/>
  <c r="BA1" i="6" s="1"/>
  <c r="AR1" i="5"/>
  <c r="AS1" i="5" s="1"/>
  <c r="AT1" i="5" s="1"/>
  <c r="AU1" i="5" s="1"/>
  <c r="AV1" i="5" s="1"/>
  <c r="AW1" i="5" s="1"/>
  <c r="AX1" i="5" s="1"/>
  <c r="AY1" i="5" s="1"/>
  <c r="AZ1" i="5" s="1"/>
  <c r="BA1" i="5" s="1"/>
  <c r="AO1" i="14"/>
  <c r="AP1" i="14" s="1"/>
  <c r="AQ1" i="14" s="1"/>
  <c r="AR1" i="14" s="1"/>
  <c r="AS1" i="14" s="1"/>
  <c r="AT1" i="14" s="1"/>
  <c r="AU1" i="14" s="1"/>
  <c r="AV1" i="14" s="1"/>
  <c r="AW1" i="14" s="1"/>
  <c r="AX1" i="14" s="1"/>
  <c r="AP1" i="12"/>
  <c r="AQ1" i="12" s="1"/>
  <c r="AR1" i="12" s="1"/>
  <c r="AS1" i="12" s="1"/>
  <c r="AT1" i="12" s="1"/>
  <c r="AU1" i="12" s="1"/>
  <c r="AV1" i="12" s="1"/>
  <c r="AW1" i="12" s="1"/>
  <c r="AX1" i="12" s="1"/>
  <c r="AO1" i="12"/>
  <c r="AO6" i="13"/>
  <c r="AP6" i="13" s="1"/>
  <c r="AQ6" i="13" s="1"/>
  <c r="AR6" i="13" s="1"/>
  <c r="AS6" i="13" s="1"/>
  <c r="AT6" i="13" s="1"/>
  <c r="AU6" i="13" s="1"/>
  <c r="AV6" i="13" s="1"/>
  <c r="AW6" i="13" s="1"/>
  <c r="AX6" i="13" s="1"/>
  <c r="AO17" i="13"/>
  <c r="AP17" i="13" s="1"/>
  <c r="AQ17" i="13" s="1"/>
  <c r="AR17" i="13" s="1"/>
  <c r="AS17" i="13" s="1"/>
  <c r="AT17" i="13" s="1"/>
  <c r="AU17" i="13" s="1"/>
  <c r="AV17" i="13" s="1"/>
  <c r="AW17" i="13" s="1"/>
  <c r="AX17" i="13" s="1"/>
  <c r="AO28" i="13"/>
  <c r="AP28" i="13" s="1"/>
  <c r="AQ28" i="13" s="1"/>
  <c r="AR28" i="13" s="1"/>
  <c r="AS28" i="13" s="1"/>
  <c r="AT28" i="13" s="1"/>
  <c r="AU28" i="13" s="1"/>
  <c r="AV28" i="13" s="1"/>
  <c r="AW28" i="13" s="1"/>
  <c r="AX28" i="13" s="1"/>
  <c r="AO39" i="13"/>
  <c r="AP39" i="13" s="1"/>
  <c r="AQ39" i="13" s="1"/>
  <c r="AR39" i="13" s="1"/>
  <c r="AS39" i="13" s="1"/>
  <c r="AT39" i="13" s="1"/>
  <c r="AU39" i="13" s="1"/>
  <c r="AV39" i="13" s="1"/>
  <c r="AW39" i="13" s="1"/>
  <c r="AX39" i="13" s="1"/>
  <c r="AO50" i="13"/>
  <c r="AP50" i="13" s="1"/>
  <c r="AQ50" i="13" s="1"/>
  <c r="AR50" i="13" s="1"/>
  <c r="AS50" i="13" s="1"/>
  <c r="AT50" i="13" s="1"/>
  <c r="AU50" i="13" s="1"/>
  <c r="AV50" i="13" s="1"/>
  <c r="AW50" i="13" s="1"/>
  <c r="AX50" i="13" s="1"/>
  <c r="AO61" i="13"/>
  <c r="AP61" i="13" s="1"/>
  <c r="AQ61" i="13" s="1"/>
  <c r="AR61" i="13" s="1"/>
  <c r="AS61" i="13" s="1"/>
  <c r="AT61" i="13" s="1"/>
  <c r="AU61" i="13" s="1"/>
  <c r="AV61" i="13" s="1"/>
  <c r="AW61" i="13" s="1"/>
  <c r="AX61" i="13" s="1"/>
  <c r="AO72" i="13"/>
  <c r="AP72" i="13" s="1"/>
  <c r="AQ72" i="13" s="1"/>
  <c r="AR72" i="13" s="1"/>
  <c r="AS72" i="13" s="1"/>
  <c r="AT72" i="13" s="1"/>
  <c r="AU72" i="13" s="1"/>
  <c r="AV72" i="13" s="1"/>
  <c r="AW72" i="13" s="1"/>
  <c r="AX72" i="13" s="1"/>
  <c r="AO83" i="13"/>
  <c r="AP83" i="13" s="1"/>
  <c r="AQ83" i="13" s="1"/>
  <c r="AR83" i="13" s="1"/>
  <c r="AS83" i="13" s="1"/>
  <c r="AT83" i="13" s="1"/>
  <c r="AU83" i="13" s="1"/>
  <c r="AV83" i="13" s="1"/>
  <c r="AW83" i="13" s="1"/>
  <c r="AX83" i="13" s="1"/>
  <c r="AO94" i="13"/>
  <c r="AP94" i="13" s="1"/>
  <c r="AQ94" i="13" s="1"/>
  <c r="AR94" i="13" s="1"/>
  <c r="AS94" i="13" s="1"/>
  <c r="AT94" i="13" s="1"/>
  <c r="AU94" i="13" s="1"/>
  <c r="AV94" i="13" s="1"/>
  <c r="AW94" i="13" s="1"/>
  <c r="AX94" i="13" s="1"/>
  <c r="AO172" i="13"/>
  <c r="AP172" i="13" s="1"/>
  <c r="AQ172" i="13" s="1"/>
  <c r="AR172" i="13" s="1"/>
  <c r="AS172" i="13" s="1"/>
  <c r="AT172" i="13" s="1"/>
  <c r="AU172" i="13" s="1"/>
  <c r="AV172" i="13" s="1"/>
  <c r="AW172" i="13" s="1"/>
  <c r="AX172" i="13" s="1"/>
  <c r="AP160" i="13"/>
  <c r="AQ160" i="13" s="1"/>
  <c r="AR160" i="13" s="1"/>
  <c r="AS160" i="13" s="1"/>
  <c r="AT160" i="13" s="1"/>
  <c r="AU160" i="13" s="1"/>
  <c r="AV160" i="13" s="1"/>
  <c r="AW160" i="13" s="1"/>
  <c r="AX160" i="13" s="1"/>
  <c r="AO160" i="13"/>
  <c r="AO149" i="13"/>
  <c r="AP149" i="13" s="1"/>
  <c r="AQ149" i="13" s="1"/>
  <c r="AR149" i="13" s="1"/>
  <c r="AS149" i="13" s="1"/>
  <c r="AT149" i="13" s="1"/>
  <c r="AU149" i="13" s="1"/>
  <c r="AV149" i="13" s="1"/>
  <c r="AW149" i="13" s="1"/>
  <c r="AX149" i="13" s="1"/>
  <c r="AO138" i="13"/>
  <c r="AP138" i="13" s="1"/>
  <c r="AQ138" i="13" s="1"/>
  <c r="AR138" i="13" s="1"/>
  <c r="AS138" i="13" s="1"/>
  <c r="AT138" i="13" s="1"/>
  <c r="AU138" i="13" s="1"/>
  <c r="AV138" i="13" s="1"/>
  <c r="AW138" i="13" s="1"/>
  <c r="AX138" i="13" s="1"/>
  <c r="AP127" i="13"/>
  <c r="AQ127" i="13" s="1"/>
  <c r="AR127" i="13" s="1"/>
  <c r="AS127" i="13" s="1"/>
  <c r="AT127" i="13" s="1"/>
  <c r="AU127" i="13" s="1"/>
  <c r="AV127" i="13" s="1"/>
  <c r="AW127" i="13" s="1"/>
  <c r="AX127" i="13" s="1"/>
  <c r="AO127" i="13"/>
  <c r="AO116" i="13"/>
  <c r="AP116" i="13" s="1"/>
  <c r="AQ116" i="13" s="1"/>
  <c r="AR116" i="13" s="1"/>
  <c r="AS116" i="13" s="1"/>
  <c r="AT116" i="13" s="1"/>
  <c r="AU116" i="13" s="1"/>
  <c r="AV116" i="13" s="1"/>
  <c r="AW116" i="13" s="1"/>
  <c r="AX116" i="13" s="1"/>
  <c r="AO105" i="13"/>
  <c r="AP105" i="13" s="1"/>
  <c r="AQ105" i="13" s="1"/>
  <c r="AR105" i="13" s="1"/>
  <c r="AS105" i="13" s="1"/>
  <c r="AT105" i="13" s="1"/>
  <c r="AU105" i="13" s="1"/>
  <c r="AV105" i="13" s="1"/>
  <c r="AW105" i="13" s="1"/>
  <c r="AX105" i="13" s="1"/>
  <c r="AO172" i="43"/>
  <c r="AP172" i="43" s="1"/>
  <c r="AQ172" i="43" s="1"/>
  <c r="AR172" i="43" s="1"/>
  <c r="AS172" i="43" s="1"/>
  <c r="AT172" i="43" s="1"/>
  <c r="AU172" i="43" s="1"/>
  <c r="AV172" i="43" s="1"/>
  <c r="AW172" i="43" s="1"/>
  <c r="AX172" i="43" s="1"/>
  <c r="AO160" i="43"/>
  <c r="AP160" i="43" s="1"/>
  <c r="AQ160" i="43" s="1"/>
  <c r="AR160" i="43" s="1"/>
  <c r="AS160" i="43" s="1"/>
  <c r="AT160" i="43" s="1"/>
  <c r="AU160" i="43" s="1"/>
  <c r="AV160" i="43" s="1"/>
  <c r="AW160" i="43" s="1"/>
  <c r="AX160" i="43" s="1"/>
  <c r="AO149" i="43"/>
  <c r="AP149" i="43" s="1"/>
  <c r="AQ149" i="43" s="1"/>
  <c r="AR149" i="43" s="1"/>
  <c r="AS149" i="43" s="1"/>
  <c r="AT149" i="43" s="1"/>
  <c r="AU149" i="43" s="1"/>
  <c r="AV149" i="43" s="1"/>
  <c r="AW149" i="43" s="1"/>
  <c r="AX149" i="43" s="1"/>
  <c r="AO138" i="43"/>
  <c r="AP138" i="43" s="1"/>
  <c r="AQ138" i="43" s="1"/>
  <c r="AR138" i="43" s="1"/>
  <c r="AS138" i="43" s="1"/>
  <c r="AT138" i="43" s="1"/>
  <c r="AU138" i="43" s="1"/>
  <c r="AV138" i="43" s="1"/>
  <c r="AW138" i="43" s="1"/>
  <c r="AX138" i="43" s="1"/>
  <c r="AO127" i="43"/>
  <c r="AP127" i="43" s="1"/>
  <c r="AQ127" i="43" s="1"/>
  <c r="AR127" i="43" s="1"/>
  <c r="AS127" i="43" s="1"/>
  <c r="AT127" i="43" s="1"/>
  <c r="AU127" i="43" s="1"/>
  <c r="AV127" i="43" s="1"/>
  <c r="AW127" i="43" s="1"/>
  <c r="AX127" i="43" s="1"/>
  <c r="AO116" i="43"/>
  <c r="AP116" i="43" s="1"/>
  <c r="AQ116" i="43" s="1"/>
  <c r="AR116" i="43" s="1"/>
  <c r="AS116" i="43" s="1"/>
  <c r="AT116" i="43" s="1"/>
  <c r="AU116" i="43" s="1"/>
  <c r="AV116" i="43" s="1"/>
  <c r="AW116" i="43" s="1"/>
  <c r="AX116" i="43" s="1"/>
  <c r="AO105" i="43"/>
  <c r="AP105" i="43" s="1"/>
  <c r="AQ105" i="43" s="1"/>
  <c r="AR105" i="43" s="1"/>
  <c r="AS105" i="43" s="1"/>
  <c r="AT105" i="43" s="1"/>
  <c r="AU105" i="43" s="1"/>
  <c r="AV105" i="43" s="1"/>
  <c r="AW105" i="43" s="1"/>
  <c r="AX105" i="43" s="1"/>
  <c r="AO94" i="43"/>
  <c r="AP94" i="43" s="1"/>
  <c r="AQ94" i="43" s="1"/>
  <c r="AR94" i="43" s="1"/>
  <c r="AS94" i="43" s="1"/>
  <c r="AT94" i="43" s="1"/>
  <c r="AU94" i="43" s="1"/>
  <c r="AV94" i="43" s="1"/>
  <c r="AW94" i="43" s="1"/>
  <c r="AX94" i="43" s="1"/>
  <c r="AO83" i="43"/>
  <c r="AP83" i="43" s="1"/>
  <c r="AQ83" i="43" s="1"/>
  <c r="AR83" i="43" s="1"/>
  <c r="AS83" i="43" s="1"/>
  <c r="AT83" i="43" s="1"/>
  <c r="AU83" i="43" s="1"/>
  <c r="AV83" i="43" s="1"/>
  <c r="AW83" i="43" s="1"/>
  <c r="AX83" i="43" s="1"/>
  <c r="AO72" i="43"/>
  <c r="AP72" i="43" s="1"/>
  <c r="AQ72" i="43" s="1"/>
  <c r="AR72" i="43" s="1"/>
  <c r="AS72" i="43" s="1"/>
  <c r="AT72" i="43" s="1"/>
  <c r="AU72" i="43" s="1"/>
  <c r="AV72" i="43" s="1"/>
  <c r="AW72" i="43" s="1"/>
  <c r="AX72" i="43" s="1"/>
  <c r="AO61" i="43"/>
  <c r="AP61" i="43" s="1"/>
  <c r="AQ61" i="43" s="1"/>
  <c r="AR61" i="43" s="1"/>
  <c r="AS61" i="43" s="1"/>
  <c r="AT61" i="43" s="1"/>
  <c r="AU61" i="43" s="1"/>
  <c r="AV61" i="43" s="1"/>
  <c r="AW61" i="43" s="1"/>
  <c r="AX61" i="43" s="1"/>
  <c r="AO50" i="43"/>
  <c r="AP50" i="43" s="1"/>
  <c r="AQ50" i="43" s="1"/>
  <c r="AR50" i="43" s="1"/>
  <c r="AS50" i="43" s="1"/>
  <c r="AT50" i="43" s="1"/>
  <c r="AU50" i="43" s="1"/>
  <c r="AV50" i="43" s="1"/>
  <c r="AW50" i="43" s="1"/>
  <c r="AX50" i="43" s="1"/>
  <c r="AO39" i="43"/>
  <c r="AP39" i="43" s="1"/>
  <c r="AQ39" i="43" s="1"/>
  <c r="AR39" i="43" s="1"/>
  <c r="AS39" i="43" s="1"/>
  <c r="AT39" i="43" s="1"/>
  <c r="AU39" i="43" s="1"/>
  <c r="AV39" i="43" s="1"/>
  <c r="AW39" i="43" s="1"/>
  <c r="AX39" i="43" s="1"/>
  <c r="AO28" i="43"/>
  <c r="AP28" i="43" s="1"/>
  <c r="AQ28" i="43" s="1"/>
  <c r="AR28" i="43" s="1"/>
  <c r="AS28" i="43" s="1"/>
  <c r="AT28" i="43" s="1"/>
  <c r="AU28" i="43" s="1"/>
  <c r="AV28" i="43" s="1"/>
  <c r="AW28" i="43" s="1"/>
  <c r="AX28" i="43" s="1"/>
  <c r="AO17" i="43"/>
  <c r="AP17" i="43" s="1"/>
  <c r="AQ17" i="43" s="1"/>
  <c r="AR17" i="43" s="1"/>
  <c r="AS17" i="43" s="1"/>
  <c r="AT17" i="43" s="1"/>
  <c r="AU17" i="43" s="1"/>
  <c r="AV17" i="43" s="1"/>
  <c r="AW17" i="43" s="1"/>
  <c r="AX17" i="43" s="1"/>
  <c r="AO6" i="43"/>
  <c r="AP6" i="43" s="1"/>
  <c r="AQ6" i="43" s="1"/>
  <c r="AR6" i="43" s="1"/>
  <c r="AS6" i="43" s="1"/>
  <c r="AT6" i="43" s="1"/>
  <c r="AU6" i="43" s="1"/>
  <c r="AV6" i="43" s="1"/>
  <c r="AW6" i="43" s="1"/>
  <c r="AX6" i="43" s="1"/>
  <c r="AO216" i="11"/>
  <c r="AP216" i="11" s="1"/>
  <c r="AQ216" i="11" s="1"/>
  <c r="AR216" i="11" s="1"/>
  <c r="AS216" i="11" s="1"/>
  <c r="AT216" i="11" s="1"/>
  <c r="AU216" i="11" s="1"/>
  <c r="AV216" i="11" s="1"/>
  <c r="AW216" i="11" s="1"/>
  <c r="AX216" i="11" s="1"/>
  <c r="AP206" i="11"/>
  <c r="AQ206" i="11" s="1"/>
  <c r="AR206" i="11" s="1"/>
  <c r="AS206" i="11" s="1"/>
  <c r="AT206" i="11" s="1"/>
  <c r="AU206" i="11" s="1"/>
  <c r="AV206" i="11" s="1"/>
  <c r="AW206" i="11" s="1"/>
  <c r="AX206" i="11" s="1"/>
  <c r="AO206" i="11"/>
  <c r="AO196" i="11"/>
  <c r="AP196" i="11" s="1"/>
  <c r="AQ196" i="11" s="1"/>
  <c r="AR196" i="11" s="1"/>
  <c r="AS196" i="11" s="1"/>
  <c r="AT196" i="11" s="1"/>
  <c r="AU196" i="11" s="1"/>
  <c r="AV196" i="11" s="1"/>
  <c r="AW196" i="11" s="1"/>
  <c r="AX196" i="11" s="1"/>
  <c r="AO186" i="11"/>
  <c r="AP186" i="11" s="1"/>
  <c r="AQ186" i="11" s="1"/>
  <c r="AR186" i="11" s="1"/>
  <c r="AS186" i="11" s="1"/>
  <c r="AT186" i="11" s="1"/>
  <c r="AU186" i="11" s="1"/>
  <c r="AV186" i="11" s="1"/>
  <c r="AW186" i="11" s="1"/>
  <c r="AX186" i="11" s="1"/>
  <c r="AO176" i="11"/>
  <c r="AP176" i="11" s="1"/>
  <c r="AQ176" i="11" s="1"/>
  <c r="AR176" i="11" s="1"/>
  <c r="AS176" i="11" s="1"/>
  <c r="AT176" i="11" s="1"/>
  <c r="AU176" i="11" s="1"/>
  <c r="AV176" i="11" s="1"/>
  <c r="AW176" i="11" s="1"/>
  <c r="AX176" i="11" s="1"/>
  <c r="AO166" i="11"/>
  <c r="AP166" i="11" s="1"/>
  <c r="AQ166" i="11" s="1"/>
  <c r="AR166" i="11" s="1"/>
  <c r="AS166" i="11" s="1"/>
  <c r="AT166" i="11" s="1"/>
  <c r="AU166" i="11" s="1"/>
  <c r="AV166" i="11" s="1"/>
  <c r="AW166" i="11" s="1"/>
  <c r="AX166" i="11" s="1"/>
  <c r="AO151" i="11"/>
  <c r="AP151" i="11" s="1"/>
  <c r="AQ151" i="11" s="1"/>
  <c r="AR151" i="11" s="1"/>
  <c r="AS151" i="11" s="1"/>
  <c r="AT151" i="11" s="1"/>
  <c r="AU151" i="11" s="1"/>
  <c r="AV151" i="11" s="1"/>
  <c r="AW151" i="11" s="1"/>
  <c r="AX151" i="11" s="1"/>
  <c r="AO136" i="11"/>
  <c r="AP136" i="11" s="1"/>
  <c r="AQ136" i="11" s="1"/>
  <c r="AR136" i="11" s="1"/>
  <c r="AS136" i="11" s="1"/>
  <c r="AT136" i="11" s="1"/>
  <c r="AU136" i="11" s="1"/>
  <c r="AV136" i="11" s="1"/>
  <c r="AW136" i="11" s="1"/>
  <c r="AX136" i="11" s="1"/>
  <c r="AO121" i="11"/>
  <c r="AP121" i="11" s="1"/>
  <c r="AQ121" i="11" s="1"/>
  <c r="AR121" i="11" s="1"/>
  <c r="AS121" i="11" s="1"/>
  <c r="AT121" i="11" s="1"/>
  <c r="AU121" i="11" s="1"/>
  <c r="AV121" i="11" s="1"/>
  <c r="AW121" i="11" s="1"/>
  <c r="AX121" i="11" s="1"/>
  <c r="AP106" i="11"/>
  <c r="AQ106" i="11" s="1"/>
  <c r="AR106" i="11" s="1"/>
  <c r="AS106" i="11" s="1"/>
  <c r="AT106" i="11" s="1"/>
  <c r="AU106" i="11" s="1"/>
  <c r="AV106" i="11" s="1"/>
  <c r="AW106" i="11" s="1"/>
  <c r="AX106" i="11" s="1"/>
  <c r="AO106" i="11"/>
  <c r="AO91" i="11"/>
  <c r="AP91" i="11" s="1"/>
  <c r="AQ91" i="11" s="1"/>
  <c r="AR91" i="11" s="1"/>
  <c r="AS91" i="11" s="1"/>
  <c r="AT91" i="11" s="1"/>
  <c r="AU91" i="11" s="1"/>
  <c r="AV91" i="11" s="1"/>
  <c r="AW91" i="11" s="1"/>
  <c r="AX91" i="11" s="1"/>
  <c r="AO76" i="11"/>
  <c r="AP76" i="11" s="1"/>
  <c r="AQ76" i="11" s="1"/>
  <c r="AR76" i="11" s="1"/>
  <c r="AS76" i="11" s="1"/>
  <c r="AT76" i="11" s="1"/>
  <c r="AU76" i="11" s="1"/>
  <c r="AV76" i="11" s="1"/>
  <c r="AW76" i="11" s="1"/>
  <c r="AX76" i="11" s="1"/>
  <c r="AO210" i="42"/>
  <c r="AP210" i="42" s="1"/>
  <c r="AQ210" i="42" s="1"/>
  <c r="AR210" i="42" s="1"/>
  <c r="AS210" i="42" s="1"/>
  <c r="AT210" i="42" s="1"/>
  <c r="AU210" i="42" s="1"/>
  <c r="AV210" i="42" s="1"/>
  <c r="AW210" i="42" s="1"/>
  <c r="AX210" i="42" s="1"/>
  <c r="AO200" i="42"/>
  <c r="AP200" i="42" s="1"/>
  <c r="AQ200" i="42" s="1"/>
  <c r="AR200" i="42" s="1"/>
  <c r="AS200" i="42" s="1"/>
  <c r="AT200" i="42" s="1"/>
  <c r="AU200" i="42" s="1"/>
  <c r="AV200" i="42" s="1"/>
  <c r="AW200" i="42" s="1"/>
  <c r="AX200" i="42" s="1"/>
  <c r="AO190" i="42"/>
  <c r="AP190" i="42" s="1"/>
  <c r="AQ190" i="42" s="1"/>
  <c r="AR190" i="42" s="1"/>
  <c r="AS190" i="42" s="1"/>
  <c r="AT190" i="42" s="1"/>
  <c r="AU190" i="42" s="1"/>
  <c r="AV190" i="42" s="1"/>
  <c r="AW190" i="42" s="1"/>
  <c r="AX190" i="42" s="1"/>
  <c r="AO180" i="42"/>
  <c r="AP180" i="42" s="1"/>
  <c r="AQ180" i="42" s="1"/>
  <c r="AR180" i="42" s="1"/>
  <c r="AS180" i="42" s="1"/>
  <c r="AT180" i="42" s="1"/>
  <c r="AU180" i="42" s="1"/>
  <c r="AV180" i="42" s="1"/>
  <c r="AW180" i="42" s="1"/>
  <c r="AX180" i="42" s="1"/>
  <c r="AO171" i="42"/>
  <c r="AP171" i="42" s="1"/>
  <c r="AQ171" i="42" s="1"/>
  <c r="AR171" i="42" s="1"/>
  <c r="AS171" i="42" s="1"/>
  <c r="AT171" i="42" s="1"/>
  <c r="AU171" i="42" s="1"/>
  <c r="AV171" i="42" s="1"/>
  <c r="AW171" i="42" s="1"/>
  <c r="AX171" i="42" s="1"/>
  <c r="AO156" i="42"/>
  <c r="AP156" i="42" s="1"/>
  <c r="AQ156" i="42" s="1"/>
  <c r="AR156" i="42" s="1"/>
  <c r="AS156" i="42" s="1"/>
  <c r="AT156" i="42" s="1"/>
  <c r="AU156" i="42" s="1"/>
  <c r="AV156" i="42" s="1"/>
  <c r="AW156" i="42" s="1"/>
  <c r="AX156" i="42" s="1"/>
  <c r="AO141" i="42"/>
  <c r="AP141" i="42" s="1"/>
  <c r="AQ141" i="42" s="1"/>
  <c r="AR141" i="42" s="1"/>
  <c r="AS141" i="42" s="1"/>
  <c r="AT141" i="42" s="1"/>
  <c r="AU141" i="42" s="1"/>
  <c r="AV141" i="42" s="1"/>
  <c r="AW141" i="42" s="1"/>
  <c r="AX141" i="42" s="1"/>
  <c r="AO126" i="42"/>
  <c r="AP126" i="42" s="1"/>
  <c r="AQ126" i="42" s="1"/>
  <c r="AR126" i="42" s="1"/>
  <c r="AS126" i="42" s="1"/>
  <c r="AT126" i="42" s="1"/>
  <c r="AU126" i="42" s="1"/>
  <c r="AV126" i="42" s="1"/>
  <c r="AW126" i="42" s="1"/>
  <c r="AX126" i="42" s="1"/>
  <c r="AO111" i="42"/>
  <c r="AP111" i="42" s="1"/>
  <c r="AQ111" i="42" s="1"/>
  <c r="AR111" i="42" s="1"/>
  <c r="AS111" i="42" s="1"/>
  <c r="AT111" i="42" s="1"/>
  <c r="AU111" i="42" s="1"/>
  <c r="AV111" i="42" s="1"/>
  <c r="AW111" i="42" s="1"/>
  <c r="AX111" i="42" s="1"/>
  <c r="AO96" i="42"/>
  <c r="AP96" i="42" s="1"/>
  <c r="AQ96" i="42" s="1"/>
  <c r="AR96" i="42" s="1"/>
  <c r="AS96" i="42" s="1"/>
  <c r="AT96" i="42" s="1"/>
  <c r="AU96" i="42" s="1"/>
  <c r="AV96" i="42" s="1"/>
  <c r="AW96" i="42" s="1"/>
  <c r="AX96" i="42" s="1"/>
  <c r="AO81" i="42"/>
  <c r="AP81" i="42" s="1"/>
  <c r="AQ81" i="42" s="1"/>
  <c r="AR81" i="42" s="1"/>
  <c r="AS81" i="42" s="1"/>
  <c r="AT81" i="42" s="1"/>
  <c r="AU81" i="42" s="1"/>
  <c r="AV81" i="42" s="1"/>
  <c r="AW81" i="42" s="1"/>
  <c r="AX81" i="42" s="1"/>
  <c r="AO66" i="42"/>
  <c r="AP66" i="42" s="1"/>
  <c r="AQ66" i="42" s="1"/>
  <c r="AR66" i="42" s="1"/>
  <c r="AS66" i="42" s="1"/>
  <c r="AT66" i="42" s="1"/>
  <c r="AU66" i="42" s="1"/>
  <c r="AV66" i="42" s="1"/>
  <c r="AW66" i="42" s="1"/>
  <c r="AX66" i="42" s="1"/>
  <c r="AO51" i="42"/>
  <c r="AP51" i="42" s="1"/>
  <c r="AQ51" i="42" s="1"/>
  <c r="AR51" i="42" s="1"/>
  <c r="AS51" i="42" s="1"/>
  <c r="AT51" i="42" s="1"/>
  <c r="AU51" i="42" s="1"/>
  <c r="AV51" i="42" s="1"/>
  <c r="AW51" i="42" s="1"/>
  <c r="AX51" i="42" s="1"/>
  <c r="AO36" i="42"/>
  <c r="AP36" i="42" s="1"/>
  <c r="AQ36" i="42" s="1"/>
  <c r="AR36" i="42" s="1"/>
  <c r="AS36" i="42" s="1"/>
  <c r="AT36" i="42" s="1"/>
  <c r="AU36" i="42" s="1"/>
  <c r="AV36" i="42" s="1"/>
  <c r="AW36" i="42" s="1"/>
  <c r="AX36" i="42" s="1"/>
  <c r="AO16" i="42"/>
  <c r="AP16" i="42" s="1"/>
  <c r="AQ16" i="42" s="1"/>
  <c r="AR16" i="42" s="1"/>
  <c r="AS16" i="42" s="1"/>
  <c r="AT16" i="42" s="1"/>
  <c r="AU16" i="42" s="1"/>
  <c r="AV16" i="42" s="1"/>
  <c r="AW16" i="42" s="1"/>
  <c r="AX16" i="42" s="1"/>
  <c r="AO6" i="42"/>
  <c r="AP6" i="42" s="1"/>
  <c r="AQ6" i="42" s="1"/>
  <c r="AR6" i="42" s="1"/>
  <c r="AS6" i="42" s="1"/>
  <c r="AT6" i="42" s="1"/>
  <c r="AU6" i="42" s="1"/>
  <c r="AV6" i="42" s="1"/>
  <c r="AW6" i="42" s="1"/>
  <c r="AX6" i="42" s="1"/>
  <c r="C15" i="15"/>
  <c r="D15" i="15"/>
  <c r="E15" i="15"/>
  <c r="F15" i="15"/>
  <c r="G15" i="15"/>
  <c r="H15" i="15"/>
  <c r="I15" i="15"/>
  <c r="J15" i="15"/>
  <c r="K15" i="15"/>
  <c r="L15" i="15"/>
  <c r="M15" i="15"/>
  <c r="N15" i="15"/>
  <c r="O15" i="15"/>
  <c r="P15" i="15"/>
  <c r="Q15" i="15"/>
  <c r="R15" i="15"/>
  <c r="S15" i="15"/>
  <c r="T15" i="15"/>
  <c r="U15" i="15"/>
  <c r="V15" i="15"/>
  <c r="W15" i="15"/>
  <c r="X15" i="15"/>
  <c r="Y15" i="15"/>
  <c r="Z15" i="15"/>
  <c r="AA15" i="15"/>
  <c r="AB15" i="15"/>
  <c r="AC15" i="15"/>
  <c r="AD15" i="15"/>
  <c r="AE15" i="15"/>
  <c r="AF15" i="15"/>
  <c r="AG15" i="15"/>
  <c r="AH15" i="15"/>
  <c r="AI15" i="15"/>
  <c r="AJ15" i="15"/>
  <c r="AK15" i="15"/>
  <c r="AL15" i="15"/>
  <c r="AM15" i="15"/>
  <c r="AN15" i="15"/>
  <c r="B15" i="15"/>
  <c r="AR31" i="44" l="1"/>
  <c r="AQ31" i="15"/>
  <c r="AO119" i="43"/>
  <c r="AP119" i="43" s="1"/>
  <c r="AQ119" i="43" s="1"/>
  <c r="AR119" i="43" s="1"/>
  <c r="AS119" i="43" s="1"/>
  <c r="AT119" i="43" s="1"/>
  <c r="AU119" i="43" s="1"/>
  <c r="AV119" i="43" s="1"/>
  <c r="AW119" i="43" s="1"/>
  <c r="AX119" i="43" s="1"/>
  <c r="AO118" i="43"/>
  <c r="AP118" i="43" s="1"/>
  <c r="AQ118" i="43" s="1"/>
  <c r="AR118" i="43" s="1"/>
  <c r="AS118" i="43" s="1"/>
  <c r="AT118" i="43" s="1"/>
  <c r="AU118" i="43" s="1"/>
  <c r="AV118" i="43" s="1"/>
  <c r="AW118" i="43" s="1"/>
  <c r="AX118" i="43" s="1"/>
  <c r="AO88" i="42"/>
  <c r="AP88" i="42" s="1"/>
  <c r="AQ88" i="42" s="1"/>
  <c r="AR88" i="42" s="1"/>
  <c r="AS88" i="42" s="1"/>
  <c r="AT88" i="42" s="1"/>
  <c r="AU88" i="42" s="1"/>
  <c r="AV88" i="42" s="1"/>
  <c r="AW88" i="42" s="1"/>
  <c r="AX88" i="42" s="1"/>
  <c r="AO89" i="42"/>
  <c r="AP89" i="42" s="1"/>
  <c r="AQ89" i="42" s="1"/>
  <c r="AR89" i="42" s="1"/>
  <c r="AS89" i="42" s="1"/>
  <c r="AT89" i="42" s="1"/>
  <c r="AU89" i="42" s="1"/>
  <c r="AV89" i="42" s="1"/>
  <c r="AW89" i="42" s="1"/>
  <c r="AX89" i="42" s="1"/>
  <c r="AO82" i="42"/>
  <c r="AP82" i="42" s="1"/>
  <c r="AQ82" i="42" s="1"/>
  <c r="AR82" i="42" s="1"/>
  <c r="AS82" i="42" s="1"/>
  <c r="AT82" i="42" s="1"/>
  <c r="AU82" i="42" s="1"/>
  <c r="AV82" i="42" s="1"/>
  <c r="AW82" i="42" s="1"/>
  <c r="AX82" i="42" s="1"/>
  <c r="AO83" i="42"/>
  <c r="AP83" i="42" s="1"/>
  <c r="AQ83" i="42" s="1"/>
  <c r="AR83" i="42" s="1"/>
  <c r="AS83" i="42" s="1"/>
  <c r="AT83" i="42" s="1"/>
  <c r="AU83" i="42" s="1"/>
  <c r="AV83" i="42" s="1"/>
  <c r="AW83" i="42" s="1"/>
  <c r="AX83" i="42" s="1"/>
  <c r="AO84" i="42"/>
  <c r="AP84" i="42" s="1"/>
  <c r="AQ84" i="42" s="1"/>
  <c r="AR84" i="42" s="1"/>
  <c r="AS84" i="42" s="1"/>
  <c r="AT84" i="42" s="1"/>
  <c r="AU84" i="42" s="1"/>
  <c r="AV84" i="42" s="1"/>
  <c r="AW84" i="42" s="1"/>
  <c r="AX84" i="42" s="1"/>
  <c r="AO85" i="42"/>
  <c r="AP85" i="42" s="1"/>
  <c r="AQ85" i="42" s="1"/>
  <c r="AR85" i="42" s="1"/>
  <c r="AS85" i="42" s="1"/>
  <c r="AT85" i="42" s="1"/>
  <c r="AU85" i="42" s="1"/>
  <c r="AV85" i="42" s="1"/>
  <c r="AW85" i="42" s="1"/>
  <c r="AX85" i="42" s="1"/>
  <c r="AO43" i="42"/>
  <c r="AP43" i="42" s="1"/>
  <c r="AQ43" i="42" s="1"/>
  <c r="AR43" i="42" s="1"/>
  <c r="AS43" i="42" s="1"/>
  <c r="AT43" i="42" s="1"/>
  <c r="AU43" i="42" s="1"/>
  <c r="AV43" i="42" s="1"/>
  <c r="AW43" i="42" s="1"/>
  <c r="AX43" i="42" s="1"/>
  <c r="AO44" i="42"/>
  <c r="AP44" i="42" s="1"/>
  <c r="AQ44" i="42" s="1"/>
  <c r="AR44" i="42" s="1"/>
  <c r="AS44" i="42" s="1"/>
  <c r="AT44" i="42" s="1"/>
  <c r="AU44" i="42" s="1"/>
  <c r="AV44" i="42" s="1"/>
  <c r="AW44" i="42" s="1"/>
  <c r="AX44" i="42" s="1"/>
  <c r="AO37" i="42"/>
  <c r="AP37" i="42" s="1"/>
  <c r="AQ37" i="42" s="1"/>
  <c r="AR37" i="42" s="1"/>
  <c r="AS37" i="42" s="1"/>
  <c r="AT37" i="42" s="1"/>
  <c r="AU37" i="42" s="1"/>
  <c r="AV37" i="42" s="1"/>
  <c r="AW37" i="42" s="1"/>
  <c r="AX37" i="42" s="1"/>
  <c r="AO38" i="42"/>
  <c r="AP38" i="42" s="1"/>
  <c r="AQ38" i="42" s="1"/>
  <c r="AR38" i="42" s="1"/>
  <c r="AS38" i="42" s="1"/>
  <c r="AT38" i="42" s="1"/>
  <c r="AU38" i="42" s="1"/>
  <c r="AV38" i="42" s="1"/>
  <c r="AW38" i="42" s="1"/>
  <c r="AX38" i="42" s="1"/>
  <c r="AO39" i="42"/>
  <c r="AP39" i="42" s="1"/>
  <c r="AQ39" i="42" s="1"/>
  <c r="AR39" i="42" s="1"/>
  <c r="AS39" i="42" s="1"/>
  <c r="AT39" i="42" s="1"/>
  <c r="AU39" i="42" s="1"/>
  <c r="AV39" i="42" s="1"/>
  <c r="AW39" i="42" s="1"/>
  <c r="AX39" i="42" s="1"/>
  <c r="AO40" i="42"/>
  <c r="AP40" i="42" s="1"/>
  <c r="AQ40" i="42" s="1"/>
  <c r="AR40" i="42" s="1"/>
  <c r="AS40" i="42" s="1"/>
  <c r="AT40" i="42" s="1"/>
  <c r="AU40" i="42" s="1"/>
  <c r="AV40" i="42" s="1"/>
  <c r="AW40" i="42" s="1"/>
  <c r="AX40" i="42" s="1"/>
  <c r="AO87" i="42"/>
  <c r="AP87" i="42" s="1"/>
  <c r="AQ87" i="42" s="1"/>
  <c r="AR87" i="42" s="1"/>
  <c r="AS87" i="42" s="1"/>
  <c r="AT87" i="42" s="1"/>
  <c r="AU87" i="42" s="1"/>
  <c r="AV87" i="42" s="1"/>
  <c r="AW87" i="42" s="1"/>
  <c r="AX87" i="42" s="1"/>
  <c r="AO86" i="42"/>
  <c r="AP86" i="42" s="1"/>
  <c r="AQ86" i="42" s="1"/>
  <c r="AR86" i="42" s="1"/>
  <c r="AS86" i="42" s="1"/>
  <c r="AT86" i="42" s="1"/>
  <c r="AU86" i="42" s="1"/>
  <c r="AV86" i="42" s="1"/>
  <c r="AW86" i="42" s="1"/>
  <c r="AX86" i="42" s="1"/>
  <c r="AO131" i="42"/>
  <c r="AP131" i="42" s="1"/>
  <c r="AQ131" i="42" s="1"/>
  <c r="AR131" i="42" s="1"/>
  <c r="AS131" i="42" s="1"/>
  <c r="AT131" i="42" s="1"/>
  <c r="AU131" i="42" s="1"/>
  <c r="AV131" i="42" s="1"/>
  <c r="AW131" i="42" s="1"/>
  <c r="AX131" i="42" s="1"/>
  <c r="AO18" i="42"/>
  <c r="AP18" i="42" s="1"/>
  <c r="AQ18" i="42" s="1"/>
  <c r="AR18" i="42" s="1"/>
  <c r="AS18" i="42" s="1"/>
  <c r="AT18" i="42" s="1"/>
  <c r="AU18" i="42" s="1"/>
  <c r="AV18" i="42" s="1"/>
  <c r="AW18" i="42" s="1"/>
  <c r="AX18" i="42" s="1"/>
  <c r="AO130" i="42"/>
  <c r="AP130" i="42" s="1"/>
  <c r="AQ130" i="42" s="1"/>
  <c r="AR130" i="42" s="1"/>
  <c r="AS130" i="42" s="1"/>
  <c r="AT130" i="42" s="1"/>
  <c r="AU130" i="42" s="1"/>
  <c r="AV130" i="42" s="1"/>
  <c r="AW130" i="42" s="1"/>
  <c r="AX130" i="42" s="1"/>
  <c r="AO17" i="42"/>
  <c r="AP17" i="42" s="1"/>
  <c r="AQ17" i="42" s="1"/>
  <c r="AR17" i="42" s="1"/>
  <c r="AS17" i="42" s="1"/>
  <c r="AT17" i="42" s="1"/>
  <c r="AU17" i="42" s="1"/>
  <c r="AV17" i="42" s="1"/>
  <c r="AW17" i="42" s="1"/>
  <c r="AX17" i="42" s="1"/>
  <c r="AO71" i="42"/>
  <c r="AP71" i="42" s="1"/>
  <c r="AQ71" i="42" s="1"/>
  <c r="AR71" i="42" s="1"/>
  <c r="AS71" i="42" s="1"/>
  <c r="AT71" i="42" s="1"/>
  <c r="AU71" i="42" s="1"/>
  <c r="AV71" i="42" s="1"/>
  <c r="AW71" i="42" s="1"/>
  <c r="AX71" i="42" s="1"/>
  <c r="AO129" i="42"/>
  <c r="AP129" i="42" s="1"/>
  <c r="AQ129" i="42" s="1"/>
  <c r="AR129" i="42" s="1"/>
  <c r="AS129" i="42" s="1"/>
  <c r="AT129" i="42" s="1"/>
  <c r="AU129" i="42" s="1"/>
  <c r="AV129" i="42" s="1"/>
  <c r="AW129" i="42" s="1"/>
  <c r="AX129" i="42" s="1"/>
  <c r="AO24" i="42"/>
  <c r="AP24" i="42" s="1"/>
  <c r="AQ24" i="42" s="1"/>
  <c r="AR24" i="42" s="1"/>
  <c r="AS24" i="42" s="1"/>
  <c r="AT24" i="42" s="1"/>
  <c r="AU24" i="42" s="1"/>
  <c r="AV24" i="42" s="1"/>
  <c r="AW24" i="42" s="1"/>
  <c r="AX24" i="42" s="1"/>
  <c r="AO52" i="42"/>
  <c r="AP52" i="42" s="1"/>
  <c r="AQ52" i="42" s="1"/>
  <c r="AR52" i="42" s="1"/>
  <c r="AS52" i="42" s="1"/>
  <c r="AT52" i="42" s="1"/>
  <c r="AU52" i="42" s="1"/>
  <c r="AV52" i="42" s="1"/>
  <c r="AW52" i="42" s="1"/>
  <c r="AX52" i="42" s="1"/>
  <c r="AO70" i="42"/>
  <c r="AP70" i="42" s="1"/>
  <c r="AQ70" i="42" s="1"/>
  <c r="AR70" i="42" s="1"/>
  <c r="AS70" i="42" s="1"/>
  <c r="AT70" i="42" s="1"/>
  <c r="AU70" i="42" s="1"/>
  <c r="AV70" i="42" s="1"/>
  <c r="AW70" i="42" s="1"/>
  <c r="AX70" i="42" s="1"/>
  <c r="AO119" i="42"/>
  <c r="AP119" i="42" s="1"/>
  <c r="AQ119" i="42" s="1"/>
  <c r="AR119" i="42" s="1"/>
  <c r="AS119" i="42" s="1"/>
  <c r="AT119" i="42" s="1"/>
  <c r="AU119" i="42" s="1"/>
  <c r="AV119" i="42" s="1"/>
  <c r="AW119" i="42" s="1"/>
  <c r="AX119" i="42" s="1"/>
  <c r="AO128" i="42"/>
  <c r="AP128" i="42" s="1"/>
  <c r="AQ128" i="42" s="1"/>
  <c r="AR128" i="42" s="1"/>
  <c r="AS128" i="42" s="1"/>
  <c r="AT128" i="42" s="1"/>
  <c r="AU128" i="42" s="1"/>
  <c r="AV128" i="42" s="1"/>
  <c r="AW128" i="42" s="1"/>
  <c r="AX128" i="42" s="1"/>
  <c r="AO164" i="42"/>
  <c r="AP164" i="42" s="1"/>
  <c r="AQ164" i="42" s="1"/>
  <c r="AR164" i="42" s="1"/>
  <c r="AS164" i="42" s="1"/>
  <c r="AT164" i="42" s="1"/>
  <c r="AU164" i="42" s="1"/>
  <c r="AV164" i="42" s="1"/>
  <c r="AW164" i="42" s="1"/>
  <c r="AX164" i="42" s="1"/>
  <c r="AO127" i="42"/>
  <c r="AP127" i="42" s="1"/>
  <c r="AQ127" i="42" s="1"/>
  <c r="AR127" i="42" s="1"/>
  <c r="AS127" i="42" s="1"/>
  <c r="AT127" i="42" s="1"/>
  <c r="AU127" i="42" s="1"/>
  <c r="AV127" i="42" s="1"/>
  <c r="AW127" i="42" s="1"/>
  <c r="AX127" i="42" s="1"/>
  <c r="AO134" i="42"/>
  <c r="AP134" i="42" s="1"/>
  <c r="AQ134" i="42" s="1"/>
  <c r="AR134" i="42" s="1"/>
  <c r="AS134" i="42" s="1"/>
  <c r="AT134" i="42" s="1"/>
  <c r="AU134" i="42" s="1"/>
  <c r="AV134" i="42" s="1"/>
  <c r="AW134" i="42" s="1"/>
  <c r="AX134" i="42" s="1"/>
  <c r="C16" i="16"/>
  <c r="C17" i="16"/>
  <c r="C15" i="16"/>
  <c r="C23" i="15"/>
  <c r="D23" i="15"/>
  <c r="E23" i="15"/>
  <c r="F23" i="15"/>
  <c r="G23" i="15"/>
  <c r="J10" i="16" s="1"/>
  <c r="H23" i="15"/>
  <c r="K10" i="16" s="1"/>
  <c r="I23" i="15"/>
  <c r="J23" i="15"/>
  <c r="K23" i="15"/>
  <c r="L23" i="15"/>
  <c r="M23" i="15"/>
  <c r="N23" i="15"/>
  <c r="Q10" i="16" s="1"/>
  <c r="O23" i="15"/>
  <c r="R10" i="16" s="1"/>
  <c r="P23" i="15"/>
  <c r="S10" i="16" s="1"/>
  <c r="Q23" i="15"/>
  <c r="R23" i="15"/>
  <c r="S23" i="15"/>
  <c r="T23" i="15"/>
  <c r="U23" i="15"/>
  <c r="V23" i="15"/>
  <c r="Y10" i="16" s="1"/>
  <c r="W23" i="15"/>
  <c r="Z10" i="16" s="1"/>
  <c r="X23" i="15"/>
  <c r="AA10" i="16" s="1"/>
  <c r="Y23" i="15"/>
  <c r="Z23" i="15"/>
  <c r="AA23" i="15"/>
  <c r="AB23" i="15"/>
  <c r="AC23" i="15"/>
  <c r="AD23" i="15"/>
  <c r="AG10" i="16" s="1"/>
  <c r="AE23" i="15"/>
  <c r="AH10" i="16" s="1"/>
  <c r="AF23" i="15"/>
  <c r="AI10" i="16" s="1"/>
  <c r="AG23" i="15"/>
  <c r="AH23" i="15"/>
  <c r="AI23" i="15"/>
  <c r="AJ23" i="15"/>
  <c r="AK23" i="15"/>
  <c r="AL23" i="15"/>
  <c r="AO10" i="16" s="1"/>
  <c r="AM23" i="15"/>
  <c r="AP10" i="16" s="1"/>
  <c r="AN23" i="15"/>
  <c r="AQ10" i="16" s="1"/>
  <c r="B23" i="15"/>
  <c r="F10" i="16"/>
  <c r="G10" i="16"/>
  <c r="H10" i="16"/>
  <c r="I10" i="16"/>
  <c r="L10" i="16"/>
  <c r="M10" i="16"/>
  <c r="N10" i="16"/>
  <c r="O10" i="16"/>
  <c r="P10" i="16"/>
  <c r="T10" i="16"/>
  <c r="U10" i="16"/>
  <c r="V10" i="16"/>
  <c r="W10" i="16"/>
  <c r="X10" i="16"/>
  <c r="AB10" i="16"/>
  <c r="AC10" i="16"/>
  <c r="AD10" i="16"/>
  <c r="AE10" i="16"/>
  <c r="AF10" i="16"/>
  <c r="AJ10" i="16"/>
  <c r="AK10" i="16"/>
  <c r="AL10" i="16"/>
  <c r="AM10" i="16"/>
  <c r="AN10" i="16"/>
  <c r="E10" i="16"/>
  <c r="F2" i="19"/>
  <c r="G2" i="19"/>
  <c r="H2" i="19"/>
  <c r="I2" i="19"/>
  <c r="J2" i="19"/>
  <c r="K2" i="19"/>
  <c r="L2" i="19"/>
  <c r="M2" i="19"/>
  <c r="N2" i="19"/>
  <c r="O2" i="19"/>
  <c r="P2" i="19"/>
  <c r="Q2" i="19"/>
  <c r="R2" i="19"/>
  <c r="S2" i="19"/>
  <c r="T2" i="19"/>
  <c r="U2" i="19"/>
  <c r="V2" i="19"/>
  <c r="W2" i="19"/>
  <c r="X2" i="19"/>
  <c r="Y2" i="19"/>
  <c r="Z2" i="19"/>
  <c r="AA2" i="19"/>
  <c r="AB2" i="19"/>
  <c r="AC2" i="19"/>
  <c r="AD2" i="19"/>
  <c r="AE2" i="19"/>
  <c r="AF2" i="19"/>
  <c r="AG2" i="19"/>
  <c r="AH2" i="19"/>
  <c r="AI2" i="19"/>
  <c r="AJ2" i="19"/>
  <c r="AK2" i="19"/>
  <c r="AL2" i="19"/>
  <c r="AM2" i="19"/>
  <c r="AN2" i="19"/>
  <c r="AO2" i="19"/>
  <c r="AP2" i="19"/>
  <c r="AQ2" i="19"/>
  <c r="E2" i="19"/>
  <c r="F2" i="17"/>
  <c r="G2" i="17"/>
  <c r="H2" i="17"/>
  <c r="I2" i="17"/>
  <c r="J2" i="17"/>
  <c r="K2" i="17"/>
  <c r="L2" i="17"/>
  <c r="M2" i="17"/>
  <c r="N2" i="17"/>
  <c r="O2" i="17"/>
  <c r="P2" i="17"/>
  <c r="Q2" i="17"/>
  <c r="R2" i="17"/>
  <c r="S2" i="17"/>
  <c r="T2" i="17"/>
  <c r="U2" i="17"/>
  <c r="V2" i="17"/>
  <c r="W2" i="17"/>
  <c r="X2" i="17"/>
  <c r="Y2" i="17"/>
  <c r="Z2" i="17"/>
  <c r="AA2" i="17"/>
  <c r="AB2" i="17"/>
  <c r="AC2" i="17"/>
  <c r="AD2" i="17"/>
  <c r="AE2" i="17"/>
  <c r="AF2" i="17"/>
  <c r="AG2" i="17"/>
  <c r="AH2" i="17"/>
  <c r="AI2" i="17"/>
  <c r="AJ2" i="17"/>
  <c r="AK2" i="17"/>
  <c r="AL2" i="17"/>
  <c r="AM2" i="17"/>
  <c r="AN2" i="17"/>
  <c r="AO2" i="17"/>
  <c r="AP2" i="17"/>
  <c r="AQ2" i="17"/>
  <c r="E2" i="17"/>
  <c r="AS31" i="44" l="1"/>
  <c r="AR31" i="15"/>
  <c r="F2" i="7"/>
  <c r="G2" i="7"/>
  <c r="H2" i="7"/>
  <c r="I2" i="7"/>
  <c r="J2" i="7"/>
  <c r="K2" i="7"/>
  <c r="L2" i="7"/>
  <c r="M2" i="7"/>
  <c r="N2" i="7"/>
  <c r="O2" i="7"/>
  <c r="P2" i="7"/>
  <c r="Q2" i="7"/>
  <c r="R2" i="7"/>
  <c r="S2" i="7"/>
  <c r="T2" i="7"/>
  <c r="U2" i="7"/>
  <c r="V2" i="7"/>
  <c r="W2" i="7"/>
  <c r="X2" i="7"/>
  <c r="Y2" i="7"/>
  <c r="Z2" i="7"/>
  <c r="AA2" i="7"/>
  <c r="AB2" i="7"/>
  <c r="AC2" i="7"/>
  <c r="AD2" i="7"/>
  <c r="AE2" i="7"/>
  <c r="AF2" i="7"/>
  <c r="AG2" i="7"/>
  <c r="AH2" i="7"/>
  <c r="AI2" i="7"/>
  <c r="AJ2" i="7"/>
  <c r="AK2" i="7"/>
  <c r="AL2" i="7"/>
  <c r="AM2" i="7"/>
  <c r="AN2" i="7"/>
  <c r="AO2" i="7"/>
  <c r="AP2" i="7"/>
  <c r="AQ2" i="7"/>
  <c r="E2" i="7"/>
  <c r="D2" i="7"/>
  <c r="C2" i="7"/>
  <c r="B2" i="7"/>
  <c r="AS31" i="15" l="1"/>
  <c r="AT31" i="44"/>
  <c r="B5" i="14"/>
  <c r="B4" i="14"/>
  <c r="B2" i="14"/>
  <c r="B3" i="14"/>
  <c r="AQ11" i="39"/>
  <c r="AP11" i="39"/>
  <c r="AO11" i="39"/>
  <c r="AN11" i="39"/>
  <c r="AM11" i="39"/>
  <c r="AL11" i="39"/>
  <c r="AK11" i="39"/>
  <c r="AJ11" i="39"/>
  <c r="AI11" i="39"/>
  <c r="AH11" i="39"/>
  <c r="AG11" i="39"/>
  <c r="AF11" i="39"/>
  <c r="AE11" i="39"/>
  <c r="AD11" i="39"/>
  <c r="AC11" i="39"/>
  <c r="AB11" i="39"/>
  <c r="AA11" i="39"/>
  <c r="Z11" i="39"/>
  <c r="Y11" i="39"/>
  <c r="X11" i="39"/>
  <c r="W11" i="39"/>
  <c r="V11" i="39"/>
  <c r="U11" i="39"/>
  <c r="T11" i="39"/>
  <c r="S11" i="39"/>
  <c r="R11" i="39"/>
  <c r="Q11" i="39"/>
  <c r="P11" i="39"/>
  <c r="O11" i="39"/>
  <c r="N11" i="39"/>
  <c r="M11" i="39"/>
  <c r="L11" i="39"/>
  <c r="K11" i="39"/>
  <c r="J11" i="39"/>
  <c r="I11" i="39"/>
  <c r="H11" i="39"/>
  <c r="G11" i="39"/>
  <c r="F11" i="39"/>
  <c r="E11" i="39"/>
  <c r="D11" i="39"/>
  <c r="C11" i="39"/>
  <c r="AQ10" i="39"/>
  <c r="AP10" i="39"/>
  <c r="AO10" i="39"/>
  <c r="AN10" i="39"/>
  <c r="AM10" i="39"/>
  <c r="AL10" i="39"/>
  <c r="AK10" i="39"/>
  <c r="AJ10" i="39"/>
  <c r="AI10" i="39"/>
  <c r="AH10" i="39"/>
  <c r="AG10" i="39"/>
  <c r="AF10" i="39"/>
  <c r="AE10" i="39"/>
  <c r="AD10" i="39"/>
  <c r="AC10" i="39"/>
  <c r="AB10" i="39"/>
  <c r="AA10" i="39"/>
  <c r="Z10" i="39"/>
  <c r="Y10" i="39"/>
  <c r="X10" i="39"/>
  <c r="W10" i="39"/>
  <c r="V10" i="39"/>
  <c r="U10" i="39"/>
  <c r="T10" i="39"/>
  <c r="S10" i="39"/>
  <c r="R10" i="39"/>
  <c r="Q10" i="39"/>
  <c r="P10" i="39"/>
  <c r="O10" i="39"/>
  <c r="N10" i="39"/>
  <c r="M10" i="39"/>
  <c r="L10" i="39"/>
  <c r="K10" i="39"/>
  <c r="J10" i="39"/>
  <c r="I10" i="39"/>
  <c r="H10" i="39"/>
  <c r="G10" i="39"/>
  <c r="F10" i="39"/>
  <c r="E10" i="39"/>
  <c r="D10" i="39"/>
  <c r="C10" i="39"/>
  <c r="AQ9" i="39"/>
  <c r="AP9" i="39"/>
  <c r="AO9" i="39"/>
  <c r="AN9" i="39"/>
  <c r="AM9" i="39"/>
  <c r="AL9" i="39"/>
  <c r="AK9" i="39"/>
  <c r="AJ9" i="39"/>
  <c r="AI9" i="39"/>
  <c r="AH9" i="39"/>
  <c r="AG9" i="39"/>
  <c r="AF9" i="39"/>
  <c r="AE9" i="39"/>
  <c r="AD9" i="39"/>
  <c r="AC9" i="39"/>
  <c r="AB9" i="39"/>
  <c r="AA9" i="39"/>
  <c r="Z9" i="39"/>
  <c r="Y9" i="39"/>
  <c r="X9" i="39"/>
  <c r="W9" i="39"/>
  <c r="V9" i="39"/>
  <c r="U9" i="39"/>
  <c r="T9" i="39"/>
  <c r="S9" i="39"/>
  <c r="R9" i="39"/>
  <c r="Q9" i="39"/>
  <c r="P9" i="39"/>
  <c r="O9" i="39"/>
  <c r="N9" i="39"/>
  <c r="M9" i="39"/>
  <c r="L9" i="39"/>
  <c r="K9" i="39"/>
  <c r="J9" i="39"/>
  <c r="I9" i="39"/>
  <c r="H9" i="39"/>
  <c r="G9" i="39"/>
  <c r="F9" i="39"/>
  <c r="E9" i="39"/>
  <c r="D9" i="39"/>
  <c r="C9" i="39"/>
  <c r="AQ8" i="39"/>
  <c r="AP8" i="39"/>
  <c r="AO8" i="39"/>
  <c r="AN8" i="39"/>
  <c r="AM8" i="39"/>
  <c r="AL8" i="39"/>
  <c r="AK8" i="39"/>
  <c r="AJ8" i="39"/>
  <c r="AI8" i="39"/>
  <c r="AH8" i="39"/>
  <c r="AG8" i="39"/>
  <c r="AF8" i="39"/>
  <c r="AE8" i="39"/>
  <c r="AD8" i="39"/>
  <c r="AC8" i="39"/>
  <c r="AB8" i="39"/>
  <c r="AA8" i="39"/>
  <c r="Z8" i="39"/>
  <c r="Y8" i="39"/>
  <c r="X8" i="39"/>
  <c r="W8" i="39"/>
  <c r="V8" i="39"/>
  <c r="U8" i="39"/>
  <c r="T8" i="39"/>
  <c r="S8" i="39"/>
  <c r="R8" i="39"/>
  <c r="Q8" i="39"/>
  <c r="P8" i="39"/>
  <c r="O8" i="39"/>
  <c r="N8" i="39"/>
  <c r="M8" i="39"/>
  <c r="L8" i="39"/>
  <c r="K8" i="39"/>
  <c r="J8" i="39"/>
  <c r="I8" i="39"/>
  <c r="H8" i="39"/>
  <c r="G8" i="39"/>
  <c r="F8" i="39"/>
  <c r="E8" i="39"/>
  <c r="D8" i="39"/>
  <c r="C8" i="39"/>
  <c r="AQ7" i="39"/>
  <c r="AP7" i="39"/>
  <c r="AO7" i="39"/>
  <c r="AN7" i="39"/>
  <c r="AM7" i="39"/>
  <c r="AL7" i="39"/>
  <c r="AK7" i="39"/>
  <c r="AJ7" i="39"/>
  <c r="AI7" i="39"/>
  <c r="AH7" i="39"/>
  <c r="AG7" i="39"/>
  <c r="AF7" i="39"/>
  <c r="AE7" i="39"/>
  <c r="AD7" i="39"/>
  <c r="AC7" i="39"/>
  <c r="AB7" i="39"/>
  <c r="AA7" i="39"/>
  <c r="Z7" i="39"/>
  <c r="Y7" i="39"/>
  <c r="X7" i="39"/>
  <c r="W7" i="39"/>
  <c r="V7" i="39"/>
  <c r="U7" i="39"/>
  <c r="T7" i="39"/>
  <c r="S7" i="39"/>
  <c r="R7" i="39"/>
  <c r="Q7" i="39"/>
  <c r="P7" i="39"/>
  <c r="O7" i="39"/>
  <c r="N7" i="39"/>
  <c r="M7" i="39"/>
  <c r="L7" i="39"/>
  <c r="K7" i="39"/>
  <c r="J7" i="39"/>
  <c r="I7" i="39"/>
  <c r="H7" i="39"/>
  <c r="G7" i="39"/>
  <c r="F7" i="39"/>
  <c r="E7" i="39"/>
  <c r="D7" i="39"/>
  <c r="C7" i="39"/>
  <c r="AQ6" i="39"/>
  <c r="AP6" i="39"/>
  <c r="AO6" i="39"/>
  <c r="AN6" i="39"/>
  <c r="AM6" i="39"/>
  <c r="AL6" i="39"/>
  <c r="AK6" i="39"/>
  <c r="AJ6" i="39"/>
  <c r="AI6" i="39"/>
  <c r="AH6" i="39"/>
  <c r="AG6" i="39"/>
  <c r="AF6" i="39"/>
  <c r="AE6" i="39"/>
  <c r="AD6" i="39"/>
  <c r="AC6" i="39"/>
  <c r="AB6" i="39"/>
  <c r="AA6" i="39"/>
  <c r="Z6" i="39"/>
  <c r="Y6" i="39"/>
  <c r="X6" i="39"/>
  <c r="W6" i="39"/>
  <c r="V6" i="39"/>
  <c r="U6" i="39"/>
  <c r="T6" i="39"/>
  <c r="S6" i="39"/>
  <c r="R6" i="39"/>
  <c r="Q6" i="39"/>
  <c r="P6" i="39"/>
  <c r="O6" i="39"/>
  <c r="N6" i="39"/>
  <c r="M6" i="39"/>
  <c r="L6" i="39"/>
  <c r="K6" i="39"/>
  <c r="J6" i="39"/>
  <c r="I6" i="39"/>
  <c r="H6" i="39"/>
  <c r="G6" i="39"/>
  <c r="F6" i="39"/>
  <c r="E6" i="39"/>
  <c r="D6" i="39"/>
  <c r="C6" i="39"/>
  <c r="AQ5" i="39"/>
  <c r="AP5" i="39"/>
  <c r="AO5" i="39"/>
  <c r="AN5" i="39"/>
  <c r="AM5" i="39"/>
  <c r="AL5" i="39"/>
  <c r="AK5" i="39"/>
  <c r="AJ5" i="39"/>
  <c r="AI5" i="39"/>
  <c r="AH5" i="39"/>
  <c r="AG5" i="39"/>
  <c r="AF5" i="39"/>
  <c r="AE5" i="39"/>
  <c r="AD5" i="39"/>
  <c r="AC5" i="39"/>
  <c r="AB5" i="39"/>
  <c r="AA5" i="39"/>
  <c r="Z5" i="39"/>
  <c r="Y5" i="39"/>
  <c r="X5" i="39"/>
  <c r="W5" i="39"/>
  <c r="V5" i="39"/>
  <c r="U5" i="39"/>
  <c r="T5" i="39"/>
  <c r="S5" i="39"/>
  <c r="R5" i="39"/>
  <c r="Q5" i="39"/>
  <c r="P5" i="39"/>
  <c r="O5" i="39"/>
  <c r="N5" i="39"/>
  <c r="M5" i="39"/>
  <c r="L5" i="39"/>
  <c r="K5" i="39"/>
  <c r="J5" i="39"/>
  <c r="I5" i="39"/>
  <c r="H5" i="39"/>
  <c r="G5" i="39"/>
  <c r="F5" i="39"/>
  <c r="E5" i="39"/>
  <c r="D5" i="39"/>
  <c r="C5" i="39"/>
  <c r="AQ4" i="39"/>
  <c r="AP4" i="39"/>
  <c r="AO4" i="39"/>
  <c r="AN4" i="39"/>
  <c r="AM4" i="39"/>
  <c r="AL4" i="39"/>
  <c r="AK4" i="39"/>
  <c r="AJ4" i="39"/>
  <c r="AI4" i="39"/>
  <c r="AH4" i="39"/>
  <c r="AG4" i="39"/>
  <c r="AF4" i="39"/>
  <c r="AE4" i="39"/>
  <c r="AD4" i="39"/>
  <c r="AC4" i="39"/>
  <c r="AB4" i="39"/>
  <c r="AA4" i="39"/>
  <c r="Z4" i="39"/>
  <c r="Y4" i="39"/>
  <c r="X4" i="39"/>
  <c r="W4" i="39"/>
  <c r="V4" i="39"/>
  <c r="U4" i="39"/>
  <c r="T4" i="39"/>
  <c r="S4" i="39"/>
  <c r="R4" i="39"/>
  <c r="Q4" i="39"/>
  <c r="P4" i="39"/>
  <c r="O4" i="39"/>
  <c r="N4" i="39"/>
  <c r="M4" i="39"/>
  <c r="L4" i="39"/>
  <c r="K4" i="39"/>
  <c r="J4" i="39"/>
  <c r="I4" i="39"/>
  <c r="H4" i="39"/>
  <c r="G4" i="39"/>
  <c r="F4" i="39"/>
  <c r="E4" i="39"/>
  <c r="D4" i="39"/>
  <c r="C4" i="39"/>
  <c r="AQ3" i="39"/>
  <c r="AP3" i="39"/>
  <c r="AO3" i="39"/>
  <c r="AN3" i="39"/>
  <c r="AM3" i="39"/>
  <c r="AL3" i="39"/>
  <c r="AK3" i="39"/>
  <c r="AJ3" i="39"/>
  <c r="AI3" i="39"/>
  <c r="AH3" i="39"/>
  <c r="AG3" i="39"/>
  <c r="AF3" i="39"/>
  <c r="AE3" i="39"/>
  <c r="AD3" i="39"/>
  <c r="AC3" i="39"/>
  <c r="AB3" i="39"/>
  <c r="AA3" i="39"/>
  <c r="Z3" i="39"/>
  <c r="Y3" i="39"/>
  <c r="X3" i="39"/>
  <c r="W3" i="39"/>
  <c r="V3" i="39"/>
  <c r="U3" i="39"/>
  <c r="T3" i="39"/>
  <c r="S3" i="39"/>
  <c r="R3" i="39"/>
  <c r="Q3" i="39"/>
  <c r="P3" i="39"/>
  <c r="O3" i="39"/>
  <c r="N3" i="39"/>
  <c r="M3" i="39"/>
  <c r="L3" i="39"/>
  <c r="K3" i="39"/>
  <c r="J3" i="39"/>
  <c r="I3" i="39"/>
  <c r="H3" i="39"/>
  <c r="G3" i="39"/>
  <c r="F3" i="39"/>
  <c r="E3" i="39"/>
  <c r="D3" i="39"/>
  <c r="C3" i="39"/>
  <c r="AQ2" i="39"/>
  <c r="AP2" i="39"/>
  <c r="AO2" i="39"/>
  <c r="AN2" i="39"/>
  <c r="AM2" i="39"/>
  <c r="AL2" i="39"/>
  <c r="AK2" i="39"/>
  <c r="AJ2" i="39"/>
  <c r="AI2" i="39"/>
  <c r="AH2" i="39"/>
  <c r="AG2" i="39"/>
  <c r="AF2" i="39"/>
  <c r="AE2" i="39"/>
  <c r="AD2" i="39"/>
  <c r="AC2" i="39"/>
  <c r="AB2" i="39"/>
  <c r="AA2" i="39"/>
  <c r="Z2" i="39"/>
  <c r="Y2" i="39"/>
  <c r="X2" i="39"/>
  <c r="W2" i="39"/>
  <c r="V2" i="39"/>
  <c r="U2" i="39"/>
  <c r="T2" i="39"/>
  <c r="S2" i="39"/>
  <c r="R2" i="39"/>
  <c r="Q2" i="39"/>
  <c r="P2" i="39"/>
  <c r="O2" i="39"/>
  <c r="N2" i="39"/>
  <c r="M2" i="39"/>
  <c r="L2" i="39"/>
  <c r="K2" i="39"/>
  <c r="J2" i="39"/>
  <c r="I2" i="39"/>
  <c r="H2" i="39"/>
  <c r="G2" i="39"/>
  <c r="F2" i="39"/>
  <c r="E2" i="39"/>
  <c r="B3" i="39"/>
  <c r="B4" i="39"/>
  <c r="B5" i="39"/>
  <c r="B6" i="39"/>
  <c r="B7" i="39"/>
  <c r="B8" i="39"/>
  <c r="B9" i="39"/>
  <c r="B10" i="39"/>
  <c r="B11" i="39"/>
  <c r="F2" i="8"/>
  <c r="G2" i="8"/>
  <c r="H2" i="8"/>
  <c r="I2" i="8"/>
  <c r="J2" i="8"/>
  <c r="K2" i="8"/>
  <c r="L2" i="8"/>
  <c r="M2" i="8"/>
  <c r="N2" i="8"/>
  <c r="O2" i="8"/>
  <c r="P2" i="8"/>
  <c r="Q2" i="8"/>
  <c r="R2" i="8"/>
  <c r="S2" i="8"/>
  <c r="T2" i="8"/>
  <c r="U2" i="8"/>
  <c r="V2" i="8"/>
  <c r="W2" i="8"/>
  <c r="X2" i="8"/>
  <c r="Y2" i="8"/>
  <c r="Z2" i="8"/>
  <c r="AA2" i="8"/>
  <c r="AB2" i="8"/>
  <c r="AC2" i="8"/>
  <c r="AD2" i="8"/>
  <c r="AE2" i="8"/>
  <c r="AF2" i="8"/>
  <c r="AG2" i="8"/>
  <c r="AH2" i="8"/>
  <c r="AI2" i="8"/>
  <c r="AJ2" i="8"/>
  <c r="AK2" i="8"/>
  <c r="AL2" i="8"/>
  <c r="AM2" i="8"/>
  <c r="AN2" i="8"/>
  <c r="AO2" i="8"/>
  <c r="AP2" i="8"/>
  <c r="AQ2" i="8"/>
  <c r="E2" i="8"/>
  <c r="AT31" i="15" l="1"/>
  <c r="AU31" i="44"/>
  <c r="F2" i="38"/>
  <c r="G2" i="38"/>
  <c r="H2" i="38"/>
  <c r="I2" i="38"/>
  <c r="J2" i="38"/>
  <c r="K2" i="38"/>
  <c r="L2" i="38"/>
  <c r="M2" i="38"/>
  <c r="N2" i="38"/>
  <c r="O2" i="38"/>
  <c r="P2" i="38"/>
  <c r="Q2" i="38"/>
  <c r="R2" i="38"/>
  <c r="S2" i="38"/>
  <c r="T2" i="38"/>
  <c r="U2" i="38"/>
  <c r="V2" i="38"/>
  <c r="W2" i="38"/>
  <c r="X2" i="38"/>
  <c r="Y2" i="38"/>
  <c r="Z2" i="38"/>
  <c r="AA2" i="38"/>
  <c r="AB2" i="38"/>
  <c r="AC2" i="38"/>
  <c r="AD2" i="38"/>
  <c r="AE2" i="38"/>
  <c r="AF2" i="38"/>
  <c r="AG2" i="38"/>
  <c r="AH2" i="38"/>
  <c r="AI2" i="38"/>
  <c r="AJ2" i="38"/>
  <c r="AK2" i="38"/>
  <c r="AL2" i="38"/>
  <c r="AM2" i="38"/>
  <c r="AN2" i="38"/>
  <c r="AO2" i="38"/>
  <c r="AP2" i="38"/>
  <c r="AQ2" i="38"/>
  <c r="AV31" i="44" l="1"/>
  <c r="AU31" i="15"/>
  <c r="R16" i="19"/>
  <c r="R17" i="19"/>
  <c r="R15" i="19"/>
  <c r="AV31" i="15" l="1"/>
  <c r="AW31" i="44"/>
  <c r="C16" i="18"/>
  <c r="C17" i="18"/>
  <c r="C15" i="18"/>
  <c r="C143" i="15"/>
  <c r="D143" i="15"/>
  <c r="E143" i="15"/>
  <c r="F143" i="15"/>
  <c r="G143" i="15"/>
  <c r="H143" i="15"/>
  <c r="I143" i="15"/>
  <c r="L2" i="18" s="1"/>
  <c r="L2" i="28" s="1"/>
  <c r="J143" i="15"/>
  <c r="K143" i="15"/>
  <c r="L143" i="15"/>
  <c r="M143" i="15"/>
  <c r="N143" i="15"/>
  <c r="O143" i="15"/>
  <c r="P143" i="15"/>
  <c r="Q143" i="15"/>
  <c r="T2" i="18" s="1"/>
  <c r="T2" i="28" s="1"/>
  <c r="R143" i="15"/>
  <c r="S143" i="15"/>
  <c r="T143" i="15"/>
  <c r="U143" i="15"/>
  <c r="V143" i="15"/>
  <c r="W143" i="15"/>
  <c r="X143" i="15"/>
  <c r="Y143" i="15"/>
  <c r="AB2" i="18" s="1"/>
  <c r="AB2" i="28" s="1"/>
  <c r="Z143" i="15"/>
  <c r="AA143" i="15"/>
  <c r="AB143" i="15"/>
  <c r="AC143" i="15"/>
  <c r="AD143" i="15"/>
  <c r="AE143" i="15"/>
  <c r="AF143" i="15"/>
  <c r="AG143" i="15"/>
  <c r="AJ2" i="18" s="1"/>
  <c r="AJ2" i="28" s="1"/>
  <c r="AH143" i="15"/>
  <c r="AI143" i="15"/>
  <c r="AJ143" i="15"/>
  <c r="AK143" i="15"/>
  <c r="AL143" i="15"/>
  <c r="AM143" i="15"/>
  <c r="AN143" i="15"/>
  <c r="B143" i="15"/>
  <c r="C135" i="15"/>
  <c r="D135" i="15"/>
  <c r="E135" i="15"/>
  <c r="F135" i="15"/>
  <c r="G135" i="15"/>
  <c r="H135" i="15"/>
  <c r="I135" i="15"/>
  <c r="J135" i="15"/>
  <c r="K135" i="15"/>
  <c r="L135" i="15"/>
  <c r="M135" i="15"/>
  <c r="N135" i="15"/>
  <c r="O135" i="15"/>
  <c r="P135" i="15"/>
  <c r="Q135" i="15"/>
  <c r="R135" i="15"/>
  <c r="S135" i="15"/>
  <c r="T135" i="15"/>
  <c r="U135" i="15"/>
  <c r="V135" i="15"/>
  <c r="W135" i="15"/>
  <c r="X135" i="15"/>
  <c r="Y135" i="15"/>
  <c r="Z135" i="15"/>
  <c r="AA135" i="15"/>
  <c r="AB135" i="15"/>
  <c r="AC135" i="15"/>
  <c r="AD135" i="15"/>
  <c r="AE135" i="15"/>
  <c r="AF135" i="15"/>
  <c r="AG135" i="15"/>
  <c r="AH135" i="15"/>
  <c r="AI135" i="15"/>
  <c r="AJ135" i="15"/>
  <c r="AK135" i="15"/>
  <c r="AL135" i="15"/>
  <c r="AM135" i="15"/>
  <c r="AN135" i="15"/>
  <c r="B135" i="15"/>
  <c r="C127" i="15"/>
  <c r="D127" i="15"/>
  <c r="E127" i="15"/>
  <c r="F127" i="15"/>
  <c r="G127" i="15"/>
  <c r="H127" i="15"/>
  <c r="I127" i="15"/>
  <c r="J127" i="15"/>
  <c r="K127" i="15"/>
  <c r="L127" i="15"/>
  <c r="M127" i="15"/>
  <c r="N127" i="15"/>
  <c r="O127" i="15"/>
  <c r="P127" i="15"/>
  <c r="Q127" i="15"/>
  <c r="R127" i="15"/>
  <c r="S127" i="15"/>
  <c r="T127" i="15"/>
  <c r="U127" i="15"/>
  <c r="V127" i="15"/>
  <c r="W127" i="15"/>
  <c r="X127" i="15"/>
  <c r="Y127" i="15"/>
  <c r="Z127" i="15"/>
  <c r="AA127" i="15"/>
  <c r="AB127" i="15"/>
  <c r="AC127" i="15"/>
  <c r="AD127" i="15"/>
  <c r="AE127" i="15"/>
  <c r="AF127" i="15"/>
  <c r="AG127" i="15"/>
  <c r="AH127" i="15"/>
  <c r="AI127" i="15"/>
  <c r="AJ127" i="15"/>
  <c r="AK127" i="15"/>
  <c r="AL127" i="15"/>
  <c r="AM127" i="15"/>
  <c r="AN127" i="15"/>
  <c r="B127" i="15"/>
  <c r="C119" i="15"/>
  <c r="D119" i="15"/>
  <c r="E119" i="15"/>
  <c r="F119" i="15"/>
  <c r="G119" i="15"/>
  <c r="H119" i="15"/>
  <c r="I119" i="15"/>
  <c r="J119" i="15"/>
  <c r="K119" i="15"/>
  <c r="L119" i="15"/>
  <c r="M119" i="15"/>
  <c r="N119" i="15"/>
  <c r="O119" i="15"/>
  <c r="P119" i="15"/>
  <c r="Q119" i="15"/>
  <c r="R119" i="15"/>
  <c r="S119" i="15"/>
  <c r="T119" i="15"/>
  <c r="U119" i="15"/>
  <c r="V119" i="15"/>
  <c r="W119" i="15"/>
  <c r="X119" i="15"/>
  <c r="Y119" i="15"/>
  <c r="Z119" i="15"/>
  <c r="AA119" i="15"/>
  <c r="AB119" i="15"/>
  <c r="AC119" i="15"/>
  <c r="AD119" i="15"/>
  <c r="AE119" i="15"/>
  <c r="AF119" i="15"/>
  <c r="AG119" i="15"/>
  <c r="AH119" i="15"/>
  <c r="AI119" i="15"/>
  <c r="AJ119" i="15"/>
  <c r="AK119" i="15"/>
  <c r="AL119" i="15"/>
  <c r="AM119" i="15"/>
  <c r="AN119" i="15"/>
  <c r="B119" i="15"/>
  <c r="C111" i="15"/>
  <c r="D111" i="15"/>
  <c r="E111" i="15"/>
  <c r="F111" i="15"/>
  <c r="G111" i="15"/>
  <c r="H111" i="15"/>
  <c r="I111" i="15"/>
  <c r="J111" i="15"/>
  <c r="K111" i="15"/>
  <c r="L111" i="15"/>
  <c r="M111" i="15"/>
  <c r="N111" i="15"/>
  <c r="O111" i="15"/>
  <c r="P111" i="15"/>
  <c r="Q111" i="15"/>
  <c r="R111" i="15"/>
  <c r="S111" i="15"/>
  <c r="T111" i="15"/>
  <c r="U111" i="15"/>
  <c r="V111" i="15"/>
  <c r="W111" i="15"/>
  <c r="X111" i="15"/>
  <c r="Y111" i="15"/>
  <c r="Z111" i="15"/>
  <c r="AA111" i="15"/>
  <c r="AB111" i="15"/>
  <c r="AC111" i="15"/>
  <c r="AD111" i="15"/>
  <c r="AE111" i="15"/>
  <c r="AF111" i="15"/>
  <c r="AG111" i="15"/>
  <c r="AH111" i="15"/>
  <c r="AI111" i="15"/>
  <c r="AJ111" i="15"/>
  <c r="AK111" i="15"/>
  <c r="AL111" i="15"/>
  <c r="AM111" i="15"/>
  <c r="AN111" i="15"/>
  <c r="B111" i="15"/>
  <c r="C103" i="15"/>
  <c r="D103" i="15"/>
  <c r="E103" i="15"/>
  <c r="F103" i="15"/>
  <c r="G103" i="15"/>
  <c r="H103" i="15"/>
  <c r="I103" i="15"/>
  <c r="J103" i="15"/>
  <c r="K103" i="15"/>
  <c r="L103" i="15"/>
  <c r="M103" i="15"/>
  <c r="N103" i="15"/>
  <c r="O103" i="15"/>
  <c r="P103" i="15"/>
  <c r="Q103" i="15"/>
  <c r="R103" i="15"/>
  <c r="S103" i="15"/>
  <c r="T103" i="15"/>
  <c r="U103" i="15"/>
  <c r="V103" i="15"/>
  <c r="W103" i="15"/>
  <c r="X103" i="15"/>
  <c r="Y103" i="15"/>
  <c r="Z103" i="15"/>
  <c r="AA103" i="15"/>
  <c r="AB103" i="15"/>
  <c r="AC103" i="15"/>
  <c r="AD103" i="15"/>
  <c r="AE103" i="15"/>
  <c r="AF103" i="15"/>
  <c r="AG103" i="15"/>
  <c r="AH103" i="15"/>
  <c r="AI103" i="15"/>
  <c r="AJ103" i="15"/>
  <c r="AK103" i="15"/>
  <c r="AL103" i="15"/>
  <c r="AM103" i="15"/>
  <c r="AN103" i="15"/>
  <c r="B103" i="15"/>
  <c r="C95" i="15"/>
  <c r="D95" i="15"/>
  <c r="E95" i="15"/>
  <c r="F95" i="15"/>
  <c r="G95" i="15"/>
  <c r="H95" i="15"/>
  <c r="I95" i="15"/>
  <c r="J95" i="15"/>
  <c r="K95" i="15"/>
  <c r="L95" i="15"/>
  <c r="M95" i="15"/>
  <c r="N95" i="15"/>
  <c r="O95" i="15"/>
  <c r="P95" i="15"/>
  <c r="Q95" i="15"/>
  <c r="R95" i="15"/>
  <c r="S95" i="15"/>
  <c r="T95" i="15"/>
  <c r="U95" i="15"/>
  <c r="V95" i="15"/>
  <c r="W95" i="15"/>
  <c r="X95" i="15"/>
  <c r="Y95" i="15"/>
  <c r="Z95" i="15"/>
  <c r="AA95" i="15"/>
  <c r="AB95" i="15"/>
  <c r="AC95" i="15"/>
  <c r="AD95" i="15"/>
  <c r="AE95" i="15"/>
  <c r="AF95" i="15"/>
  <c r="AG95" i="15"/>
  <c r="AH95" i="15"/>
  <c r="AI95" i="15"/>
  <c r="AJ95" i="15"/>
  <c r="AK95" i="15"/>
  <c r="AL95" i="15"/>
  <c r="AM95" i="15"/>
  <c r="AN95" i="15"/>
  <c r="B95" i="15"/>
  <c r="C87" i="15"/>
  <c r="D87" i="15"/>
  <c r="E87" i="15"/>
  <c r="F87" i="15"/>
  <c r="G87" i="15"/>
  <c r="H87" i="15"/>
  <c r="I87" i="15"/>
  <c r="J87" i="15"/>
  <c r="K87" i="15"/>
  <c r="L87" i="15"/>
  <c r="M87" i="15"/>
  <c r="N87" i="15"/>
  <c r="O87" i="15"/>
  <c r="P87" i="15"/>
  <c r="Q87" i="15"/>
  <c r="R87" i="15"/>
  <c r="S87" i="15"/>
  <c r="T87" i="15"/>
  <c r="U87" i="15"/>
  <c r="V87" i="15"/>
  <c r="W87" i="15"/>
  <c r="X87" i="15"/>
  <c r="Y87" i="15"/>
  <c r="Z87" i="15"/>
  <c r="AA87" i="15"/>
  <c r="AB87" i="15"/>
  <c r="AC87" i="15"/>
  <c r="AD87" i="15"/>
  <c r="AE87" i="15"/>
  <c r="AF87" i="15"/>
  <c r="AG87" i="15"/>
  <c r="AH87" i="15"/>
  <c r="AI87" i="15"/>
  <c r="AJ87" i="15"/>
  <c r="AK87" i="15"/>
  <c r="AL87" i="15"/>
  <c r="AM87" i="15"/>
  <c r="AN87" i="15"/>
  <c r="B87" i="15"/>
  <c r="C79" i="15"/>
  <c r="D79" i="15"/>
  <c r="E79" i="15"/>
  <c r="F79" i="15"/>
  <c r="G79" i="15"/>
  <c r="H79" i="15"/>
  <c r="I79" i="15"/>
  <c r="J79" i="15"/>
  <c r="K79" i="15"/>
  <c r="L79" i="15"/>
  <c r="M79" i="15"/>
  <c r="N79" i="15"/>
  <c r="O79" i="15"/>
  <c r="P79" i="15"/>
  <c r="Q79" i="15"/>
  <c r="R79" i="15"/>
  <c r="S79" i="15"/>
  <c r="T79" i="15"/>
  <c r="U79" i="15"/>
  <c r="V79" i="15"/>
  <c r="W79" i="15"/>
  <c r="X79" i="15"/>
  <c r="Y79" i="15"/>
  <c r="Z79" i="15"/>
  <c r="AA79" i="15"/>
  <c r="AB79" i="15"/>
  <c r="AC79" i="15"/>
  <c r="AD79" i="15"/>
  <c r="AE79" i="15"/>
  <c r="AF79" i="15"/>
  <c r="AG79" i="15"/>
  <c r="AH79" i="15"/>
  <c r="AI79" i="15"/>
  <c r="AJ79" i="15"/>
  <c r="AK79" i="15"/>
  <c r="AL79" i="15"/>
  <c r="AM79" i="15"/>
  <c r="AN79" i="15"/>
  <c r="B79" i="15"/>
  <c r="C71" i="15"/>
  <c r="D71"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AG71" i="15"/>
  <c r="AH71" i="15"/>
  <c r="AI71" i="15"/>
  <c r="AJ71" i="15"/>
  <c r="AK71" i="15"/>
  <c r="AL71" i="15"/>
  <c r="AM71" i="15"/>
  <c r="AN71" i="15"/>
  <c r="B71" i="15"/>
  <c r="C63" i="15"/>
  <c r="D63"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AG63" i="15"/>
  <c r="AH63" i="15"/>
  <c r="AI63" i="15"/>
  <c r="AJ63" i="15"/>
  <c r="AK63" i="15"/>
  <c r="AL63" i="15"/>
  <c r="AM63" i="15"/>
  <c r="AN63" i="15"/>
  <c r="B63" i="15"/>
  <c r="C55" i="15"/>
  <c r="D55" i="15"/>
  <c r="E55" i="15"/>
  <c r="F55" i="15"/>
  <c r="G55" i="15"/>
  <c r="H55" i="15"/>
  <c r="I55" i="15"/>
  <c r="J55" i="15"/>
  <c r="K55" i="15"/>
  <c r="L55" i="15"/>
  <c r="M55" i="15"/>
  <c r="N55" i="15"/>
  <c r="O55" i="15"/>
  <c r="P55" i="15"/>
  <c r="Q55" i="15"/>
  <c r="R55" i="15"/>
  <c r="S55" i="15"/>
  <c r="T55" i="15"/>
  <c r="U55" i="15"/>
  <c r="V55" i="15"/>
  <c r="W55" i="15"/>
  <c r="X55" i="15"/>
  <c r="Y55" i="15"/>
  <c r="Z55" i="15"/>
  <c r="AA55" i="15"/>
  <c r="AB55" i="15"/>
  <c r="AC55" i="15"/>
  <c r="AD55" i="15"/>
  <c r="AE55" i="15"/>
  <c r="AF55" i="15"/>
  <c r="AG55" i="15"/>
  <c r="AH55" i="15"/>
  <c r="AI55" i="15"/>
  <c r="AJ55" i="15"/>
  <c r="AK55" i="15"/>
  <c r="AL55" i="15"/>
  <c r="AM55" i="15"/>
  <c r="AN55" i="15"/>
  <c r="B55" i="15"/>
  <c r="C47" i="15"/>
  <c r="F4" i="19" s="1"/>
  <c r="D47" i="15"/>
  <c r="G4" i="19" s="1"/>
  <c r="E47" i="15"/>
  <c r="H4" i="19" s="1"/>
  <c r="F47" i="15"/>
  <c r="I4" i="19" s="1"/>
  <c r="G47" i="15"/>
  <c r="J4" i="19" s="1"/>
  <c r="H47" i="15"/>
  <c r="K4" i="19" s="1"/>
  <c r="K4" i="29" s="1"/>
  <c r="I47" i="15"/>
  <c r="L4" i="19" s="1"/>
  <c r="L4" i="29" s="1"/>
  <c r="J47" i="15"/>
  <c r="M4" i="19" s="1"/>
  <c r="K47" i="15"/>
  <c r="N4" i="19" s="1"/>
  <c r="N4" i="29" s="1"/>
  <c r="L47" i="15"/>
  <c r="O4" i="19" s="1"/>
  <c r="M47" i="15"/>
  <c r="P4" i="19" s="1"/>
  <c r="N47" i="15"/>
  <c r="Q4" i="19" s="1"/>
  <c r="Q4" i="29" s="1"/>
  <c r="O47" i="15"/>
  <c r="R4" i="19" s="1"/>
  <c r="P47" i="15"/>
  <c r="S4" i="19" s="1"/>
  <c r="Q47" i="15"/>
  <c r="T4" i="19" s="1"/>
  <c r="R47" i="15"/>
  <c r="U4" i="19" s="1"/>
  <c r="S47" i="15"/>
  <c r="V4" i="19" s="1"/>
  <c r="T47" i="15"/>
  <c r="W4" i="19" s="1"/>
  <c r="W4" i="29" s="1"/>
  <c r="U47" i="15"/>
  <c r="X4" i="19" s="1"/>
  <c r="V47" i="15"/>
  <c r="Y4" i="19" s="1"/>
  <c r="W47" i="15"/>
  <c r="Z4" i="19" s="1"/>
  <c r="X47" i="15"/>
  <c r="AA4" i="19" s="1"/>
  <c r="Y47" i="15"/>
  <c r="AB4" i="19" s="1"/>
  <c r="Z47" i="15"/>
  <c r="AC4" i="19" s="1"/>
  <c r="AA47" i="15"/>
  <c r="AD4" i="19" s="1"/>
  <c r="AB47" i="15"/>
  <c r="AE4" i="19" s="1"/>
  <c r="AE4" i="29" s="1"/>
  <c r="AC47" i="15"/>
  <c r="AF4" i="19" s="1"/>
  <c r="AD47" i="15"/>
  <c r="AG4" i="19" s="1"/>
  <c r="AE47" i="15"/>
  <c r="AH4" i="19" s="1"/>
  <c r="AF47" i="15"/>
  <c r="AI4" i="19" s="1"/>
  <c r="AG47" i="15"/>
  <c r="AJ4" i="19" s="1"/>
  <c r="AH47" i="15"/>
  <c r="AK4" i="19" s="1"/>
  <c r="AI47" i="15"/>
  <c r="AL4" i="19" s="1"/>
  <c r="AL4" i="29" s="1"/>
  <c r="AJ47" i="15"/>
  <c r="AM4" i="19" s="1"/>
  <c r="AK47" i="15"/>
  <c r="AN4" i="19" s="1"/>
  <c r="AN4" i="29" s="1"/>
  <c r="AL47" i="15"/>
  <c r="AO4" i="19" s="1"/>
  <c r="AO4" i="29" s="1"/>
  <c r="AM47" i="15"/>
  <c r="AP4" i="19" s="1"/>
  <c r="AP4" i="29" s="1"/>
  <c r="AN47" i="15"/>
  <c r="AQ4" i="19" s="1"/>
  <c r="AQ4" i="29" s="1"/>
  <c r="B47" i="15"/>
  <c r="C39" i="15"/>
  <c r="D39"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AG39" i="15"/>
  <c r="AH39" i="15"/>
  <c r="AI39" i="15"/>
  <c r="AJ39" i="15"/>
  <c r="AK39" i="15"/>
  <c r="AL39" i="15"/>
  <c r="AM39" i="15"/>
  <c r="AN39" i="15"/>
  <c r="B39" i="15"/>
  <c r="C31" i="15"/>
  <c r="D31" i="15"/>
  <c r="E31" i="15"/>
  <c r="F31" i="15"/>
  <c r="G31" i="15"/>
  <c r="H31" i="15"/>
  <c r="I31" i="15"/>
  <c r="J31" i="15"/>
  <c r="K31" i="15"/>
  <c r="L31" i="15"/>
  <c r="M31" i="15"/>
  <c r="N31" i="15"/>
  <c r="O31" i="15"/>
  <c r="P31" i="15"/>
  <c r="Q31" i="15"/>
  <c r="R31" i="15"/>
  <c r="S31" i="15"/>
  <c r="T31" i="15"/>
  <c r="U31" i="15"/>
  <c r="V31" i="15"/>
  <c r="W31" i="15"/>
  <c r="X31" i="15"/>
  <c r="Y31" i="15"/>
  <c r="Z31" i="15"/>
  <c r="AA31" i="15"/>
  <c r="AB31" i="15"/>
  <c r="AC31" i="15"/>
  <c r="AD31" i="15"/>
  <c r="AE31" i="15"/>
  <c r="AF31" i="15"/>
  <c r="AG31" i="15"/>
  <c r="AH31" i="15"/>
  <c r="AI31" i="15"/>
  <c r="AJ31" i="15"/>
  <c r="AK31" i="15"/>
  <c r="AL31" i="15"/>
  <c r="AM31" i="15"/>
  <c r="AN31" i="15"/>
  <c r="B31" i="15"/>
  <c r="C7" i="15"/>
  <c r="F10" i="19" s="1"/>
  <c r="D7" i="15"/>
  <c r="G10" i="19" s="1"/>
  <c r="G10" i="29" s="1"/>
  <c r="E7" i="15"/>
  <c r="H10" i="19" s="1"/>
  <c r="F7" i="15"/>
  <c r="I10" i="19" s="1"/>
  <c r="G7" i="15"/>
  <c r="J10" i="19" s="1"/>
  <c r="H7" i="15"/>
  <c r="K10" i="19" s="1"/>
  <c r="I7" i="15"/>
  <c r="L10" i="19" s="1"/>
  <c r="J7" i="15"/>
  <c r="M10" i="19" s="1"/>
  <c r="K7" i="15"/>
  <c r="N10" i="19" s="1"/>
  <c r="L7" i="15"/>
  <c r="O10" i="19" s="1"/>
  <c r="M7" i="15"/>
  <c r="P10" i="19" s="1"/>
  <c r="N7" i="15"/>
  <c r="Q10" i="19" s="1"/>
  <c r="O7" i="15"/>
  <c r="R10" i="19" s="1"/>
  <c r="P7" i="15"/>
  <c r="S10" i="19" s="1"/>
  <c r="Q7" i="15"/>
  <c r="T10" i="19" s="1"/>
  <c r="R7" i="15"/>
  <c r="U10" i="19" s="1"/>
  <c r="S7" i="15"/>
  <c r="V10" i="19" s="1"/>
  <c r="T7" i="15"/>
  <c r="W10" i="19" s="1"/>
  <c r="W10" i="29" s="1"/>
  <c r="U7" i="15"/>
  <c r="X10" i="19" s="1"/>
  <c r="V7" i="15"/>
  <c r="Y10" i="19" s="1"/>
  <c r="W7" i="15"/>
  <c r="Z10" i="19" s="1"/>
  <c r="X7" i="15"/>
  <c r="AA10" i="19" s="1"/>
  <c r="Y7" i="15"/>
  <c r="AB10" i="19" s="1"/>
  <c r="Z7" i="15"/>
  <c r="AC10" i="19" s="1"/>
  <c r="AA7" i="15"/>
  <c r="AD10" i="19" s="1"/>
  <c r="AB7" i="15"/>
  <c r="AE10" i="19" s="1"/>
  <c r="AC7" i="15"/>
  <c r="AF10" i="19" s="1"/>
  <c r="AD7" i="15"/>
  <c r="AG10" i="19" s="1"/>
  <c r="AE7" i="15"/>
  <c r="AH10" i="19" s="1"/>
  <c r="AF7" i="15"/>
  <c r="AI10" i="19" s="1"/>
  <c r="AG7" i="15"/>
  <c r="AJ10" i="19" s="1"/>
  <c r="AH7" i="15"/>
  <c r="AK10" i="19" s="1"/>
  <c r="AI7" i="15"/>
  <c r="AL10" i="19" s="1"/>
  <c r="AJ7" i="15"/>
  <c r="AM10" i="19" s="1"/>
  <c r="AK7" i="15"/>
  <c r="AN10" i="19" s="1"/>
  <c r="AL7" i="15"/>
  <c r="AO10" i="19" s="1"/>
  <c r="AM7" i="15"/>
  <c r="AP10" i="19" s="1"/>
  <c r="AN7" i="15"/>
  <c r="AQ10" i="19" s="1"/>
  <c r="B7" i="15"/>
  <c r="E10" i="19" s="1"/>
  <c r="C173" i="13"/>
  <c r="D173" i="13"/>
  <c r="E173" i="13"/>
  <c r="F173" i="13"/>
  <c r="G173" i="13"/>
  <c r="H173" i="13"/>
  <c r="I173" i="13"/>
  <c r="J173" i="13"/>
  <c r="K173" i="13"/>
  <c r="L173" i="13"/>
  <c r="M173" i="13"/>
  <c r="N173" i="13"/>
  <c r="O173" i="13"/>
  <c r="P173" i="13"/>
  <c r="Q173" i="13"/>
  <c r="R173" i="13"/>
  <c r="S173" i="13"/>
  <c r="T173" i="13"/>
  <c r="U173" i="13"/>
  <c r="V173" i="13"/>
  <c r="W173" i="13"/>
  <c r="X173" i="13"/>
  <c r="Y173" i="13"/>
  <c r="Z173" i="13"/>
  <c r="AA173" i="13"/>
  <c r="AB173" i="13"/>
  <c r="AC173" i="13"/>
  <c r="AD173" i="13"/>
  <c r="AE173" i="13"/>
  <c r="AF173" i="13"/>
  <c r="AG173" i="13"/>
  <c r="AH173" i="13"/>
  <c r="AI173" i="13"/>
  <c r="AJ173" i="13"/>
  <c r="AK173" i="13"/>
  <c r="AL173" i="13"/>
  <c r="AM173" i="13"/>
  <c r="AN173" i="13"/>
  <c r="C174" i="13"/>
  <c r="D174" i="13"/>
  <c r="E174" i="13"/>
  <c r="F174" i="13"/>
  <c r="G174" i="13"/>
  <c r="H174" i="13"/>
  <c r="I174" i="13"/>
  <c r="J174" i="13"/>
  <c r="K174" i="13"/>
  <c r="L174" i="13"/>
  <c r="M174" i="13"/>
  <c r="N174" i="13"/>
  <c r="O174" i="13"/>
  <c r="P174" i="13"/>
  <c r="Q174" i="13"/>
  <c r="R174" i="13"/>
  <c r="S174" i="13"/>
  <c r="T174" i="13"/>
  <c r="U174" i="13"/>
  <c r="V174" i="13"/>
  <c r="W174" i="13"/>
  <c r="X174" i="13"/>
  <c r="Y174" i="13"/>
  <c r="Z174" i="13"/>
  <c r="AA174" i="13"/>
  <c r="AB174" i="13"/>
  <c r="AC174" i="13"/>
  <c r="AD174" i="13"/>
  <c r="AE174" i="13"/>
  <c r="AF174" i="13"/>
  <c r="AG174" i="13"/>
  <c r="AH174" i="13"/>
  <c r="AI174" i="13"/>
  <c r="AJ174" i="13"/>
  <c r="AK174" i="13"/>
  <c r="AL174" i="13"/>
  <c r="AM174" i="13"/>
  <c r="AN174" i="13"/>
  <c r="C175" i="13"/>
  <c r="D175" i="13"/>
  <c r="E175" i="13"/>
  <c r="F175" i="13"/>
  <c r="G175" i="13"/>
  <c r="H175" i="13"/>
  <c r="I175" i="13"/>
  <c r="J175" i="13"/>
  <c r="K175" i="13"/>
  <c r="L175" i="13"/>
  <c r="M175" i="13"/>
  <c r="N175" i="13"/>
  <c r="O175" i="13"/>
  <c r="P175" i="13"/>
  <c r="Q175" i="13"/>
  <c r="R175" i="13"/>
  <c r="S175" i="13"/>
  <c r="T175" i="13"/>
  <c r="U175" i="13"/>
  <c r="V175" i="13"/>
  <c r="W175" i="13"/>
  <c r="X175" i="13"/>
  <c r="Y175" i="13"/>
  <c r="Z175" i="13"/>
  <c r="AA175" i="13"/>
  <c r="AB175" i="13"/>
  <c r="AC175" i="13"/>
  <c r="AD175" i="13"/>
  <c r="AE175" i="13"/>
  <c r="AF175" i="13"/>
  <c r="AG175" i="13"/>
  <c r="AH175" i="13"/>
  <c r="AI175" i="13"/>
  <c r="AJ175" i="13"/>
  <c r="AK175" i="13"/>
  <c r="AL175" i="13"/>
  <c r="AM175" i="13"/>
  <c r="AN175" i="13"/>
  <c r="C176" i="13"/>
  <c r="D176" i="13"/>
  <c r="E176" i="13"/>
  <c r="F176" i="13"/>
  <c r="G176" i="13"/>
  <c r="H176" i="13"/>
  <c r="I176" i="13"/>
  <c r="J176" i="13"/>
  <c r="K176" i="13"/>
  <c r="L176" i="13"/>
  <c r="M176" i="13"/>
  <c r="N176" i="13"/>
  <c r="O176" i="13"/>
  <c r="P176" i="13"/>
  <c r="Q176" i="13"/>
  <c r="R176" i="13"/>
  <c r="S176" i="13"/>
  <c r="T176" i="13"/>
  <c r="U176" i="13"/>
  <c r="V176" i="13"/>
  <c r="W176" i="13"/>
  <c r="X176" i="13"/>
  <c r="Y176" i="13"/>
  <c r="Z176" i="13"/>
  <c r="AA176" i="13"/>
  <c r="AB176" i="13"/>
  <c r="AC176" i="13"/>
  <c r="AD176" i="13"/>
  <c r="AE176" i="13"/>
  <c r="AF176" i="13"/>
  <c r="AG176" i="13"/>
  <c r="AH176" i="13"/>
  <c r="AI176" i="13"/>
  <c r="AJ176" i="13"/>
  <c r="AK176" i="13"/>
  <c r="AL176" i="13"/>
  <c r="AM176" i="13"/>
  <c r="AN176" i="13"/>
  <c r="B174" i="13"/>
  <c r="B175" i="13"/>
  <c r="B176" i="13"/>
  <c r="B173" i="13"/>
  <c r="C161" i="13"/>
  <c r="D161" i="13"/>
  <c r="E161" i="13"/>
  <c r="F161" i="13"/>
  <c r="G161" i="13"/>
  <c r="H161" i="13"/>
  <c r="I161" i="13"/>
  <c r="J161" i="13"/>
  <c r="K161" i="13"/>
  <c r="L161" i="13"/>
  <c r="M161" i="13"/>
  <c r="N161" i="13"/>
  <c r="O161" i="13"/>
  <c r="P161" i="13"/>
  <c r="Q161" i="13"/>
  <c r="R161" i="13"/>
  <c r="S161" i="13"/>
  <c r="T161" i="13"/>
  <c r="U161" i="13"/>
  <c r="V161" i="13"/>
  <c r="W161" i="13"/>
  <c r="X161" i="13"/>
  <c r="Y161" i="13"/>
  <c r="Z161" i="13"/>
  <c r="AA161" i="13"/>
  <c r="AB161" i="13"/>
  <c r="AC161" i="13"/>
  <c r="AD161" i="13"/>
  <c r="AE161" i="13"/>
  <c r="AF161" i="13"/>
  <c r="AG161" i="13"/>
  <c r="AH161" i="13"/>
  <c r="AI161" i="13"/>
  <c r="AJ161" i="13"/>
  <c r="AK161" i="13"/>
  <c r="AL161" i="13"/>
  <c r="AM161" i="13"/>
  <c r="AN161" i="13"/>
  <c r="C162" i="13"/>
  <c r="D162" i="13"/>
  <c r="E162" i="13"/>
  <c r="F162" i="13"/>
  <c r="G162" i="13"/>
  <c r="H162" i="13"/>
  <c r="I162" i="13"/>
  <c r="J162" i="13"/>
  <c r="K162" i="13"/>
  <c r="L162" i="13"/>
  <c r="M162" i="13"/>
  <c r="N162" i="13"/>
  <c r="O162" i="13"/>
  <c r="P162" i="13"/>
  <c r="Q162" i="13"/>
  <c r="R162" i="13"/>
  <c r="S162" i="13"/>
  <c r="T162" i="13"/>
  <c r="U162" i="13"/>
  <c r="V162" i="13"/>
  <c r="W162" i="13"/>
  <c r="X162" i="13"/>
  <c r="Y162" i="13"/>
  <c r="Z162" i="13"/>
  <c r="AA162" i="13"/>
  <c r="AB162" i="13"/>
  <c r="AC162" i="13"/>
  <c r="AD162" i="13"/>
  <c r="AE162" i="13"/>
  <c r="AF162" i="13"/>
  <c r="AG162" i="13"/>
  <c r="AH162" i="13"/>
  <c r="AI162" i="13"/>
  <c r="AJ162" i="13"/>
  <c r="AK162" i="13"/>
  <c r="AL162" i="13"/>
  <c r="AM162" i="13"/>
  <c r="AN162" i="13"/>
  <c r="C163" i="13"/>
  <c r="D163" i="13"/>
  <c r="E163" i="13"/>
  <c r="F163" i="13"/>
  <c r="G163" i="13"/>
  <c r="H163" i="13"/>
  <c r="I163" i="13"/>
  <c r="J163" i="13"/>
  <c r="K163" i="13"/>
  <c r="L163" i="13"/>
  <c r="M163" i="13"/>
  <c r="N163" i="13"/>
  <c r="O163" i="13"/>
  <c r="P163" i="13"/>
  <c r="Q163" i="13"/>
  <c r="R163" i="13"/>
  <c r="S163" i="13"/>
  <c r="T163" i="13"/>
  <c r="U163" i="13"/>
  <c r="V163" i="13"/>
  <c r="W163" i="13"/>
  <c r="X163" i="13"/>
  <c r="Y163" i="13"/>
  <c r="Z163" i="13"/>
  <c r="AA163" i="13"/>
  <c r="AB163" i="13"/>
  <c r="AC163" i="13"/>
  <c r="AD163" i="13"/>
  <c r="AE163" i="13"/>
  <c r="AF163" i="13"/>
  <c r="AG163" i="13"/>
  <c r="AH163" i="13"/>
  <c r="AI163" i="13"/>
  <c r="AJ163" i="13"/>
  <c r="AK163" i="13"/>
  <c r="AL163" i="13"/>
  <c r="AM163" i="13"/>
  <c r="AN163" i="13"/>
  <c r="C164" i="13"/>
  <c r="D164" i="13"/>
  <c r="E164" i="13"/>
  <c r="F164" i="13"/>
  <c r="G164" i="13"/>
  <c r="H164" i="13"/>
  <c r="I164" i="13"/>
  <c r="J164" i="13"/>
  <c r="K164" i="13"/>
  <c r="L164" i="13"/>
  <c r="M164" i="13"/>
  <c r="N164" i="13"/>
  <c r="O164" i="13"/>
  <c r="P164" i="13"/>
  <c r="Q164" i="13"/>
  <c r="R164" i="13"/>
  <c r="S164" i="13"/>
  <c r="T164" i="13"/>
  <c r="U164" i="13"/>
  <c r="V164" i="13"/>
  <c r="W164" i="13"/>
  <c r="X164" i="13"/>
  <c r="Y164" i="13"/>
  <c r="Z164" i="13"/>
  <c r="AA164" i="13"/>
  <c r="AB164" i="13"/>
  <c r="AC164" i="13"/>
  <c r="AD164" i="13"/>
  <c r="AE164" i="13"/>
  <c r="AF164" i="13"/>
  <c r="AG164" i="13"/>
  <c r="AH164" i="13"/>
  <c r="AI164" i="13"/>
  <c r="AJ164" i="13"/>
  <c r="AK164" i="13"/>
  <c r="AL164" i="13"/>
  <c r="AM164" i="13"/>
  <c r="AN164" i="13"/>
  <c r="B162" i="13"/>
  <c r="B163" i="13"/>
  <c r="B164" i="13"/>
  <c r="B161" i="13"/>
  <c r="C150" i="13"/>
  <c r="D150" i="13"/>
  <c r="E150" i="13"/>
  <c r="F150" i="13"/>
  <c r="G150" i="13"/>
  <c r="H150" i="13"/>
  <c r="I150" i="13"/>
  <c r="J150" i="13"/>
  <c r="K150" i="13"/>
  <c r="L150" i="13"/>
  <c r="M150" i="13"/>
  <c r="N150" i="13"/>
  <c r="O150" i="13"/>
  <c r="P150" i="13"/>
  <c r="Q150" i="13"/>
  <c r="R150" i="13"/>
  <c r="S150" i="13"/>
  <c r="T150" i="13"/>
  <c r="U150" i="13"/>
  <c r="V150" i="13"/>
  <c r="W150" i="13"/>
  <c r="X150" i="13"/>
  <c r="Y150" i="13"/>
  <c r="Z150" i="13"/>
  <c r="AA150" i="13"/>
  <c r="AB150" i="13"/>
  <c r="AC150" i="13"/>
  <c r="AD150" i="13"/>
  <c r="AE150" i="13"/>
  <c r="AF150" i="13"/>
  <c r="AG150" i="13"/>
  <c r="AH150" i="13"/>
  <c r="AI150" i="13"/>
  <c r="AJ150" i="13"/>
  <c r="AK150" i="13"/>
  <c r="AL150" i="13"/>
  <c r="AM150" i="13"/>
  <c r="AN150" i="13"/>
  <c r="C151" i="13"/>
  <c r="D151" i="13"/>
  <c r="E151" i="13"/>
  <c r="F151" i="13"/>
  <c r="G151" i="13"/>
  <c r="H151" i="13"/>
  <c r="I151" i="13"/>
  <c r="J151" i="13"/>
  <c r="K151" i="13"/>
  <c r="L151" i="13"/>
  <c r="M151" i="13"/>
  <c r="N151" i="13"/>
  <c r="O151" i="13"/>
  <c r="P151" i="13"/>
  <c r="Q151" i="13"/>
  <c r="R151" i="13"/>
  <c r="S151" i="13"/>
  <c r="T151" i="13"/>
  <c r="U151" i="13"/>
  <c r="V151" i="13"/>
  <c r="W151" i="13"/>
  <c r="X151" i="13"/>
  <c r="Y151" i="13"/>
  <c r="Z151" i="13"/>
  <c r="AA151" i="13"/>
  <c r="AB151" i="13"/>
  <c r="AC151" i="13"/>
  <c r="AD151" i="13"/>
  <c r="AE151" i="13"/>
  <c r="AF151" i="13"/>
  <c r="AG151" i="13"/>
  <c r="AH151" i="13"/>
  <c r="AI151" i="13"/>
  <c r="AJ151" i="13"/>
  <c r="AK151" i="13"/>
  <c r="AL151" i="13"/>
  <c r="AM151" i="13"/>
  <c r="AN151" i="13"/>
  <c r="C152" i="13"/>
  <c r="D152" i="13"/>
  <c r="E152" i="13"/>
  <c r="F152" i="13"/>
  <c r="G152" i="13"/>
  <c r="H152" i="13"/>
  <c r="I152" i="13"/>
  <c r="J152" i="13"/>
  <c r="K152" i="13"/>
  <c r="L152" i="13"/>
  <c r="M152" i="13"/>
  <c r="N152" i="13"/>
  <c r="O152" i="13"/>
  <c r="P152" i="13"/>
  <c r="Q152" i="13"/>
  <c r="R152" i="13"/>
  <c r="S152" i="13"/>
  <c r="T152" i="13"/>
  <c r="U152" i="13"/>
  <c r="V152" i="13"/>
  <c r="W152" i="13"/>
  <c r="X152" i="13"/>
  <c r="Y152" i="13"/>
  <c r="Z152" i="13"/>
  <c r="AA152" i="13"/>
  <c r="AB152" i="13"/>
  <c r="AC152" i="13"/>
  <c r="AD152" i="13"/>
  <c r="AE152" i="13"/>
  <c r="AF152" i="13"/>
  <c r="AG152" i="13"/>
  <c r="AH152" i="13"/>
  <c r="AI152" i="13"/>
  <c r="AJ152" i="13"/>
  <c r="AK152" i="13"/>
  <c r="AL152" i="13"/>
  <c r="AM152" i="13"/>
  <c r="AN152" i="13"/>
  <c r="C153" i="13"/>
  <c r="D153" i="13"/>
  <c r="E153" i="13"/>
  <c r="F153" i="13"/>
  <c r="G153" i="13"/>
  <c r="H153" i="13"/>
  <c r="I153" i="13"/>
  <c r="J153" i="13"/>
  <c r="K153" i="13"/>
  <c r="L153" i="13"/>
  <c r="M153" i="13"/>
  <c r="N153" i="13"/>
  <c r="O153" i="13"/>
  <c r="P153" i="13"/>
  <c r="Q153" i="13"/>
  <c r="R153" i="13"/>
  <c r="S153" i="13"/>
  <c r="T153" i="13"/>
  <c r="U153" i="13"/>
  <c r="V153" i="13"/>
  <c r="W153" i="13"/>
  <c r="X153" i="13"/>
  <c r="Y153" i="13"/>
  <c r="Z153" i="13"/>
  <c r="AA153" i="13"/>
  <c r="AB153" i="13"/>
  <c r="AC153" i="13"/>
  <c r="AD153" i="13"/>
  <c r="AE153" i="13"/>
  <c r="AF153" i="13"/>
  <c r="AG153" i="13"/>
  <c r="AH153" i="13"/>
  <c r="AI153" i="13"/>
  <c r="AJ153" i="13"/>
  <c r="AK153" i="13"/>
  <c r="AL153" i="13"/>
  <c r="AM153" i="13"/>
  <c r="AN153" i="13"/>
  <c r="B151" i="13"/>
  <c r="B152" i="13"/>
  <c r="B153" i="13"/>
  <c r="B150" i="13"/>
  <c r="C139" i="13"/>
  <c r="D139" i="13"/>
  <c r="E139" i="13"/>
  <c r="F139" i="13"/>
  <c r="G139" i="13"/>
  <c r="H139" i="13"/>
  <c r="I139" i="13"/>
  <c r="J139" i="13"/>
  <c r="K139" i="13"/>
  <c r="L139" i="13"/>
  <c r="M139" i="13"/>
  <c r="N139" i="13"/>
  <c r="O139" i="13"/>
  <c r="P139" i="13"/>
  <c r="Q139" i="13"/>
  <c r="R139" i="13"/>
  <c r="S139" i="13"/>
  <c r="T139" i="13"/>
  <c r="U139" i="13"/>
  <c r="V139" i="13"/>
  <c r="W139" i="13"/>
  <c r="X139" i="13"/>
  <c r="Y139" i="13"/>
  <c r="Z139" i="13"/>
  <c r="AA139" i="13"/>
  <c r="AB139" i="13"/>
  <c r="AC139" i="13"/>
  <c r="AD139" i="13"/>
  <c r="AE139" i="13"/>
  <c r="AF139" i="13"/>
  <c r="AG139" i="13"/>
  <c r="AH139" i="13"/>
  <c r="AI139" i="13"/>
  <c r="AJ139" i="13"/>
  <c r="AK139" i="13"/>
  <c r="AL139" i="13"/>
  <c r="AM139" i="13"/>
  <c r="AN139" i="13"/>
  <c r="C140" i="13"/>
  <c r="D140" i="13"/>
  <c r="E140" i="13"/>
  <c r="F140" i="13"/>
  <c r="G140" i="13"/>
  <c r="H140" i="13"/>
  <c r="I140" i="13"/>
  <c r="J140" i="13"/>
  <c r="K140" i="13"/>
  <c r="L140" i="13"/>
  <c r="M140" i="13"/>
  <c r="N140" i="13"/>
  <c r="O140" i="13"/>
  <c r="P140" i="13"/>
  <c r="Q140" i="13"/>
  <c r="R140" i="13"/>
  <c r="S140" i="13"/>
  <c r="T140" i="13"/>
  <c r="U140" i="13"/>
  <c r="V140" i="13"/>
  <c r="W140" i="13"/>
  <c r="X140" i="13"/>
  <c r="Y140" i="13"/>
  <c r="Z140" i="13"/>
  <c r="AA140" i="13"/>
  <c r="AB140" i="13"/>
  <c r="AC140" i="13"/>
  <c r="AD140" i="13"/>
  <c r="AE140" i="13"/>
  <c r="AF140" i="13"/>
  <c r="AG140" i="13"/>
  <c r="AH140" i="13"/>
  <c r="AI140" i="13"/>
  <c r="AJ140" i="13"/>
  <c r="AK140" i="13"/>
  <c r="AL140" i="13"/>
  <c r="AM140" i="13"/>
  <c r="AN140" i="13"/>
  <c r="C141" i="13"/>
  <c r="D141" i="13"/>
  <c r="E141" i="13"/>
  <c r="F141" i="13"/>
  <c r="G141" i="13"/>
  <c r="H141" i="13"/>
  <c r="I141" i="13"/>
  <c r="J141" i="13"/>
  <c r="K141" i="13"/>
  <c r="L141" i="13"/>
  <c r="M141" i="13"/>
  <c r="N141" i="13"/>
  <c r="O141" i="13"/>
  <c r="P141" i="13"/>
  <c r="Q141" i="13"/>
  <c r="R141" i="13"/>
  <c r="S141" i="13"/>
  <c r="T141" i="13"/>
  <c r="U141" i="13"/>
  <c r="V141" i="13"/>
  <c r="W141" i="13"/>
  <c r="X141" i="13"/>
  <c r="Y141" i="13"/>
  <c r="Z141" i="13"/>
  <c r="AA141" i="13"/>
  <c r="AB141" i="13"/>
  <c r="AC141" i="13"/>
  <c r="AD141" i="13"/>
  <c r="AE141" i="13"/>
  <c r="AF141" i="13"/>
  <c r="AG141" i="13"/>
  <c r="AH141" i="13"/>
  <c r="AI141" i="13"/>
  <c r="AJ141" i="13"/>
  <c r="AK141" i="13"/>
  <c r="AL141" i="13"/>
  <c r="AM141" i="13"/>
  <c r="AN141" i="13"/>
  <c r="C142" i="13"/>
  <c r="D142" i="13"/>
  <c r="E142" i="13"/>
  <c r="F142" i="13"/>
  <c r="G142" i="13"/>
  <c r="H142" i="13"/>
  <c r="I142" i="13"/>
  <c r="J142" i="13"/>
  <c r="K142" i="13"/>
  <c r="L142" i="13"/>
  <c r="M142" i="13"/>
  <c r="N142" i="13"/>
  <c r="O142" i="13"/>
  <c r="P142" i="13"/>
  <c r="Q142" i="13"/>
  <c r="R142" i="13"/>
  <c r="S142" i="13"/>
  <c r="T142" i="13"/>
  <c r="U142" i="13"/>
  <c r="V142" i="13"/>
  <c r="W142" i="13"/>
  <c r="X142" i="13"/>
  <c r="Y142" i="13"/>
  <c r="Z142" i="13"/>
  <c r="AA142" i="13"/>
  <c r="AB142" i="13"/>
  <c r="AC142" i="13"/>
  <c r="AD142" i="13"/>
  <c r="AE142" i="13"/>
  <c r="AF142" i="13"/>
  <c r="AG142" i="13"/>
  <c r="AH142" i="13"/>
  <c r="AI142" i="13"/>
  <c r="AJ142" i="13"/>
  <c r="AK142" i="13"/>
  <c r="AL142" i="13"/>
  <c r="AM142" i="13"/>
  <c r="AN142" i="13"/>
  <c r="B140" i="13"/>
  <c r="B141" i="13"/>
  <c r="B142" i="13"/>
  <c r="B139" i="13"/>
  <c r="C128" i="13"/>
  <c r="D128" i="13"/>
  <c r="E128" i="13"/>
  <c r="F128" i="13"/>
  <c r="G128" i="13"/>
  <c r="H128" i="13"/>
  <c r="I128" i="13"/>
  <c r="J128" i="13"/>
  <c r="K128" i="13"/>
  <c r="L128" i="13"/>
  <c r="M128" i="13"/>
  <c r="N128" i="13"/>
  <c r="O128" i="13"/>
  <c r="P128" i="13"/>
  <c r="Q128" i="13"/>
  <c r="R128" i="13"/>
  <c r="S128" i="13"/>
  <c r="T128" i="13"/>
  <c r="U128" i="13"/>
  <c r="V128" i="13"/>
  <c r="W128" i="13"/>
  <c r="X128" i="13"/>
  <c r="Y128" i="13"/>
  <c r="Z128" i="13"/>
  <c r="AA128" i="13"/>
  <c r="AB128" i="13"/>
  <c r="AC128" i="13"/>
  <c r="AD128" i="13"/>
  <c r="AE128" i="13"/>
  <c r="AF128" i="13"/>
  <c r="AG128" i="13"/>
  <c r="AH128" i="13"/>
  <c r="AI128" i="13"/>
  <c r="AJ128" i="13"/>
  <c r="AK128" i="13"/>
  <c r="AL128" i="13"/>
  <c r="AM128" i="13"/>
  <c r="AN128" i="13"/>
  <c r="C129" i="13"/>
  <c r="D129" i="13"/>
  <c r="E129" i="13"/>
  <c r="F129" i="13"/>
  <c r="G129" i="13"/>
  <c r="H129" i="13"/>
  <c r="I129" i="13"/>
  <c r="J129" i="13"/>
  <c r="K129" i="13"/>
  <c r="L129" i="13"/>
  <c r="M129" i="13"/>
  <c r="N129" i="13"/>
  <c r="O129" i="13"/>
  <c r="P129" i="13"/>
  <c r="Q129" i="13"/>
  <c r="R129" i="13"/>
  <c r="S129" i="13"/>
  <c r="T129" i="13"/>
  <c r="U129" i="13"/>
  <c r="V129" i="13"/>
  <c r="W129" i="13"/>
  <c r="X129" i="13"/>
  <c r="Y129" i="13"/>
  <c r="Z129" i="13"/>
  <c r="AA129" i="13"/>
  <c r="AB129" i="13"/>
  <c r="AC129" i="13"/>
  <c r="AD129" i="13"/>
  <c r="AE129" i="13"/>
  <c r="AF129" i="13"/>
  <c r="AG129" i="13"/>
  <c r="AH129" i="13"/>
  <c r="AI129" i="13"/>
  <c r="AJ129" i="13"/>
  <c r="AK129" i="13"/>
  <c r="AL129" i="13"/>
  <c r="AM129" i="13"/>
  <c r="AN129" i="13"/>
  <c r="C130" i="13"/>
  <c r="D130" i="13"/>
  <c r="E130" i="13"/>
  <c r="F130" i="13"/>
  <c r="G130" i="13"/>
  <c r="H130" i="13"/>
  <c r="I130" i="13"/>
  <c r="J130" i="13"/>
  <c r="K130" i="13"/>
  <c r="L130" i="13"/>
  <c r="M130" i="13"/>
  <c r="N130" i="13"/>
  <c r="O130" i="13"/>
  <c r="P130" i="13"/>
  <c r="Q130" i="13"/>
  <c r="R130" i="13"/>
  <c r="S130" i="13"/>
  <c r="T130" i="13"/>
  <c r="U130" i="13"/>
  <c r="V130" i="13"/>
  <c r="W130" i="13"/>
  <c r="X130" i="13"/>
  <c r="Y130" i="13"/>
  <c r="Z130" i="13"/>
  <c r="AA130" i="13"/>
  <c r="AB130" i="13"/>
  <c r="AC130" i="13"/>
  <c r="AD130" i="13"/>
  <c r="AE130" i="13"/>
  <c r="AF130" i="13"/>
  <c r="AG130" i="13"/>
  <c r="AH130" i="13"/>
  <c r="AI130" i="13"/>
  <c r="AJ130" i="13"/>
  <c r="AK130" i="13"/>
  <c r="AL130" i="13"/>
  <c r="AM130" i="13"/>
  <c r="AN130" i="13"/>
  <c r="C131" i="13"/>
  <c r="D131" i="13"/>
  <c r="E131" i="13"/>
  <c r="F131" i="13"/>
  <c r="G131" i="13"/>
  <c r="H131" i="13"/>
  <c r="I131" i="13"/>
  <c r="J131" i="13"/>
  <c r="K131" i="13"/>
  <c r="L131" i="13"/>
  <c r="M131" i="13"/>
  <c r="N131" i="13"/>
  <c r="O131" i="13"/>
  <c r="P131" i="13"/>
  <c r="Q131" i="13"/>
  <c r="R131" i="13"/>
  <c r="S131" i="13"/>
  <c r="T131" i="13"/>
  <c r="U131" i="13"/>
  <c r="V131" i="13"/>
  <c r="W131" i="13"/>
  <c r="X131" i="13"/>
  <c r="Y131" i="13"/>
  <c r="Z131" i="13"/>
  <c r="AA131" i="13"/>
  <c r="AB131" i="13"/>
  <c r="AC131" i="13"/>
  <c r="AD131" i="13"/>
  <c r="AE131" i="13"/>
  <c r="AF131" i="13"/>
  <c r="AG131" i="13"/>
  <c r="AH131" i="13"/>
  <c r="AI131" i="13"/>
  <c r="AJ131" i="13"/>
  <c r="AK131" i="13"/>
  <c r="AL131" i="13"/>
  <c r="AM131" i="13"/>
  <c r="AN131" i="13"/>
  <c r="B129" i="13"/>
  <c r="B130" i="13"/>
  <c r="B131" i="13"/>
  <c r="B128" i="13"/>
  <c r="C117" i="13"/>
  <c r="D117" i="13"/>
  <c r="E117" i="13"/>
  <c r="F117" i="13"/>
  <c r="G117" i="13"/>
  <c r="H117" i="13"/>
  <c r="I117" i="13"/>
  <c r="J117" i="13"/>
  <c r="K117" i="13"/>
  <c r="L117" i="13"/>
  <c r="M117" i="13"/>
  <c r="N117" i="13"/>
  <c r="O117" i="13"/>
  <c r="P117" i="13"/>
  <c r="Q117" i="13"/>
  <c r="R117" i="13"/>
  <c r="S117" i="13"/>
  <c r="T117" i="13"/>
  <c r="U117" i="13"/>
  <c r="V117" i="13"/>
  <c r="W117" i="13"/>
  <c r="X117" i="13"/>
  <c r="Y117" i="13"/>
  <c r="Z117" i="13"/>
  <c r="AA117" i="13"/>
  <c r="AB117" i="13"/>
  <c r="AC117" i="13"/>
  <c r="AD117" i="13"/>
  <c r="AE117" i="13"/>
  <c r="AF117" i="13"/>
  <c r="AG117" i="13"/>
  <c r="AH117" i="13"/>
  <c r="AI117" i="13"/>
  <c r="AJ117" i="13"/>
  <c r="AK117" i="13"/>
  <c r="AL117" i="13"/>
  <c r="AM117" i="13"/>
  <c r="AN117" i="13"/>
  <c r="C118" i="13"/>
  <c r="D118" i="13"/>
  <c r="E118" i="13"/>
  <c r="F118" i="13"/>
  <c r="G118" i="13"/>
  <c r="H118" i="13"/>
  <c r="I118" i="13"/>
  <c r="J118" i="13"/>
  <c r="K118" i="13"/>
  <c r="L118" i="13"/>
  <c r="M118" i="13"/>
  <c r="N118" i="13"/>
  <c r="O118" i="13"/>
  <c r="P118" i="13"/>
  <c r="Q118" i="13"/>
  <c r="R118" i="13"/>
  <c r="S118" i="13"/>
  <c r="T118" i="13"/>
  <c r="U118" i="13"/>
  <c r="V118" i="13"/>
  <c r="W118" i="13"/>
  <c r="X118" i="13"/>
  <c r="Y118" i="13"/>
  <c r="Z118" i="13"/>
  <c r="AA118" i="13"/>
  <c r="AB118" i="13"/>
  <c r="AC118" i="13"/>
  <c r="AD118" i="13"/>
  <c r="AE118" i="13"/>
  <c r="AF118" i="13"/>
  <c r="AG118" i="13"/>
  <c r="AH118" i="13"/>
  <c r="AI118" i="13"/>
  <c r="AJ118" i="13"/>
  <c r="AK118" i="13"/>
  <c r="AL118" i="13"/>
  <c r="AM118" i="13"/>
  <c r="AN118" i="13"/>
  <c r="C119" i="13"/>
  <c r="D119" i="13"/>
  <c r="E119" i="13"/>
  <c r="F119" i="13"/>
  <c r="G119" i="13"/>
  <c r="H119" i="13"/>
  <c r="I119" i="13"/>
  <c r="J119" i="13"/>
  <c r="K119" i="13"/>
  <c r="L119" i="13"/>
  <c r="M119" i="13"/>
  <c r="N119" i="13"/>
  <c r="O119" i="13"/>
  <c r="P119" i="13"/>
  <c r="Q119" i="13"/>
  <c r="R119" i="13"/>
  <c r="S119" i="13"/>
  <c r="T119" i="13"/>
  <c r="U119" i="13"/>
  <c r="V119" i="13"/>
  <c r="W119" i="13"/>
  <c r="X119" i="13"/>
  <c r="Y119" i="13"/>
  <c r="Z119" i="13"/>
  <c r="AA119" i="13"/>
  <c r="AB119" i="13"/>
  <c r="AC119" i="13"/>
  <c r="AD119" i="13"/>
  <c r="AE119" i="13"/>
  <c r="AF119" i="13"/>
  <c r="AG119" i="13"/>
  <c r="AH119" i="13"/>
  <c r="AI119" i="13"/>
  <c r="AJ119" i="13"/>
  <c r="AK119" i="13"/>
  <c r="AL119" i="13"/>
  <c r="AM119" i="13"/>
  <c r="AN119" i="13"/>
  <c r="C120" i="13"/>
  <c r="D120" i="13"/>
  <c r="E120" i="13"/>
  <c r="F120" i="13"/>
  <c r="G120" i="13"/>
  <c r="H120" i="13"/>
  <c r="I120" i="13"/>
  <c r="J120" i="13"/>
  <c r="K120" i="13"/>
  <c r="L120" i="13"/>
  <c r="M120" i="13"/>
  <c r="N120" i="13"/>
  <c r="O120" i="13"/>
  <c r="P120" i="13"/>
  <c r="Q120" i="13"/>
  <c r="R120" i="13"/>
  <c r="S120" i="13"/>
  <c r="T120" i="13"/>
  <c r="U120" i="13"/>
  <c r="V120" i="13"/>
  <c r="W120" i="13"/>
  <c r="X120" i="13"/>
  <c r="Y120" i="13"/>
  <c r="Z120" i="13"/>
  <c r="AA120" i="13"/>
  <c r="AB120" i="13"/>
  <c r="AC120" i="13"/>
  <c r="AD120" i="13"/>
  <c r="AE120" i="13"/>
  <c r="AF120" i="13"/>
  <c r="AG120" i="13"/>
  <c r="AH120" i="13"/>
  <c r="AI120" i="13"/>
  <c r="AJ120" i="13"/>
  <c r="AK120" i="13"/>
  <c r="AL120" i="13"/>
  <c r="AM120" i="13"/>
  <c r="AN120" i="13"/>
  <c r="B118" i="13"/>
  <c r="B119" i="13"/>
  <c r="B120" i="13"/>
  <c r="B117" i="13"/>
  <c r="C106" i="13"/>
  <c r="D106" i="13"/>
  <c r="E106" i="13"/>
  <c r="F106" i="13"/>
  <c r="G106" i="13"/>
  <c r="H106" i="13"/>
  <c r="I106" i="13"/>
  <c r="J106" i="13"/>
  <c r="K106" i="13"/>
  <c r="L106" i="13"/>
  <c r="M106" i="13"/>
  <c r="N106" i="13"/>
  <c r="O106" i="13"/>
  <c r="P106" i="13"/>
  <c r="Q106" i="13"/>
  <c r="R106" i="13"/>
  <c r="S106" i="13"/>
  <c r="T106" i="13"/>
  <c r="U106" i="13"/>
  <c r="V106" i="13"/>
  <c r="W106" i="13"/>
  <c r="X106" i="13"/>
  <c r="Y106" i="13"/>
  <c r="Z106" i="13"/>
  <c r="AA106" i="13"/>
  <c r="AB106" i="13"/>
  <c r="AC106" i="13"/>
  <c r="AD106" i="13"/>
  <c r="AE106" i="13"/>
  <c r="AF106" i="13"/>
  <c r="AG106" i="13"/>
  <c r="AH106" i="13"/>
  <c r="AI106" i="13"/>
  <c r="AJ106" i="13"/>
  <c r="AK106" i="13"/>
  <c r="AL106" i="13"/>
  <c r="AM106" i="13"/>
  <c r="AN106" i="13"/>
  <c r="C107" i="13"/>
  <c r="D107" i="13"/>
  <c r="E107" i="13"/>
  <c r="F107" i="13"/>
  <c r="G107" i="13"/>
  <c r="H107" i="13"/>
  <c r="I107" i="13"/>
  <c r="J107" i="13"/>
  <c r="K107" i="13"/>
  <c r="L107" i="13"/>
  <c r="M107" i="13"/>
  <c r="N107" i="13"/>
  <c r="O107" i="13"/>
  <c r="P107" i="13"/>
  <c r="Q107" i="13"/>
  <c r="R107" i="13"/>
  <c r="S107" i="13"/>
  <c r="T107" i="13"/>
  <c r="U107" i="13"/>
  <c r="V107" i="13"/>
  <c r="W107" i="13"/>
  <c r="X107" i="13"/>
  <c r="Y107" i="13"/>
  <c r="Z107" i="13"/>
  <c r="AA107" i="13"/>
  <c r="AB107" i="13"/>
  <c r="AC107" i="13"/>
  <c r="AD107" i="13"/>
  <c r="AE107" i="13"/>
  <c r="AF107" i="13"/>
  <c r="AG107" i="13"/>
  <c r="AH107" i="13"/>
  <c r="AI107" i="13"/>
  <c r="AJ107" i="13"/>
  <c r="AK107" i="13"/>
  <c r="AL107" i="13"/>
  <c r="AM107" i="13"/>
  <c r="AN107" i="13"/>
  <c r="C108" i="13"/>
  <c r="D108" i="13"/>
  <c r="E108" i="13"/>
  <c r="F108" i="13"/>
  <c r="G108" i="13"/>
  <c r="H108" i="13"/>
  <c r="I108" i="13"/>
  <c r="J108" i="13"/>
  <c r="K108" i="13"/>
  <c r="L108" i="13"/>
  <c r="M108" i="13"/>
  <c r="N108" i="13"/>
  <c r="O108" i="13"/>
  <c r="P108" i="13"/>
  <c r="Q108" i="13"/>
  <c r="R108" i="13"/>
  <c r="S108" i="13"/>
  <c r="T108" i="13"/>
  <c r="U108" i="13"/>
  <c r="V108" i="13"/>
  <c r="W108" i="13"/>
  <c r="X108" i="13"/>
  <c r="Y108" i="13"/>
  <c r="Z108" i="13"/>
  <c r="AA108" i="13"/>
  <c r="AB108" i="13"/>
  <c r="AC108" i="13"/>
  <c r="AD108" i="13"/>
  <c r="AE108" i="13"/>
  <c r="AF108" i="13"/>
  <c r="AG108" i="13"/>
  <c r="AH108" i="13"/>
  <c r="AI108" i="13"/>
  <c r="AJ108" i="13"/>
  <c r="AK108" i="13"/>
  <c r="AL108" i="13"/>
  <c r="AM108" i="13"/>
  <c r="AN108" i="13"/>
  <c r="C109" i="13"/>
  <c r="D109" i="13"/>
  <c r="E109" i="13"/>
  <c r="F109" i="13"/>
  <c r="G109" i="13"/>
  <c r="H109" i="13"/>
  <c r="I109" i="13"/>
  <c r="J109" i="13"/>
  <c r="K109" i="13"/>
  <c r="L109" i="13"/>
  <c r="M109" i="13"/>
  <c r="N109" i="13"/>
  <c r="O109" i="13"/>
  <c r="P109" i="13"/>
  <c r="Q109" i="13"/>
  <c r="R109" i="13"/>
  <c r="S109" i="13"/>
  <c r="T109" i="13"/>
  <c r="U109" i="13"/>
  <c r="V109" i="13"/>
  <c r="W109" i="13"/>
  <c r="X109" i="13"/>
  <c r="Y109" i="13"/>
  <c r="Z109" i="13"/>
  <c r="AA109" i="13"/>
  <c r="AB109" i="13"/>
  <c r="AC109" i="13"/>
  <c r="AD109" i="13"/>
  <c r="AE109" i="13"/>
  <c r="AF109" i="13"/>
  <c r="AG109" i="13"/>
  <c r="AH109" i="13"/>
  <c r="AI109" i="13"/>
  <c r="AJ109" i="13"/>
  <c r="AK109" i="13"/>
  <c r="AL109" i="13"/>
  <c r="AM109" i="13"/>
  <c r="AN109" i="13"/>
  <c r="B107" i="13"/>
  <c r="B108" i="13"/>
  <c r="B109" i="13"/>
  <c r="B106" i="13"/>
  <c r="C95" i="13"/>
  <c r="D95" i="13"/>
  <c r="E95" i="13"/>
  <c r="F95" i="13"/>
  <c r="G95" i="13"/>
  <c r="H95" i="13"/>
  <c r="I95" i="13"/>
  <c r="J95" i="13"/>
  <c r="K95" i="13"/>
  <c r="L95" i="13"/>
  <c r="M95" i="13"/>
  <c r="N95" i="13"/>
  <c r="O95" i="13"/>
  <c r="P95" i="13"/>
  <c r="Q95" i="13"/>
  <c r="R95" i="13"/>
  <c r="S95" i="13"/>
  <c r="T95" i="13"/>
  <c r="U95" i="13"/>
  <c r="V95" i="13"/>
  <c r="W95" i="13"/>
  <c r="X95" i="13"/>
  <c r="Y95" i="13"/>
  <c r="Z95" i="13"/>
  <c r="AA95" i="13"/>
  <c r="AB95" i="13"/>
  <c r="AC95" i="13"/>
  <c r="AD95" i="13"/>
  <c r="AE95" i="13"/>
  <c r="AF95" i="13"/>
  <c r="AG95" i="13"/>
  <c r="AH95" i="13"/>
  <c r="AI95" i="13"/>
  <c r="AJ95" i="13"/>
  <c r="AK95" i="13"/>
  <c r="AL95" i="13"/>
  <c r="AM95" i="13"/>
  <c r="AN95" i="13"/>
  <c r="C96" i="13"/>
  <c r="D96" i="13"/>
  <c r="E96" i="13"/>
  <c r="F96" i="13"/>
  <c r="G96" i="13"/>
  <c r="H96" i="13"/>
  <c r="I96" i="13"/>
  <c r="J96" i="13"/>
  <c r="K96" i="13"/>
  <c r="L96" i="13"/>
  <c r="M96" i="13"/>
  <c r="N96" i="13"/>
  <c r="O96" i="13"/>
  <c r="P96" i="13"/>
  <c r="Q96" i="13"/>
  <c r="R96" i="13"/>
  <c r="S96" i="13"/>
  <c r="T96" i="13"/>
  <c r="U96" i="13"/>
  <c r="V96" i="13"/>
  <c r="W96" i="13"/>
  <c r="X96" i="13"/>
  <c r="Y96" i="13"/>
  <c r="Z96" i="13"/>
  <c r="AA96" i="13"/>
  <c r="AB96" i="13"/>
  <c r="AC96" i="13"/>
  <c r="AD96" i="13"/>
  <c r="AE96" i="13"/>
  <c r="AF96" i="13"/>
  <c r="AG96" i="13"/>
  <c r="AH96" i="13"/>
  <c r="AI96" i="13"/>
  <c r="AJ96" i="13"/>
  <c r="AK96" i="13"/>
  <c r="AL96" i="13"/>
  <c r="AM96" i="13"/>
  <c r="AN96" i="13"/>
  <c r="C97" i="13"/>
  <c r="D97" i="13"/>
  <c r="E97" i="13"/>
  <c r="F97" i="13"/>
  <c r="G97" i="13"/>
  <c r="H97" i="13"/>
  <c r="I97" i="13"/>
  <c r="J97" i="13"/>
  <c r="K97" i="13"/>
  <c r="L97" i="13"/>
  <c r="M97" i="13"/>
  <c r="N97" i="13"/>
  <c r="O97" i="13"/>
  <c r="P97" i="13"/>
  <c r="Q97" i="13"/>
  <c r="R97" i="13"/>
  <c r="S97" i="13"/>
  <c r="T97" i="13"/>
  <c r="U97" i="13"/>
  <c r="V97" i="13"/>
  <c r="W97" i="13"/>
  <c r="X97" i="13"/>
  <c r="Y97" i="13"/>
  <c r="Z97" i="13"/>
  <c r="AA97" i="13"/>
  <c r="AB97" i="13"/>
  <c r="AC97" i="13"/>
  <c r="AD97" i="13"/>
  <c r="AE97" i="13"/>
  <c r="AF97" i="13"/>
  <c r="AG97" i="13"/>
  <c r="AH97" i="13"/>
  <c r="AI97" i="13"/>
  <c r="AJ97" i="13"/>
  <c r="AK97" i="13"/>
  <c r="AL97" i="13"/>
  <c r="AM97" i="13"/>
  <c r="AN97" i="13"/>
  <c r="C98" i="13"/>
  <c r="D98" i="13"/>
  <c r="E98" i="13"/>
  <c r="F98" i="13"/>
  <c r="G98" i="13"/>
  <c r="H98" i="13"/>
  <c r="I98" i="13"/>
  <c r="J98" i="13"/>
  <c r="K98" i="13"/>
  <c r="L98" i="13"/>
  <c r="M98" i="13"/>
  <c r="N98" i="13"/>
  <c r="O98" i="13"/>
  <c r="P98" i="13"/>
  <c r="Q98" i="13"/>
  <c r="R98" i="13"/>
  <c r="S98" i="13"/>
  <c r="T98" i="13"/>
  <c r="U98" i="13"/>
  <c r="V98" i="13"/>
  <c r="W98" i="13"/>
  <c r="X98" i="13"/>
  <c r="Y98" i="13"/>
  <c r="Z98" i="13"/>
  <c r="AA98" i="13"/>
  <c r="AB98" i="13"/>
  <c r="AC98" i="13"/>
  <c r="AD98" i="13"/>
  <c r="AE98" i="13"/>
  <c r="AF98" i="13"/>
  <c r="AG98" i="13"/>
  <c r="AH98" i="13"/>
  <c r="AI98" i="13"/>
  <c r="AJ98" i="13"/>
  <c r="AK98" i="13"/>
  <c r="AL98" i="13"/>
  <c r="AM98" i="13"/>
  <c r="AN98" i="13"/>
  <c r="B96" i="13"/>
  <c r="B97" i="13"/>
  <c r="B98" i="13"/>
  <c r="B95" i="13"/>
  <c r="C84" i="13"/>
  <c r="D84" i="13"/>
  <c r="E84" i="13"/>
  <c r="F84" i="13"/>
  <c r="G84" i="13"/>
  <c r="H84" i="13"/>
  <c r="I84" i="13"/>
  <c r="J84" i="13"/>
  <c r="K84" i="13"/>
  <c r="L84" i="13"/>
  <c r="M84" i="13"/>
  <c r="N84" i="13"/>
  <c r="O84" i="13"/>
  <c r="P84" i="13"/>
  <c r="Q84" i="13"/>
  <c r="R84" i="13"/>
  <c r="S84" i="13"/>
  <c r="T84" i="13"/>
  <c r="U84" i="13"/>
  <c r="V84" i="13"/>
  <c r="W84" i="13"/>
  <c r="X84" i="13"/>
  <c r="Y84" i="13"/>
  <c r="Z84" i="13"/>
  <c r="AA84" i="13"/>
  <c r="AB84" i="13"/>
  <c r="AC84" i="13"/>
  <c r="AD84" i="13"/>
  <c r="AE84" i="13"/>
  <c r="AF84" i="13"/>
  <c r="AG84" i="13"/>
  <c r="AH84" i="13"/>
  <c r="AI84" i="13"/>
  <c r="AJ84" i="13"/>
  <c r="AK84" i="13"/>
  <c r="AL84" i="13"/>
  <c r="AM84" i="13"/>
  <c r="AN84" i="13"/>
  <c r="C85" i="13"/>
  <c r="D85" i="13"/>
  <c r="E85" i="13"/>
  <c r="F85" i="13"/>
  <c r="G85" i="13"/>
  <c r="H85" i="13"/>
  <c r="I85" i="13"/>
  <c r="J85" i="13"/>
  <c r="K85" i="13"/>
  <c r="L85" i="13"/>
  <c r="M85" i="13"/>
  <c r="N85" i="13"/>
  <c r="O85" i="13"/>
  <c r="P85" i="13"/>
  <c r="Q85" i="13"/>
  <c r="R85" i="13"/>
  <c r="S85" i="13"/>
  <c r="T85" i="13"/>
  <c r="U85" i="13"/>
  <c r="V85" i="13"/>
  <c r="W85" i="13"/>
  <c r="X85" i="13"/>
  <c r="Y85" i="13"/>
  <c r="Z85" i="13"/>
  <c r="AA85" i="13"/>
  <c r="AB85" i="13"/>
  <c r="AC85" i="13"/>
  <c r="AD85" i="13"/>
  <c r="AE85" i="13"/>
  <c r="AF85" i="13"/>
  <c r="AG85" i="13"/>
  <c r="AH85" i="13"/>
  <c r="AI85" i="13"/>
  <c r="AJ85" i="13"/>
  <c r="AK85" i="13"/>
  <c r="AL85" i="13"/>
  <c r="AM85" i="13"/>
  <c r="AN85" i="13"/>
  <c r="C86" i="13"/>
  <c r="D86" i="13"/>
  <c r="E86" i="13"/>
  <c r="F86" i="13"/>
  <c r="G86" i="13"/>
  <c r="H86" i="13"/>
  <c r="I86" i="13"/>
  <c r="J86" i="13"/>
  <c r="K86" i="13"/>
  <c r="L86" i="13"/>
  <c r="M86" i="13"/>
  <c r="N86" i="13"/>
  <c r="O86" i="13"/>
  <c r="P86" i="13"/>
  <c r="Q86" i="13"/>
  <c r="R86" i="13"/>
  <c r="S86" i="13"/>
  <c r="T86" i="13"/>
  <c r="U86" i="13"/>
  <c r="V86" i="13"/>
  <c r="W86" i="13"/>
  <c r="X86" i="13"/>
  <c r="Y86" i="13"/>
  <c r="Z86" i="13"/>
  <c r="AA86" i="13"/>
  <c r="AB86" i="13"/>
  <c r="AC86" i="13"/>
  <c r="AD86" i="13"/>
  <c r="AE86" i="13"/>
  <c r="AF86" i="13"/>
  <c r="AG86" i="13"/>
  <c r="AH86" i="13"/>
  <c r="AI86" i="13"/>
  <c r="AJ86" i="13"/>
  <c r="AK86" i="13"/>
  <c r="AL86" i="13"/>
  <c r="AM86" i="13"/>
  <c r="AN86" i="13"/>
  <c r="C87" i="13"/>
  <c r="D87" i="13"/>
  <c r="E87" i="13"/>
  <c r="F87" i="13"/>
  <c r="G87" i="13"/>
  <c r="H87" i="13"/>
  <c r="I87" i="13"/>
  <c r="J87" i="13"/>
  <c r="K87" i="13"/>
  <c r="L87" i="13"/>
  <c r="M87" i="13"/>
  <c r="N87" i="13"/>
  <c r="O87" i="13"/>
  <c r="P87" i="13"/>
  <c r="Q87" i="13"/>
  <c r="R87" i="13"/>
  <c r="S87" i="13"/>
  <c r="T87" i="13"/>
  <c r="U87" i="13"/>
  <c r="V87" i="13"/>
  <c r="W87" i="13"/>
  <c r="X87" i="13"/>
  <c r="Y87" i="13"/>
  <c r="Z87" i="13"/>
  <c r="AA87" i="13"/>
  <c r="AB87" i="13"/>
  <c r="AC87" i="13"/>
  <c r="AD87" i="13"/>
  <c r="AE87" i="13"/>
  <c r="AF87" i="13"/>
  <c r="AG87" i="13"/>
  <c r="AH87" i="13"/>
  <c r="AI87" i="13"/>
  <c r="AJ87" i="13"/>
  <c r="AK87" i="13"/>
  <c r="AL87" i="13"/>
  <c r="AM87" i="13"/>
  <c r="AN87" i="13"/>
  <c r="B85" i="13"/>
  <c r="B86" i="13"/>
  <c r="B87" i="13"/>
  <c r="B84" i="13"/>
  <c r="C73" i="13"/>
  <c r="D73" i="13"/>
  <c r="E73" i="13"/>
  <c r="F73" i="13"/>
  <c r="G73" i="13"/>
  <c r="H73" i="13"/>
  <c r="I73" i="13"/>
  <c r="J73" i="13"/>
  <c r="K73" i="13"/>
  <c r="L73" i="13"/>
  <c r="M73" i="13"/>
  <c r="N73" i="13"/>
  <c r="O73" i="13"/>
  <c r="P73" i="13"/>
  <c r="Q73" i="13"/>
  <c r="R73" i="13"/>
  <c r="S73" i="13"/>
  <c r="T73" i="13"/>
  <c r="U73" i="13"/>
  <c r="V73" i="13"/>
  <c r="W73" i="13"/>
  <c r="X73" i="13"/>
  <c r="Y73" i="13"/>
  <c r="Z73" i="13"/>
  <c r="AA73" i="13"/>
  <c r="AB73" i="13"/>
  <c r="AC73" i="13"/>
  <c r="AD73" i="13"/>
  <c r="AE73" i="13"/>
  <c r="AF73" i="13"/>
  <c r="AG73" i="13"/>
  <c r="AH73" i="13"/>
  <c r="AI73" i="13"/>
  <c r="AJ73" i="13"/>
  <c r="AK73" i="13"/>
  <c r="AL73" i="13"/>
  <c r="AM73" i="13"/>
  <c r="AN73" i="13"/>
  <c r="C74" i="13"/>
  <c r="D74" i="13"/>
  <c r="E74" i="13"/>
  <c r="F74" i="13"/>
  <c r="G74" i="13"/>
  <c r="H74" i="13"/>
  <c r="I74" i="13"/>
  <c r="J74" i="13"/>
  <c r="K74" i="13"/>
  <c r="L74" i="13"/>
  <c r="M74" i="13"/>
  <c r="N74" i="13"/>
  <c r="O74" i="13"/>
  <c r="P74" i="13"/>
  <c r="Q74" i="13"/>
  <c r="R74" i="13"/>
  <c r="S74" i="13"/>
  <c r="T74" i="13"/>
  <c r="U74" i="13"/>
  <c r="V74" i="13"/>
  <c r="W74" i="13"/>
  <c r="X74" i="13"/>
  <c r="Y74" i="13"/>
  <c r="Z74" i="13"/>
  <c r="AA74" i="13"/>
  <c r="AB74" i="13"/>
  <c r="AC74" i="13"/>
  <c r="AD74" i="13"/>
  <c r="AE74" i="13"/>
  <c r="AF74" i="13"/>
  <c r="AG74" i="13"/>
  <c r="AH74" i="13"/>
  <c r="AI74" i="13"/>
  <c r="AJ74" i="13"/>
  <c r="AK74" i="13"/>
  <c r="AL74" i="13"/>
  <c r="AM74" i="13"/>
  <c r="AN74" i="13"/>
  <c r="C75" i="13"/>
  <c r="D75" i="13"/>
  <c r="E75" i="13"/>
  <c r="F75" i="13"/>
  <c r="G75" i="13"/>
  <c r="H75" i="13"/>
  <c r="I75" i="13"/>
  <c r="J75" i="13"/>
  <c r="K75" i="13"/>
  <c r="L75" i="13"/>
  <c r="M75" i="13"/>
  <c r="N75" i="13"/>
  <c r="O75" i="13"/>
  <c r="P75" i="13"/>
  <c r="Q75" i="13"/>
  <c r="R75" i="13"/>
  <c r="S75" i="13"/>
  <c r="T75" i="13"/>
  <c r="U75" i="13"/>
  <c r="V75" i="13"/>
  <c r="W75" i="13"/>
  <c r="X75" i="13"/>
  <c r="Y75" i="13"/>
  <c r="Z75" i="13"/>
  <c r="AA75" i="13"/>
  <c r="AB75" i="13"/>
  <c r="AC75" i="13"/>
  <c r="AD75" i="13"/>
  <c r="AE75" i="13"/>
  <c r="AF75" i="13"/>
  <c r="AG75" i="13"/>
  <c r="AH75" i="13"/>
  <c r="AI75" i="13"/>
  <c r="AJ75" i="13"/>
  <c r="AK75" i="13"/>
  <c r="AL75" i="13"/>
  <c r="AM75" i="13"/>
  <c r="AN75" i="13"/>
  <c r="C76" i="13"/>
  <c r="D76" i="13"/>
  <c r="E76" i="13"/>
  <c r="F76" i="13"/>
  <c r="G76" i="13"/>
  <c r="H76" i="13"/>
  <c r="I76" i="13"/>
  <c r="J76" i="13"/>
  <c r="K76" i="13"/>
  <c r="L76" i="13"/>
  <c r="M76" i="13"/>
  <c r="N76" i="13"/>
  <c r="O76" i="13"/>
  <c r="P76" i="13"/>
  <c r="Q76" i="13"/>
  <c r="R76" i="13"/>
  <c r="S76" i="13"/>
  <c r="T76" i="13"/>
  <c r="U76" i="13"/>
  <c r="V76" i="13"/>
  <c r="W76" i="13"/>
  <c r="X76" i="13"/>
  <c r="Y76" i="13"/>
  <c r="Z76" i="13"/>
  <c r="AA76" i="13"/>
  <c r="AB76" i="13"/>
  <c r="AC76" i="13"/>
  <c r="AD76" i="13"/>
  <c r="AE76" i="13"/>
  <c r="AF76" i="13"/>
  <c r="AG76" i="13"/>
  <c r="AH76" i="13"/>
  <c r="AI76" i="13"/>
  <c r="AJ76" i="13"/>
  <c r="AK76" i="13"/>
  <c r="AL76" i="13"/>
  <c r="AM76" i="13"/>
  <c r="AN76" i="13"/>
  <c r="B74" i="13"/>
  <c r="B75" i="13"/>
  <c r="B76" i="13"/>
  <c r="B73" i="13"/>
  <c r="C62" i="13"/>
  <c r="D62" i="13"/>
  <c r="E62" i="13"/>
  <c r="F62" i="13"/>
  <c r="G62" i="13"/>
  <c r="H62" i="13"/>
  <c r="I62" i="13"/>
  <c r="J62" i="13"/>
  <c r="K62" i="13"/>
  <c r="L62" i="13"/>
  <c r="M62" i="13"/>
  <c r="N62" i="13"/>
  <c r="O62" i="13"/>
  <c r="P62" i="13"/>
  <c r="Q62" i="13"/>
  <c r="R62" i="13"/>
  <c r="S62" i="13"/>
  <c r="T62" i="13"/>
  <c r="U62" i="13"/>
  <c r="V62" i="13"/>
  <c r="W62" i="13"/>
  <c r="X62" i="13"/>
  <c r="Y62" i="13"/>
  <c r="Z62" i="13"/>
  <c r="AA62" i="13"/>
  <c r="AB62" i="13"/>
  <c r="AC62" i="13"/>
  <c r="AD62" i="13"/>
  <c r="AE62" i="13"/>
  <c r="AF62" i="13"/>
  <c r="AG62" i="13"/>
  <c r="AH62" i="13"/>
  <c r="AI62" i="13"/>
  <c r="AJ62" i="13"/>
  <c r="AK62" i="13"/>
  <c r="AL62" i="13"/>
  <c r="AM62" i="13"/>
  <c r="AN62" i="13"/>
  <c r="C63" i="13"/>
  <c r="D63" i="13"/>
  <c r="E63" i="13"/>
  <c r="F63" i="13"/>
  <c r="G63" i="13"/>
  <c r="H63" i="13"/>
  <c r="I63" i="13"/>
  <c r="J63" i="13"/>
  <c r="K63" i="13"/>
  <c r="L63" i="13"/>
  <c r="M63" i="13"/>
  <c r="N63" i="13"/>
  <c r="O63" i="13"/>
  <c r="P63" i="13"/>
  <c r="Q63" i="13"/>
  <c r="R63" i="13"/>
  <c r="S63" i="13"/>
  <c r="T63" i="13"/>
  <c r="U63" i="13"/>
  <c r="V63" i="13"/>
  <c r="W63" i="13"/>
  <c r="X63" i="13"/>
  <c r="Y63" i="13"/>
  <c r="Z63" i="13"/>
  <c r="AA63" i="13"/>
  <c r="AB63" i="13"/>
  <c r="AC63" i="13"/>
  <c r="AD63" i="13"/>
  <c r="AE63" i="13"/>
  <c r="AF63" i="13"/>
  <c r="AG63" i="13"/>
  <c r="AH63" i="13"/>
  <c r="AI63" i="13"/>
  <c r="AJ63" i="13"/>
  <c r="AK63" i="13"/>
  <c r="AL63" i="13"/>
  <c r="AM63" i="13"/>
  <c r="AN63" i="13"/>
  <c r="C64" i="13"/>
  <c r="D64" i="13"/>
  <c r="E64" i="13"/>
  <c r="F64" i="13"/>
  <c r="G64" i="13"/>
  <c r="H64" i="13"/>
  <c r="I64" i="13"/>
  <c r="J64" i="13"/>
  <c r="K64" i="13"/>
  <c r="L64" i="13"/>
  <c r="M64" i="13"/>
  <c r="N64" i="13"/>
  <c r="O64" i="13"/>
  <c r="P64" i="13"/>
  <c r="Q64" i="13"/>
  <c r="R64" i="13"/>
  <c r="S64" i="13"/>
  <c r="T64" i="13"/>
  <c r="U64" i="13"/>
  <c r="V64" i="13"/>
  <c r="W64" i="13"/>
  <c r="X64" i="13"/>
  <c r="Y64" i="13"/>
  <c r="Z64" i="13"/>
  <c r="AA64" i="13"/>
  <c r="AB64" i="13"/>
  <c r="AC64" i="13"/>
  <c r="AD64" i="13"/>
  <c r="AE64" i="13"/>
  <c r="AF64" i="13"/>
  <c r="AG64" i="13"/>
  <c r="AH64" i="13"/>
  <c r="AI64" i="13"/>
  <c r="AJ64" i="13"/>
  <c r="AK64" i="13"/>
  <c r="AL64" i="13"/>
  <c r="AM64" i="13"/>
  <c r="AN64" i="13"/>
  <c r="C65" i="13"/>
  <c r="D65" i="13"/>
  <c r="E65" i="13"/>
  <c r="F65" i="13"/>
  <c r="G65" i="13"/>
  <c r="H65" i="13"/>
  <c r="I65" i="13"/>
  <c r="J65" i="13"/>
  <c r="K65" i="13"/>
  <c r="L65" i="13"/>
  <c r="M65" i="13"/>
  <c r="N65" i="13"/>
  <c r="O65" i="13"/>
  <c r="P65" i="13"/>
  <c r="Q65" i="13"/>
  <c r="R65" i="13"/>
  <c r="S65" i="13"/>
  <c r="T65" i="13"/>
  <c r="U65" i="13"/>
  <c r="V65" i="13"/>
  <c r="W65" i="13"/>
  <c r="X65" i="13"/>
  <c r="Y65" i="13"/>
  <c r="Z65" i="13"/>
  <c r="AA65" i="13"/>
  <c r="AB65" i="13"/>
  <c r="AC65" i="13"/>
  <c r="AD65" i="13"/>
  <c r="AE65" i="13"/>
  <c r="AF65" i="13"/>
  <c r="AG65" i="13"/>
  <c r="AH65" i="13"/>
  <c r="AI65" i="13"/>
  <c r="AJ65" i="13"/>
  <c r="AK65" i="13"/>
  <c r="AL65" i="13"/>
  <c r="AM65" i="13"/>
  <c r="AN65" i="13"/>
  <c r="B63" i="13"/>
  <c r="B64" i="13"/>
  <c r="B65" i="13"/>
  <c r="B62" i="13"/>
  <c r="C51" i="13"/>
  <c r="D51" i="13"/>
  <c r="E51" i="13"/>
  <c r="F51" i="13"/>
  <c r="G51" i="13"/>
  <c r="H51" i="13"/>
  <c r="I51" i="13"/>
  <c r="J51" i="13"/>
  <c r="K51" i="13"/>
  <c r="L51" i="13"/>
  <c r="M51" i="13"/>
  <c r="N51" i="13"/>
  <c r="O51" i="13"/>
  <c r="P51" i="13"/>
  <c r="Q51" i="13"/>
  <c r="R51" i="13"/>
  <c r="S51" i="13"/>
  <c r="T51" i="13"/>
  <c r="U51" i="13"/>
  <c r="V51" i="13"/>
  <c r="W51" i="13"/>
  <c r="X51" i="13"/>
  <c r="Y51" i="13"/>
  <c r="Z51" i="13"/>
  <c r="AA51" i="13"/>
  <c r="AB51" i="13"/>
  <c r="AC51" i="13"/>
  <c r="AD51" i="13"/>
  <c r="AE51" i="13"/>
  <c r="AF51" i="13"/>
  <c r="AG51" i="13"/>
  <c r="AH51" i="13"/>
  <c r="AI51" i="13"/>
  <c r="AJ51" i="13"/>
  <c r="AK51" i="13"/>
  <c r="AL51" i="13"/>
  <c r="AM51" i="13"/>
  <c r="AN51" i="13"/>
  <c r="C52" i="13"/>
  <c r="D52" i="13"/>
  <c r="E52" i="13"/>
  <c r="F52" i="13"/>
  <c r="G52" i="13"/>
  <c r="H52" i="13"/>
  <c r="I52" i="13"/>
  <c r="J52" i="13"/>
  <c r="K52" i="13"/>
  <c r="L52" i="13"/>
  <c r="M52" i="13"/>
  <c r="N52" i="13"/>
  <c r="O52" i="13"/>
  <c r="P52" i="13"/>
  <c r="Q52" i="13"/>
  <c r="R52" i="13"/>
  <c r="S52" i="13"/>
  <c r="T52" i="13"/>
  <c r="U52" i="13"/>
  <c r="V52" i="13"/>
  <c r="W52" i="13"/>
  <c r="X52" i="13"/>
  <c r="Y52" i="13"/>
  <c r="Z52" i="13"/>
  <c r="AA52" i="13"/>
  <c r="AB52" i="13"/>
  <c r="AC52" i="13"/>
  <c r="AD52" i="13"/>
  <c r="AE52" i="13"/>
  <c r="AF52" i="13"/>
  <c r="AG52" i="13"/>
  <c r="AH52" i="13"/>
  <c r="AI52" i="13"/>
  <c r="AJ52" i="13"/>
  <c r="AK52" i="13"/>
  <c r="AL52" i="13"/>
  <c r="AM52" i="13"/>
  <c r="AN52" i="13"/>
  <c r="C53" i="13"/>
  <c r="D53" i="13"/>
  <c r="E53" i="13"/>
  <c r="F53" i="13"/>
  <c r="G53" i="13"/>
  <c r="H53" i="13"/>
  <c r="I53" i="13"/>
  <c r="J53" i="13"/>
  <c r="K53" i="13"/>
  <c r="L53" i="13"/>
  <c r="M53" i="13"/>
  <c r="N53" i="13"/>
  <c r="O53" i="13"/>
  <c r="P53" i="13"/>
  <c r="Q53" i="13"/>
  <c r="R53" i="13"/>
  <c r="S53" i="13"/>
  <c r="T53" i="13"/>
  <c r="U53" i="13"/>
  <c r="V53" i="13"/>
  <c r="W53" i="13"/>
  <c r="X53" i="13"/>
  <c r="Y53" i="13"/>
  <c r="Z53" i="13"/>
  <c r="AA53" i="13"/>
  <c r="AB53" i="13"/>
  <c r="AC53" i="13"/>
  <c r="AD53" i="13"/>
  <c r="AE53" i="13"/>
  <c r="AF53" i="13"/>
  <c r="AG53" i="13"/>
  <c r="AH53" i="13"/>
  <c r="AI53" i="13"/>
  <c r="AJ53" i="13"/>
  <c r="AK53" i="13"/>
  <c r="AL53" i="13"/>
  <c r="AM53" i="13"/>
  <c r="AN53" i="13"/>
  <c r="C54" i="13"/>
  <c r="D54" i="13"/>
  <c r="E54" i="13"/>
  <c r="F54" i="13"/>
  <c r="G54" i="13"/>
  <c r="H54" i="13"/>
  <c r="I54" i="13"/>
  <c r="J54" i="13"/>
  <c r="K54" i="13"/>
  <c r="L54" i="13"/>
  <c r="M54" i="13"/>
  <c r="N54" i="13"/>
  <c r="O54" i="13"/>
  <c r="P54" i="13"/>
  <c r="Q54" i="13"/>
  <c r="R54" i="13"/>
  <c r="S54" i="13"/>
  <c r="T54" i="13"/>
  <c r="U54" i="13"/>
  <c r="V54" i="13"/>
  <c r="W54" i="13"/>
  <c r="X54" i="13"/>
  <c r="Y54" i="13"/>
  <c r="Z54" i="13"/>
  <c r="AA54" i="13"/>
  <c r="AB54" i="13"/>
  <c r="AC54" i="13"/>
  <c r="AD54" i="13"/>
  <c r="AE54" i="13"/>
  <c r="AF54" i="13"/>
  <c r="AG54" i="13"/>
  <c r="AH54" i="13"/>
  <c r="AI54" i="13"/>
  <c r="AJ54" i="13"/>
  <c r="AK54" i="13"/>
  <c r="AL54" i="13"/>
  <c r="AM54" i="13"/>
  <c r="AN54" i="13"/>
  <c r="B52" i="13"/>
  <c r="B53" i="13"/>
  <c r="B54" i="13"/>
  <c r="B51" i="13"/>
  <c r="C40" i="13"/>
  <c r="D40" i="13"/>
  <c r="E40" i="13"/>
  <c r="F40" i="13"/>
  <c r="G40" i="13"/>
  <c r="H40" i="13"/>
  <c r="I40" i="13"/>
  <c r="J40" i="13"/>
  <c r="K40" i="13"/>
  <c r="L40" i="13"/>
  <c r="M40" i="13"/>
  <c r="N40" i="13"/>
  <c r="O40" i="13"/>
  <c r="P40" i="13"/>
  <c r="Q40" i="13"/>
  <c r="R40" i="13"/>
  <c r="S40" i="13"/>
  <c r="T40" i="13"/>
  <c r="U40" i="13"/>
  <c r="V40" i="13"/>
  <c r="W40" i="13"/>
  <c r="X40" i="13"/>
  <c r="Y40" i="13"/>
  <c r="Z40" i="13"/>
  <c r="AA40" i="13"/>
  <c r="AB40" i="13"/>
  <c r="AC40" i="13"/>
  <c r="AD40" i="13"/>
  <c r="AE40" i="13"/>
  <c r="AF40" i="13"/>
  <c r="AG40" i="13"/>
  <c r="AH40" i="13"/>
  <c r="AI40" i="13"/>
  <c r="AJ40" i="13"/>
  <c r="AK40" i="13"/>
  <c r="AL40" i="13"/>
  <c r="AM40" i="13"/>
  <c r="AN40" i="13"/>
  <c r="C41" i="13"/>
  <c r="D41" i="13"/>
  <c r="E41" i="13"/>
  <c r="F41" i="13"/>
  <c r="G41" i="13"/>
  <c r="H41" i="13"/>
  <c r="I41" i="13"/>
  <c r="J41" i="13"/>
  <c r="K41" i="13"/>
  <c r="L41" i="13"/>
  <c r="M41" i="13"/>
  <c r="N41" i="13"/>
  <c r="O41" i="13"/>
  <c r="P41" i="13"/>
  <c r="Q41" i="13"/>
  <c r="R41" i="13"/>
  <c r="S41" i="13"/>
  <c r="T41" i="13"/>
  <c r="U41" i="13"/>
  <c r="V41" i="13"/>
  <c r="W41" i="13"/>
  <c r="X41" i="13"/>
  <c r="Y41" i="13"/>
  <c r="Z41" i="13"/>
  <c r="AA41" i="13"/>
  <c r="AB41" i="13"/>
  <c r="AC41" i="13"/>
  <c r="AD41" i="13"/>
  <c r="AE41" i="13"/>
  <c r="AF41" i="13"/>
  <c r="AG41" i="13"/>
  <c r="AH41" i="13"/>
  <c r="AI41" i="13"/>
  <c r="AJ41" i="13"/>
  <c r="AK41" i="13"/>
  <c r="AL41" i="13"/>
  <c r="AM41" i="13"/>
  <c r="AN41" i="13"/>
  <c r="C42" i="13"/>
  <c r="D42" i="13"/>
  <c r="E42"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C43" i="13"/>
  <c r="D43" i="13"/>
  <c r="E43" i="13"/>
  <c r="F43" i="13"/>
  <c r="G43" i="13"/>
  <c r="H43" i="13"/>
  <c r="I43" i="13"/>
  <c r="J43" i="13"/>
  <c r="K43" i="13"/>
  <c r="L43" i="13"/>
  <c r="M43" i="13"/>
  <c r="N43" i="13"/>
  <c r="O43" i="13"/>
  <c r="P43" i="13"/>
  <c r="Q43" i="13"/>
  <c r="R43" i="13"/>
  <c r="S43" i="13"/>
  <c r="T43" i="13"/>
  <c r="U43" i="13"/>
  <c r="V43" i="13"/>
  <c r="W43" i="13"/>
  <c r="X43" i="13"/>
  <c r="Y43" i="13"/>
  <c r="Z43" i="13"/>
  <c r="AA43" i="13"/>
  <c r="AB43" i="13"/>
  <c r="AC43" i="13"/>
  <c r="AD43" i="13"/>
  <c r="AE43" i="13"/>
  <c r="AF43" i="13"/>
  <c r="AG43" i="13"/>
  <c r="AH43" i="13"/>
  <c r="AI43" i="13"/>
  <c r="AJ43" i="13"/>
  <c r="AK43" i="13"/>
  <c r="AL43" i="13"/>
  <c r="AM43" i="13"/>
  <c r="AN43" i="13"/>
  <c r="B41" i="13"/>
  <c r="B42" i="13"/>
  <c r="B43" i="13"/>
  <c r="B40" i="13"/>
  <c r="C29" i="13"/>
  <c r="D29" i="13"/>
  <c r="E29" i="13"/>
  <c r="F29" i="13"/>
  <c r="G29" i="13"/>
  <c r="H29"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AJ29" i="13"/>
  <c r="AK29" i="13"/>
  <c r="AL29" i="13"/>
  <c r="AM29" i="13"/>
  <c r="AN29" i="13"/>
  <c r="C30" i="13"/>
  <c r="D30" i="13"/>
  <c r="E30" i="13"/>
  <c r="F30" i="13"/>
  <c r="G30" i="13"/>
  <c r="H30"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C31" i="13"/>
  <c r="D31" i="13"/>
  <c r="E31" i="13"/>
  <c r="F31" i="13"/>
  <c r="G31" i="13"/>
  <c r="H31"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AJ31" i="13"/>
  <c r="AK31" i="13"/>
  <c r="AL31" i="13"/>
  <c r="AM31" i="13"/>
  <c r="AN31" i="13"/>
  <c r="C32" i="13"/>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B30" i="13"/>
  <c r="B31" i="13"/>
  <c r="B32" i="13"/>
  <c r="B29" i="13"/>
  <c r="C18" i="13"/>
  <c r="D18" i="13"/>
  <c r="E18" i="13"/>
  <c r="F18" i="13"/>
  <c r="G18" i="13"/>
  <c r="H18" i="13"/>
  <c r="I18" i="13"/>
  <c r="J18" i="13"/>
  <c r="K18" i="13"/>
  <c r="L18" i="13"/>
  <c r="M18" i="13"/>
  <c r="N18" i="13"/>
  <c r="O18" i="13"/>
  <c r="P18" i="13"/>
  <c r="Q18" i="13"/>
  <c r="R18" i="13"/>
  <c r="S18" i="13"/>
  <c r="T18" i="13"/>
  <c r="U18" i="13"/>
  <c r="V18" i="13"/>
  <c r="W18" i="13"/>
  <c r="X18" i="13"/>
  <c r="Y18" i="13"/>
  <c r="Z18" i="13"/>
  <c r="AA18" i="13"/>
  <c r="AB18" i="13"/>
  <c r="AC18" i="13"/>
  <c r="AD18" i="13"/>
  <c r="AE18" i="13"/>
  <c r="AF18" i="13"/>
  <c r="AG18" i="13"/>
  <c r="AH18" i="13"/>
  <c r="AI18" i="13"/>
  <c r="AJ18" i="13"/>
  <c r="AK18" i="13"/>
  <c r="AL18" i="13"/>
  <c r="AM18" i="13"/>
  <c r="AN18" i="13"/>
  <c r="C19" i="13"/>
  <c r="D19" i="13"/>
  <c r="E19" i="13"/>
  <c r="F19" i="13"/>
  <c r="G19" i="13"/>
  <c r="H19" i="13"/>
  <c r="I19" i="13"/>
  <c r="J19" i="13"/>
  <c r="K19" i="13"/>
  <c r="L19" i="13"/>
  <c r="M19" i="13"/>
  <c r="N19" i="13"/>
  <c r="O19" i="13"/>
  <c r="P19" i="13"/>
  <c r="Q19" i="13"/>
  <c r="R19" i="13"/>
  <c r="S19" i="13"/>
  <c r="T19" i="13"/>
  <c r="U19" i="13"/>
  <c r="V19" i="13"/>
  <c r="W19" i="13"/>
  <c r="X19" i="13"/>
  <c r="Y19" i="13"/>
  <c r="Z19" i="13"/>
  <c r="AA19" i="13"/>
  <c r="AB19" i="13"/>
  <c r="AC19" i="13"/>
  <c r="AD19" i="13"/>
  <c r="AE19" i="13"/>
  <c r="AF19" i="13"/>
  <c r="AG19" i="13"/>
  <c r="AH19" i="13"/>
  <c r="AI19" i="13"/>
  <c r="AJ19" i="13"/>
  <c r="AK19" i="13"/>
  <c r="AL19" i="13"/>
  <c r="AM19" i="13"/>
  <c r="AN19" i="13"/>
  <c r="C20" i="13"/>
  <c r="D20" i="13"/>
  <c r="E20" i="13"/>
  <c r="F20" i="13"/>
  <c r="G20" i="13"/>
  <c r="H20"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AJ20" i="13"/>
  <c r="AK20" i="13"/>
  <c r="AL20" i="13"/>
  <c r="AM20" i="13"/>
  <c r="AN20" i="13"/>
  <c r="C21" i="13"/>
  <c r="D21" i="13"/>
  <c r="E21"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B19" i="13"/>
  <c r="B20" i="13"/>
  <c r="B21" i="13"/>
  <c r="B18" i="13"/>
  <c r="C7"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AJ7" i="13"/>
  <c r="AK7" i="13"/>
  <c r="AL7" i="13"/>
  <c r="AM7" i="13"/>
  <c r="AN7" i="13"/>
  <c r="C8" i="13"/>
  <c r="D8" i="13"/>
  <c r="E8" i="13"/>
  <c r="F8" i="13"/>
  <c r="G8" i="13"/>
  <c r="H8" i="13"/>
  <c r="I8" i="13"/>
  <c r="J8" i="13"/>
  <c r="K8" i="13"/>
  <c r="L8" i="13"/>
  <c r="M8" i="13"/>
  <c r="N8" i="13"/>
  <c r="O8" i="13"/>
  <c r="P8" i="13"/>
  <c r="Q8" i="13"/>
  <c r="R8" i="13"/>
  <c r="S8" i="13"/>
  <c r="T8" i="13"/>
  <c r="U8" i="13"/>
  <c r="V8" i="13"/>
  <c r="W8" i="13"/>
  <c r="X8" i="13"/>
  <c r="Y8" i="13"/>
  <c r="Z8" i="13"/>
  <c r="AA8" i="13"/>
  <c r="AB8" i="13"/>
  <c r="AC8" i="13"/>
  <c r="AD8" i="13"/>
  <c r="AE8" i="13"/>
  <c r="AF8" i="13"/>
  <c r="AG8" i="13"/>
  <c r="AH8" i="13"/>
  <c r="AI8" i="13"/>
  <c r="AJ8" i="13"/>
  <c r="AK8" i="13"/>
  <c r="AL8" i="13"/>
  <c r="AM8" i="13"/>
  <c r="AN8" i="13"/>
  <c r="C9" i="13"/>
  <c r="D9" i="13"/>
  <c r="E9" i="13"/>
  <c r="F9" i="13"/>
  <c r="G9" i="13"/>
  <c r="H9" i="13"/>
  <c r="I9" i="13"/>
  <c r="J9" i="13"/>
  <c r="K9" i="13"/>
  <c r="L9" i="13"/>
  <c r="M9" i="13"/>
  <c r="N9" i="13"/>
  <c r="O9" i="13"/>
  <c r="P9" i="13"/>
  <c r="Q9" i="13"/>
  <c r="R9" i="13"/>
  <c r="S9" i="13"/>
  <c r="T9" i="13"/>
  <c r="U9" i="13"/>
  <c r="V9" i="13"/>
  <c r="W9" i="13"/>
  <c r="X9" i="13"/>
  <c r="Y9" i="13"/>
  <c r="Z9" i="13"/>
  <c r="AA9" i="13"/>
  <c r="AB9" i="13"/>
  <c r="AC9" i="13"/>
  <c r="AD9" i="13"/>
  <c r="AE9" i="13"/>
  <c r="AF9" i="13"/>
  <c r="AG9" i="13"/>
  <c r="AH9" i="13"/>
  <c r="AI9" i="13"/>
  <c r="AJ9" i="13"/>
  <c r="AK9" i="13"/>
  <c r="AL9" i="13"/>
  <c r="AM9" i="13"/>
  <c r="AN9" i="13"/>
  <c r="C10" i="13"/>
  <c r="D10" i="13"/>
  <c r="E10" i="13"/>
  <c r="F10" i="13"/>
  <c r="G10" i="13"/>
  <c r="H10" i="13"/>
  <c r="I10" i="13"/>
  <c r="J10" i="13"/>
  <c r="K10" i="13"/>
  <c r="L10" i="13"/>
  <c r="M10" i="13"/>
  <c r="N10" i="13"/>
  <c r="O10" i="13"/>
  <c r="P10" i="13"/>
  <c r="Q10" i="13"/>
  <c r="R10" i="13"/>
  <c r="S10" i="13"/>
  <c r="T10" i="13"/>
  <c r="U10" i="13"/>
  <c r="V10" i="13"/>
  <c r="W10" i="13"/>
  <c r="X10" i="13"/>
  <c r="Y10" i="13"/>
  <c r="Z10" i="13"/>
  <c r="AA10" i="13"/>
  <c r="AB10" i="13"/>
  <c r="AC10" i="13"/>
  <c r="AD10" i="13"/>
  <c r="AE10" i="13"/>
  <c r="AF10" i="13"/>
  <c r="AG10" i="13"/>
  <c r="AH10" i="13"/>
  <c r="AI10" i="13"/>
  <c r="AJ10" i="13"/>
  <c r="AK10" i="13"/>
  <c r="AL10" i="13"/>
  <c r="AM10" i="13"/>
  <c r="AN10" i="13"/>
  <c r="B8" i="13"/>
  <c r="B9" i="13"/>
  <c r="B10" i="13"/>
  <c r="B7" i="13"/>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I207" i="11"/>
  <c r="AJ207" i="11"/>
  <c r="AK207" i="11"/>
  <c r="AL207" i="11"/>
  <c r="AM207" i="11"/>
  <c r="AN207"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I208" i="11"/>
  <c r="AJ208" i="11"/>
  <c r="AK208" i="11"/>
  <c r="AL208" i="11"/>
  <c r="AM208" i="11"/>
  <c r="AN208"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I209" i="11"/>
  <c r="AJ209" i="11"/>
  <c r="AK209" i="11"/>
  <c r="AL209" i="11"/>
  <c r="AM209" i="11"/>
  <c r="AN209"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I210" i="11"/>
  <c r="AJ210" i="11"/>
  <c r="AK210" i="11"/>
  <c r="AL210" i="11"/>
  <c r="AM210" i="11"/>
  <c r="AN210"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I211" i="11"/>
  <c r="AJ211" i="11"/>
  <c r="AK211" i="11"/>
  <c r="AL211" i="11"/>
  <c r="AM211" i="11"/>
  <c r="AN211" i="11"/>
  <c r="B208" i="11"/>
  <c r="B209" i="11"/>
  <c r="B210" i="11"/>
  <c r="B211" i="11"/>
  <c r="B20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I197" i="11"/>
  <c r="AJ197" i="11"/>
  <c r="AK197" i="11"/>
  <c r="AL197" i="11"/>
  <c r="AM197" i="11"/>
  <c r="AN197"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I198" i="11"/>
  <c r="AJ198" i="11"/>
  <c r="AK198" i="11"/>
  <c r="AL198" i="11"/>
  <c r="AM198" i="11"/>
  <c r="AN198"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I199" i="11"/>
  <c r="AJ199" i="11"/>
  <c r="AK199" i="11"/>
  <c r="AL199" i="11"/>
  <c r="AM199" i="11"/>
  <c r="AN199" i="11"/>
  <c r="B198" i="11"/>
  <c r="B199" i="11"/>
  <c r="B19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I187" i="11"/>
  <c r="AJ187" i="11"/>
  <c r="AK187" i="11"/>
  <c r="AL187" i="11"/>
  <c r="AM187" i="11"/>
  <c r="AN187"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I188" i="11"/>
  <c r="AJ188" i="11"/>
  <c r="AK188" i="11"/>
  <c r="AL188" i="11"/>
  <c r="AM188" i="11"/>
  <c r="AN188"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I189" i="11"/>
  <c r="AJ189" i="11"/>
  <c r="AK189" i="11"/>
  <c r="AL189" i="11"/>
  <c r="AM189" i="11"/>
  <c r="AN189" i="11"/>
  <c r="B188" i="11"/>
  <c r="B189" i="11"/>
  <c r="B18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I177" i="11"/>
  <c r="AJ177" i="11"/>
  <c r="AK177" i="11"/>
  <c r="AL177" i="11"/>
  <c r="AM177" i="11"/>
  <c r="AN177"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I178" i="11"/>
  <c r="AJ178" i="11"/>
  <c r="AK178" i="11"/>
  <c r="AL178" i="11"/>
  <c r="AM178" i="11"/>
  <c r="AN178"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I179" i="11"/>
  <c r="AJ179" i="11"/>
  <c r="AK179" i="11"/>
  <c r="AL179" i="11"/>
  <c r="AM179" i="11"/>
  <c r="AN179" i="11"/>
  <c r="B178" i="11"/>
  <c r="B179" i="11"/>
  <c r="B177"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I152" i="11"/>
  <c r="AJ152" i="11"/>
  <c r="AK152" i="11"/>
  <c r="AL152" i="11"/>
  <c r="AM152" i="11"/>
  <c r="AN152"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I153" i="11"/>
  <c r="AJ153" i="11"/>
  <c r="AK153" i="11"/>
  <c r="AL153" i="11"/>
  <c r="AM153" i="11"/>
  <c r="AN153"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I154" i="11"/>
  <c r="AJ154" i="11"/>
  <c r="AK154" i="11"/>
  <c r="AL154" i="11"/>
  <c r="AM154" i="11"/>
  <c r="AN154"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I155" i="11"/>
  <c r="AJ155" i="11"/>
  <c r="AK155" i="11"/>
  <c r="AL155" i="11"/>
  <c r="AM155" i="11"/>
  <c r="AN155"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I156" i="11"/>
  <c r="AJ156" i="11"/>
  <c r="AK156" i="11"/>
  <c r="AL156" i="11"/>
  <c r="AM156" i="11"/>
  <c r="AN156"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I157" i="11"/>
  <c r="AJ157" i="11"/>
  <c r="AK157" i="11"/>
  <c r="AL157" i="11"/>
  <c r="AM157" i="11"/>
  <c r="AN157"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I158" i="11"/>
  <c r="AJ158" i="11"/>
  <c r="AK158" i="11"/>
  <c r="AL158" i="11"/>
  <c r="AM158" i="11"/>
  <c r="AN158"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I159" i="11"/>
  <c r="AJ159" i="11"/>
  <c r="AK159" i="11"/>
  <c r="AL159" i="11"/>
  <c r="AM159" i="11"/>
  <c r="AN159" i="11"/>
  <c r="B153" i="11"/>
  <c r="B154" i="11"/>
  <c r="B155" i="11"/>
  <c r="B156" i="11"/>
  <c r="B157" i="11"/>
  <c r="B158" i="11"/>
  <c r="B159" i="11"/>
  <c r="B152"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I137" i="11"/>
  <c r="AJ137" i="11"/>
  <c r="AK137" i="11"/>
  <c r="AL137" i="11"/>
  <c r="AM137" i="11"/>
  <c r="AN137"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I138" i="11"/>
  <c r="AJ138" i="11"/>
  <c r="AK138" i="11"/>
  <c r="AL138" i="11"/>
  <c r="AM138" i="11"/>
  <c r="AN138"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I139" i="11"/>
  <c r="AJ139" i="11"/>
  <c r="AK139" i="11"/>
  <c r="AL139" i="11"/>
  <c r="AM139" i="11"/>
  <c r="AN139"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I140" i="11"/>
  <c r="AJ140" i="11"/>
  <c r="AK140" i="11"/>
  <c r="AL140" i="11"/>
  <c r="AM140" i="11"/>
  <c r="AN140"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I141" i="11"/>
  <c r="AJ141" i="11"/>
  <c r="AK141" i="11"/>
  <c r="AL141" i="11"/>
  <c r="AM141" i="11"/>
  <c r="AN141"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I142" i="11"/>
  <c r="AJ142" i="11"/>
  <c r="AK142" i="11"/>
  <c r="AL142" i="11"/>
  <c r="AM142" i="11"/>
  <c r="AN142"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I143" i="11"/>
  <c r="AJ143" i="11"/>
  <c r="AK143" i="11"/>
  <c r="AL143" i="11"/>
  <c r="AM143" i="11"/>
  <c r="AN143"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I144" i="11"/>
  <c r="AJ144" i="11"/>
  <c r="AK144" i="11"/>
  <c r="AL144" i="11"/>
  <c r="AM144" i="11"/>
  <c r="AN144" i="11"/>
  <c r="B138" i="11"/>
  <c r="B139" i="11"/>
  <c r="B140" i="11"/>
  <c r="B141" i="11"/>
  <c r="B142" i="11"/>
  <c r="B143" i="11"/>
  <c r="B144" i="11"/>
  <c r="B137"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I122" i="11"/>
  <c r="AJ122" i="11"/>
  <c r="AK122" i="11"/>
  <c r="AL122" i="11"/>
  <c r="AM122" i="11"/>
  <c r="AN122"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I123" i="11"/>
  <c r="AJ123" i="11"/>
  <c r="AK123" i="11"/>
  <c r="AL123" i="11"/>
  <c r="AM123" i="11"/>
  <c r="AN123"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I124" i="11"/>
  <c r="AJ124" i="11"/>
  <c r="AK124" i="11"/>
  <c r="AL124" i="11"/>
  <c r="AM124" i="11"/>
  <c r="AN124"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I125" i="11"/>
  <c r="AJ125" i="11"/>
  <c r="AK125" i="11"/>
  <c r="AL125" i="11"/>
  <c r="AM125" i="11"/>
  <c r="AN125"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I126" i="11"/>
  <c r="AJ126" i="11"/>
  <c r="AK126" i="11"/>
  <c r="AL126" i="11"/>
  <c r="AM126" i="11"/>
  <c r="AN126"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I127" i="11"/>
  <c r="AJ127" i="11"/>
  <c r="AK127" i="11"/>
  <c r="AL127" i="11"/>
  <c r="AM127" i="11"/>
  <c r="AN127"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I128" i="11"/>
  <c r="AJ128" i="11"/>
  <c r="AK128" i="11"/>
  <c r="AL128" i="11"/>
  <c r="AM128" i="11"/>
  <c r="AN128"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F129" i="11"/>
  <c r="AG129" i="11"/>
  <c r="AH129" i="11"/>
  <c r="AI129" i="11"/>
  <c r="AJ129" i="11"/>
  <c r="AK129" i="11"/>
  <c r="AL129" i="11"/>
  <c r="AM129" i="11"/>
  <c r="AN129" i="11"/>
  <c r="B123" i="11"/>
  <c r="B124" i="11"/>
  <c r="B125" i="11"/>
  <c r="B126" i="11"/>
  <c r="B127" i="11"/>
  <c r="B128" i="11"/>
  <c r="B129" i="11"/>
  <c r="B122"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I107" i="11"/>
  <c r="AJ107" i="11"/>
  <c r="AK107" i="11"/>
  <c r="AL107" i="11"/>
  <c r="AM107" i="11"/>
  <c r="AN107"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I108" i="11"/>
  <c r="AJ108" i="11"/>
  <c r="AK108" i="11"/>
  <c r="AL108" i="11"/>
  <c r="AM108" i="11"/>
  <c r="AN108"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I109" i="11"/>
  <c r="AJ109" i="11"/>
  <c r="AK109" i="11"/>
  <c r="AL109" i="11"/>
  <c r="AM109" i="11"/>
  <c r="AN109"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I110" i="11"/>
  <c r="AJ110" i="11"/>
  <c r="AK110" i="11"/>
  <c r="AL110" i="11"/>
  <c r="AM110" i="11"/>
  <c r="AN110"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I111" i="11"/>
  <c r="AJ111" i="11"/>
  <c r="AK111" i="11"/>
  <c r="AL111" i="11"/>
  <c r="AM111" i="11"/>
  <c r="AN111"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I112" i="11"/>
  <c r="AJ112" i="11"/>
  <c r="AK112" i="11"/>
  <c r="AL112" i="11"/>
  <c r="AM112" i="11"/>
  <c r="AN112"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I113" i="11"/>
  <c r="AJ113" i="11"/>
  <c r="AK113" i="11"/>
  <c r="AL113" i="11"/>
  <c r="AM113" i="11"/>
  <c r="AN113"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I114" i="11"/>
  <c r="AJ114" i="11"/>
  <c r="AK114" i="11"/>
  <c r="AL114" i="11"/>
  <c r="AM114" i="11"/>
  <c r="AN114" i="11"/>
  <c r="B108" i="11"/>
  <c r="B109" i="11"/>
  <c r="B110" i="11"/>
  <c r="B111" i="11"/>
  <c r="B112" i="11"/>
  <c r="B113" i="11"/>
  <c r="B114" i="11"/>
  <c r="B107"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I92" i="11"/>
  <c r="AJ92" i="11"/>
  <c r="AK92" i="11"/>
  <c r="AL92" i="11"/>
  <c r="AM92" i="11"/>
  <c r="AN92"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I93" i="11"/>
  <c r="AJ93" i="11"/>
  <c r="AK93" i="11"/>
  <c r="AL93" i="11"/>
  <c r="AM93" i="11"/>
  <c r="AN93"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I94" i="11"/>
  <c r="AJ94" i="11"/>
  <c r="AK94" i="11"/>
  <c r="AL94" i="11"/>
  <c r="AM94" i="11"/>
  <c r="AN94"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I95" i="11"/>
  <c r="AJ95" i="11"/>
  <c r="AK95" i="11"/>
  <c r="AL95" i="11"/>
  <c r="AM95" i="11"/>
  <c r="AN95"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I96" i="11"/>
  <c r="AJ96" i="11"/>
  <c r="AK96" i="11"/>
  <c r="AL96" i="11"/>
  <c r="AM96" i="11"/>
  <c r="AN96"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I97" i="11"/>
  <c r="AJ97" i="11"/>
  <c r="AK97" i="11"/>
  <c r="AL97" i="11"/>
  <c r="AM97" i="11"/>
  <c r="AN97"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I98" i="11"/>
  <c r="AJ98" i="11"/>
  <c r="AK98" i="11"/>
  <c r="AL98" i="11"/>
  <c r="AM98" i="11"/>
  <c r="AN98"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I99" i="11"/>
  <c r="AJ99" i="11"/>
  <c r="AK99" i="11"/>
  <c r="AL99" i="11"/>
  <c r="AM99" i="11"/>
  <c r="AN99" i="11"/>
  <c r="B93" i="11"/>
  <c r="B94" i="11"/>
  <c r="B95" i="11"/>
  <c r="B96" i="11"/>
  <c r="B97" i="11"/>
  <c r="B98" i="11"/>
  <c r="B99" i="11"/>
  <c r="B92"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I77" i="11"/>
  <c r="AJ77" i="11"/>
  <c r="AK77" i="11"/>
  <c r="AL77" i="11"/>
  <c r="AM77" i="11"/>
  <c r="AN77"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I78" i="11"/>
  <c r="AJ78" i="11"/>
  <c r="AK78" i="11"/>
  <c r="AL78" i="11"/>
  <c r="AM78" i="11"/>
  <c r="AN78"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I79" i="11"/>
  <c r="AJ79" i="11"/>
  <c r="AK79" i="11"/>
  <c r="AL79" i="11"/>
  <c r="AM79" i="11"/>
  <c r="AN79" i="11"/>
  <c r="C80" i="11"/>
  <c r="C5" i="12" s="1"/>
  <c r="D80" i="11"/>
  <c r="D5" i="12" s="1"/>
  <c r="E80" i="11"/>
  <c r="F80" i="11"/>
  <c r="G80" i="11"/>
  <c r="H80" i="11"/>
  <c r="H5" i="12" s="1"/>
  <c r="I80" i="11"/>
  <c r="J80" i="11"/>
  <c r="J5" i="12" s="1"/>
  <c r="K80" i="11"/>
  <c r="K5" i="12" s="1"/>
  <c r="L80" i="11"/>
  <c r="L5" i="12" s="1"/>
  <c r="M80" i="11"/>
  <c r="N80" i="11"/>
  <c r="O80" i="11"/>
  <c r="P80" i="11"/>
  <c r="P5" i="12" s="1"/>
  <c r="Q80" i="11"/>
  <c r="R80" i="11"/>
  <c r="R5" i="12" s="1"/>
  <c r="S80" i="11"/>
  <c r="S5" i="12" s="1"/>
  <c r="T80" i="11"/>
  <c r="T5" i="12" s="1"/>
  <c r="U80" i="11"/>
  <c r="V80" i="11"/>
  <c r="W80" i="11"/>
  <c r="X80" i="11"/>
  <c r="X5" i="12" s="1"/>
  <c r="Y80" i="11"/>
  <c r="Z80" i="11"/>
  <c r="Z5" i="12" s="1"/>
  <c r="AA80" i="11"/>
  <c r="AA5" i="12" s="1"/>
  <c r="AB80" i="11"/>
  <c r="AB5" i="12" s="1"/>
  <c r="AC80" i="11"/>
  <c r="AD80" i="11"/>
  <c r="AE80" i="11"/>
  <c r="AF80" i="11"/>
  <c r="AF5" i="12" s="1"/>
  <c r="AG80" i="11"/>
  <c r="AH80" i="11"/>
  <c r="AH5" i="12" s="1"/>
  <c r="AI80" i="11"/>
  <c r="AI5" i="12" s="1"/>
  <c r="AJ80" i="11"/>
  <c r="AJ5" i="12" s="1"/>
  <c r="AK80" i="11"/>
  <c r="AL80" i="11"/>
  <c r="AM80" i="11"/>
  <c r="AN80" i="11"/>
  <c r="AN5" i="12" s="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I81" i="11"/>
  <c r="AJ81" i="11"/>
  <c r="AK81" i="11"/>
  <c r="AL81" i="11"/>
  <c r="AM81" i="11"/>
  <c r="AN81"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I82" i="11"/>
  <c r="AJ82" i="11"/>
  <c r="AK82" i="11"/>
  <c r="AL82" i="11"/>
  <c r="AM82" i="11"/>
  <c r="AN82"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I83" i="11"/>
  <c r="AJ83" i="11"/>
  <c r="AK83" i="11"/>
  <c r="AL83" i="11"/>
  <c r="AM83" i="11"/>
  <c r="AN83"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I84" i="11"/>
  <c r="AJ84" i="11"/>
  <c r="AK84" i="11"/>
  <c r="AL84" i="11"/>
  <c r="AM84" i="11"/>
  <c r="AN84" i="11"/>
  <c r="B78" i="11"/>
  <c r="B79" i="11"/>
  <c r="B80" i="11"/>
  <c r="B5" i="12" s="1"/>
  <c r="B81" i="11"/>
  <c r="B82" i="11"/>
  <c r="B83" i="11"/>
  <c r="B84" i="11"/>
  <c r="B77"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I62" i="11"/>
  <c r="AJ62" i="11"/>
  <c r="AK62" i="11"/>
  <c r="AL62" i="11"/>
  <c r="AM62" i="11"/>
  <c r="AN62"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I63" i="11"/>
  <c r="AJ63" i="11"/>
  <c r="AK63" i="11"/>
  <c r="AL63" i="11"/>
  <c r="AM63" i="11"/>
  <c r="AN63"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I64" i="11"/>
  <c r="AJ64" i="11"/>
  <c r="AK64" i="11"/>
  <c r="AL64" i="11"/>
  <c r="AM64" i="11"/>
  <c r="AN64"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I65" i="11"/>
  <c r="AJ65" i="11"/>
  <c r="AK65" i="11"/>
  <c r="AL65" i="11"/>
  <c r="AM65" i="11"/>
  <c r="AN65"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I66" i="11"/>
  <c r="AJ66" i="11"/>
  <c r="AK66" i="11"/>
  <c r="AL66" i="11"/>
  <c r="AM66" i="11"/>
  <c r="AN66"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I67" i="11"/>
  <c r="AJ67" i="11"/>
  <c r="AK67" i="11"/>
  <c r="AL67" i="11"/>
  <c r="AM67" i="11"/>
  <c r="AN67"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I68" i="11"/>
  <c r="AJ68" i="11"/>
  <c r="AK68" i="11"/>
  <c r="AL68" i="11"/>
  <c r="AM68" i="11"/>
  <c r="AN68"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I69" i="11"/>
  <c r="AJ69" i="11"/>
  <c r="AK69" i="11"/>
  <c r="AL69" i="11"/>
  <c r="AM69" i="11"/>
  <c r="AN69" i="11"/>
  <c r="B63" i="11"/>
  <c r="B64" i="11"/>
  <c r="B65" i="11"/>
  <c r="B66" i="11"/>
  <c r="B67" i="11"/>
  <c r="B68" i="11"/>
  <c r="B69" i="11"/>
  <c r="B62"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I47" i="11"/>
  <c r="AJ47" i="11"/>
  <c r="AK47" i="11"/>
  <c r="AL47" i="11"/>
  <c r="AM47" i="11"/>
  <c r="AN47"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I48" i="11"/>
  <c r="AJ48" i="11"/>
  <c r="AK48" i="11"/>
  <c r="AL48" i="11"/>
  <c r="AM48" i="11"/>
  <c r="AN48" i="11"/>
  <c r="C49" i="11"/>
  <c r="C4" i="12" s="1"/>
  <c r="D49" i="11"/>
  <c r="D4" i="12" s="1"/>
  <c r="E49" i="11"/>
  <c r="E4" i="12" s="1"/>
  <c r="F49" i="11"/>
  <c r="F4" i="12" s="1"/>
  <c r="G49" i="11"/>
  <c r="G4" i="12" s="1"/>
  <c r="H49" i="11"/>
  <c r="H4" i="12" s="1"/>
  <c r="I49" i="11"/>
  <c r="I4" i="12" s="1"/>
  <c r="J49" i="11"/>
  <c r="J4" i="12" s="1"/>
  <c r="K49" i="11"/>
  <c r="K4" i="12" s="1"/>
  <c r="L49" i="11"/>
  <c r="L4" i="12" s="1"/>
  <c r="M49" i="11"/>
  <c r="M4" i="12" s="1"/>
  <c r="N49" i="11"/>
  <c r="N4" i="12" s="1"/>
  <c r="O49" i="11"/>
  <c r="O4" i="12" s="1"/>
  <c r="P49" i="11"/>
  <c r="P4" i="12" s="1"/>
  <c r="Q49" i="11"/>
  <c r="Q4" i="12" s="1"/>
  <c r="R49" i="11"/>
  <c r="R4" i="12" s="1"/>
  <c r="S49" i="11"/>
  <c r="S4" i="12" s="1"/>
  <c r="T49" i="11"/>
  <c r="T4" i="12" s="1"/>
  <c r="U49" i="11"/>
  <c r="U4" i="12" s="1"/>
  <c r="V49" i="11"/>
  <c r="V4" i="12" s="1"/>
  <c r="W49" i="11"/>
  <c r="W4" i="12" s="1"/>
  <c r="X49" i="11"/>
  <c r="X4" i="12" s="1"/>
  <c r="Y49" i="11"/>
  <c r="Y4" i="12" s="1"/>
  <c r="Z49" i="11"/>
  <c r="Z4" i="12" s="1"/>
  <c r="AA49" i="11"/>
  <c r="AA4" i="12" s="1"/>
  <c r="AB49" i="11"/>
  <c r="AB4" i="12" s="1"/>
  <c r="AC49" i="11"/>
  <c r="AC4" i="12" s="1"/>
  <c r="AD49" i="11"/>
  <c r="AD4" i="12" s="1"/>
  <c r="AE49" i="11"/>
  <c r="AE4" i="12" s="1"/>
  <c r="AF49" i="11"/>
  <c r="AF4" i="12" s="1"/>
  <c r="AG49" i="11"/>
  <c r="AG4" i="12" s="1"/>
  <c r="AH49" i="11"/>
  <c r="AH4" i="12" s="1"/>
  <c r="AI49" i="11"/>
  <c r="AI4" i="12" s="1"/>
  <c r="AJ49" i="11"/>
  <c r="AJ4" i="12" s="1"/>
  <c r="AK49" i="11"/>
  <c r="AK4" i="12" s="1"/>
  <c r="AL49" i="11"/>
  <c r="AL4" i="12" s="1"/>
  <c r="AM49" i="11"/>
  <c r="AM4" i="12" s="1"/>
  <c r="AN49" i="11"/>
  <c r="AN4" i="12" s="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I50" i="11"/>
  <c r="AJ50" i="11"/>
  <c r="AK50" i="11"/>
  <c r="AL50" i="11"/>
  <c r="AM50" i="11"/>
  <c r="AN50"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I51" i="11"/>
  <c r="AJ51" i="11"/>
  <c r="AK51" i="11"/>
  <c r="AL51" i="11"/>
  <c r="AM51" i="11"/>
  <c r="AN51"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I52" i="11"/>
  <c r="AJ52" i="11"/>
  <c r="AK52" i="11"/>
  <c r="AL52" i="11"/>
  <c r="AM52" i="11"/>
  <c r="AN52"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I53" i="11"/>
  <c r="AJ53" i="11"/>
  <c r="AK53" i="11"/>
  <c r="AL53" i="11"/>
  <c r="AM53" i="11"/>
  <c r="AN53"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F54" i="11"/>
  <c r="AG54" i="11"/>
  <c r="AH54" i="11"/>
  <c r="AI54" i="11"/>
  <c r="AJ54" i="11"/>
  <c r="AK54" i="11"/>
  <c r="AL54" i="11"/>
  <c r="AM54" i="11"/>
  <c r="AN54" i="11"/>
  <c r="B48" i="11"/>
  <c r="B49" i="11"/>
  <c r="B4" i="12" s="1"/>
  <c r="B50" i="11"/>
  <c r="B51" i="11"/>
  <c r="B52" i="11"/>
  <c r="B53" i="11"/>
  <c r="B54" i="11"/>
  <c r="B47"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I32" i="11"/>
  <c r="AJ32" i="11"/>
  <c r="AK32" i="11"/>
  <c r="AL32" i="11"/>
  <c r="AM32" i="11"/>
  <c r="AN32"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I33" i="11"/>
  <c r="AJ33" i="11"/>
  <c r="AK33" i="11"/>
  <c r="AL33" i="11"/>
  <c r="AM33" i="11"/>
  <c r="AN33"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I34" i="11"/>
  <c r="AJ34" i="11"/>
  <c r="AK34" i="11"/>
  <c r="AL34" i="11"/>
  <c r="AM34" i="11"/>
  <c r="AN34"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I35" i="11"/>
  <c r="AJ35" i="11"/>
  <c r="AK35" i="11"/>
  <c r="AL35" i="11"/>
  <c r="AM35" i="11"/>
  <c r="AN35"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I36" i="11"/>
  <c r="AJ36" i="11"/>
  <c r="AK36" i="11"/>
  <c r="AL36" i="11"/>
  <c r="AM36" i="11"/>
  <c r="AN36"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I37" i="11"/>
  <c r="AJ37" i="11"/>
  <c r="AK37" i="11"/>
  <c r="AL37" i="11"/>
  <c r="AM37" i="11"/>
  <c r="AN37"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I38" i="11"/>
  <c r="AJ38" i="11"/>
  <c r="AK38" i="11"/>
  <c r="AL38" i="11"/>
  <c r="AM38" i="11"/>
  <c r="AN38"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I39" i="11"/>
  <c r="AJ39" i="11"/>
  <c r="AK39" i="11"/>
  <c r="AL39" i="11"/>
  <c r="AM39" i="11"/>
  <c r="AN39" i="11"/>
  <c r="B33" i="11"/>
  <c r="B34" i="11"/>
  <c r="B35" i="11"/>
  <c r="B36" i="11"/>
  <c r="B37" i="11"/>
  <c r="B38" i="11"/>
  <c r="B39" i="11"/>
  <c r="B32" i="11"/>
  <c r="C17" i="11"/>
  <c r="C2" i="12" s="1"/>
  <c r="F7" i="9" s="1"/>
  <c r="D17" i="11"/>
  <c r="D2" i="12" s="1"/>
  <c r="G7" i="9" s="1"/>
  <c r="E17" i="11"/>
  <c r="E2" i="12" s="1"/>
  <c r="H7" i="9" s="1"/>
  <c r="F17" i="11"/>
  <c r="F2" i="12" s="1"/>
  <c r="I7" i="9" s="1"/>
  <c r="G17" i="11"/>
  <c r="G2" i="12" s="1"/>
  <c r="J7" i="9" s="1"/>
  <c r="H17" i="11"/>
  <c r="H2" i="12" s="1"/>
  <c r="K7" i="9" s="1"/>
  <c r="I17" i="11"/>
  <c r="I2" i="12" s="1"/>
  <c r="L7" i="9" s="1"/>
  <c r="J17" i="11"/>
  <c r="J2" i="12" s="1"/>
  <c r="M7" i="9" s="1"/>
  <c r="K17" i="11"/>
  <c r="K2" i="12" s="1"/>
  <c r="N7" i="9" s="1"/>
  <c r="L17" i="11"/>
  <c r="L2" i="12" s="1"/>
  <c r="O7" i="9" s="1"/>
  <c r="M17" i="11"/>
  <c r="M2" i="12" s="1"/>
  <c r="P7" i="9" s="1"/>
  <c r="N17" i="11"/>
  <c r="N2" i="12" s="1"/>
  <c r="Q7" i="9" s="1"/>
  <c r="O17" i="11"/>
  <c r="O2" i="12" s="1"/>
  <c r="R7" i="9" s="1"/>
  <c r="P17" i="11"/>
  <c r="P2" i="12" s="1"/>
  <c r="S7" i="9" s="1"/>
  <c r="Q17" i="11"/>
  <c r="Q2" i="12" s="1"/>
  <c r="T7" i="9" s="1"/>
  <c r="R17" i="11"/>
  <c r="R2" i="12" s="1"/>
  <c r="U7" i="9" s="1"/>
  <c r="S17" i="11"/>
  <c r="S2" i="12" s="1"/>
  <c r="V7" i="9" s="1"/>
  <c r="T17" i="11"/>
  <c r="T2" i="12" s="1"/>
  <c r="W7" i="9" s="1"/>
  <c r="U17" i="11"/>
  <c r="U2" i="12" s="1"/>
  <c r="X7" i="9" s="1"/>
  <c r="V17" i="11"/>
  <c r="V2" i="12" s="1"/>
  <c r="Y7" i="9" s="1"/>
  <c r="W17" i="11"/>
  <c r="W2" i="12" s="1"/>
  <c r="Z7" i="9" s="1"/>
  <c r="X17" i="11"/>
  <c r="X2" i="12" s="1"/>
  <c r="AA7" i="9" s="1"/>
  <c r="Y17" i="11"/>
  <c r="Y2" i="12" s="1"/>
  <c r="AB7" i="9" s="1"/>
  <c r="Z17" i="11"/>
  <c r="Z2" i="12" s="1"/>
  <c r="AC7" i="9" s="1"/>
  <c r="AA17" i="11"/>
  <c r="AA2" i="12" s="1"/>
  <c r="AD7" i="9" s="1"/>
  <c r="AB17" i="11"/>
  <c r="AB2" i="12" s="1"/>
  <c r="AE7" i="9" s="1"/>
  <c r="AC17" i="11"/>
  <c r="AC2" i="12" s="1"/>
  <c r="AF7" i="9" s="1"/>
  <c r="AD17" i="11"/>
  <c r="AD2" i="12" s="1"/>
  <c r="AG7" i="9" s="1"/>
  <c r="AE17" i="11"/>
  <c r="AE2" i="12" s="1"/>
  <c r="AH7" i="9" s="1"/>
  <c r="AF17" i="11"/>
  <c r="AF2" i="12" s="1"/>
  <c r="AI7" i="9" s="1"/>
  <c r="AG17" i="11"/>
  <c r="AG2" i="12" s="1"/>
  <c r="AJ7" i="9" s="1"/>
  <c r="AH17" i="11"/>
  <c r="AH2" i="12" s="1"/>
  <c r="AK7" i="9" s="1"/>
  <c r="AI17" i="11"/>
  <c r="AI2" i="12" s="1"/>
  <c r="AL7" i="9" s="1"/>
  <c r="AJ17" i="11"/>
  <c r="AJ2" i="12" s="1"/>
  <c r="AM7" i="9" s="1"/>
  <c r="AK17" i="11"/>
  <c r="AK2" i="12" s="1"/>
  <c r="AN7" i="9" s="1"/>
  <c r="AL17" i="11"/>
  <c r="AL2" i="12" s="1"/>
  <c r="AO7" i="9" s="1"/>
  <c r="AM17" i="11"/>
  <c r="AM2" i="12" s="1"/>
  <c r="AP7" i="9" s="1"/>
  <c r="AN17" i="11"/>
  <c r="AN2" i="12" s="1"/>
  <c r="AQ7" i="9" s="1"/>
  <c r="C18" i="11"/>
  <c r="C3" i="12" s="1"/>
  <c r="D18" i="11"/>
  <c r="D3" i="12" s="1"/>
  <c r="E18" i="11"/>
  <c r="E3" i="12" s="1"/>
  <c r="F18" i="11"/>
  <c r="F3" i="12" s="1"/>
  <c r="G18" i="11"/>
  <c r="G3" i="12" s="1"/>
  <c r="H18" i="11"/>
  <c r="H3" i="12" s="1"/>
  <c r="I18" i="11"/>
  <c r="I3" i="12" s="1"/>
  <c r="J18" i="11"/>
  <c r="J3" i="12" s="1"/>
  <c r="K18" i="11"/>
  <c r="K3" i="12" s="1"/>
  <c r="L18" i="11"/>
  <c r="L3" i="12" s="1"/>
  <c r="M18" i="11"/>
  <c r="M3" i="12" s="1"/>
  <c r="N18" i="11"/>
  <c r="N3" i="12" s="1"/>
  <c r="O18" i="11"/>
  <c r="O3" i="12" s="1"/>
  <c r="P18" i="11"/>
  <c r="P3" i="12" s="1"/>
  <c r="Q18" i="11"/>
  <c r="Q3" i="12" s="1"/>
  <c r="R18" i="11"/>
  <c r="R3" i="12" s="1"/>
  <c r="S18" i="11"/>
  <c r="S3" i="12" s="1"/>
  <c r="T18" i="11"/>
  <c r="T3" i="12" s="1"/>
  <c r="U18" i="11"/>
  <c r="U3" i="12" s="1"/>
  <c r="V18" i="11"/>
  <c r="V3" i="12" s="1"/>
  <c r="W18" i="11"/>
  <c r="W3" i="12" s="1"/>
  <c r="X18" i="11"/>
  <c r="X3" i="12" s="1"/>
  <c r="Y18" i="11"/>
  <c r="Y3" i="12" s="1"/>
  <c r="Z18" i="11"/>
  <c r="Z3" i="12" s="1"/>
  <c r="AA18" i="11"/>
  <c r="AA3" i="12" s="1"/>
  <c r="AB18" i="11"/>
  <c r="AB3" i="12" s="1"/>
  <c r="AC18" i="11"/>
  <c r="AC3" i="12" s="1"/>
  <c r="AD18" i="11"/>
  <c r="AD3" i="12" s="1"/>
  <c r="AE18" i="11"/>
  <c r="AE3" i="12" s="1"/>
  <c r="AF18" i="11"/>
  <c r="AF3" i="12" s="1"/>
  <c r="AG18" i="11"/>
  <c r="AG3" i="12" s="1"/>
  <c r="AH18" i="11"/>
  <c r="AH3" i="12" s="1"/>
  <c r="AI18" i="11"/>
  <c r="AI3" i="12" s="1"/>
  <c r="AJ18" i="11"/>
  <c r="AJ3" i="12" s="1"/>
  <c r="AK18" i="11"/>
  <c r="AK3" i="12" s="1"/>
  <c r="AL18" i="11"/>
  <c r="AL3" i="12" s="1"/>
  <c r="AM18" i="11"/>
  <c r="AM3" i="12" s="1"/>
  <c r="AN18" i="11"/>
  <c r="AN3" i="12" s="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I19" i="11"/>
  <c r="AJ19" i="11"/>
  <c r="AK19" i="11"/>
  <c r="AL19" i="11"/>
  <c r="AM19" i="11"/>
  <c r="AN19"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I20" i="11"/>
  <c r="AJ20" i="11"/>
  <c r="AK20" i="11"/>
  <c r="AL20" i="11"/>
  <c r="AM20" i="11"/>
  <c r="AN20"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AJ21" i="11"/>
  <c r="AK21" i="11"/>
  <c r="AL21" i="11"/>
  <c r="AM21" i="11"/>
  <c r="AN21"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AJ22" i="11"/>
  <c r="AK22" i="11"/>
  <c r="AL22" i="11"/>
  <c r="AM22" i="11"/>
  <c r="AN22"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I23" i="11"/>
  <c r="AJ23" i="11"/>
  <c r="AK23" i="11"/>
  <c r="AL23" i="11"/>
  <c r="AM23" i="11"/>
  <c r="AN23"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I24" i="11"/>
  <c r="AJ24" i="11"/>
  <c r="AK24" i="11"/>
  <c r="AL24" i="11"/>
  <c r="AM24" i="11"/>
  <c r="AN24" i="11"/>
  <c r="B18" i="11"/>
  <c r="B3" i="12" s="1"/>
  <c r="B19" i="11"/>
  <c r="B20" i="11"/>
  <c r="B21" i="11"/>
  <c r="B22" i="11"/>
  <c r="B23" i="11"/>
  <c r="B24" i="11"/>
  <c r="B17" i="11"/>
  <c r="B2" i="12" s="1"/>
  <c r="E7" i="9" s="1"/>
  <c r="C7" i="11"/>
  <c r="C6" i="12" s="1"/>
  <c r="D7" i="11"/>
  <c r="D6" i="12" s="1"/>
  <c r="E7" i="11"/>
  <c r="E6" i="12" s="1"/>
  <c r="F7" i="11"/>
  <c r="F6" i="12" s="1"/>
  <c r="G7" i="11"/>
  <c r="G6" i="12" s="1"/>
  <c r="H7" i="11"/>
  <c r="I7" i="11"/>
  <c r="J7" i="11"/>
  <c r="J6" i="12" s="1"/>
  <c r="K7" i="11"/>
  <c r="K6" i="12" s="1"/>
  <c r="L7" i="11"/>
  <c r="L6" i="12" s="1"/>
  <c r="M7" i="11"/>
  <c r="M6" i="12" s="1"/>
  <c r="N7" i="11"/>
  <c r="N6" i="12" s="1"/>
  <c r="O7" i="11"/>
  <c r="O6" i="12" s="1"/>
  <c r="P7" i="11"/>
  <c r="P6" i="12" s="1"/>
  <c r="Q7" i="11"/>
  <c r="R7" i="11"/>
  <c r="R6" i="12" s="1"/>
  <c r="S7" i="11"/>
  <c r="S6" i="12" s="1"/>
  <c r="T7" i="11"/>
  <c r="T6" i="12" s="1"/>
  <c r="U7" i="11"/>
  <c r="U6" i="12" s="1"/>
  <c r="V7" i="11"/>
  <c r="V6" i="12" s="1"/>
  <c r="W7" i="11"/>
  <c r="W6" i="12" s="1"/>
  <c r="X7" i="11"/>
  <c r="X6" i="12" s="1"/>
  <c r="Y7" i="11"/>
  <c r="Z7" i="11"/>
  <c r="Z6" i="12" s="1"/>
  <c r="AA7" i="11"/>
  <c r="AA6" i="12" s="1"/>
  <c r="AB7" i="11"/>
  <c r="AB6" i="12" s="1"/>
  <c r="AC7" i="11"/>
  <c r="AC6" i="12" s="1"/>
  <c r="AD7" i="11"/>
  <c r="AD6" i="12" s="1"/>
  <c r="AE7" i="11"/>
  <c r="AE6" i="12" s="1"/>
  <c r="AF7" i="11"/>
  <c r="AF6" i="12" s="1"/>
  <c r="AG7" i="11"/>
  <c r="AH7" i="11"/>
  <c r="AH6" i="12" s="1"/>
  <c r="AI7" i="11"/>
  <c r="AI6" i="12" s="1"/>
  <c r="AJ7" i="11"/>
  <c r="AJ6" i="12" s="1"/>
  <c r="AK7" i="11"/>
  <c r="AK6" i="12" s="1"/>
  <c r="AL7" i="11"/>
  <c r="AL6" i="12" s="1"/>
  <c r="AM7" i="11"/>
  <c r="AM6" i="12" s="1"/>
  <c r="AN7" i="11"/>
  <c r="AN6" i="12" s="1"/>
  <c r="C8" i="11"/>
  <c r="D8" i="11"/>
  <c r="D7" i="12" s="1"/>
  <c r="E8" i="11"/>
  <c r="E7" i="12" s="1"/>
  <c r="F8" i="11"/>
  <c r="F7" i="12" s="1"/>
  <c r="G8" i="11"/>
  <c r="G7" i="12" s="1"/>
  <c r="H8" i="11"/>
  <c r="H7" i="12" s="1"/>
  <c r="I8" i="11"/>
  <c r="I7" i="12" s="1"/>
  <c r="J8" i="11"/>
  <c r="J7" i="12" s="1"/>
  <c r="K8" i="11"/>
  <c r="L8" i="11"/>
  <c r="L7" i="12" s="1"/>
  <c r="M8" i="11"/>
  <c r="M7" i="12" s="1"/>
  <c r="N8" i="11"/>
  <c r="N7" i="12" s="1"/>
  <c r="O8" i="11"/>
  <c r="O7" i="12" s="1"/>
  <c r="P8" i="11"/>
  <c r="P7" i="12" s="1"/>
  <c r="Q8" i="11"/>
  <c r="Q7" i="12" s="1"/>
  <c r="R8" i="11"/>
  <c r="R7" i="12" s="1"/>
  <c r="S8" i="11"/>
  <c r="T8" i="11"/>
  <c r="T7" i="12" s="1"/>
  <c r="U8" i="11"/>
  <c r="U7" i="12" s="1"/>
  <c r="V8" i="11"/>
  <c r="V7" i="12" s="1"/>
  <c r="W8" i="11"/>
  <c r="W7" i="12" s="1"/>
  <c r="X8" i="11"/>
  <c r="X7" i="12" s="1"/>
  <c r="Y8" i="11"/>
  <c r="Y7" i="12" s="1"/>
  <c r="Z8" i="11"/>
  <c r="Z7" i="12" s="1"/>
  <c r="AA8" i="11"/>
  <c r="AB8" i="11"/>
  <c r="AB7" i="12" s="1"/>
  <c r="AC8" i="11"/>
  <c r="AC7" i="12" s="1"/>
  <c r="AD8" i="11"/>
  <c r="AD7" i="12" s="1"/>
  <c r="AE8" i="11"/>
  <c r="AE7" i="12" s="1"/>
  <c r="AF8" i="11"/>
  <c r="AF7" i="12" s="1"/>
  <c r="AG8" i="11"/>
  <c r="AG7" i="12" s="1"/>
  <c r="AH8" i="11"/>
  <c r="AH7" i="12" s="1"/>
  <c r="AI8" i="11"/>
  <c r="AJ8" i="11"/>
  <c r="AJ7" i="12" s="1"/>
  <c r="AK8" i="11"/>
  <c r="AK7" i="12" s="1"/>
  <c r="AL8" i="11"/>
  <c r="AL7" i="12" s="1"/>
  <c r="AM8" i="11"/>
  <c r="AM7" i="12" s="1"/>
  <c r="AN8" i="11"/>
  <c r="AN7" i="12" s="1"/>
  <c r="C9" i="11"/>
  <c r="C8" i="12" s="1"/>
  <c r="D9" i="11"/>
  <c r="D8" i="12" s="1"/>
  <c r="E9" i="11"/>
  <c r="F9" i="11"/>
  <c r="F8" i="12" s="1"/>
  <c r="G9" i="11"/>
  <c r="G8" i="12" s="1"/>
  <c r="H9" i="11"/>
  <c r="H8" i="12" s="1"/>
  <c r="I9" i="11"/>
  <c r="I8" i="12" s="1"/>
  <c r="J9" i="11"/>
  <c r="J8" i="12" s="1"/>
  <c r="K9" i="11"/>
  <c r="K8" i="12" s="1"/>
  <c r="L9" i="11"/>
  <c r="L8" i="12" s="1"/>
  <c r="M9" i="11"/>
  <c r="N9" i="11"/>
  <c r="N8" i="12" s="1"/>
  <c r="O9" i="11"/>
  <c r="O8" i="12" s="1"/>
  <c r="P9" i="11"/>
  <c r="P8" i="12" s="1"/>
  <c r="Q9" i="11"/>
  <c r="Q8" i="12" s="1"/>
  <c r="R9" i="11"/>
  <c r="R8" i="12" s="1"/>
  <c r="S9" i="11"/>
  <c r="S8" i="12" s="1"/>
  <c r="T9" i="11"/>
  <c r="T8" i="12" s="1"/>
  <c r="U9" i="11"/>
  <c r="V9" i="11"/>
  <c r="V8" i="12" s="1"/>
  <c r="W9" i="11"/>
  <c r="W8" i="12" s="1"/>
  <c r="X9" i="11"/>
  <c r="X8" i="12" s="1"/>
  <c r="Y9" i="11"/>
  <c r="Y8" i="12" s="1"/>
  <c r="Z9" i="11"/>
  <c r="Z8" i="12" s="1"/>
  <c r="AA9" i="11"/>
  <c r="AA8" i="12" s="1"/>
  <c r="AB9" i="11"/>
  <c r="AB8" i="12" s="1"/>
  <c r="AC9" i="11"/>
  <c r="AD9" i="11"/>
  <c r="AD8" i="12" s="1"/>
  <c r="AE9" i="11"/>
  <c r="AE8" i="12" s="1"/>
  <c r="AF9" i="11"/>
  <c r="AF8" i="12" s="1"/>
  <c r="AG9" i="11"/>
  <c r="AG8" i="12" s="1"/>
  <c r="AH9" i="11"/>
  <c r="AH8" i="12" s="1"/>
  <c r="AI9" i="11"/>
  <c r="AI8" i="12" s="1"/>
  <c r="AJ9" i="11"/>
  <c r="AJ8" i="12" s="1"/>
  <c r="AK9" i="11"/>
  <c r="AL9" i="11"/>
  <c r="AL8" i="12" s="1"/>
  <c r="AM9" i="11"/>
  <c r="AM8" i="12" s="1"/>
  <c r="AN9" i="11"/>
  <c r="AN8" i="12" s="1"/>
  <c r="B8" i="11"/>
  <c r="B7" i="12" s="1"/>
  <c r="B9" i="11"/>
  <c r="B7" i="11"/>
  <c r="B6" i="12" s="1"/>
  <c r="C3" i="40"/>
  <c r="D3" i="40"/>
  <c r="E3" i="40"/>
  <c r="F3" i="40"/>
  <c r="G3" i="40"/>
  <c r="H3" i="40"/>
  <c r="I3" i="40"/>
  <c r="J3" i="40"/>
  <c r="K3" i="40"/>
  <c r="L3" i="40"/>
  <c r="M3" i="40"/>
  <c r="N3" i="40"/>
  <c r="O3" i="40"/>
  <c r="P3" i="40"/>
  <c r="Q3" i="40"/>
  <c r="R3" i="40"/>
  <c r="S3" i="40"/>
  <c r="T3" i="40"/>
  <c r="U3" i="40"/>
  <c r="V3" i="40"/>
  <c r="W3" i="40"/>
  <c r="X3" i="40"/>
  <c r="Y3" i="40"/>
  <c r="Z3" i="40"/>
  <c r="AA3" i="40"/>
  <c r="AB3" i="40"/>
  <c r="AC3" i="40"/>
  <c r="AD3" i="40"/>
  <c r="AE3" i="40"/>
  <c r="AF3" i="40"/>
  <c r="AG3" i="40"/>
  <c r="AH3" i="40"/>
  <c r="AI3" i="40"/>
  <c r="AJ3" i="40"/>
  <c r="AK3" i="40"/>
  <c r="AL3" i="40"/>
  <c r="AM3" i="40"/>
  <c r="AN3" i="40"/>
  <c r="AO3" i="40"/>
  <c r="AP3" i="40"/>
  <c r="AQ3" i="40"/>
  <c r="C9"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AG9" i="40"/>
  <c r="AH9" i="40"/>
  <c r="AI9" i="40"/>
  <c r="AJ9" i="40"/>
  <c r="AK9" i="40"/>
  <c r="AL9" i="40"/>
  <c r="AM9" i="40"/>
  <c r="AN9" i="40"/>
  <c r="AO9" i="40"/>
  <c r="AP9" i="40"/>
  <c r="AQ9" i="40"/>
  <c r="C11" i="40"/>
  <c r="D11" i="40"/>
  <c r="E11" i="40"/>
  <c r="F11" i="40"/>
  <c r="G11" i="40"/>
  <c r="H11" i="40"/>
  <c r="I11" i="40"/>
  <c r="J11" i="40"/>
  <c r="K11" i="40"/>
  <c r="L11" i="40"/>
  <c r="M11" i="40"/>
  <c r="N11" i="40"/>
  <c r="O11" i="40"/>
  <c r="P11" i="40"/>
  <c r="Q11" i="40"/>
  <c r="R11" i="40"/>
  <c r="S11" i="40"/>
  <c r="T11" i="40"/>
  <c r="U11" i="40"/>
  <c r="V11" i="40"/>
  <c r="W11" i="40"/>
  <c r="X11" i="40"/>
  <c r="Y11" i="40"/>
  <c r="Z11" i="40"/>
  <c r="AA11" i="40"/>
  <c r="AB11" i="40"/>
  <c r="AC11" i="40"/>
  <c r="AD11" i="40"/>
  <c r="AE11" i="40"/>
  <c r="AF11" i="40"/>
  <c r="AG11" i="40"/>
  <c r="AH11" i="40"/>
  <c r="AI11" i="40"/>
  <c r="AJ11" i="40"/>
  <c r="AK11" i="40"/>
  <c r="AL11" i="40"/>
  <c r="AM11" i="40"/>
  <c r="AN11" i="40"/>
  <c r="AO11" i="40"/>
  <c r="AP11" i="40"/>
  <c r="AQ11" i="40"/>
  <c r="B3" i="40"/>
  <c r="B9" i="40"/>
  <c r="B11" i="40"/>
  <c r="C3" i="38"/>
  <c r="D3" i="38"/>
  <c r="E3" i="38"/>
  <c r="F3" i="38"/>
  <c r="G3" i="38"/>
  <c r="H3" i="38"/>
  <c r="I3" i="38"/>
  <c r="J3" i="38"/>
  <c r="K3" i="38"/>
  <c r="L3" i="38"/>
  <c r="M3" i="38"/>
  <c r="N3" i="38"/>
  <c r="O3" i="38"/>
  <c r="P3" i="38"/>
  <c r="Q3" i="38"/>
  <c r="R3" i="38"/>
  <c r="S3" i="38"/>
  <c r="T3" i="38"/>
  <c r="U3" i="38"/>
  <c r="V3" i="38"/>
  <c r="W3" i="38"/>
  <c r="X3" i="38"/>
  <c r="Y3" i="38"/>
  <c r="Z3" i="38"/>
  <c r="AA3" i="38"/>
  <c r="AB3" i="38"/>
  <c r="AC3" i="38"/>
  <c r="AD3" i="38"/>
  <c r="AE3" i="38"/>
  <c r="AF3" i="38"/>
  <c r="AG3" i="38"/>
  <c r="AH3" i="38"/>
  <c r="AI3" i="38"/>
  <c r="AJ3" i="38"/>
  <c r="AK3" i="38"/>
  <c r="AL3" i="38"/>
  <c r="AM3" i="38"/>
  <c r="AN3" i="38"/>
  <c r="AO3" i="38"/>
  <c r="AP3" i="38"/>
  <c r="AQ3" i="38"/>
  <c r="C4" i="38"/>
  <c r="D4" i="38"/>
  <c r="E4" i="38"/>
  <c r="F4" i="38"/>
  <c r="G4" i="38"/>
  <c r="H4" i="38"/>
  <c r="I4" i="38"/>
  <c r="J4" i="38"/>
  <c r="K4" i="38"/>
  <c r="L4" i="38"/>
  <c r="M4" i="38"/>
  <c r="N4" i="38"/>
  <c r="O4" i="38"/>
  <c r="P4" i="38"/>
  <c r="Q4" i="38"/>
  <c r="R4" i="38"/>
  <c r="S4" i="38"/>
  <c r="T4" i="38"/>
  <c r="U4" i="38"/>
  <c r="V4" i="38"/>
  <c r="W4" i="38"/>
  <c r="X4" i="38"/>
  <c r="Y4" i="38"/>
  <c r="Z4" i="38"/>
  <c r="AA4" i="38"/>
  <c r="AB4" i="38"/>
  <c r="AC4" i="38"/>
  <c r="AD4" i="38"/>
  <c r="AE4" i="38"/>
  <c r="AF4" i="38"/>
  <c r="AG4" i="38"/>
  <c r="AH4" i="38"/>
  <c r="AI4" i="38"/>
  <c r="AJ4" i="38"/>
  <c r="AK4" i="38"/>
  <c r="AL4" i="38"/>
  <c r="AM4" i="38"/>
  <c r="AN4" i="38"/>
  <c r="AO4" i="38"/>
  <c r="AP4" i="38"/>
  <c r="AQ4" i="38"/>
  <c r="C5" i="38"/>
  <c r="D5" i="38"/>
  <c r="E5" i="38"/>
  <c r="F5" i="38"/>
  <c r="G5" i="38"/>
  <c r="H5" i="38"/>
  <c r="I5" i="38"/>
  <c r="J5" i="38"/>
  <c r="K5" i="38"/>
  <c r="L5" i="38"/>
  <c r="M5" i="38"/>
  <c r="N5" i="38"/>
  <c r="O5" i="38"/>
  <c r="P5" i="38"/>
  <c r="Q5" i="38"/>
  <c r="R5" i="38"/>
  <c r="S5" i="38"/>
  <c r="T5" i="38"/>
  <c r="U5" i="38"/>
  <c r="V5" i="38"/>
  <c r="W5" i="38"/>
  <c r="X5" i="38"/>
  <c r="Y5" i="38"/>
  <c r="Z5" i="38"/>
  <c r="AA5" i="38"/>
  <c r="AB5" i="38"/>
  <c r="AC5" i="38"/>
  <c r="AD5" i="38"/>
  <c r="AE5" i="38"/>
  <c r="AF5" i="38"/>
  <c r="AG5" i="38"/>
  <c r="AH5" i="38"/>
  <c r="AI5" i="38"/>
  <c r="AJ5" i="38"/>
  <c r="AK5" i="38"/>
  <c r="AL5" i="38"/>
  <c r="AM5" i="38"/>
  <c r="AN5" i="38"/>
  <c r="AO5" i="38"/>
  <c r="AP5" i="38"/>
  <c r="AQ5" i="38"/>
  <c r="C6" i="38"/>
  <c r="D6" i="38"/>
  <c r="E6" i="38"/>
  <c r="F6" i="38"/>
  <c r="G6" i="38"/>
  <c r="H6" i="38"/>
  <c r="I6" i="38"/>
  <c r="J6" i="38"/>
  <c r="K6" i="38"/>
  <c r="L6" i="38"/>
  <c r="M6" i="38"/>
  <c r="N6" i="38"/>
  <c r="O6" i="38"/>
  <c r="P6" i="38"/>
  <c r="Q6" i="38"/>
  <c r="R6" i="38"/>
  <c r="S6" i="38"/>
  <c r="T6" i="38"/>
  <c r="U6" i="38"/>
  <c r="V6" i="38"/>
  <c r="W6" i="38"/>
  <c r="X6" i="38"/>
  <c r="Y6" i="38"/>
  <c r="Z6" i="38"/>
  <c r="AA6" i="38"/>
  <c r="AB6" i="38"/>
  <c r="AC6" i="38"/>
  <c r="AD6" i="38"/>
  <c r="AE6" i="38"/>
  <c r="AF6" i="38"/>
  <c r="AG6" i="38"/>
  <c r="AH6" i="38"/>
  <c r="AI6" i="38"/>
  <c r="AJ6" i="38"/>
  <c r="AK6" i="38"/>
  <c r="AL6" i="38"/>
  <c r="AM6" i="38"/>
  <c r="AN6" i="38"/>
  <c r="AO6" i="38"/>
  <c r="AP6" i="38"/>
  <c r="AQ6" i="38"/>
  <c r="C7"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AM7" i="38"/>
  <c r="AN7" i="38"/>
  <c r="AO7" i="38"/>
  <c r="AP7" i="38"/>
  <c r="AQ7" i="38"/>
  <c r="C8" i="38"/>
  <c r="D8" i="38"/>
  <c r="E8"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AG8" i="38"/>
  <c r="AH8" i="38"/>
  <c r="AI8" i="38"/>
  <c r="AJ8" i="38"/>
  <c r="AK8" i="38"/>
  <c r="AL8" i="38"/>
  <c r="AM8" i="38"/>
  <c r="AN8" i="38"/>
  <c r="AO8" i="38"/>
  <c r="AP8" i="38"/>
  <c r="AQ8" i="38"/>
  <c r="C9"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AG9" i="38"/>
  <c r="AH9" i="38"/>
  <c r="AI9" i="38"/>
  <c r="AJ9" i="38"/>
  <c r="AK9" i="38"/>
  <c r="AL9" i="38"/>
  <c r="AM9" i="38"/>
  <c r="AN9" i="38"/>
  <c r="AO9" i="38"/>
  <c r="AP9" i="38"/>
  <c r="AQ9" i="38"/>
  <c r="C10" i="38"/>
  <c r="D10" i="38"/>
  <c r="E10" i="38"/>
  <c r="F10" i="38"/>
  <c r="G10" i="38"/>
  <c r="H10" i="38"/>
  <c r="I10" i="38"/>
  <c r="J10" i="38"/>
  <c r="K10" i="38"/>
  <c r="L10" i="38"/>
  <c r="M10" i="38"/>
  <c r="N10" i="38"/>
  <c r="O10" i="38"/>
  <c r="P10" i="38"/>
  <c r="Q10" i="38"/>
  <c r="R10" i="38"/>
  <c r="S10" i="38"/>
  <c r="T10" i="38"/>
  <c r="U10" i="38"/>
  <c r="V10" i="38"/>
  <c r="W10" i="38"/>
  <c r="X10" i="38"/>
  <c r="Y10" i="38"/>
  <c r="Z10" i="38"/>
  <c r="AA10" i="38"/>
  <c r="AB10" i="38"/>
  <c r="AC10" i="38"/>
  <c r="AD10" i="38"/>
  <c r="AE10" i="38"/>
  <c r="AF10" i="38"/>
  <c r="AG10" i="38"/>
  <c r="AH10" i="38"/>
  <c r="AI10" i="38"/>
  <c r="AJ10" i="38"/>
  <c r="AK10" i="38"/>
  <c r="AL10" i="38"/>
  <c r="AM10" i="38"/>
  <c r="AN10" i="38"/>
  <c r="AO10" i="38"/>
  <c r="AP10" i="38"/>
  <c r="AQ10" i="38"/>
  <c r="C11" i="38"/>
  <c r="D11" i="38"/>
  <c r="E11" i="38"/>
  <c r="F11" i="38"/>
  <c r="G11" i="38"/>
  <c r="H11" i="38"/>
  <c r="I11" i="38"/>
  <c r="J11" i="38"/>
  <c r="K11" i="38"/>
  <c r="L11" i="38"/>
  <c r="M11" i="38"/>
  <c r="N11" i="38"/>
  <c r="O11" i="38"/>
  <c r="P11" i="38"/>
  <c r="Q11" i="38"/>
  <c r="R11" i="38"/>
  <c r="S11" i="38"/>
  <c r="T11" i="38"/>
  <c r="U11" i="38"/>
  <c r="V11" i="38"/>
  <c r="W11" i="38"/>
  <c r="X11" i="38"/>
  <c r="Y11" i="38"/>
  <c r="Z11" i="38"/>
  <c r="AA11" i="38"/>
  <c r="AB11" i="38"/>
  <c r="AC11" i="38"/>
  <c r="AD11" i="38"/>
  <c r="AE11" i="38"/>
  <c r="AF11" i="38"/>
  <c r="AG11" i="38"/>
  <c r="AH11" i="38"/>
  <c r="AI11" i="38"/>
  <c r="AJ11" i="38"/>
  <c r="AK11" i="38"/>
  <c r="AL11" i="38"/>
  <c r="AM11" i="38"/>
  <c r="AN11" i="38"/>
  <c r="AO11" i="38"/>
  <c r="AP11" i="38"/>
  <c r="AQ11" i="38"/>
  <c r="B3" i="38"/>
  <c r="B4" i="38"/>
  <c r="B5" i="38"/>
  <c r="B6" i="38"/>
  <c r="B7" i="38"/>
  <c r="B8" i="38"/>
  <c r="B9" i="38"/>
  <c r="B10" i="38"/>
  <c r="B11" i="38"/>
  <c r="C3" i="37"/>
  <c r="D3" i="37"/>
  <c r="E3" i="37"/>
  <c r="F3" i="37"/>
  <c r="G3" i="37"/>
  <c r="H3" i="37"/>
  <c r="I3" i="37"/>
  <c r="J3" i="37"/>
  <c r="K3" i="37"/>
  <c r="L3" i="37"/>
  <c r="M3" i="37"/>
  <c r="N3" i="37"/>
  <c r="O3" i="37"/>
  <c r="P3" i="37"/>
  <c r="Q3" i="37"/>
  <c r="R3" i="37"/>
  <c r="S3" i="37"/>
  <c r="T3" i="37"/>
  <c r="U3" i="37"/>
  <c r="V3" i="37"/>
  <c r="W3" i="37"/>
  <c r="X3" i="37"/>
  <c r="Y3" i="37"/>
  <c r="Z3" i="37"/>
  <c r="AA3" i="37"/>
  <c r="AB3" i="37"/>
  <c r="AC3" i="37"/>
  <c r="AD3" i="37"/>
  <c r="AE3" i="37"/>
  <c r="AF3" i="37"/>
  <c r="AG3" i="37"/>
  <c r="AH3" i="37"/>
  <c r="AI3" i="37"/>
  <c r="AJ3" i="37"/>
  <c r="AK3" i="37"/>
  <c r="AL3" i="37"/>
  <c r="AM3" i="37"/>
  <c r="AN3" i="37"/>
  <c r="AO3" i="37"/>
  <c r="AP3" i="37"/>
  <c r="AQ3" i="37"/>
  <c r="C4" i="37"/>
  <c r="D4" i="37"/>
  <c r="E4" i="37"/>
  <c r="F4" i="37"/>
  <c r="G4" i="37"/>
  <c r="H4" i="37"/>
  <c r="I4" i="37"/>
  <c r="J4" i="37"/>
  <c r="K4" i="37"/>
  <c r="L4" i="37"/>
  <c r="M4" i="37"/>
  <c r="N4" i="37"/>
  <c r="O4" i="37"/>
  <c r="P4" i="37"/>
  <c r="Q4" i="37"/>
  <c r="R4" i="37"/>
  <c r="S4" i="37"/>
  <c r="T4" i="37"/>
  <c r="U4" i="37"/>
  <c r="V4" i="37"/>
  <c r="W4" i="37"/>
  <c r="X4" i="37"/>
  <c r="Y4" i="37"/>
  <c r="Z4" i="37"/>
  <c r="AA4" i="37"/>
  <c r="AB4" i="37"/>
  <c r="AC4" i="37"/>
  <c r="AD4" i="37"/>
  <c r="AE4" i="37"/>
  <c r="AF4" i="37"/>
  <c r="AG4" i="37"/>
  <c r="AH4" i="37"/>
  <c r="AI4" i="37"/>
  <c r="AJ4" i="37"/>
  <c r="AK4" i="37"/>
  <c r="AL4" i="37"/>
  <c r="AM4" i="37"/>
  <c r="AN4" i="37"/>
  <c r="AO4" i="37"/>
  <c r="AP4" i="37"/>
  <c r="AQ4" i="37"/>
  <c r="C5" i="37"/>
  <c r="D5" i="37"/>
  <c r="E5" i="37"/>
  <c r="F5" i="37"/>
  <c r="G5" i="37"/>
  <c r="H5" i="37"/>
  <c r="I5" i="37"/>
  <c r="J5" i="37"/>
  <c r="K5" i="37"/>
  <c r="L5" i="37"/>
  <c r="M5" i="37"/>
  <c r="N5" i="37"/>
  <c r="O5" i="37"/>
  <c r="P5" i="37"/>
  <c r="Q5" i="37"/>
  <c r="R5" i="37"/>
  <c r="S5" i="37"/>
  <c r="T5" i="37"/>
  <c r="U5" i="37"/>
  <c r="V5" i="37"/>
  <c r="W5" i="37"/>
  <c r="X5" i="37"/>
  <c r="Y5" i="37"/>
  <c r="Z5" i="37"/>
  <c r="AA5" i="37"/>
  <c r="AB5" i="37"/>
  <c r="AC5" i="37"/>
  <c r="AD5" i="37"/>
  <c r="AE5" i="37"/>
  <c r="AF5" i="37"/>
  <c r="AG5" i="37"/>
  <c r="AH5" i="37"/>
  <c r="AI5" i="37"/>
  <c r="AJ5" i="37"/>
  <c r="AK5" i="37"/>
  <c r="AL5" i="37"/>
  <c r="AM5" i="37"/>
  <c r="AN5" i="37"/>
  <c r="AO5" i="37"/>
  <c r="AP5" i="37"/>
  <c r="AQ5" i="37"/>
  <c r="C6" i="37"/>
  <c r="D6" i="37"/>
  <c r="E6" i="37"/>
  <c r="F6" i="37"/>
  <c r="G6" i="37"/>
  <c r="H6" i="37"/>
  <c r="I6" i="37"/>
  <c r="J6" i="37"/>
  <c r="K6" i="37"/>
  <c r="L6" i="37"/>
  <c r="M6" i="37"/>
  <c r="N6" i="37"/>
  <c r="O6" i="37"/>
  <c r="P6" i="37"/>
  <c r="Q6" i="37"/>
  <c r="R6" i="37"/>
  <c r="S6" i="37"/>
  <c r="T6" i="37"/>
  <c r="U6" i="37"/>
  <c r="V6" i="37"/>
  <c r="W6" i="37"/>
  <c r="X6" i="37"/>
  <c r="Y6" i="37"/>
  <c r="Z6" i="37"/>
  <c r="AA6" i="37"/>
  <c r="AB6" i="37"/>
  <c r="AC6" i="37"/>
  <c r="AD6" i="37"/>
  <c r="AE6" i="37"/>
  <c r="AF6" i="37"/>
  <c r="AG6" i="37"/>
  <c r="AH6" i="37"/>
  <c r="AI6" i="37"/>
  <c r="AJ6" i="37"/>
  <c r="AK6" i="37"/>
  <c r="AL6" i="37"/>
  <c r="AM6" i="37"/>
  <c r="AN6" i="37"/>
  <c r="AO6" i="37"/>
  <c r="AP6" i="37"/>
  <c r="AQ6" i="37"/>
  <c r="C7" i="37"/>
  <c r="D7" i="37"/>
  <c r="E7" i="37"/>
  <c r="F7" i="37"/>
  <c r="G7" i="37"/>
  <c r="H7" i="37"/>
  <c r="I7" i="37"/>
  <c r="J7" i="37"/>
  <c r="K7" i="37"/>
  <c r="L7" i="37"/>
  <c r="M7" i="37"/>
  <c r="N7" i="37"/>
  <c r="O7" i="37"/>
  <c r="P7" i="37"/>
  <c r="Q7" i="37"/>
  <c r="R7" i="37"/>
  <c r="S7" i="37"/>
  <c r="T7" i="37"/>
  <c r="U7" i="37"/>
  <c r="V7" i="37"/>
  <c r="W7" i="37"/>
  <c r="X7" i="37"/>
  <c r="Y7" i="37"/>
  <c r="Z7" i="37"/>
  <c r="AA7" i="37"/>
  <c r="AB7" i="37"/>
  <c r="AC7" i="37"/>
  <c r="AD7" i="37"/>
  <c r="AE7" i="37"/>
  <c r="AF7" i="37"/>
  <c r="AG7" i="37"/>
  <c r="AH7" i="37"/>
  <c r="AI7" i="37"/>
  <c r="AJ7" i="37"/>
  <c r="AK7" i="37"/>
  <c r="AL7" i="37"/>
  <c r="AM7" i="37"/>
  <c r="AN7" i="37"/>
  <c r="AO7" i="37"/>
  <c r="AP7" i="37"/>
  <c r="AQ7" i="37"/>
  <c r="C8" i="37"/>
  <c r="D8" i="37"/>
  <c r="E8" i="37"/>
  <c r="F8" i="37"/>
  <c r="G8" i="37"/>
  <c r="H8" i="37"/>
  <c r="I8" i="37"/>
  <c r="J8" i="37"/>
  <c r="K8" i="37"/>
  <c r="L8" i="37"/>
  <c r="M8" i="37"/>
  <c r="N8" i="37"/>
  <c r="O8" i="37"/>
  <c r="P8" i="37"/>
  <c r="Q8" i="37"/>
  <c r="R8" i="37"/>
  <c r="S8" i="37"/>
  <c r="T8" i="37"/>
  <c r="U8" i="37"/>
  <c r="V8" i="37"/>
  <c r="W8" i="37"/>
  <c r="X8" i="37"/>
  <c r="Y8" i="37"/>
  <c r="Z8" i="37"/>
  <c r="AA8" i="37"/>
  <c r="AB8" i="37"/>
  <c r="AC8" i="37"/>
  <c r="AD8" i="37"/>
  <c r="AE8" i="37"/>
  <c r="AF8" i="37"/>
  <c r="AG8" i="37"/>
  <c r="AH8" i="37"/>
  <c r="AI8" i="37"/>
  <c r="AJ8" i="37"/>
  <c r="AK8" i="37"/>
  <c r="AL8" i="37"/>
  <c r="AM8" i="37"/>
  <c r="AN8" i="37"/>
  <c r="AO8" i="37"/>
  <c r="AP8" i="37"/>
  <c r="AQ8" i="37"/>
  <c r="C9" i="37"/>
  <c r="D9" i="37"/>
  <c r="E9" i="37"/>
  <c r="F9" i="37"/>
  <c r="G9" i="37"/>
  <c r="H9" i="37"/>
  <c r="I9" i="37"/>
  <c r="J9" i="37"/>
  <c r="K9" i="37"/>
  <c r="L9" i="37"/>
  <c r="M9" i="37"/>
  <c r="N9" i="37"/>
  <c r="O9" i="37"/>
  <c r="P9" i="37"/>
  <c r="Q9" i="37"/>
  <c r="R9" i="37"/>
  <c r="S9" i="37"/>
  <c r="T9" i="37"/>
  <c r="U9" i="37"/>
  <c r="V9" i="37"/>
  <c r="W9" i="37"/>
  <c r="X9" i="37"/>
  <c r="Y9" i="37"/>
  <c r="Z9" i="37"/>
  <c r="AA9" i="37"/>
  <c r="AB9" i="37"/>
  <c r="AC9" i="37"/>
  <c r="AD9" i="37"/>
  <c r="AE9" i="37"/>
  <c r="AF9" i="37"/>
  <c r="AG9" i="37"/>
  <c r="AH9" i="37"/>
  <c r="AI9" i="37"/>
  <c r="AJ9" i="37"/>
  <c r="AK9" i="37"/>
  <c r="AL9" i="37"/>
  <c r="AM9" i="37"/>
  <c r="AN9" i="37"/>
  <c r="AO9" i="37"/>
  <c r="AP9" i="37"/>
  <c r="AQ9"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AB10" i="37"/>
  <c r="AC10" i="37"/>
  <c r="AD10" i="37"/>
  <c r="AE10" i="37"/>
  <c r="AF10" i="37"/>
  <c r="AG10" i="37"/>
  <c r="AH10" i="37"/>
  <c r="AI10" i="37"/>
  <c r="AJ10" i="37"/>
  <c r="AK10" i="37"/>
  <c r="AL10" i="37"/>
  <c r="AM10" i="37"/>
  <c r="AN10" i="37"/>
  <c r="AO10" i="37"/>
  <c r="AP10" i="37"/>
  <c r="AQ10" i="37"/>
  <c r="C11" i="37"/>
  <c r="D11" i="37"/>
  <c r="E11" i="37"/>
  <c r="F11" i="37"/>
  <c r="G11" i="37"/>
  <c r="H11" i="37"/>
  <c r="I11" i="37"/>
  <c r="J11" i="37"/>
  <c r="K11" i="37"/>
  <c r="L11" i="37"/>
  <c r="M11" i="37"/>
  <c r="N11" i="37"/>
  <c r="O11" i="37"/>
  <c r="P11" i="37"/>
  <c r="Q11" i="37"/>
  <c r="R11" i="37"/>
  <c r="S11" i="37"/>
  <c r="T11" i="37"/>
  <c r="U11" i="37"/>
  <c r="V11" i="37"/>
  <c r="W11" i="37"/>
  <c r="X11" i="37"/>
  <c r="Y11" i="37"/>
  <c r="Z11" i="37"/>
  <c r="AA11" i="37"/>
  <c r="AB11" i="37"/>
  <c r="AC11" i="37"/>
  <c r="AD11" i="37"/>
  <c r="AE11" i="37"/>
  <c r="AF11" i="37"/>
  <c r="AG11" i="37"/>
  <c r="AH11" i="37"/>
  <c r="AI11" i="37"/>
  <c r="AJ11" i="37"/>
  <c r="AK11" i="37"/>
  <c r="AL11" i="37"/>
  <c r="AM11" i="37"/>
  <c r="AN11" i="37"/>
  <c r="AO11" i="37"/>
  <c r="AP11" i="37"/>
  <c r="AQ11" i="37"/>
  <c r="B3" i="37"/>
  <c r="B4" i="37"/>
  <c r="B5" i="37"/>
  <c r="B6" i="37"/>
  <c r="B7" i="37"/>
  <c r="B8" i="37"/>
  <c r="B9" i="37"/>
  <c r="B10" i="37"/>
  <c r="B11" i="37"/>
  <c r="B11" i="34"/>
  <c r="B10" i="34"/>
  <c r="B9" i="34"/>
  <c r="B8" i="34"/>
  <c r="B7" i="34"/>
  <c r="B6" i="34"/>
  <c r="B5" i="34"/>
  <c r="B4" i="34"/>
  <c r="B3" i="34"/>
  <c r="B2" i="34"/>
  <c r="B11" i="36"/>
  <c r="B10" i="36"/>
  <c r="B9" i="36"/>
  <c r="B8" i="36"/>
  <c r="B7" i="36"/>
  <c r="B6" i="36"/>
  <c r="B5" i="36"/>
  <c r="B4" i="36"/>
  <c r="B3" i="36"/>
  <c r="B2" i="36"/>
  <c r="B11" i="33"/>
  <c r="B10" i="33"/>
  <c r="B9" i="33"/>
  <c r="B8" i="33"/>
  <c r="B7" i="33"/>
  <c r="B6" i="33"/>
  <c r="B5" i="33"/>
  <c r="B4" i="33"/>
  <c r="B3" i="33"/>
  <c r="B2" i="33"/>
  <c r="B11" i="32"/>
  <c r="B10" i="32"/>
  <c r="B9" i="32"/>
  <c r="B8" i="32"/>
  <c r="B7" i="32"/>
  <c r="B6" i="32"/>
  <c r="B5" i="32"/>
  <c r="B4" i="32"/>
  <c r="B3" i="32"/>
  <c r="B2" i="32"/>
  <c r="B11" i="31"/>
  <c r="B10" i="31"/>
  <c r="B9" i="31"/>
  <c r="B8" i="31"/>
  <c r="B7" i="31"/>
  <c r="B6" i="31"/>
  <c r="B5" i="31"/>
  <c r="B4" i="31"/>
  <c r="B3" i="31"/>
  <c r="B2" i="31"/>
  <c r="B11" i="29"/>
  <c r="B9" i="29"/>
  <c r="B6" i="29"/>
  <c r="B5" i="29"/>
  <c r="B3" i="29"/>
  <c r="B11" i="28"/>
  <c r="B10" i="28"/>
  <c r="B9" i="28"/>
  <c r="B7" i="28"/>
  <c r="B6" i="28"/>
  <c r="B5" i="28"/>
  <c r="B4" i="28"/>
  <c r="B3" i="28"/>
  <c r="B11" i="27"/>
  <c r="B10" i="27"/>
  <c r="B9" i="27"/>
  <c r="B8" i="27"/>
  <c r="B7" i="27"/>
  <c r="B6" i="27"/>
  <c r="B5" i="27"/>
  <c r="B4" i="27"/>
  <c r="B3" i="27"/>
  <c r="B11" i="26"/>
  <c r="B9" i="26"/>
  <c r="B8" i="26"/>
  <c r="B7" i="26"/>
  <c r="B6" i="26"/>
  <c r="B5" i="26"/>
  <c r="B4" i="26"/>
  <c r="B3" i="26"/>
  <c r="B2" i="26"/>
  <c r="C2" i="26"/>
  <c r="D2" i="26"/>
  <c r="D2" i="35"/>
  <c r="E2" i="35"/>
  <c r="F2" i="35"/>
  <c r="G2" i="35"/>
  <c r="H2" i="35"/>
  <c r="I2" i="35"/>
  <c r="J2" i="35"/>
  <c r="K2" i="35"/>
  <c r="L2" i="35"/>
  <c r="M2" i="35"/>
  <c r="N2" i="35"/>
  <c r="O2" i="35"/>
  <c r="P2" i="35"/>
  <c r="Q2" i="35"/>
  <c r="R2" i="35"/>
  <c r="S2" i="35"/>
  <c r="T2" i="35"/>
  <c r="U2" i="35"/>
  <c r="V2" i="35"/>
  <c r="W2" i="35"/>
  <c r="X2" i="35"/>
  <c r="Y2" i="35"/>
  <c r="Z2" i="35"/>
  <c r="AA2" i="35"/>
  <c r="AB2" i="35"/>
  <c r="AC2" i="35"/>
  <c r="AD2" i="35"/>
  <c r="AE2" i="35"/>
  <c r="AF2" i="35"/>
  <c r="AG2" i="35"/>
  <c r="AH2" i="35"/>
  <c r="AI2" i="35"/>
  <c r="AJ2" i="35"/>
  <c r="AK2" i="35"/>
  <c r="AL2" i="35"/>
  <c r="AM2" i="35"/>
  <c r="AN2" i="35"/>
  <c r="AO2" i="35"/>
  <c r="AP2" i="35"/>
  <c r="AQ2"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D4" i="35"/>
  <c r="E4" i="35"/>
  <c r="F4" i="35"/>
  <c r="G4" i="35"/>
  <c r="H4" i="35"/>
  <c r="I4" i="35"/>
  <c r="J4" i="35"/>
  <c r="K4" i="35"/>
  <c r="L4" i="35"/>
  <c r="M4" i="35"/>
  <c r="N4" i="35"/>
  <c r="O4" i="35"/>
  <c r="P4" i="35"/>
  <c r="Q4" i="35"/>
  <c r="R4" i="35"/>
  <c r="S4" i="35"/>
  <c r="T4" i="35"/>
  <c r="U4" i="35"/>
  <c r="V4" i="35"/>
  <c r="W4" i="35"/>
  <c r="X4" i="35"/>
  <c r="Y4" i="35"/>
  <c r="Z4" i="35"/>
  <c r="AA4" i="35"/>
  <c r="AB4" i="35"/>
  <c r="AC4" i="35"/>
  <c r="AD4" i="35"/>
  <c r="AE4" i="35"/>
  <c r="AF4" i="35"/>
  <c r="AG4" i="35"/>
  <c r="AH4" i="35"/>
  <c r="AI4" i="35"/>
  <c r="AJ4" i="35"/>
  <c r="AK4" i="35"/>
  <c r="AL4" i="35"/>
  <c r="AM4" i="35"/>
  <c r="AN4" i="35"/>
  <c r="AO4" i="35"/>
  <c r="AP4" i="35"/>
  <c r="AQ4" i="35"/>
  <c r="D5" i="35"/>
  <c r="E5" i="35"/>
  <c r="F5" i="35"/>
  <c r="G5" i="35"/>
  <c r="H5" i="35"/>
  <c r="I5" i="35"/>
  <c r="J5" i="35"/>
  <c r="K5" i="35"/>
  <c r="L5" i="35"/>
  <c r="M5" i="35"/>
  <c r="N5" i="35"/>
  <c r="O5" i="35"/>
  <c r="P5" i="35"/>
  <c r="Q5" i="35"/>
  <c r="R5" i="35"/>
  <c r="S5" i="35"/>
  <c r="T5" i="35"/>
  <c r="U5" i="35"/>
  <c r="V5" i="35"/>
  <c r="W5" i="35"/>
  <c r="X5" i="35"/>
  <c r="Y5" i="35"/>
  <c r="Z5" i="35"/>
  <c r="AA5" i="35"/>
  <c r="AB5" i="35"/>
  <c r="AC5" i="35"/>
  <c r="AD5" i="35"/>
  <c r="AE5" i="35"/>
  <c r="AF5" i="35"/>
  <c r="AG5" i="35"/>
  <c r="AH5" i="35"/>
  <c r="AI5" i="35"/>
  <c r="AJ5" i="35"/>
  <c r="AK5" i="35"/>
  <c r="AL5" i="35"/>
  <c r="AM5" i="35"/>
  <c r="AN5" i="35"/>
  <c r="AO5" i="35"/>
  <c r="AP5" i="35"/>
  <c r="AQ5" i="35"/>
  <c r="D6" i="35"/>
  <c r="E6" i="35"/>
  <c r="F6" i="35"/>
  <c r="G6" i="35"/>
  <c r="H6" i="35"/>
  <c r="I6" i="35"/>
  <c r="J6" i="35"/>
  <c r="K6" i="35"/>
  <c r="L6" i="35"/>
  <c r="M6" i="35"/>
  <c r="N6" i="35"/>
  <c r="O6" i="35"/>
  <c r="P6" i="35"/>
  <c r="Q6" i="35"/>
  <c r="R6" i="35"/>
  <c r="S6" i="35"/>
  <c r="T6" i="35"/>
  <c r="U6" i="35"/>
  <c r="V6" i="35"/>
  <c r="W6" i="35"/>
  <c r="X6" i="35"/>
  <c r="Y6" i="35"/>
  <c r="Z6" i="35"/>
  <c r="AA6" i="35"/>
  <c r="AB6" i="35"/>
  <c r="AC6" i="35"/>
  <c r="AD6" i="35"/>
  <c r="AE6" i="35"/>
  <c r="AF6" i="35"/>
  <c r="AG6" i="35"/>
  <c r="AH6" i="35"/>
  <c r="AI6" i="35"/>
  <c r="AJ6" i="35"/>
  <c r="AK6" i="35"/>
  <c r="AL6" i="35"/>
  <c r="AM6" i="35"/>
  <c r="AN6" i="35"/>
  <c r="AO6" i="35"/>
  <c r="AP6" i="35"/>
  <c r="AQ6" i="35"/>
  <c r="D7" i="35"/>
  <c r="E7" i="35"/>
  <c r="F7" i="35"/>
  <c r="G7" i="35"/>
  <c r="H7" i="35"/>
  <c r="I7" i="35"/>
  <c r="J7" i="35"/>
  <c r="K7" i="35"/>
  <c r="L7" i="35"/>
  <c r="M7" i="35"/>
  <c r="N7" i="35"/>
  <c r="O7" i="35"/>
  <c r="P7" i="35"/>
  <c r="Q7" i="35"/>
  <c r="R7" i="35"/>
  <c r="S7" i="35"/>
  <c r="T7" i="35"/>
  <c r="U7" i="35"/>
  <c r="V7" i="35"/>
  <c r="W7" i="35"/>
  <c r="X7" i="35"/>
  <c r="Y7" i="35"/>
  <c r="Z7" i="35"/>
  <c r="AA7" i="35"/>
  <c r="AB7" i="35"/>
  <c r="AC7" i="35"/>
  <c r="AD7" i="35"/>
  <c r="AE7" i="35"/>
  <c r="AF7" i="35"/>
  <c r="AG7" i="35"/>
  <c r="AH7" i="35"/>
  <c r="AI7" i="35"/>
  <c r="AJ7" i="35"/>
  <c r="AK7" i="35"/>
  <c r="AL7" i="35"/>
  <c r="AM7" i="35"/>
  <c r="AN7" i="35"/>
  <c r="AO7" i="35"/>
  <c r="AP7" i="35"/>
  <c r="AQ7" i="35"/>
  <c r="D8" i="35"/>
  <c r="E8" i="35"/>
  <c r="F8" i="35"/>
  <c r="G8" i="35"/>
  <c r="H8" i="35"/>
  <c r="I8" i="35"/>
  <c r="J8" i="35"/>
  <c r="K8" i="35"/>
  <c r="L8" i="35"/>
  <c r="M8" i="35"/>
  <c r="N8" i="35"/>
  <c r="O8" i="35"/>
  <c r="P8" i="35"/>
  <c r="Q8" i="35"/>
  <c r="R8" i="35"/>
  <c r="S8" i="35"/>
  <c r="T8" i="35"/>
  <c r="U8" i="35"/>
  <c r="V8" i="35"/>
  <c r="W8" i="35"/>
  <c r="X8" i="35"/>
  <c r="Y8" i="35"/>
  <c r="Z8" i="35"/>
  <c r="AA8" i="35"/>
  <c r="AB8" i="35"/>
  <c r="AC8" i="35"/>
  <c r="AD8" i="35"/>
  <c r="AE8" i="35"/>
  <c r="AF8" i="35"/>
  <c r="AG8" i="35"/>
  <c r="AH8" i="35"/>
  <c r="AI8" i="35"/>
  <c r="AJ8" i="35"/>
  <c r="AK8" i="35"/>
  <c r="AL8" i="35"/>
  <c r="AM8" i="35"/>
  <c r="AN8" i="35"/>
  <c r="AO8" i="35"/>
  <c r="AP8" i="35"/>
  <c r="AQ8" i="35"/>
  <c r="D9" i="35"/>
  <c r="E9" i="35"/>
  <c r="F9" i="35"/>
  <c r="G9" i="35"/>
  <c r="H9" i="35"/>
  <c r="I9" i="35"/>
  <c r="J9" i="35"/>
  <c r="K9" i="35"/>
  <c r="L9" i="35"/>
  <c r="M9" i="35"/>
  <c r="N9" i="35"/>
  <c r="O9" i="35"/>
  <c r="P9" i="35"/>
  <c r="Q9" i="35"/>
  <c r="R9" i="35"/>
  <c r="S9" i="35"/>
  <c r="T9" i="35"/>
  <c r="U9" i="35"/>
  <c r="V9" i="35"/>
  <c r="W9" i="35"/>
  <c r="X9" i="35"/>
  <c r="Y9" i="35"/>
  <c r="Z9" i="35"/>
  <c r="AA9" i="35"/>
  <c r="AB9" i="35"/>
  <c r="AC9" i="35"/>
  <c r="AD9" i="35"/>
  <c r="AE9" i="35"/>
  <c r="AF9" i="35"/>
  <c r="AG9" i="35"/>
  <c r="AH9" i="35"/>
  <c r="AI9" i="35"/>
  <c r="AJ9" i="35"/>
  <c r="AK9" i="35"/>
  <c r="AL9" i="35"/>
  <c r="AM9" i="35"/>
  <c r="AN9" i="35"/>
  <c r="AO9" i="35"/>
  <c r="AP9" i="35"/>
  <c r="AQ9" i="35"/>
  <c r="D10" i="35"/>
  <c r="E10" i="35"/>
  <c r="F10" i="35"/>
  <c r="G10" i="35"/>
  <c r="H10" i="35"/>
  <c r="I10" i="35"/>
  <c r="J10" i="35"/>
  <c r="K10" i="35"/>
  <c r="L10" i="35"/>
  <c r="M10" i="35"/>
  <c r="N10" i="35"/>
  <c r="O10" i="35"/>
  <c r="P10" i="35"/>
  <c r="Q10" i="35"/>
  <c r="R10" i="35"/>
  <c r="S10" i="35"/>
  <c r="T10" i="35"/>
  <c r="U10" i="35"/>
  <c r="V10" i="35"/>
  <c r="W10" i="35"/>
  <c r="X10" i="35"/>
  <c r="Y10" i="35"/>
  <c r="Z10" i="35"/>
  <c r="AA10" i="35"/>
  <c r="AB10" i="35"/>
  <c r="AC10" i="35"/>
  <c r="AD10" i="35"/>
  <c r="AE10" i="35"/>
  <c r="AF10" i="35"/>
  <c r="AG10" i="35"/>
  <c r="AH10" i="35"/>
  <c r="AI10" i="35"/>
  <c r="AJ10" i="35"/>
  <c r="AK10" i="35"/>
  <c r="AL10" i="35"/>
  <c r="AM10" i="35"/>
  <c r="AN10" i="35"/>
  <c r="AO10" i="35"/>
  <c r="AP10" i="35"/>
  <c r="AQ10" i="35"/>
  <c r="D11" i="35"/>
  <c r="E11" i="35"/>
  <c r="F11" i="35"/>
  <c r="G11" i="35"/>
  <c r="H11" i="35"/>
  <c r="I11" i="35"/>
  <c r="J11" i="35"/>
  <c r="K11" i="35"/>
  <c r="L11" i="35"/>
  <c r="M11" i="35"/>
  <c r="N11" i="35"/>
  <c r="O11" i="35"/>
  <c r="P11" i="35"/>
  <c r="Q11" i="35"/>
  <c r="R11" i="35"/>
  <c r="S11" i="35"/>
  <c r="T11" i="35"/>
  <c r="U11" i="35"/>
  <c r="V11" i="35"/>
  <c r="W11" i="35"/>
  <c r="X11" i="35"/>
  <c r="Y11" i="35"/>
  <c r="Z11" i="35"/>
  <c r="AA11" i="35"/>
  <c r="AB11" i="35"/>
  <c r="AC11" i="35"/>
  <c r="AD11" i="35"/>
  <c r="AE11" i="35"/>
  <c r="AF11" i="35"/>
  <c r="AG11" i="35"/>
  <c r="AH11" i="35"/>
  <c r="AI11" i="35"/>
  <c r="AJ11" i="35"/>
  <c r="AK11" i="35"/>
  <c r="AL11" i="35"/>
  <c r="AM11" i="35"/>
  <c r="AN11" i="35"/>
  <c r="AO11" i="35"/>
  <c r="AP11" i="35"/>
  <c r="AQ11" i="35"/>
  <c r="C3" i="35"/>
  <c r="C4" i="35"/>
  <c r="B4" i="35" s="1"/>
  <c r="C5" i="35"/>
  <c r="C6" i="35"/>
  <c r="B6" i="35" s="1"/>
  <c r="C7" i="35"/>
  <c r="B7" i="35" s="1"/>
  <c r="C8" i="35"/>
  <c r="C9" i="35"/>
  <c r="C10" i="35"/>
  <c r="C11" i="35"/>
  <c r="C2" i="35"/>
  <c r="B2" i="35" s="1"/>
  <c r="D2" i="30"/>
  <c r="E2" i="30"/>
  <c r="F2" i="30"/>
  <c r="G2" i="30"/>
  <c r="H2" i="30"/>
  <c r="I2" i="30"/>
  <c r="J2" i="30"/>
  <c r="K2" i="30"/>
  <c r="L2" i="30"/>
  <c r="M2" i="30"/>
  <c r="N2" i="30"/>
  <c r="O2" i="30"/>
  <c r="P2" i="30"/>
  <c r="Q2" i="30"/>
  <c r="R2" i="30"/>
  <c r="S2" i="30"/>
  <c r="T2" i="30"/>
  <c r="U2" i="30"/>
  <c r="V2" i="30"/>
  <c r="W2" i="30"/>
  <c r="X2" i="30"/>
  <c r="Y2" i="30"/>
  <c r="Z2" i="30"/>
  <c r="AA2" i="30"/>
  <c r="AB2" i="30"/>
  <c r="AC2" i="30"/>
  <c r="AD2" i="30"/>
  <c r="AE2" i="30"/>
  <c r="AF2" i="30"/>
  <c r="AG2" i="30"/>
  <c r="AH2" i="30"/>
  <c r="AI2" i="30"/>
  <c r="AJ2" i="30"/>
  <c r="AK2" i="30"/>
  <c r="AL2" i="30"/>
  <c r="AM2" i="30"/>
  <c r="AN2" i="30"/>
  <c r="AO2" i="30"/>
  <c r="AP2" i="30"/>
  <c r="AQ2"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AG3" i="30"/>
  <c r="AH3" i="30"/>
  <c r="AI3" i="30"/>
  <c r="AJ3" i="30"/>
  <c r="AK3" i="30"/>
  <c r="AL3" i="30"/>
  <c r="AM3" i="30"/>
  <c r="AN3" i="30"/>
  <c r="AO3" i="30"/>
  <c r="AP3" i="30"/>
  <c r="AQ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AG4" i="30"/>
  <c r="AH4" i="30"/>
  <c r="AI4" i="30"/>
  <c r="AJ4" i="30"/>
  <c r="AK4" i="30"/>
  <c r="AL4" i="30"/>
  <c r="AM4" i="30"/>
  <c r="AN4" i="30"/>
  <c r="AO4" i="30"/>
  <c r="AP4" i="30"/>
  <c r="AQ4"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AG5" i="30"/>
  <c r="AH5" i="30"/>
  <c r="AI5" i="30"/>
  <c r="AJ5" i="30"/>
  <c r="AK5" i="30"/>
  <c r="AL5" i="30"/>
  <c r="AM5" i="30"/>
  <c r="AN5" i="30"/>
  <c r="AO5" i="30"/>
  <c r="AP5" i="30"/>
  <c r="AQ5" i="30"/>
  <c r="D6" i="30"/>
  <c r="E6" i="30"/>
  <c r="F6" i="30"/>
  <c r="G6" i="30"/>
  <c r="H6" i="30"/>
  <c r="I6" i="30"/>
  <c r="J6" i="30"/>
  <c r="K6" i="30"/>
  <c r="L6" i="30"/>
  <c r="M6" i="30"/>
  <c r="N6" i="30"/>
  <c r="O6" i="30"/>
  <c r="P6" i="30"/>
  <c r="Q6" i="30"/>
  <c r="R6" i="30"/>
  <c r="S6" i="30"/>
  <c r="T6" i="30"/>
  <c r="U6" i="30"/>
  <c r="V6" i="30"/>
  <c r="W6" i="30"/>
  <c r="X6" i="30"/>
  <c r="Y6" i="30"/>
  <c r="Z6" i="30"/>
  <c r="AA6" i="30"/>
  <c r="AB6" i="30"/>
  <c r="AC6" i="30"/>
  <c r="AD6" i="30"/>
  <c r="AE6" i="30"/>
  <c r="AF6" i="30"/>
  <c r="AG6" i="30"/>
  <c r="AH6" i="30"/>
  <c r="AI6" i="30"/>
  <c r="AJ6" i="30"/>
  <c r="AK6" i="30"/>
  <c r="AL6" i="30"/>
  <c r="AM6" i="30"/>
  <c r="AN6" i="30"/>
  <c r="AO6" i="30"/>
  <c r="AP6" i="30"/>
  <c r="AQ6"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AG7" i="30"/>
  <c r="AH7" i="30"/>
  <c r="AI7" i="30"/>
  <c r="AJ7" i="30"/>
  <c r="AK7" i="30"/>
  <c r="AL7" i="30"/>
  <c r="AM7" i="30"/>
  <c r="AN7" i="30"/>
  <c r="AO7" i="30"/>
  <c r="AP7" i="30"/>
  <c r="AQ7" i="30"/>
  <c r="D8" i="30"/>
  <c r="E8" i="30"/>
  <c r="F8" i="30"/>
  <c r="G8" i="30"/>
  <c r="H8" i="30"/>
  <c r="I8" i="30"/>
  <c r="J8" i="30"/>
  <c r="K8" i="30"/>
  <c r="L8" i="30"/>
  <c r="M8" i="30"/>
  <c r="N8" i="30"/>
  <c r="O8" i="30"/>
  <c r="P8" i="30"/>
  <c r="Q8" i="30"/>
  <c r="R8" i="30"/>
  <c r="S8" i="30"/>
  <c r="T8" i="30"/>
  <c r="U8" i="30"/>
  <c r="V8" i="30"/>
  <c r="W8" i="30"/>
  <c r="X8" i="30"/>
  <c r="Y8" i="30"/>
  <c r="Z8" i="30"/>
  <c r="AA8" i="30"/>
  <c r="AB8" i="30"/>
  <c r="AC8" i="30"/>
  <c r="AD8" i="30"/>
  <c r="AE8" i="30"/>
  <c r="AF8" i="30"/>
  <c r="AG8" i="30"/>
  <c r="AH8" i="30"/>
  <c r="AI8" i="30"/>
  <c r="AJ8" i="30"/>
  <c r="AK8" i="30"/>
  <c r="AL8" i="30"/>
  <c r="AM8" i="30"/>
  <c r="AN8" i="30"/>
  <c r="AO8" i="30"/>
  <c r="AP8" i="30"/>
  <c r="AQ8" i="30"/>
  <c r="D9" i="30"/>
  <c r="E9" i="30"/>
  <c r="F9" i="30"/>
  <c r="G9" i="30"/>
  <c r="H9" i="30"/>
  <c r="I9" i="30"/>
  <c r="J9" i="30"/>
  <c r="K9" i="30"/>
  <c r="L9" i="30"/>
  <c r="M9" i="30"/>
  <c r="N9" i="30"/>
  <c r="O9" i="30"/>
  <c r="P9" i="30"/>
  <c r="Q9" i="30"/>
  <c r="R9" i="30"/>
  <c r="S9" i="30"/>
  <c r="T9" i="30"/>
  <c r="U9" i="30"/>
  <c r="V9" i="30"/>
  <c r="W9" i="30"/>
  <c r="X9" i="30"/>
  <c r="Y9" i="30"/>
  <c r="Z9" i="30"/>
  <c r="AA9" i="30"/>
  <c r="AB9" i="30"/>
  <c r="AC9" i="30"/>
  <c r="AD9" i="30"/>
  <c r="AE9" i="30"/>
  <c r="AF9" i="30"/>
  <c r="AG9" i="30"/>
  <c r="AH9" i="30"/>
  <c r="AI9" i="30"/>
  <c r="AJ9" i="30"/>
  <c r="AK9" i="30"/>
  <c r="AL9" i="30"/>
  <c r="AM9" i="30"/>
  <c r="AN9" i="30"/>
  <c r="AO9" i="30"/>
  <c r="AP9" i="30"/>
  <c r="AQ9" i="30"/>
  <c r="D10" i="30"/>
  <c r="E10" i="30"/>
  <c r="F10" i="30"/>
  <c r="G10" i="30"/>
  <c r="H10" i="30"/>
  <c r="I10" i="30"/>
  <c r="J10" i="30"/>
  <c r="K10" i="30"/>
  <c r="L10" i="30"/>
  <c r="M10" i="30"/>
  <c r="N10" i="30"/>
  <c r="O10" i="30"/>
  <c r="P10" i="30"/>
  <c r="Q10" i="30"/>
  <c r="R10" i="30"/>
  <c r="S10" i="30"/>
  <c r="T10" i="30"/>
  <c r="U10" i="30"/>
  <c r="V10" i="30"/>
  <c r="W10" i="30"/>
  <c r="X10" i="30"/>
  <c r="Y10" i="30"/>
  <c r="Z10" i="30"/>
  <c r="AA10" i="30"/>
  <c r="AB10" i="30"/>
  <c r="AC10" i="30"/>
  <c r="AD10" i="30"/>
  <c r="AE10" i="30"/>
  <c r="AF10" i="30"/>
  <c r="AG10" i="30"/>
  <c r="AH10" i="30"/>
  <c r="AI10" i="30"/>
  <c r="AJ10" i="30"/>
  <c r="AK10" i="30"/>
  <c r="AL10" i="30"/>
  <c r="AM10" i="30"/>
  <c r="AN10" i="30"/>
  <c r="AO10" i="30"/>
  <c r="AP10" i="30"/>
  <c r="AQ10" i="30"/>
  <c r="D11" i="30"/>
  <c r="E11" i="30"/>
  <c r="F11" i="30"/>
  <c r="G11" i="30"/>
  <c r="H11" i="30"/>
  <c r="I11" i="30"/>
  <c r="J11" i="30"/>
  <c r="K11" i="30"/>
  <c r="L11" i="30"/>
  <c r="M11" i="30"/>
  <c r="N11" i="30"/>
  <c r="O11" i="30"/>
  <c r="P11" i="30"/>
  <c r="Q11" i="30"/>
  <c r="R11" i="30"/>
  <c r="S11" i="30"/>
  <c r="T11" i="30"/>
  <c r="U11" i="30"/>
  <c r="V11" i="30"/>
  <c r="W11" i="30"/>
  <c r="X11" i="30"/>
  <c r="Y11" i="30"/>
  <c r="Z11" i="30"/>
  <c r="AA11" i="30"/>
  <c r="AB11" i="30"/>
  <c r="AC11" i="30"/>
  <c r="AD11" i="30"/>
  <c r="AE11" i="30"/>
  <c r="AF11" i="30"/>
  <c r="AG11" i="30"/>
  <c r="AH11" i="30"/>
  <c r="AI11" i="30"/>
  <c r="AJ11" i="30"/>
  <c r="AK11" i="30"/>
  <c r="AL11" i="30"/>
  <c r="AM11" i="30"/>
  <c r="AN11" i="30"/>
  <c r="AO11" i="30"/>
  <c r="AP11" i="30"/>
  <c r="AQ11" i="30"/>
  <c r="C3" i="30"/>
  <c r="B3" i="30" s="1"/>
  <c r="C4" i="30"/>
  <c r="B4" i="30" s="1"/>
  <c r="C5" i="30"/>
  <c r="B5" i="30" s="1"/>
  <c r="C6" i="30"/>
  <c r="B6" i="30" s="1"/>
  <c r="C7" i="30"/>
  <c r="B7" i="30" s="1"/>
  <c r="C8" i="30"/>
  <c r="B8" i="30" s="1"/>
  <c r="C9" i="30"/>
  <c r="B9" i="30" s="1"/>
  <c r="C10" i="30"/>
  <c r="B10" i="30" s="1"/>
  <c r="C11" i="30"/>
  <c r="B11" i="30" s="1"/>
  <c r="C2" i="30"/>
  <c r="B2" i="30" s="1"/>
  <c r="D3" i="29"/>
  <c r="E3" i="29"/>
  <c r="F3" i="29"/>
  <c r="G3" i="29"/>
  <c r="H3" i="29"/>
  <c r="I3" i="29"/>
  <c r="J3" i="29"/>
  <c r="K3" i="29"/>
  <c r="L3" i="29"/>
  <c r="M3" i="29"/>
  <c r="N3" i="29"/>
  <c r="O3" i="29"/>
  <c r="P3" i="29"/>
  <c r="Q3" i="29"/>
  <c r="R3" i="29"/>
  <c r="S3" i="29"/>
  <c r="T3" i="29"/>
  <c r="U3" i="29"/>
  <c r="V3" i="29"/>
  <c r="W3" i="29"/>
  <c r="X3" i="29"/>
  <c r="Y3" i="29"/>
  <c r="Z3" i="29"/>
  <c r="AA3" i="29"/>
  <c r="AB3" i="29"/>
  <c r="AC3" i="29"/>
  <c r="AD3" i="29"/>
  <c r="AE3" i="29"/>
  <c r="AF3" i="29"/>
  <c r="AG3" i="29"/>
  <c r="AH3" i="29"/>
  <c r="AI3" i="29"/>
  <c r="AJ3" i="29"/>
  <c r="AK3" i="29"/>
  <c r="AL3" i="29"/>
  <c r="AM3" i="29"/>
  <c r="AN3" i="29"/>
  <c r="AO3" i="29"/>
  <c r="AP3" i="29"/>
  <c r="AQ3" i="29"/>
  <c r="D5" i="29"/>
  <c r="E5" i="29"/>
  <c r="F5" i="29"/>
  <c r="G5" i="29"/>
  <c r="H5" i="29"/>
  <c r="I5" i="29"/>
  <c r="J5" i="29"/>
  <c r="K5" i="29"/>
  <c r="L5" i="29"/>
  <c r="M5" i="29"/>
  <c r="N5" i="29"/>
  <c r="O5" i="29"/>
  <c r="P5" i="29"/>
  <c r="Q5" i="29"/>
  <c r="R5" i="29"/>
  <c r="S5" i="29"/>
  <c r="T5" i="29"/>
  <c r="U5" i="29"/>
  <c r="V5" i="29"/>
  <c r="W5" i="29"/>
  <c r="X5" i="29"/>
  <c r="Y5" i="29"/>
  <c r="Z5" i="29"/>
  <c r="AA5" i="29"/>
  <c r="AB5" i="29"/>
  <c r="AC5" i="29"/>
  <c r="AD5" i="29"/>
  <c r="AE5" i="29"/>
  <c r="AF5" i="29"/>
  <c r="AG5" i="29"/>
  <c r="AH5" i="29"/>
  <c r="AI5" i="29"/>
  <c r="AJ5" i="29"/>
  <c r="AK5" i="29"/>
  <c r="AL5" i="29"/>
  <c r="AM5" i="29"/>
  <c r="AN5" i="29"/>
  <c r="AO5" i="29"/>
  <c r="AP5" i="29"/>
  <c r="AQ5" i="29"/>
  <c r="D6" i="29"/>
  <c r="E6" i="29"/>
  <c r="F6" i="29"/>
  <c r="G6" i="29"/>
  <c r="H6" i="29"/>
  <c r="I6" i="29"/>
  <c r="J6" i="29"/>
  <c r="K6" i="29"/>
  <c r="L6" i="29"/>
  <c r="M6" i="29"/>
  <c r="N6" i="29"/>
  <c r="O6" i="29"/>
  <c r="P6" i="29"/>
  <c r="Q6" i="29"/>
  <c r="R6" i="29"/>
  <c r="S6" i="29"/>
  <c r="T6" i="29"/>
  <c r="U6" i="29"/>
  <c r="V6" i="29"/>
  <c r="W6" i="29"/>
  <c r="X6" i="29"/>
  <c r="Y6" i="29"/>
  <c r="Z6" i="29"/>
  <c r="AA6" i="29"/>
  <c r="AB6" i="29"/>
  <c r="AC6" i="29"/>
  <c r="AD6" i="29"/>
  <c r="AE6" i="29"/>
  <c r="AF6" i="29"/>
  <c r="AG6" i="29"/>
  <c r="AH6" i="29"/>
  <c r="AI6" i="29"/>
  <c r="AJ6" i="29"/>
  <c r="AK6" i="29"/>
  <c r="AL6" i="29"/>
  <c r="AM6" i="29"/>
  <c r="AN6" i="29"/>
  <c r="AO6" i="29"/>
  <c r="AP6" i="29"/>
  <c r="AQ6" i="29"/>
  <c r="D9" i="29"/>
  <c r="E9" i="29"/>
  <c r="F9" i="29"/>
  <c r="G9" i="29"/>
  <c r="H9" i="29"/>
  <c r="I9" i="29"/>
  <c r="J9" i="29"/>
  <c r="K9" i="29"/>
  <c r="L9" i="29"/>
  <c r="M9" i="29"/>
  <c r="N9" i="29"/>
  <c r="O9" i="29"/>
  <c r="P9" i="29"/>
  <c r="Q9" i="29"/>
  <c r="R9" i="29"/>
  <c r="S9" i="29"/>
  <c r="T9" i="29"/>
  <c r="U9" i="29"/>
  <c r="V9" i="29"/>
  <c r="W9" i="29"/>
  <c r="X9" i="29"/>
  <c r="Y9" i="29"/>
  <c r="Z9" i="29"/>
  <c r="AA9" i="29"/>
  <c r="AB9" i="29"/>
  <c r="AC9" i="29"/>
  <c r="AD9" i="29"/>
  <c r="AE9" i="29"/>
  <c r="AF9" i="29"/>
  <c r="AG9" i="29"/>
  <c r="AH9" i="29"/>
  <c r="AI9" i="29"/>
  <c r="AJ9" i="29"/>
  <c r="AK9" i="29"/>
  <c r="AL9" i="29"/>
  <c r="AM9" i="29"/>
  <c r="AN9" i="29"/>
  <c r="AO9" i="29"/>
  <c r="AP9" i="29"/>
  <c r="AQ9" i="29"/>
  <c r="D11" i="29"/>
  <c r="E11" i="29"/>
  <c r="F11" i="29"/>
  <c r="G11" i="29"/>
  <c r="H11" i="29"/>
  <c r="I11" i="29"/>
  <c r="J11" i="29"/>
  <c r="K11" i="29"/>
  <c r="L11" i="29"/>
  <c r="M11" i="29"/>
  <c r="N11" i="29"/>
  <c r="O11" i="29"/>
  <c r="P11" i="29"/>
  <c r="Q11" i="29"/>
  <c r="R11" i="29"/>
  <c r="S11" i="29"/>
  <c r="T11" i="29"/>
  <c r="U11" i="29"/>
  <c r="V11" i="29"/>
  <c r="W11" i="29"/>
  <c r="X11" i="29"/>
  <c r="Y11" i="29"/>
  <c r="Z11" i="29"/>
  <c r="AA11" i="29"/>
  <c r="AB11" i="29"/>
  <c r="AC11" i="29"/>
  <c r="AD11" i="29"/>
  <c r="AE11" i="29"/>
  <c r="AF11" i="29"/>
  <c r="AG11" i="29"/>
  <c r="AH11" i="29"/>
  <c r="AI11" i="29"/>
  <c r="AJ11" i="29"/>
  <c r="AK11" i="29"/>
  <c r="AL11" i="29"/>
  <c r="AM11" i="29"/>
  <c r="AN11" i="29"/>
  <c r="AO11" i="29"/>
  <c r="AP11" i="29"/>
  <c r="AQ11" i="29"/>
  <c r="C3" i="29"/>
  <c r="C5" i="29"/>
  <c r="C6" i="29"/>
  <c r="C9" i="29"/>
  <c r="C11" i="29"/>
  <c r="D3" i="28"/>
  <c r="E3" i="28"/>
  <c r="F3" i="28"/>
  <c r="G3" i="28"/>
  <c r="H3" i="28"/>
  <c r="I3" i="28"/>
  <c r="J3" i="28"/>
  <c r="K3" i="28"/>
  <c r="L3" i="28"/>
  <c r="M3" i="28"/>
  <c r="N3" i="28"/>
  <c r="O3" i="28"/>
  <c r="P3" i="28"/>
  <c r="Q3" i="28"/>
  <c r="R3" i="28"/>
  <c r="S3" i="28"/>
  <c r="T3" i="28"/>
  <c r="U3" i="28"/>
  <c r="V3" i="28"/>
  <c r="W3" i="28"/>
  <c r="X3" i="28"/>
  <c r="Y3" i="28"/>
  <c r="Z3" i="28"/>
  <c r="AA3" i="28"/>
  <c r="AB3" i="28"/>
  <c r="AC3" i="28"/>
  <c r="AD3" i="28"/>
  <c r="AE3" i="28"/>
  <c r="AF3" i="28"/>
  <c r="AG3" i="28"/>
  <c r="AH3" i="28"/>
  <c r="AI3" i="28"/>
  <c r="AJ3" i="28"/>
  <c r="AK3" i="28"/>
  <c r="AL3" i="28"/>
  <c r="AM3" i="28"/>
  <c r="AN3" i="28"/>
  <c r="AO3" i="28"/>
  <c r="AP3" i="28"/>
  <c r="AQ3" i="28"/>
  <c r="D4" i="28"/>
  <c r="E4" i="28"/>
  <c r="F4" i="28"/>
  <c r="G4" i="28"/>
  <c r="H4" i="28"/>
  <c r="I4" i="28"/>
  <c r="J4" i="28"/>
  <c r="K4" i="28"/>
  <c r="L4" i="28"/>
  <c r="M4" i="28"/>
  <c r="N4" i="28"/>
  <c r="O4" i="28"/>
  <c r="P4" i="28"/>
  <c r="Q4" i="28"/>
  <c r="R4" i="28"/>
  <c r="S4" i="28"/>
  <c r="T4" i="28"/>
  <c r="U4" i="28"/>
  <c r="V4" i="28"/>
  <c r="W4" i="28"/>
  <c r="X4" i="28"/>
  <c r="Y4" i="28"/>
  <c r="Z4" i="28"/>
  <c r="AA4" i="28"/>
  <c r="AB4" i="28"/>
  <c r="AC4" i="28"/>
  <c r="AD4" i="28"/>
  <c r="AE4" i="28"/>
  <c r="AF4" i="28"/>
  <c r="AG4" i="28"/>
  <c r="AH4" i="28"/>
  <c r="AI4" i="28"/>
  <c r="AJ4" i="28"/>
  <c r="AK4" i="28"/>
  <c r="AL4" i="28"/>
  <c r="AM4" i="28"/>
  <c r="AN4" i="28"/>
  <c r="AO4" i="28"/>
  <c r="AP4" i="28"/>
  <c r="AQ4" i="28"/>
  <c r="D5" i="28"/>
  <c r="E5" i="28"/>
  <c r="F5" i="28"/>
  <c r="G5" i="28"/>
  <c r="H5" i="28"/>
  <c r="I5" i="28"/>
  <c r="J5" i="28"/>
  <c r="K5" i="28"/>
  <c r="L5" i="28"/>
  <c r="M5" i="28"/>
  <c r="N5" i="28"/>
  <c r="O5" i="28"/>
  <c r="P5" i="28"/>
  <c r="Q5" i="28"/>
  <c r="R5" i="28"/>
  <c r="S5" i="28"/>
  <c r="T5" i="28"/>
  <c r="U5" i="28"/>
  <c r="V5" i="28"/>
  <c r="W5" i="28"/>
  <c r="X5" i="28"/>
  <c r="Y5" i="28"/>
  <c r="Z5" i="28"/>
  <c r="AA5" i="28"/>
  <c r="AB5" i="28"/>
  <c r="AC5" i="28"/>
  <c r="AD5" i="28"/>
  <c r="AE5" i="28"/>
  <c r="AF5" i="28"/>
  <c r="AG5" i="28"/>
  <c r="AH5" i="28"/>
  <c r="AI5" i="28"/>
  <c r="AJ5" i="28"/>
  <c r="AK5" i="28"/>
  <c r="AL5" i="28"/>
  <c r="AM5" i="28"/>
  <c r="AN5" i="28"/>
  <c r="AO5" i="28"/>
  <c r="AP5" i="28"/>
  <c r="AQ5" i="28"/>
  <c r="D6" i="28"/>
  <c r="E6" i="28"/>
  <c r="F6" i="28"/>
  <c r="G6" i="28"/>
  <c r="H6" i="28"/>
  <c r="I6" i="28"/>
  <c r="J6" i="28"/>
  <c r="K6" i="28"/>
  <c r="L6" i="28"/>
  <c r="M6" i="28"/>
  <c r="N6" i="28"/>
  <c r="O6" i="28"/>
  <c r="P6" i="28"/>
  <c r="Q6" i="28"/>
  <c r="R6" i="28"/>
  <c r="S6" i="28"/>
  <c r="T6" i="28"/>
  <c r="U6" i="28"/>
  <c r="V6" i="28"/>
  <c r="W6" i="28"/>
  <c r="X6" i="28"/>
  <c r="Y6" i="28"/>
  <c r="Z6" i="28"/>
  <c r="AA6" i="28"/>
  <c r="AB6" i="28"/>
  <c r="AC6" i="28"/>
  <c r="AD6" i="28"/>
  <c r="AE6" i="28"/>
  <c r="AF6" i="28"/>
  <c r="AG6" i="28"/>
  <c r="AH6" i="28"/>
  <c r="AI6" i="28"/>
  <c r="AJ6" i="28"/>
  <c r="AK6" i="28"/>
  <c r="AL6" i="28"/>
  <c r="AM6" i="28"/>
  <c r="AN6" i="28"/>
  <c r="AO6" i="28"/>
  <c r="AP6" i="28"/>
  <c r="AQ6" i="28"/>
  <c r="D7" i="28"/>
  <c r="E7" i="28"/>
  <c r="F7" i="28"/>
  <c r="G7" i="28"/>
  <c r="H7" i="28"/>
  <c r="I7" i="28"/>
  <c r="J7" i="28"/>
  <c r="K7" i="28"/>
  <c r="L7" i="28"/>
  <c r="M7" i="28"/>
  <c r="N7" i="28"/>
  <c r="O7" i="28"/>
  <c r="P7" i="28"/>
  <c r="Q7" i="28"/>
  <c r="R7" i="28"/>
  <c r="S7" i="28"/>
  <c r="T7" i="28"/>
  <c r="U7" i="28"/>
  <c r="V7" i="28"/>
  <c r="W7" i="28"/>
  <c r="X7" i="28"/>
  <c r="Y7" i="28"/>
  <c r="Z7" i="28"/>
  <c r="AA7" i="28"/>
  <c r="AB7" i="28"/>
  <c r="AC7" i="28"/>
  <c r="AD7" i="28"/>
  <c r="AE7" i="28"/>
  <c r="AF7" i="28"/>
  <c r="AG7" i="28"/>
  <c r="AH7" i="28"/>
  <c r="AI7" i="28"/>
  <c r="AJ7" i="28"/>
  <c r="AK7" i="28"/>
  <c r="AL7" i="28"/>
  <c r="AM7" i="28"/>
  <c r="AN7" i="28"/>
  <c r="AO7" i="28"/>
  <c r="AP7" i="28"/>
  <c r="AQ7" i="28"/>
  <c r="D9" i="28"/>
  <c r="E9" i="28"/>
  <c r="F9" i="28"/>
  <c r="G9" i="28"/>
  <c r="H9" i="28"/>
  <c r="I9" i="28"/>
  <c r="J9" i="28"/>
  <c r="K9" i="28"/>
  <c r="L9" i="28"/>
  <c r="M9" i="28"/>
  <c r="N9" i="28"/>
  <c r="O9" i="28"/>
  <c r="P9" i="28"/>
  <c r="Q9" i="28"/>
  <c r="R9" i="28"/>
  <c r="S9" i="28"/>
  <c r="T9" i="28"/>
  <c r="U9" i="28"/>
  <c r="V9" i="28"/>
  <c r="W9" i="28"/>
  <c r="X9" i="28"/>
  <c r="Y9" i="28"/>
  <c r="Z9" i="28"/>
  <c r="AA9" i="28"/>
  <c r="AB9" i="28"/>
  <c r="AC9" i="28"/>
  <c r="AD9" i="28"/>
  <c r="AE9" i="28"/>
  <c r="AF9" i="28"/>
  <c r="AG9" i="28"/>
  <c r="AH9" i="28"/>
  <c r="AI9" i="28"/>
  <c r="AJ9" i="28"/>
  <c r="AK9" i="28"/>
  <c r="AL9" i="28"/>
  <c r="AM9" i="28"/>
  <c r="AN9" i="28"/>
  <c r="AO9" i="28"/>
  <c r="AP9" i="28"/>
  <c r="AQ9" i="28"/>
  <c r="D10" i="28"/>
  <c r="E10" i="28"/>
  <c r="F10" i="28"/>
  <c r="G10" i="28"/>
  <c r="H10" i="28"/>
  <c r="I10" i="28"/>
  <c r="J10" i="28"/>
  <c r="K10" i="28"/>
  <c r="L10" i="28"/>
  <c r="M10" i="28"/>
  <c r="N10" i="28"/>
  <c r="O10" i="28"/>
  <c r="P10" i="28"/>
  <c r="Q10" i="28"/>
  <c r="R10" i="28"/>
  <c r="S10" i="28"/>
  <c r="T10" i="28"/>
  <c r="U10" i="28"/>
  <c r="V10" i="28"/>
  <c r="W10" i="28"/>
  <c r="X10" i="28"/>
  <c r="Y10" i="28"/>
  <c r="Z10" i="28"/>
  <c r="AA10" i="28"/>
  <c r="AB10" i="28"/>
  <c r="AC10" i="28"/>
  <c r="AD10" i="28"/>
  <c r="AE10" i="28"/>
  <c r="AF10" i="28"/>
  <c r="AG10" i="28"/>
  <c r="AH10" i="28"/>
  <c r="AI10" i="28"/>
  <c r="AJ10" i="28"/>
  <c r="AK10" i="28"/>
  <c r="AL10" i="28"/>
  <c r="AM10" i="28"/>
  <c r="AN10" i="28"/>
  <c r="AO10" i="28"/>
  <c r="AP10" i="28"/>
  <c r="AQ10" i="28"/>
  <c r="D11" i="28"/>
  <c r="E11" i="28"/>
  <c r="F11" i="28"/>
  <c r="G11" i="28"/>
  <c r="H11" i="28"/>
  <c r="I11" i="28"/>
  <c r="J11" i="28"/>
  <c r="K11" i="28"/>
  <c r="L11" i="28"/>
  <c r="M11" i="28"/>
  <c r="N11" i="28"/>
  <c r="O11" i="28"/>
  <c r="P11" i="28"/>
  <c r="Q11" i="28"/>
  <c r="R11" i="28"/>
  <c r="S11" i="28"/>
  <c r="T11" i="28"/>
  <c r="U11" i="28"/>
  <c r="V11" i="28"/>
  <c r="W11" i="28"/>
  <c r="X11" i="28"/>
  <c r="Y11" i="28"/>
  <c r="Z11" i="28"/>
  <c r="AA11" i="28"/>
  <c r="AB11" i="28"/>
  <c r="AC11" i="28"/>
  <c r="AD11" i="28"/>
  <c r="AE11" i="28"/>
  <c r="AF11" i="28"/>
  <c r="AG11" i="28"/>
  <c r="AH11" i="28"/>
  <c r="AI11" i="28"/>
  <c r="AJ11" i="28"/>
  <c r="AK11" i="28"/>
  <c r="AL11" i="28"/>
  <c r="AM11" i="28"/>
  <c r="AN11" i="28"/>
  <c r="AO11" i="28"/>
  <c r="AP11" i="28"/>
  <c r="AQ11" i="28"/>
  <c r="C3" i="28"/>
  <c r="C4" i="28"/>
  <c r="C5" i="28"/>
  <c r="C6" i="28"/>
  <c r="C7" i="28"/>
  <c r="C9" i="28"/>
  <c r="C10" i="28"/>
  <c r="C11" i="28"/>
  <c r="D3" i="27"/>
  <c r="E3" i="27"/>
  <c r="F3" i="27"/>
  <c r="G3" i="27"/>
  <c r="H3" i="27"/>
  <c r="I3" i="27"/>
  <c r="J3" i="27"/>
  <c r="K3" i="27"/>
  <c r="L3" i="27"/>
  <c r="M3" i="27"/>
  <c r="N3" i="27"/>
  <c r="O3" i="27"/>
  <c r="P3" i="27"/>
  <c r="Q3" i="27"/>
  <c r="R3" i="27"/>
  <c r="S3" i="27"/>
  <c r="T3" i="27"/>
  <c r="U3" i="27"/>
  <c r="V3" i="27"/>
  <c r="W3" i="27"/>
  <c r="X3" i="27"/>
  <c r="Y3" i="27"/>
  <c r="Z3" i="27"/>
  <c r="AA3" i="27"/>
  <c r="AB3" i="27"/>
  <c r="AC3" i="27"/>
  <c r="AD3" i="27"/>
  <c r="AE3" i="27"/>
  <c r="AF3" i="27"/>
  <c r="AG3" i="27"/>
  <c r="AH3" i="27"/>
  <c r="AI3" i="27"/>
  <c r="AJ3" i="27"/>
  <c r="AK3" i="27"/>
  <c r="AL3" i="27"/>
  <c r="AM3" i="27"/>
  <c r="AN3" i="27"/>
  <c r="AO3" i="27"/>
  <c r="AP3" i="27"/>
  <c r="AQ3" i="27"/>
  <c r="D4" i="27"/>
  <c r="E4" i="27"/>
  <c r="F4" i="27"/>
  <c r="G4" i="27"/>
  <c r="H4" i="27"/>
  <c r="I4" i="27"/>
  <c r="J4" i="27"/>
  <c r="K4" i="27"/>
  <c r="L4" i="27"/>
  <c r="M4" i="27"/>
  <c r="N4" i="27"/>
  <c r="O4" i="27"/>
  <c r="P4" i="27"/>
  <c r="Q4" i="27"/>
  <c r="R4" i="27"/>
  <c r="S4" i="27"/>
  <c r="T4" i="27"/>
  <c r="U4" i="27"/>
  <c r="V4" i="27"/>
  <c r="W4" i="27"/>
  <c r="X4" i="27"/>
  <c r="Y4" i="27"/>
  <c r="Z4" i="27"/>
  <c r="AA4" i="27"/>
  <c r="AB4" i="27"/>
  <c r="AC4" i="27"/>
  <c r="AD4" i="27"/>
  <c r="AE4" i="27"/>
  <c r="AF4" i="27"/>
  <c r="AG4" i="27"/>
  <c r="AH4" i="27"/>
  <c r="AI4" i="27"/>
  <c r="AJ4" i="27"/>
  <c r="AK4" i="27"/>
  <c r="AL4" i="27"/>
  <c r="AM4" i="27"/>
  <c r="AN4" i="27"/>
  <c r="AO4" i="27"/>
  <c r="AP4" i="27"/>
  <c r="AQ4" i="27"/>
  <c r="D5" i="27"/>
  <c r="E5" i="27"/>
  <c r="F5" i="27"/>
  <c r="G5" i="27"/>
  <c r="H5" i="27"/>
  <c r="I5" i="27"/>
  <c r="J5" i="27"/>
  <c r="K5" i="27"/>
  <c r="L5" i="27"/>
  <c r="M5" i="27"/>
  <c r="N5" i="27"/>
  <c r="O5" i="27"/>
  <c r="P5" i="27"/>
  <c r="Q5" i="27"/>
  <c r="R5" i="27"/>
  <c r="S5" i="27"/>
  <c r="T5" i="27"/>
  <c r="U5" i="27"/>
  <c r="V5" i="27"/>
  <c r="W5" i="27"/>
  <c r="X5" i="27"/>
  <c r="Y5" i="27"/>
  <c r="Z5" i="27"/>
  <c r="AA5" i="27"/>
  <c r="AB5" i="27"/>
  <c r="AC5" i="27"/>
  <c r="AD5" i="27"/>
  <c r="AE5" i="27"/>
  <c r="AF5" i="27"/>
  <c r="AG5" i="27"/>
  <c r="AH5" i="27"/>
  <c r="AI5" i="27"/>
  <c r="AJ5" i="27"/>
  <c r="AK5" i="27"/>
  <c r="AL5" i="27"/>
  <c r="AM5" i="27"/>
  <c r="AN5" i="27"/>
  <c r="AO5" i="27"/>
  <c r="AP5" i="27"/>
  <c r="AQ5" i="27"/>
  <c r="D6" i="27"/>
  <c r="E6" i="27"/>
  <c r="F6" i="27"/>
  <c r="G6" i="27"/>
  <c r="H6" i="27"/>
  <c r="I6" i="27"/>
  <c r="J6" i="27"/>
  <c r="K6" i="27"/>
  <c r="L6" i="27"/>
  <c r="M6" i="27"/>
  <c r="N6" i="27"/>
  <c r="O6" i="27"/>
  <c r="P6" i="27"/>
  <c r="Q6" i="27"/>
  <c r="R6" i="27"/>
  <c r="S6" i="27"/>
  <c r="T6" i="27"/>
  <c r="U6" i="27"/>
  <c r="V6" i="27"/>
  <c r="W6" i="27"/>
  <c r="X6" i="27"/>
  <c r="Y6" i="27"/>
  <c r="Z6" i="27"/>
  <c r="AA6" i="27"/>
  <c r="AB6" i="27"/>
  <c r="AC6" i="27"/>
  <c r="AD6" i="27"/>
  <c r="AE6" i="27"/>
  <c r="AF6" i="27"/>
  <c r="AG6" i="27"/>
  <c r="AH6" i="27"/>
  <c r="AI6" i="27"/>
  <c r="AJ6" i="27"/>
  <c r="AK6" i="27"/>
  <c r="AL6" i="27"/>
  <c r="AM6" i="27"/>
  <c r="AN6" i="27"/>
  <c r="AO6" i="27"/>
  <c r="AP6" i="27"/>
  <c r="AQ6" i="27"/>
  <c r="D7" i="27"/>
  <c r="E7" i="27"/>
  <c r="F7" i="27"/>
  <c r="G7" i="27"/>
  <c r="H7" i="27"/>
  <c r="I7" i="27"/>
  <c r="J7" i="27"/>
  <c r="K7" i="27"/>
  <c r="L7" i="27"/>
  <c r="M7" i="27"/>
  <c r="N7" i="27"/>
  <c r="O7" i="27"/>
  <c r="P7" i="27"/>
  <c r="Q7" i="27"/>
  <c r="R7" i="27"/>
  <c r="S7" i="27"/>
  <c r="T7" i="27"/>
  <c r="U7" i="27"/>
  <c r="V7" i="27"/>
  <c r="W7" i="27"/>
  <c r="X7" i="27"/>
  <c r="Y7" i="27"/>
  <c r="Z7" i="27"/>
  <c r="AA7" i="27"/>
  <c r="AB7" i="27"/>
  <c r="AC7" i="27"/>
  <c r="AD7" i="27"/>
  <c r="AE7" i="27"/>
  <c r="AF7" i="27"/>
  <c r="AG7" i="27"/>
  <c r="AH7" i="27"/>
  <c r="AI7" i="27"/>
  <c r="AJ7" i="27"/>
  <c r="AK7" i="27"/>
  <c r="AL7" i="27"/>
  <c r="AM7" i="27"/>
  <c r="AN7" i="27"/>
  <c r="AO7" i="27"/>
  <c r="AP7" i="27"/>
  <c r="AQ7" i="27"/>
  <c r="D8" i="27"/>
  <c r="E8" i="27"/>
  <c r="F8" i="27"/>
  <c r="G8" i="27"/>
  <c r="H8" i="27"/>
  <c r="I8" i="27"/>
  <c r="J8" i="27"/>
  <c r="K8" i="27"/>
  <c r="L8" i="27"/>
  <c r="M8" i="27"/>
  <c r="N8" i="27"/>
  <c r="O8" i="27"/>
  <c r="P8" i="27"/>
  <c r="Q8" i="27"/>
  <c r="R8" i="27"/>
  <c r="S8" i="27"/>
  <c r="T8" i="27"/>
  <c r="U8" i="27"/>
  <c r="V8" i="27"/>
  <c r="W8" i="27"/>
  <c r="X8" i="27"/>
  <c r="Y8" i="27"/>
  <c r="Z8" i="27"/>
  <c r="AA8" i="27"/>
  <c r="AB8" i="27"/>
  <c r="AC8" i="27"/>
  <c r="AD8" i="27"/>
  <c r="AE8" i="27"/>
  <c r="AF8" i="27"/>
  <c r="AG8" i="27"/>
  <c r="AH8" i="27"/>
  <c r="AI8" i="27"/>
  <c r="AJ8" i="27"/>
  <c r="AK8" i="27"/>
  <c r="AL8" i="27"/>
  <c r="AM8" i="27"/>
  <c r="AN8" i="27"/>
  <c r="AO8" i="27"/>
  <c r="AP8" i="27"/>
  <c r="AQ8" i="27"/>
  <c r="D9" i="27"/>
  <c r="E9" i="27"/>
  <c r="F9" i="27"/>
  <c r="G9" i="27"/>
  <c r="H9" i="27"/>
  <c r="I9" i="27"/>
  <c r="J9" i="27"/>
  <c r="K9" i="27"/>
  <c r="L9" i="27"/>
  <c r="M9" i="27"/>
  <c r="N9" i="27"/>
  <c r="O9" i="27"/>
  <c r="P9" i="27"/>
  <c r="Q9" i="27"/>
  <c r="R9" i="27"/>
  <c r="S9" i="27"/>
  <c r="T9" i="27"/>
  <c r="U9" i="27"/>
  <c r="V9" i="27"/>
  <c r="W9" i="27"/>
  <c r="X9" i="27"/>
  <c r="Y9" i="27"/>
  <c r="Z9" i="27"/>
  <c r="AA9" i="27"/>
  <c r="AB9" i="27"/>
  <c r="AC9" i="27"/>
  <c r="AD9" i="27"/>
  <c r="AE9" i="27"/>
  <c r="AF9" i="27"/>
  <c r="AG9" i="27"/>
  <c r="AH9" i="27"/>
  <c r="AI9" i="27"/>
  <c r="AJ9" i="27"/>
  <c r="AK9" i="27"/>
  <c r="AL9" i="27"/>
  <c r="AM9" i="27"/>
  <c r="AN9" i="27"/>
  <c r="AO9" i="27"/>
  <c r="AP9" i="27"/>
  <c r="AQ9" i="27"/>
  <c r="D10" i="27"/>
  <c r="E10" i="27"/>
  <c r="F10" i="27"/>
  <c r="G10" i="27"/>
  <c r="H10" i="27"/>
  <c r="I10" i="27"/>
  <c r="J10" i="27"/>
  <c r="K10" i="27"/>
  <c r="L10" i="27"/>
  <c r="M10" i="27"/>
  <c r="N10" i="27"/>
  <c r="O10" i="27"/>
  <c r="P10" i="27"/>
  <c r="Q10" i="27"/>
  <c r="R10" i="27"/>
  <c r="S10" i="27"/>
  <c r="T10" i="27"/>
  <c r="U10" i="27"/>
  <c r="V10" i="27"/>
  <c r="W10" i="27"/>
  <c r="X10" i="27"/>
  <c r="Y10" i="27"/>
  <c r="Z10" i="27"/>
  <c r="AA10" i="27"/>
  <c r="AB10" i="27"/>
  <c r="AC10" i="27"/>
  <c r="AD10" i="27"/>
  <c r="AE10" i="27"/>
  <c r="AF10" i="27"/>
  <c r="AG10" i="27"/>
  <c r="AH10" i="27"/>
  <c r="AI10" i="27"/>
  <c r="AJ10" i="27"/>
  <c r="AK10" i="27"/>
  <c r="AL10" i="27"/>
  <c r="AM10" i="27"/>
  <c r="AN10" i="27"/>
  <c r="AO10" i="27"/>
  <c r="AP10" i="27"/>
  <c r="AQ10" i="27"/>
  <c r="D11" i="27"/>
  <c r="E11" i="27"/>
  <c r="F11" i="27"/>
  <c r="G11" i="27"/>
  <c r="H11" i="27"/>
  <c r="I11" i="27"/>
  <c r="J11" i="27"/>
  <c r="K11" i="27"/>
  <c r="L11" i="27"/>
  <c r="M11" i="27"/>
  <c r="N11" i="27"/>
  <c r="O11" i="27"/>
  <c r="P11" i="27"/>
  <c r="Q11" i="27"/>
  <c r="R11" i="27"/>
  <c r="S11" i="27"/>
  <c r="T11" i="27"/>
  <c r="U11" i="27"/>
  <c r="V11" i="27"/>
  <c r="W11" i="27"/>
  <c r="X11" i="27"/>
  <c r="Y11" i="27"/>
  <c r="Z11" i="27"/>
  <c r="AA11" i="27"/>
  <c r="AB11" i="27"/>
  <c r="AC11" i="27"/>
  <c r="AD11" i="27"/>
  <c r="AE11" i="27"/>
  <c r="AF11" i="27"/>
  <c r="AG11" i="27"/>
  <c r="AH11" i="27"/>
  <c r="AI11" i="27"/>
  <c r="AJ11" i="27"/>
  <c r="AK11" i="27"/>
  <c r="AL11" i="27"/>
  <c r="AM11" i="27"/>
  <c r="AN11" i="27"/>
  <c r="AO11" i="27"/>
  <c r="AP11" i="27"/>
  <c r="AQ11" i="27"/>
  <c r="C3" i="27"/>
  <c r="C4" i="27"/>
  <c r="C5" i="27"/>
  <c r="C6" i="27"/>
  <c r="C7" i="27"/>
  <c r="C8" i="27"/>
  <c r="C9" i="27"/>
  <c r="C10" i="27"/>
  <c r="C11" i="27"/>
  <c r="E2" i="26"/>
  <c r="F2" i="26"/>
  <c r="G2" i="26"/>
  <c r="H2" i="26"/>
  <c r="I2" i="26"/>
  <c r="J2" i="26"/>
  <c r="K2" i="26"/>
  <c r="L2" i="26"/>
  <c r="M2" i="26"/>
  <c r="N2" i="26"/>
  <c r="O2" i="26"/>
  <c r="P2" i="26"/>
  <c r="Q2" i="26"/>
  <c r="R2" i="26"/>
  <c r="S2" i="26"/>
  <c r="T2" i="26"/>
  <c r="U2" i="26"/>
  <c r="V2" i="26"/>
  <c r="W2" i="26"/>
  <c r="X2" i="26"/>
  <c r="Y2" i="26"/>
  <c r="Z2" i="26"/>
  <c r="AA2" i="26"/>
  <c r="AB2" i="26"/>
  <c r="AC2" i="26"/>
  <c r="AD2" i="26"/>
  <c r="AE2" i="26"/>
  <c r="AF2" i="26"/>
  <c r="AG2" i="26"/>
  <c r="AH2" i="26"/>
  <c r="AI2" i="26"/>
  <c r="AJ2" i="26"/>
  <c r="AK2" i="26"/>
  <c r="AL2" i="26"/>
  <c r="AM2" i="26"/>
  <c r="AN2" i="26"/>
  <c r="AO2" i="26"/>
  <c r="AP2" i="26"/>
  <c r="AQ2" i="26"/>
  <c r="D3" i="26"/>
  <c r="E3" i="26"/>
  <c r="F3" i="26"/>
  <c r="G3" i="26"/>
  <c r="H3" i="26"/>
  <c r="I3" i="26"/>
  <c r="J3" i="26"/>
  <c r="K3" i="26"/>
  <c r="L3" i="26"/>
  <c r="M3" i="26"/>
  <c r="N3" i="26"/>
  <c r="O3" i="26"/>
  <c r="P3" i="26"/>
  <c r="Q3" i="26"/>
  <c r="R3" i="26"/>
  <c r="S3" i="26"/>
  <c r="T3" i="26"/>
  <c r="U3" i="26"/>
  <c r="V3" i="26"/>
  <c r="W3" i="26"/>
  <c r="X3" i="26"/>
  <c r="Y3" i="26"/>
  <c r="Z3" i="26"/>
  <c r="AA3" i="26"/>
  <c r="AB3" i="26"/>
  <c r="AC3" i="26"/>
  <c r="AD3" i="26"/>
  <c r="AE3" i="26"/>
  <c r="AF3" i="26"/>
  <c r="AG3" i="26"/>
  <c r="AH3" i="26"/>
  <c r="AI3" i="26"/>
  <c r="AJ3" i="26"/>
  <c r="AK3" i="26"/>
  <c r="AL3" i="26"/>
  <c r="AM3" i="26"/>
  <c r="AN3" i="26"/>
  <c r="AO3" i="26"/>
  <c r="AP3" i="26"/>
  <c r="AQ3"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I4" i="26"/>
  <c r="AJ4" i="26"/>
  <c r="AK4" i="26"/>
  <c r="AL4" i="26"/>
  <c r="AM4" i="26"/>
  <c r="AN4" i="26"/>
  <c r="AO4" i="26"/>
  <c r="AP4" i="26"/>
  <c r="AQ4"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AI5" i="26"/>
  <c r="AJ5" i="26"/>
  <c r="AK5" i="26"/>
  <c r="AL5" i="26"/>
  <c r="AM5" i="26"/>
  <c r="AN5" i="26"/>
  <c r="AO5" i="26"/>
  <c r="AP5" i="26"/>
  <c r="AQ5" i="26"/>
  <c r="D6" i="26"/>
  <c r="E6" i="26"/>
  <c r="F6" i="26"/>
  <c r="G6" i="26"/>
  <c r="H6" i="26"/>
  <c r="I6" i="26"/>
  <c r="J6" i="26"/>
  <c r="K6" i="26"/>
  <c r="L6" i="26"/>
  <c r="M6" i="26"/>
  <c r="N6" i="26"/>
  <c r="O6" i="26"/>
  <c r="P6" i="26"/>
  <c r="Q6" i="26"/>
  <c r="R6" i="26"/>
  <c r="S6" i="26"/>
  <c r="T6" i="26"/>
  <c r="U6" i="26"/>
  <c r="V6" i="26"/>
  <c r="W6" i="26"/>
  <c r="X6" i="26"/>
  <c r="Y6" i="26"/>
  <c r="Z6" i="26"/>
  <c r="AA6" i="26"/>
  <c r="AB6" i="26"/>
  <c r="AC6" i="26"/>
  <c r="AD6" i="26"/>
  <c r="AE6" i="26"/>
  <c r="AF6" i="26"/>
  <c r="AG6" i="26"/>
  <c r="AH6" i="26"/>
  <c r="AI6" i="26"/>
  <c r="AJ6" i="26"/>
  <c r="AK6" i="26"/>
  <c r="AL6" i="26"/>
  <c r="AM6" i="26"/>
  <c r="AN6" i="26"/>
  <c r="AO6" i="26"/>
  <c r="AP6" i="26"/>
  <c r="AQ6" i="26"/>
  <c r="D7" i="26"/>
  <c r="E7" i="26"/>
  <c r="F7" i="26"/>
  <c r="G7" i="26"/>
  <c r="H7" i="26"/>
  <c r="I7" i="26"/>
  <c r="J7" i="26"/>
  <c r="K7" i="26"/>
  <c r="L7" i="26"/>
  <c r="M7" i="26"/>
  <c r="N7" i="26"/>
  <c r="O7" i="26"/>
  <c r="P7" i="26"/>
  <c r="Q7" i="26"/>
  <c r="R7" i="26"/>
  <c r="S7" i="26"/>
  <c r="T7" i="26"/>
  <c r="U7" i="26"/>
  <c r="V7" i="26"/>
  <c r="W7" i="26"/>
  <c r="X7" i="26"/>
  <c r="Y7" i="26"/>
  <c r="Z7" i="26"/>
  <c r="AA7" i="26"/>
  <c r="AB7" i="26"/>
  <c r="AC7" i="26"/>
  <c r="AD7" i="26"/>
  <c r="AE7" i="26"/>
  <c r="AF7" i="26"/>
  <c r="AG7" i="26"/>
  <c r="AH7" i="26"/>
  <c r="AI7" i="26"/>
  <c r="AJ7" i="26"/>
  <c r="AK7" i="26"/>
  <c r="AL7" i="26"/>
  <c r="AM7" i="26"/>
  <c r="AN7" i="26"/>
  <c r="AO7" i="26"/>
  <c r="AP7" i="26"/>
  <c r="AQ7" i="26"/>
  <c r="D8" i="26"/>
  <c r="E8" i="26"/>
  <c r="F8" i="26"/>
  <c r="G8" i="26"/>
  <c r="H8" i="26"/>
  <c r="I8" i="26"/>
  <c r="J8" i="26"/>
  <c r="K8" i="26"/>
  <c r="L8" i="26"/>
  <c r="M8" i="26"/>
  <c r="N8" i="26"/>
  <c r="O8" i="26"/>
  <c r="P8" i="26"/>
  <c r="Q8" i="26"/>
  <c r="R8" i="26"/>
  <c r="S8" i="26"/>
  <c r="T8" i="26"/>
  <c r="U8" i="26"/>
  <c r="V8" i="26"/>
  <c r="W8" i="26"/>
  <c r="X8" i="26"/>
  <c r="Y8" i="26"/>
  <c r="Z8" i="26"/>
  <c r="AA8" i="26"/>
  <c r="AB8" i="26"/>
  <c r="AC8" i="26"/>
  <c r="AD8" i="26"/>
  <c r="AE8" i="26"/>
  <c r="AF8" i="26"/>
  <c r="AG8" i="26"/>
  <c r="AH8" i="26"/>
  <c r="AI8" i="26"/>
  <c r="AJ8" i="26"/>
  <c r="AK8" i="26"/>
  <c r="AL8" i="26"/>
  <c r="AM8" i="26"/>
  <c r="AN8" i="26"/>
  <c r="AO8" i="26"/>
  <c r="AP8" i="26"/>
  <c r="AQ8" i="26"/>
  <c r="D9" i="26"/>
  <c r="E9" i="26"/>
  <c r="F9" i="26"/>
  <c r="G9" i="26"/>
  <c r="H9" i="26"/>
  <c r="I9" i="26"/>
  <c r="J9" i="26"/>
  <c r="K9" i="26"/>
  <c r="L9" i="26"/>
  <c r="M9" i="26"/>
  <c r="N9" i="26"/>
  <c r="O9" i="26"/>
  <c r="P9" i="26"/>
  <c r="Q9" i="26"/>
  <c r="R9" i="26"/>
  <c r="S9" i="26"/>
  <c r="T9" i="26"/>
  <c r="U9" i="26"/>
  <c r="V9" i="26"/>
  <c r="W9" i="26"/>
  <c r="X9" i="26"/>
  <c r="Y9" i="26"/>
  <c r="Z9" i="26"/>
  <c r="AA9" i="26"/>
  <c r="AB9" i="26"/>
  <c r="AC9" i="26"/>
  <c r="AD9" i="26"/>
  <c r="AE9" i="26"/>
  <c r="AF9" i="26"/>
  <c r="AG9" i="26"/>
  <c r="AH9" i="26"/>
  <c r="AI9" i="26"/>
  <c r="AJ9" i="26"/>
  <c r="AK9" i="26"/>
  <c r="AL9" i="26"/>
  <c r="AM9" i="26"/>
  <c r="AN9" i="26"/>
  <c r="AO9" i="26"/>
  <c r="AP9" i="26"/>
  <c r="AQ9" i="26"/>
  <c r="D11" i="26"/>
  <c r="E11" i="26"/>
  <c r="F11" i="26"/>
  <c r="G11" i="26"/>
  <c r="H11" i="26"/>
  <c r="I11" i="26"/>
  <c r="J11"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AI11" i="26"/>
  <c r="AJ11" i="26"/>
  <c r="AK11" i="26"/>
  <c r="AL11" i="26"/>
  <c r="AM11" i="26"/>
  <c r="AN11" i="26"/>
  <c r="AO11" i="26"/>
  <c r="AP11" i="26"/>
  <c r="AQ11" i="26"/>
  <c r="C3" i="26"/>
  <c r="C4" i="26"/>
  <c r="C5" i="26"/>
  <c r="C6" i="26"/>
  <c r="C7" i="26"/>
  <c r="C8" i="26"/>
  <c r="C9" i="26"/>
  <c r="C11" i="26"/>
  <c r="F2" i="27"/>
  <c r="G2" i="27"/>
  <c r="H2" i="27"/>
  <c r="I2" i="27"/>
  <c r="J2" i="27"/>
  <c r="K2" i="27"/>
  <c r="L2" i="27"/>
  <c r="N2" i="27"/>
  <c r="O2" i="27"/>
  <c r="P2" i="27"/>
  <c r="Q2" i="27"/>
  <c r="R2" i="27"/>
  <c r="S2" i="27"/>
  <c r="T2" i="27"/>
  <c r="V2" i="27"/>
  <c r="W2" i="27"/>
  <c r="X2" i="27"/>
  <c r="Y2" i="27"/>
  <c r="Z2" i="27"/>
  <c r="AA2" i="27"/>
  <c r="AB2" i="27"/>
  <c r="AD2" i="27"/>
  <c r="AE2" i="27"/>
  <c r="AF2" i="27"/>
  <c r="AG2" i="27"/>
  <c r="AH2" i="27"/>
  <c r="AI2" i="27"/>
  <c r="AJ2" i="27"/>
  <c r="AL2" i="27"/>
  <c r="AM2" i="27"/>
  <c r="AN2" i="27"/>
  <c r="AO2" i="27"/>
  <c r="AP2" i="27"/>
  <c r="AQ2" i="27"/>
  <c r="E2" i="27"/>
  <c r="F2" i="18"/>
  <c r="F2" i="28" s="1"/>
  <c r="G2" i="18"/>
  <c r="G2" i="28" s="1"/>
  <c r="H2" i="18"/>
  <c r="H2" i="28" s="1"/>
  <c r="I2" i="18"/>
  <c r="I2" i="28" s="1"/>
  <c r="J2" i="18"/>
  <c r="J2" i="28" s="1"/>
  <c r="K2" i="18"/>
  <c r="K2" i="28" s="1"/>
  <c r="M2" i="18"/>
  <c r="M2" i="28" s="1"/>
  <c r="N2" i="18"/>
  <c r="N2" i="28" s="1"/>
  <c r="O2" i="18"/>
  <c r="O2" i="28" s="1"/>
  <c r="P2" i="18"/>
  <c r="P2" i="28" s="1"/>
  <c r="Q2" i="18"/>
  <c r="Q2" i="28" s="1"/>
  <c r="R2" i="18"/>
  <c r="R2" i="28" s="1"/>
  <c r="S2" i="18"/>
  <c r="S2" i="28" s="1"/>
  <c r="U2" i="18"/>
  <c r="U2" i="28" s="1"/>
  <c r="V2" i="18"/>
  <c r="V2" i="28" s="1"/>
  <c r="W2" i="18"/>
  <c r="W2" i="28" s="1"/>
  <c r="X2" i="18"/>
  <c r="X2" i="28" s="1"/>
  <c r="Y2" i="18"/>
  <c r="Y2" i="28" s="1"/>
  <c r="Z2" i="18"/>
  <c r="Z2" i="28" s="1"/>
  <c r="AA2" i="18"/>
  <c r="AA2" i="28" s="1"/>
  <c r="AC2" i="18"/>
  <c r="AC2" i="28" s="1"/>
  <c r="AD2" i="18"/>
  <c r="AD2" i="28" s="1"/>
  <c r="AE2" i="18"/>
  <c r="AE2" i="28" s="1"/>
  <c r="AF2" i="18"/>
  <c r="AF2" i="28" s="1"/>
  <c r="AG2" i="18"/>
  <c r="AG2" i="28" s="1"/>
  <c r="AH2" i="18"/>
  <c r="AH2" i="28" s="1"/>
  <c r="AI2" i="18"/>
  <c r="AI2" i="28" s="1"/>
  <c r="AK2" i="18"/>
  <c r="AK2" i="28" s="1"/>
  <c r="AL2" i="18"/>
  <c r="AL2" i="28" s="1"/>
  <c r="AM2" i="18"/>
  <c r="AM2" i="28" s="1"/>
  <c r="AN2" i="18"/>
  <c r="AN2" i="28" s="1"/>
  <c r="AO2" i="18"/>
  <c r="AO2" i="28" s="1"/>
  <c r="AP2" i="18"/>
  <c r="AP2" i="28" s="1"/>
  <c r="AQ2" i="18"/>
  <c r="AQ2" i="28" s="1"/>
  <c r="E2" i="18"/>
  <c r="E2" i="28" s="1"/>
  <c r="E2" i="29"/>
  <c r="F2" i="29"/>
  <c r="G2" i="29"/>
  <c r="H2" i="29"/>
  <c r="I2" i="29"/>
  <c r="J2" i="29"/>
  <c r="K2" i="29"/>
  <c r="L2" i="29"/>
  <c r="M2" i="29"/>
  <c r="N2" i="29"/>
  <c r="O2" i="29"/>
  <c r="P2" i="29"/>
  <c r="Q2" i="29"/>
  <c r="R2" i="29"/>
  <c r="S2" i="29"/>
  <c r="T2" i="29"/>
  <c r="U2" i="29"/>
  <c r="V2" i="29"/>
  <c r="W2" i="29"/>
  <c r="X2" i="29"/>
  <c r="Y2" i="29"/>
  <c r="Z2" i="29"/>
  <c r="AA2" i="29"/>
  <c r="AB2" i="29"/>
  <c r="AC2" i="29"/>
  <c r="AD2" i="29"/>
  <c r="AE2" i="29"/>
  <c r="AF2" i="29"/>
  <c r="AG2" i="29"/>
  <c r="AH2" i="29"/>
  <c r="AI2" i="29"/>
  <c r="AJ2" i="29"/>
  <c r="AK2" i="29"/>
  <c r="AL2" i="29"/>
  <c r="AM2" i="29"/>
  <c r="AN2" i="29"/>
  <c r="AO2" i="29"/>
  <c r="AP2" i="29"/>
  <c r="AQ2" i="29"/>
  <c r="F10" i="29"/>
  <c r="H10" i="29"/>
  <c r="I10" i="29"/>
  <c r="J10" i="29"/>
  <c r="K10" i="29"/>
  <c r="L10" i="29"/>
  <c r="M10" i="29"/>
  <c r="N10" i="29"/>
  <c r="O10" i="29"/>
  <c r="P10" i="29"/>
  <c r="Q10" i="29"/>
  <c r="R10" i="29"/>
  <c r="S10" i="29"/>
  <c r="T10" i="29"/>
  <c r="U10" i="29"/>
  <c r="V10" i="29"/>
  <c r="X10" i="29"/>
  <c r="Y10" i="29"/>
  <c r="Z10" i="29"/>
  <c r="AA10" i="29"/>
  <c r="AB10" i="29"/>
  <c r="AC10" i="29"/>
  <c r="AD10" i="29"/>
  <c r="AE10" i="29"/>
  <c r="AF10" i="29"/>
  <c r="AG10" i="29"/>
  <c r="AH10" i="29"/>
  <c r="AI10" i="29"/>
  <c r="AJ10" i="29"/>
  <c r="AK10" i="29"/>
  <c r="AL10" i="29"/>
  <c r="AM10" i="29"/>
  <c r="AN10" i="29"/>
  <c r="AO10" i="29"/>
  <c r="AP10" i="29"/>
  <c r="AQ10" i="29"/>
  <c r="E10" i="29"/>
  <c r="F4" i="29"/>
  <c r="G4" i="29"/>
  <c r="H4" i="29"/>
  <c r="I4" i="29"/>
  <c r="J4" i="29"/>
  <c r="M4" i="29"/>
  <c r="O4" i="29"/>
  <c r="P4" i="29"/>
  <c r="R4" i="29"/>
  <c r="S4" i="29"/>
  <c r="T4" i="29"/>
  <c r="U4" i="29"/>
  <c r="V4" i="29"/>
  <c r="X4" i="29"/>
  <c r="Y4" i="29"/>
  <c r="Z4" i="29"/>
  <c r="AA4" i="29"/>
  <c r="AB4" i="29"/>
  <c r="AC4" i="29"/>
  <c r="AD4" i="29"/>
  <c r="AF4" i="29"/>
  <c r="AG4" i="29"/>
  <c r="AH4" i="29"/>
  <c r="AI4" i="29"/>
  <c r="AJ4" i="29"/>
  <c r="AK4" i="29"/>
  <c r="AM4" i="29"/>
  <c r="E4" i="19"/>
  <c r="E4" i="29" s="1"/>
  <c r="F7" i="19"/>
  <c r="F7" i="29" s="1"/>
  <c r="G7" i="19"/>
  <c r="G7" i="29" s="1"/>
  <c r="H7" i="19"/>
  <c r="H7" i="29" s="1"/>
  <c r="I7" i="19"/>
  <c r="I7" i="29" s="1"/>
  <c r="J7" i="19"/>
  <c r="J7" i="29" s="1"/>
  <c r="K7" i="19"/>
  <c r="K7" i="29" s="1"/>
  <c r="L7" i="19"/>
  <c r="L7" i="29" s="1"/>
  <c r="M7" i="19"/>
  <c r="M7" i="29" s="1"/>
  <c r="N7" i="19"/>
  <c r="N7" i="29" s="1"/>
  <c r="O7" i="19"/>
  <c r="O7" i="29" s="1"/>
  <c r="P7" i="19"/>
  <c r="P7" i="29" s="1"/>
  <c r="Q7" i="19"/>
  <c r="Q7" i="29" s="1"/>
  <c r="R7" i="19"/>
  <c r="R7" i="29" s="1"/>
  <c r="S7" i="19"/>
  <c r="S7" i="29" s="1"/>
  <c r="T7" i="19"/>
  <c r="T7" i="29" s="1"/>
  <c r="U7" i="19"/>
  <c r="U7" i="29" s="1"/>
  <c r="V7" i="19"/>
  <c r="V7" i="29" s="1"/>
  <c r="W7" i="19"/>
  <c r="W7" i="29" s="1"/>
  <c r="X7" i="19"/>
  <c r="X7" i="29" s="1"/>
  <c r="Y7" i="19"/>
  <c r="Y7" i="29" s="1"/>
  <c r="Z7" i="19"/>
  <c r="Z7" i="29" s="1"/>
  <c r="AA7" i="19"/>
  <c r="AA7" i="29" s="1"/>
  <c r="AB7" i="19"/>
  <c r="AB7" i="29" s="1"/>
  <c r="AC7" i="19"/>
  <c r="AC7" i="29" s="1"/>
  <c r="AD7" i="19"/>
  <c r="AD7" i="29" s="1"/>
  <c r="AE7" i="19"/>
  <c r="AE7" i="29" s="1"/>
  <c r="AF7" i="19"/>
  <c r="AF7" i="29" s="1"/>
  <c r="AG7" i="19"/>
  <c r="AG7" i="29" s="1"/>
  <c r="AH7" i="19"/>
  <c r="AH7" i="29" s="1"/>
  <c r="AI7" i="19"/>
  <c r="AI7" i="29" s="1"/>
  <c r="AJ7" i="19"/>
  <c r="AJ7" i="29" s="1"/>
  <c r="AK7" i="19"/>
  <c r="AK7" i="29" s="1"/>
  <c r="AL7" i="19"/>
  <c r="AL7" i="29" s="1"/>
  <c r="AM7" i="19"/>
  <c r="AM7" i="29" s="1"/>
  <c r="AN7" i="19"/>
  <c r="AN7" i="29" s="1"/>
  <c r="AO7" i="19"/>
  <c r="AO7" i="29" s="1"/>
  <c r="AP7" i="19"/>
  <c r="AP7" i="29" s="1"/>
  <c r="AQ7" i="19"/>
  <c r="AQ7" i="29" s="1"/>
  <c r="E7" i="19"/>
  <c r="E7" i="29" s="1"/>
  <c r="F8" i="19"/>
  <c r="F8" i="29" s="1"/>
  <c r="G8" i="19"/>
  <c r="G8" i="29" s="1"/>
  <c r="H8" i="19"/>
  <c r="H8" i="29" s="1"/>
  <c r="I8" i="19"/>
  <c r="I8" i="29" s="1"/>
  <c r="J8" i="19"/>
  <c r="J8" i="29" s="1"/>
  <c r="K8" i="19"/>
  <c r="K8" i="29" s="1"/>
  <c r="L8" i="19"/>
  <c r="L8" i="29" s="1"/>
  <c r="M8" i="19"/>
  <c r="M8" i="29" s="1"/>
  <c r="N8" i="19"/>
  <c r="N8" i="29" s="1"/>
  <c r="O8" i="19"/>
  <c r="O8" i="29" s="1"/>
  <c r="P8" i="19"/>
  <c r="P8" i="29" s="1"/>
  <c r="Q8" i="19"/>
  <c r="Q8" i="29" s="1"/>
  <c r="R8" i="19"/>
  <c r="R8" i="29" s="1"/>
  <c r="S8" i="19"/>
  <c r="S8" i="29" s="1"/>
  <c r="T8" i="19"/>
  <c r="T8" i="29" s="1"/>
  <c r="U8" i="19"/>
  <c r="U8" i="29" s="1"/>
  <c r="V8" i="19"/>
  <c r="V8" i="29" s="1"/>
  <c r="W8" i="19"/>
  <c r="W8" i="29" s="1"/>
  <c r="X8" i="19"/>
  <c r="X8" i="29" s="1"/>
  <c r="Y8" i="19"/>
  <c r="Y8" i="29" s="1"/>
  <c r="Z8" i="19"/>
  <c r="Z8" i="29" s="1"/>
  <c r="AA8" i="19"/>
  <c r="AA8" i="29" s="1"/>
  <c r="AB8" i="19"/>
  <c r="AB8" i="29" s="1"/>
  <c r="AC8" i="19"/>
  <c r="AC8" i="29" s="1"/>
  <c r="AD8" i="19"/>
  <c r="AD8" i="29" s="1"/>
  <c r="AE8" i="19"/>
  <c r="AE8" i="29" s="1"/>
  <c r="AF8" i="19"/>
  <c r="AF8" i="29" s="1"/>
  <c r="AG8" i="19"/>
  <c r="AG8" i="29" s="1"/>
  <c r="AH8" i="19"/>
  <c r="AH8" i="29" s="1"/>
  <c r="AI8" i="19"/>
  <c r="AI8" i="29" s="1"/>
  <c r="AJ8" i="19"/>
  <c r="AJ8" i="29" s="1"/>
  <c r="AK8" i="19"/>
  <c r="AK8" i="29" s="1"/>
  <c r="AL8" i="19"/>
  <c r="AL8" i="29" s="1"/>
  <c r="AM8" i="19"/>
  <c r="AM8" i="29" s="1"/>
  <c r="AN8" i="19"/>
  <c r="AN8" i="29" s="1"/>
  <c r="AO8" i="19"/>
  <c r="AO8" i="29" s="1"/>
  <c r="AP8" i="19"/>
  <c r="AP8" i="29" s="1"/>
  <c r="AQ8" i="19"/>
  <c r="AQ8" i="29" s="1"/>
  <c r="E8" i="19"/>
  <c r="E8" i="29" s="1"/>
  <c r="F8" i="18"/>
  <c r="F8" i="28" s="1"/>
  <c r="G8" i="18"/>
  <c r="G8" i="28" s="1"/>
  <c r="H8" i="18"/>
  <c r="H8" i="28" s="1"/>
  <c r="I8" i="18"/>
  <c r="I8" i="28" s="1"/>
  <c r="J8" i="18"/>
  <c r="J8" i="28" s="1"/>
  <c r="K8" i="18"/>
  <c r="K8" i="28" s="1"/>
  <c r="L8" i="18"/>
  <c r="L8" i="28" s="1"/>
  <c r="M8" i="18"/>
  <c r="M8" i="28" s="1"/>
  <c r="N8" i="18"/>
  <c r="N8" i="28" s="1"/>
  <c r="O8" i="18"/>
  <c r="O8" i="28" s="1"/>
  <c r="P8" i="18"/>
  <c r="P8" i="28" s="1"/>
  <c r="Q8" i="18"/>
  <c r="Q8" i="28" s="1"/>
  <c r="R8" i="18"/>
  <c r="R8" i="28" s="1"/>
  <c r="S8" i="18"/>
  <c r="S8" i="28" s="1"/>
  <c r="T8" i="18"/>
  <c r="T8" i="28" s="1"/>
  <c r="U8" i="18"/>
  <c r="U8" i="28" s="1"/>
  <c r="V8" i="18"/>
  <c r="V8" i="28" s="1"/>
  <c r="W8" i="18"/>
  <c r="W8" i="28" s="1"/>
  <c r="X8" i="18"/>
  <c r="X8" i="28" s="1"/>
  <c r="Y8" i="18"/>
  <c r="Y8" i="28" s="1"/>
  <c r="Z8" i="18"/>
  <c r="Z8" i="28" s="1"/>
  <c r="AA8" i="18"/>
  <c r="AA8" i="28" s="1"/>
  <c r="AB8" i="18"/>
  <c r="AB8" i="28" s="1"/>
  <c r="AC8" i="18"/>
  <c r="AC8" i="28" s="1"/>
  <c r="AD8" i="18"/>
  <c r="AD8" i="28" s="1"/>
  <c r="AE8" i="18"/>
  <c r="AE8" i="28" s="1"/>
  <c r="AF8" i="18"/>
  <c r="AF8" i="28" s="1"/>
  <c r="AG8" i="18"/>
  <c r="AG8" i="28" s="1"/>
  <c r="AH8" i="18"/>
  <c r="AH8" i="28" s="1"/>
  <c r="AI8" i="18"/>
  <c r="AI8" i="28" s="1"/>
  <c r="AJ8" i="18"/>
  <c r="AJ8" i="28" s="1"/>
  <c r="AK8" i="18"/>
  <c r="AK8" i="28" s="1"/>
  <c r="AL8" i="18"/>
  <c r="AL8" i="28" s="1"/>
  <c r="AM8" i="18"/>
  <c r="AM8" i="28" s="1"/>
  <c r="AN8" i="18"/>
  <c r="AN8" i="28" s="1"/>
  <c r="AO8" i="18"/>
  <c r="AO8" i="28" s="1"/>
  <c r="AP8" i="18"/>
  <c r="AP8" i="28" s="1"/>
  <c r="AQ8" i="18"/>
  <c r="AQ8" i="28" s="1"/>
  <c r="E8" i="18"/>
  <c r="E8" i="28" s="1"/>
  <c r="F10" i="26"/>
  <c r="G10" i="26"/>
  <c r="H10" i="26"/>
  <c r="I10" i="26"/>
  <c r="J10"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AI10" i="26"/>
  <c r="AJ10" i="26"/>
  <c r="AK10" i="26"/>
  <c r="AL10" i="26"/>
  <c r="AM10" i="26"/>
  <c r="AN10" i="26"/>
  <c r="AO10" i="26"/>
  <c r="AP10" i="26"/>
  <c r="AQ10" i="26"/>
  <c r="E10" i="26"/>
  <c r="AX31" i="44" l="1"/>
  <c r="AX31" i="15" s="1"/>
  <c r="AW31" i="15"/>
  <c r="AK8" i="12"/>
  <c r="AC8" i="12"/>
  <c r="U8" i="12"/>
  <c r="M8" i="12"/>
  <c r="E8" i="12"/>
  <c r="AI7" i="12"/>
  <c r="AA7" i="12"/>
  <c r="S7" i="12"/>
  <c r="K7" i="12"/>
  <c r="C7" i="12"/>
  <c r="AG6" i="12"/>
  <c r="AJ5" i="9" s="1"/>
  <c r="AJ5" i="40" s="1"/>
  <c r="Y6" i="12"/>
  <c r="Q6" i="12"/>
  <c r="I6" i="12"/>
  <c r="L5" i="9" s="1"/>
  <c r="L5" i="40" s="1"/>
  <c r="AG5" i="12"/>
  <c r="Y5" i="12"/>
  <c r="Q5" i="12"/>
  <c r="I5" i="12"/>
  <c r="B8" i="12"/>
  <c r="E2" i="9" s="1"/>
  <c r="E2" i="40" s="1"/>
  <c r="H6" i="12"/>
  <c r="AM5" i="12"/>
  <c r="AE5" i="12"/>
  <c r="AH8" i="9" s="1"/>
  <c r="AH8" i="40" s="1"/>
  <c r="W5" i="12"/>
  <c r="Z8" i="9" s="1"/>
  <c r="Z8" i="40" s="1"/>
  <c r="O5" i="12"/>
  <c r="R8" i="9" s="1"/>
  <c r="R8" i="40" s="1"/>
  <c r="G5" i="12"/>
  <c r="AK5" i="12"/>
  <c r="AC5" i="12"/>
  <c r="U5" i="12"/>
  <c r="M5" i="12"/>
  <c r="E5" i="12"/>
  <c r="AP2" i="9"/>
  <c r="AP2" i="40" s="1"/>
  <c r="AP6" i="9"/>
  <c r="AH2" i="9"/>
  <c r="AH2" i="40" s="1"/>
  <c r="AH6" i="9"/>
  <c r="Z2" i="9"/>
  <c r="Z2" i="40" s="1"/>
  <c r="Z6" i="9"/>
  <c r="R2" i="9"/>
  <c r="R2" i="40" s="1"/>
  <c r="R6" i="9"/>
  <c r="J2" i="9"/>
  <c r="J2" i="40" s="1"/>
  <c r="J6" i="9"/>
  <c r="AI9" i="12"/>
  <c r="AA9" i="12"/>
  <c r="S9" i="12"/>
  <c r="K9" i="12"/>
  <c r="C9" i="12"/>
  <c r="AO2" i="9"/>
  <c r="AO2" i="40" s="1"/>
  <c r="AO6" i="9"/>
  <c r="AG2" i="9"/>
  <c r="AG2" i="40" s="1"/>
  <c r="AG6" i="9"/>
  <c r="Y2" i="9"/>
  <c r="Y2" i="40" s="1"/>
  <c r="Y6" i="9"/>
  <c r="Q2" i="9"/>
  <c r="Q2" i="40" s="1"/>
  <c r="Q6" i="9"/>
  <c r="I2" i="9"/>
  <c r="I2" i="40" s="1"/>
  <c r="I6" i="9"/>
  <c r="AH9" i="12"/>
  <c r="Z9" i="12"/>
  <c r="R9" i="12"/>
  <c r="J9" i="12"/>
  <c r="M10" i="9" s="1"/>
  <c r="M10" i="40" s="1"/>
  <c r="E6" i="9"/>
  <c r="AN2" i="9"/>
  <c r="AN2" i="40" s="1"/>
  <c r="AN6" i="9"/>
  <c r="AF2" i="9"/>
  <c r="AF2" i="40" s="1"/>
  <c r="AF6" i="9"/>
  <c r="X2" i="9"/>
  <c r="X2" i="40" s="1"/>
  <c r="X6" i="9"/>
  <c r="P2" i="9"/>
  <c r="P2" i="40" s="1"/>
  <c r="P6" i="9"/>
  <c r="H2" i="9"/>
  <c r="H2" i="40" s="1"/>
  <c r="H6" i="9"/>
  <c r="AG9" i="12"/>
  <c r="Y9" i="12"/>
  <c r="Q9" i="12"/>
  <c r="I9" i="12"/>
  <c r="AM2" i="9"/>
  <c r="AM2" i="40" s="1"/>
  <c r="AM6" i="9"/>
  <c r="AE2" i="9"/>
  <c r="AE2" i="40" s="1"/>
  <c r="AE6" i="9"/>
  <c r="W2" i="9"/>
  <c r="W2" i="40" s="1"/>
  <c r="W6" i="9"/>
  <c r="O2" i="9"/>
  <c r="O2" i="40" s="1"/>
  <c r="O6" i="9"/>
  <c r="G2" i="9"/>
  <c r="G2" i="40" s="1"/>
  <c r="G6" i="9"/>
  <c r="AN9" i="12"/>
  <c r="AF9" i="12"/>
  <c r="X9" i="12"/>
  <c r="P9" i="12"/>
  <c r="H9" i="12"/>
  <c r="AD2" i="9"/>
  <c r="AD2" i="40" s="1"/>
  <c r="AD6" i="9"/>
  <c r="V2" i="9"/>
  <c r="V2" i="40" s="1"/>
  <c r="V6" i="9"/>
  <c r="N2" i="9"/>
  <c r="N2" i="40" s="1"/>
  <c r="N6" i="9"/>
  <c r="F2" i="9"/>
  <c r="F2" i="40" s="1"/>
  <c r="F6" i="9"/>
  <c r="B9" i="12"/>
  <c r="AM9" i="12"/>
  <c r="AE9" i="12"/>
  <c r="W9" i="12"/>
  <c r="Z10" i="9" s="1"/>
  <c r="Z10" i="40" s="1"/>
  <c r="O9" i="12"/>
  <c r="G9" i="12"/>
  <c r="AL2" i="9"/>
  <c r="AL2" i="40" s="1"/>
  <c r="AL6" i="9"/>
  <c r="AK2" i="9"/>
  <c r="AK2" i="40" s="1"/>
  <c r="AK6" i="9"/>
  <c r="AC2" i="9"/>
  <c r="AC2" i="40" s="1"/>
  <c r="AC6" i="9"/>
  <c r="U2" i="9"/>
  <c r="U2" i="40" s="1"/>
  <c r="U6" i="9"/>
  <c r="M2" i="9"/>
  <c r="M2" i="40" s="1"/>
  <c r="M6" i="9"/>
  <c r="AL5" i="12"/>
  <c r="AD5" i="12"/>
  <c r="V5" i="12"/>
  <c r="N5" i="12"/>
  <c r="F5" i="12"/>
  <c r="AL9" i="12"/>
  <c r="AD9" i="12"/>
  <c r="AG10" i="9" s="1"/>
  <c r="AG10" i="40" s="1"/>
  <c r="V9" i="12"/>
  <c r="Y10" i="9" s="1"/>
  <c r="Y10" i="40" s="1"/>
  <c r="N9" i="12"/>
  <c r="Q10" i="9" s="1"/>
  <c r="Q10" i="40" s="1"/>
  <c r="F9" i="12"/>
  <c r="AJ2" i="9"/>
  <c r="AJ2" i="40" s="1"/>
  <c r="AJ6" i="9"/>
  <c r="AB2" i="9"/>
  <c r="AB2" i="40" s="1"/>
  <c r="AB6" i="9"/>
  <c r="T2" i="9"/>
  <c r="T2" i="40" s="1"/>
  <c r="T6" i="9"/>
  <c r="L2" i="9"/>
  <c r="L2" i="40" s="1"/>
  <c r="L6" i="9"/>
  <c r="AK9" i="12"/>
  <c r="AC9" i="12"/>
  <c r="U9" i="12"/>
  <c r="M9" i="12"/>
  <c r="P10" i="9" s="1"/>
  <c r="P10" i="40" s="1"/>
  <c r="E9" i="12"/>
  <c r="AQ2" i="9"/>
  <c r="AQ2" i="40" s="1"/>
  <c r="AQ6" i="9"/>
  <c r="AI2" i="9"/>
  <c r="AI2" i="40" s="1"/>
  <c r="AI6" i="9"/>
  <c r="AA2" i="9"/>
  <c r="AA2" i="40" s="1"/>
  <c r="AA6" i="9"/>
  <c r="S2" i="9"/>
  <c r="S2" i="40" s="1"/>
  <c r="S6" i="9"/>
  <c r="K2" i="9"/>
  <c r="K2" i="40" s="1"/>
  <c r="K6" i="9"/>
  <c r="AJ9" i="12"/>
  <c r="AM10" i="9" s="1"/>
  <c r="AM10" i="40" s="1"/>
  <c r="AB9" i="12"/>
  <c r="AE10" i="9" s="1"/>
  <c r="AE10" i="40" s="1"/>
  <c r="T9" i="12"/>
  <c r="W10" i="9" s="1"/>
  <c r="W10" i="40" s="1"/>
  <c r="L9" i="12"/>
  <c r="D9" i="12"/>
  <c r="G10" i="9" s="1"/>
  <c r="G10" i="40" s="1"/>
  <c r="H10" i="9"/>
  <c r="H10" i="40" s="1"/>
  <c r="N10" i="9"/>
  <c r="N10" i="40" s="1"/>
  <c r="F10" i="9"/>
  <c r="F10" i="40" s="1"/>
  <c r="AP10" i="9"/>
  <c r="AP10" i="40" s="1"/>
  <c r="I10" i="9"/>
  <c r="I10" i="40" s="1"/>
  <c r="B8" i="35"/>
  <c r="B5" i="35"/>
  <c r="B11" i="35"/>
  <c r="B3" i="35"/>
  <c r="B10" i="35"/>
  <c r="B9" i="35"/>
  <c r="B18" i="18" a="1"/>
  <c r="B18" i="18" s="1"/>
  <c r="AK2" i="27"/>
  <c r="AC2" i="27"/>
  <c r="U2" i="27"/>
  <c r="M2" i="27"/>
  <c r="V18" i="19" a="1"/>
  <c r="V18" i="19" s="1"/>
  <c r="G18" i="19" a="1"/>
  <c r="G18" i="19" s="1"/>
  <c r="Q18" i="19" a="1"/>
  <c r="Q18" i="19" s="1"/>
  <c r="L18" i="19" a="1"/>
  <c r="L18" i="19" s="1"/>
  <c r="G18" i="18" a="1"/>
  <c r="G18" i="18" s="1"/>
  <c r="B18" i="19" a="1"/>
  <c r="B18" i="19" s="1"/>
  <c r="B18" i="17" a="1"/>
  <c r="B18" i="17" s="1"/>
  <c r="B18" i="16" a="1"/>
  <c r="B18" i="16" s="1"/>
  <c r="C2" i="14"/>
  <c r="F2" i="6" s="1"/>
  <c r="F2" i="37" s="1"/>
  <c r="D2" i="14"/>
  <c r="G2" i="6" s="1"/>
  <c r="G2" i="37" s="1"/>
  <c r="E2" i="14"/>
  <c r="H2" i="6" s="1"/>
  <c r="H2" i="37" s="1"/>
  <c r="F2" i="14"/>
  <c r="I2" i="6" s="1"/>
  <c r="I2" i="37" s="1"/>
  <c r="G2" i="14"/>
  <c r="J2" i="6" s="1"/>
  <c r="J2" i="37" s="1"/>
  <c r="H2" i="14"/>
  <c r="K2" i="6" s="1"/>
  <c r="K2" i="37" s="1"/>
  <c r="I2" i="14"/>
  <c r="L2" i="6" s="1"/>
  <c r="L2" i="37" s="1"/>
  <c r="J2" i="14"/>
  <c r="M2" i="6" s="1"/>
  <c r="M2" i="37" s="1"/>
  <c r="K2" i="14"/>
  <c r="N2" i="6" s="1"/>
  <c r="N2" i="37" s="1"/>
  <c r="L2" i="14"/>
  <c r="O2" i="6" s="1"/>
  <c r="O2" i="37" s="1"/>
  <c r="M2" i="14"/>
  <c r="P2" i="6" s="1"/>
  <c r="P2" i="37" s="1"/>
  <c r="N2" i="14"/>
  <c r="Q2" i="6" s="1"/>
  <c r="Q2" i="37" s="1"/>
  <c r="O2" i="14"/>
  <c r="R2" i="6" s="1"/>
  <c r="R2" i="37" s="1"/>
  <c r="P2" i="14"/>
  <c r="S2" i="6" s="1"/>
  <c r="S2" i="37" s="1"/>
  <c r="Q2" i="14"/>
  <c r="T2" i="6" s="1"/>
  <c r="T2" i="37" s="1"/>
  <c r="R2" i="14"/>
  <c r="U2" i="6" s="1"/>
  <c r="U2" i="37" s="1"/>
  <c r="S2" i="14"/>
  <c r="V2" i="6" s="1"/>
  <c r="V2" i="37" s="1"/>
  <c r="T2" i="14"/>
  <c r="W2" i="6" s="1"/>
  <c r="W2" i="37" s="1"/>
  <c r="U2" i="14"/>
  <c r="X2" i="6" s="1"/>
  <c r="X2" i="37" s="1"/>
  <c r="V2" i="14"/>
  <c r="Y2" i="6" s="1"/>
  <c r="Y2" i="37" s="1"/>
  <c r="W2" i="14"/>
  <c r="Z2" i="6" s="1"/>
  <c r="Z2" i="37" s="1"/>
  <c r="X2" i="14"/>
  <c r="AA2" i="6" s="1"/>
  <c r="AA2" i="37" s="1"/>
  <c r="Y2" i="14"/>
  <c r="AB2" i="6" s="1"/>
  <c r="AB2" i="37" s="1"/>
  <c r="Z2" i="14"/>
  <c r="AC2" i="6" s="1"/>
  <c r="AC2" i="37" s="1"/>
  <c r="AA2" i="14"/>
  <c r="AD2" i="6" s="1"/>
  <c r="AD2" i="37" s="1"/>
  <c r="AB2" i="14"/>
  <c r="AE2" i="6" s="1"/>
  <c r="AE2" i="37" s="1"/>
  <c r="AC2" i="14"/>
  <c r="AF2" i="6" s="1"/>
  <c r="AF2" i="37" s="1"/>
  <c r="AD2" i="14"/>
  <c r="AG2" i="6" s="1"/>
  <c r="AG2" i="37" s="1"/>
  <c r="AE2" i="14"/>
  <c r="AH2" i="6" s="1"/>
  <c r="AH2" i="37" s="1"/>
  <c r="AF2" i="14"/>
  <c r="AI2" i="6" s="1"/>
  <c r="AI2" i="37" s="1"/>
  <c r="AG2" i="14"/>
  <c r="AJ2" i="6" s="1"/>
  <c r="AJ2" i="37" s="1"/>
  <c r="AH2" i="14"/>
  <c r="AK2" i="6" s="1"/>
  <c r="AK2" i="37" s="1"/>
  <c r="AI2" i="14"/>
  <c r="AL2" i="6" s="1"/>
  <c r="AL2" i="37" s="1"/>
  <c r="AJ2" i="14"/>
  <c r="AM2" i="6" s="1"/>
  <c r="AM2" i="37" s="1"/>
  <c r="AK2" i="14"/>
  <c r="AN2" i="6" s="1"/>
  <c r="AN2" i="37" s="1"/>
  <c r="AL2" i="14"/>
  <c r="AO2" i="6" s="1"/>
  <c r="AO2" i="37" s="1"/>
  <c r="AM2" i="14"/>
  <c r="AP2" i="6" s="1"/>
  <c r="AP2" i="37" s="1"/>
  <c r="AN2" i="14"/>
  <c r="AQ2" i="6" s="1"/>
  <c r="AQ2" i="37" s="1"/>
  <c r="C3" i="14"/>
  <c r="D3" i="14"/>
  <c r="E3" i="14"/>
  <c r="F3" i="14"/>
  <c r="G3" i="14"/>
  <c r="H3" i="14"/>
  <c r="I3" i="14"/>
  <c r="J3" i="14"/>
  <c r="K3" i="14"/>
  <c r="L3" i="14"/>
  <c r="M3" i="14"/>
  <c r="N3" i="14"/>
  <c r="O3" i="14"/>
  <c r="P3" i="14"/>
  <c r="Q3" i="14"/>
  <c r="R3" i="14"/>
  <c r="S3" i="14"/>
  <c r="T3" i="14"/>
  <c r="U3" i="14"/>
  <c r="V3" i="14"/>
  <c r="W3" i="14"/>
  <c r="X3" i="14"/>
  <c r="Y3" i="14"/>
  <c r="Z3" i="14"/>
  <c r="AA3" i="14"/>
  <c r="AB3" i="14"/>
  <c r="AC3" i="14"/>
  <c r="AD3" i="14"/>
  <c r="AE3" i="14"/>
  <c r="AF3" i="14"/>
  <c r="AG3" i="14"/>
  <c r="AH3" i="14"/>
  <c r="AI3" i="14"/>
  <c r="AJ3" i="14"/>
  <c r="AK3" i="14"/>
  <c r="AL3" i="14"/>
  <c r="AM3" i="14"/>
  <c r="AN3" i="14"/>
  <c r="C4" i="14"/>
  <c r="D4" i="14"/>
  <c r="E4" i="14"/>
  <c r="F4" i="14"/>
  <c r="G4" i="14"/>
  <c r="H4" i="14"/>
  <c r="I4" i="14"/>
  <c r="J4" i="14"/>
  <c r="K4" i="14"/>
  <c r="L4" i="14"/>
  <c r="M4" i="14"/>
  <c r="N4" i="14"/>
  <c r="O4" i="14"/>
  <c r="P4" i="14"/>
  <c r="Q4" i="14"/>
  <c r="R4" i="14"/>
  <c r="S4" i="14"/>
  <c r="T4" i="14"/>
  <c r="U4" i="14"/>
  <c r="V4" i="14"/>
  <c r="W4" i="14"/>
  <c r="X4" i="14"/>
  <c r="Y4" i="14"/>
  <c r="Z4" i="14"/>
  <c r="AA4" i="14"/>
  <c r="AB4" i="14"/>
  <c r="AC4" i="14"/>
  <c r="AD4" i="14"/>
  <c r="AE4" i="14"/>
  <c r="AF4" i="14"/>
  <c r="AG4" i="14"/>
  <c r="AH4" i="14"/>
  <c r="AI4" i="14"/>
  <c r="AJ4" i="14"/>
  <c r="AK4" i="14"/>
  <c r="AL4" i="14"/>
  <c r="AM4" i="14"/>
  <c r="AN4" i="14"/>
  <c r="C5" i="14"/>
  <c r="D5" i="14"/>
  <c r="E5" i="14"/>
  <c r="F5" i="14"/>
  <c r="G5" i="14"/>
  <c r="H5" i="14"/>
  <c r="I5" i="14"/>
  <c r="J5" i="14"/>
  <c r="K5" i="14"/>
  <c r="L5" i="14"/>
  <c r="M5" i="14"/>
  <c r="N5" i="14"/>
  <c r="O5" i="14"/>
  <c r="P5" i="14"/>
  <c r="Q5" i="14"/>
  <c r="R5" i="14"/>
  <c r="S5" i="14"/>
  <c r="T5" i="14"/>
  <c r="U5" i="14"/>
  <c r="V5" i="14"/>
  <c r="W5" i="14"/>
  <c r="X5" i="14"/>
  <c r="Y5" i="14"/>
  <c r="Z5" i="14"/>
  <c r="AA5" i="14"/>
  <c r="AB5" i="14"/>
  <c r="AC5" i="14"/>
  <c r="AD5" i="14"/>
  <c r="AE5" i="14"/>
  <c r="AF5" i="14"/>
  <c r="AG5" i="14"/>
  <c r="AH5" i="14"/>
  <c r="AI5" i="14"/>
  <c r="AJ5" i="14"/>
  <c r="AK5" i="14"/>
  <c r="AL5" i="14"/>
  <c r="AM5" i="14"/>
  <c r="AN5" i="14"/>
  <c r="F4" i="9"/>
  <c r="F4" i="40" s="1"/>
  <c r="H4" i="9"/>
  <c r="H4" i="40" s="1"/>
  <c r="J4" i="9"/>
  <c r="J4" i="40" s="1"/>
  <c r="L4" i="9"/>
  <c r="L4" i="40" s="1"/>
  <c r="N4" i="9"/>
  <c r="N4" i="40" s="1"/>
  <c r="P4" i="9"/>
  <c r="P4" i="40" s="1"/>
  <c r="R4" i="9"/>
  <c r="R4" i="40" s="1"/>
  <c r="T4" i="9"/>
  <c r="T4" i="40" s="1"/>
  <c r="U4" i="9"/>
  <c r="U4" i="40" s="1"/>
  <c r="V4" i="9"/>
  <c r="V4" i="40" s="1"/>
  <c r="W4" i="9"/>
  <c r="W4" i="40" s="1"/>
  <c r="X4" i="9"/>
  <c r="X4" i="40" s="1"/>
  <c r="Y4" i="9"/>
  <c r="Y4" i="40" s="1"/>
  <c r="Z4" i="9"/>
  <c r="Z4" i="40" s="1"/>
  <c r="AA4" i="9"/>
  <c r="AA4" i="40" s="1"/>
  <c r="AB4" i="9"/>
  <c r="AB4" i="40" s="1"/>
  <c r="AC4" i="9"/>
  <c r="AC4" i="40" s="1"/>
  <c r="AD4" i="9"/>
  <c r="AD4" i="40" s="1"/>
  <c r="AE4" i="9"/>
  <c r="AE4" i="40" s="1"/>
  <c r="AF4" i="9"/>
  <c r="AF4" i="40" s="1"/>
  <c r="AG4" i="9"/>
  <c r="AG4" i="40" s="1"/>
  <c r="AH4" i="9"/>
  <c r="AH4" i="40" s="1"/>
  <c r="AI4" i="9"/>
  <c r="AI4" i="40" s="1"/>
  <c r="AJ4" i="9"/>
  <c r="AJ4" i="40" s="1"/>
  <c r="AK4" i="9"/>
  <c r="AK4" i="40" s="1"/>
  <c r="AL4" i="9"/>
  <c r="AL4" i="40" s="1"/>
  <c r="AM4" i="9"/>
  <c r="AM4" i="40" s="1"/>
  <c r="AN4" i="9"/>
  <c r="AN4" i="40" s="1"/>
  <c r="AO4" i="9"/>
  <c r="AO4" i="40" s="1"/>
  <c r="AP4" i="9"/>
  <c r="AP4" i="40" s="1"/>
  <c r="AQ4" i="9"/>
  <c r="AQ4" i="40" s="1"/>
  <c r="F8" i="9"/>
  <c r="F8" i="40" s="1"/>
  <c r="G8" i="9"/>
  <c r="G8" i="40" s="1"/>
  <c r="H8" i="9"/>
  <c r="H8" i="40" s="1"/>
  <c r="I8" i="9"/>
  <c r="I8" i="40" s="1"/>
  <c r="J8" i="9"/>
  <c r="J8" i="40" s="1"/>
  <c r="K8" i="9"/>
  <c r="K8" i="40" s="1"/>
  <c r="L8" i="9"/>
  <c r="L8" i="40" s="1"/>
  <c r="M8" i="9"/>
  <c r="M8" i="40" s="1"/>
  <c r="N8" i="9"/>
  <c r="N8" i="40" s="1"/>
  <c r="O8" i="9"/>
  <c r="O8" i="40" s="1"/>
  <c r="P8" i="9"/>
  <c r="P8" i="40" s="1"/>
  <c r="Q8" i="9"/>
  <c r="Q8" i="40" s="1"/>
  <c r="S8" i="9"/>
  <c r="S8" i="40" s="1"/>
  <c r="T8" i="9"/>
  <c r="T8" i="40" s="1"/>
  <c r="U8" i="9"/>
  <c r="U8" i="40" s="1"/>
  <c r="V8" i="9"/>
  <c r="V8" i="40" s="1"/>
  <c r="W8" i="9"/>
  <c r="W8" i="40" s="1"/>
  <c r="X8" i="9"/>
  <c r="X8" i="40" s="1"/>
  <c r="Y8" i="9"/>
  <c r="Y8" i="40" s="1"/>
  <c r="AA8" i="9"/>
  <c r="AA8" i="40" s="1"/>
  <c r="AB8" i="9"/>
  <c r="AB8" i="40" s="1"/>
  <c r="AC8" i="9"/>
  <c r="AC8" i="40" s="1"/>
  <c r="AD8" i="9"/>
  <c r="AD8" i="40" s="1"/>
  <c r="AE8" i="9"/>
  <c r="AE8" i="40" s="1"/>
  <c r="AF8" i="9"/>
  <c r="AF8" i="40" s="1"/>
  <c r="AG8" i="9"/>
  <c r="AG8" i="40" s="1"/>
  <c r="AI8" i="9"/>
  <c r="AI8" i="40" s="1"/>
  <c r="AJ8" i="9"/>
  <c r="AJ8" i="40" s="1"/>
  <c r="AK8" i="9"/>
  <c r="AK8" i="40" s="1"/>
  <c r="AL8" i="9"/>
  <c r="AL8" i="40" s="1"/>
  <c r="AM8" i="9"/>
  <c r="AM8" i="40" s="1"/>
  <c r="AN8" i="9"/>
  <c r="AN8" i="40" s="1"/>
  <c r="AO8" i="9"/>
  <c r="AO8" i="40" s="1"/>
  <c r="AP8" i="9"/>
  <c r="AP8" i="40" s="1"/>
  <c r="AQ8" i="9"/>
  <c r="AQ8" i="40" s="1"/>
  <c r="F5" i="9"/>
  <c r="F5" i="40" s="1"/>
  <c r="G5" i="9"/>
  <c r="G5" i="40" s="1"/>
  <c r="H5" i="9"/>
  <c r="H5" i="40" s="1"/>
  <c r="I5" i="9"/>
  <c r="I5" i="40" s="1"/>
  <c r="J5" i="9"/>
  <c r="J5" i="40" s="1"/>
  <c r="K5" i="9"/>
  <c r="K5" i="40" s="1"/>
  <c r="M5" i="9"/>
  <c r="M5" i="40" s="1"/>
  <c r="N5" i="9"/>
  <c r="N5" i="40" s="1"/>
  <c r="O5" i="9"/>
  <c r="O5" i="40" s="1"/>
  <c r="P5" i="9"/>
  <c r="P5" i="40" s="1"/>
  <c r="Q5" i="9"/>
  <c r="Q5" i="40" s="1"/>
  <c r="R5" i="9"/>
  <c r="R5" i="40" s="1"/>
  <c r="S5" i="9"/>
  <c r="S5" i="40" s="1"/>
  <c r="T5" i="9"/>
  <c r="T5" i="40" s="1"/>
  <c r="U5" i="9"/>
  <c r="U5" i="40" s="1"/>
  <c r="V5" i="9"/>
  <c r="V5" i="40" s="1"/>
  <c r="W5" i="9"/>
  <c r="W5" i="40" s="1"/>
  <c r="X5" i="9"/>
  <c r="X5" i="40" s="1"/>
  <c r="Y5" i="9"/>
  <c r="Y5" i="40" s="1"/>
  <c r="Z5" i="9"/>
  <c r="Z5" i="40" s="1"/>
  <c r="AA5" i="9"/>
  <c r="AA5" i="40" s="1"/>
  <c r="AB5" i="9"/>
  <c r="AB5" i="40" s="1"/>
  <c r="AC5" i="9"/>
  <c r="AC5" i="40" s="1"/>
  <c r="AD5" i="9"/>
  <c r="AD5" i="40" s="1"/>
  <c r="AE5" i="9"/>
  <c r="AE5" i="40" s="1"/>
  <c r="AF5" i="9"/>
  <c r="AF5" i="40" s="1"/>
  <c r="AG5" i="9"/>
  <c r="AG5" i="40" s="1"/>
  <c r="AH5" i="9"/>
  <c r="AH5" i="40" s="1"/>
  <c r="AI5" i="9"/>
  <c r="AI5" i="40" s="1"/>
  <c r="AK5" i="9"/>
  <c r="AK5" i="40" s="1"/>
  <c r="AL5" i="9"/>
  <c r="AL5" i="40" s="1"/>
  <c r="AM5" i="9"/>
  <c r="AM5" i="40" s="1"/>
  <c r="AN5" i="9"/>
  <c r="AN5" i="40" s="1"/>
  <c r="AO5" i="9"/>
  <c r="AO5" i="40" s="1"/>
  <c r="AP5" i="9"/>
  <c r="AP5" i="40" s="1"/>
  <c r="AQ5" i="9"/>
  <c r="AQ5" i="40" s="1"/>
  <c r="G7" i="40"/>
  <c r="H7" i="40"/>
  <c r="I7" i="40"/>
  <c r="J7" i="40"/>
  <c r="K7" i="40"/>
  <c r="L7" i="40"/>
  <c r="O7" i="40"/>
  <c r="P7" i="40"/>
  <c r="Q7" i="40"/>
  <c r="R7" i="40"/>
  <c r="S7" i="40"/>
  <c r="T7" i="40"/>
  <c r="W7" i="40"/>
  <c r="X7" i="40"/>
  <c r="Y7" i="40"/>
  <c r="Z7" i="40"/>
  <c r="AA7" i="40"/>
  <c r="AB7" i="40"/>
  <c r="AE7" i="40"/>
  <c r="AF7" i="40"/>
  <c r="AG7" i="40"/>
  <c r="AH7" i="40"/>
  <c r="AI7" i="40"/>
  <c r="AJ7" i="40"/>
  <c r="AM7" i="40"/>
  <c r="AN7" i="40"/>
  <c r="AO7" i="40"/>
  <c r="AP7" i="40"/>
  <c r="AQ7" i="40"/>
  <c r="J10" i="9"/>
  <c r="J10" i="40" s="1"/>
  <c r="K10" i="9"/>
  <c r="K10" i="40" s="1"/>
  <c r="L10" i="9"/>
  <c r="L10" i="40" s="1"/>
  <c r="O10" i="9"/>
  <c r="O10" i="40" s="1"/>
  <c r="R10" i="9"/>
  <c r="R10" i="40" s="1"/>
  <c r="S10" i="9"/>
  <c r="S10" i="40" s="1"/>
  <c r="T10" i="9"/>
  <c r="T10" i="40" s="1"/>
  <c r="U10" i="9"/>
  <c r="U10" i="40" s="1"/>
  <c r="V10" i="9"/>
  <c r="V10" i="40" s="1"/>
  <c r="X10" i="9"/>
  <c r="X10" i="40" s="1"/>
  <c r="AA10" i="9"/>
  <c r="AA10" i="40" s="1"/>
  <c r="AB10" i="9"/>
  <c r="AB10" i="40" s="1"/>
  <c r="AC10" i="9"/>
  <c r="AC10" i="40" s="1"/>
  <c r="AD10" i="9"/>
  <c r="AD10" i="40" s="1"/>
  <c r="AF10" i="9"/>
  <c r="AF10" i="40" s="1"/>
  <c r="AH10" i="9"/>
  <c r="AH10" i="40" s="1"/>
  <c r="AI10" i="9"/>
  <c r="AI10" i="40" s="1"/>
  <c r="AJ10" i="9"/>
  <c r="AJ10" i="40" s="1"/>
  <c r="AK10" i="9"/>
  <c r="AK10" i="40" s="1"/>
  <c r="AL10" i="9"/>
  <c r="AL10" i="40" s="1"/>
  <c r="AN10" i="9"/>
  <c r="AN10" i="40" s="1"/>
  <c r="AO10" i="9"/>
  <c r="AO10" i="40" s="1"/>
  <c r="AQ10" i="9"/>
  <c r="AQ10" i="40" s="1"/>
  <c r="D18" i="12" a="1"/>
  <c r="D18" i="12" s="1"/>
  <c r="B18" i="12" a="1"/>
  <c r="B18" i="12" s="1"/>
  <c r="W16" i="19" l="1"/>
  <c r="W17" i="19"/>
  <c r="W15" i="19"/>
  <c r="H15" i="18"/>
  <c r="B8" i="28" s="1"/>
  <c r="H16" i="18"/>
  <c r="C8" i="28" s="1"/>
  <c r="H17" i="18"/>
  <c r="D8" i="28" s="1"/>
  <c r="C10" i="16"/>
  <c r="D10" i="16"/>
  <c r="B10" i="16"/>
  <c r="M16" i="19"/>
  <c r="M17" i="19"/>
  <c r="M15" i="19"/>
  <c r="C15" i="19"/>
  <c r="C17" i="19"/>
  <c r="C16" i="19"/>
  <c r="C16" i="17"/>
  <c r="C17" i="17"/>
  <c r="C15" i="17"/>
  <c r="D2" i="17"/>
  <c r="C2" i="17"/>
  <c r="B2" i="17"/>
  <c r="C16" i="12"/>
  <c r="C7" i="9" s="1"/>
  <c r="C17" i="12"/>
  <c r="D7" i="9" s="1"/>
  <c r="C15" i="12"/>
  <c r="B7" i="9" s="1"/>
  <c r="E16" i="12"/>
  <c r="E17" i="12"/>
  <c r="E15" i="12"/>
  <c r="C10" i="19"/>
  <c r="B10" i="19"/>
  <c r="D10" i="19"/>
  <c r="H15" i="19"/>
  <c r="H16" i="19"/>
  <c r="H17" i="19"/>
  <c r="B8" i="19"/>
  <c r="D8" i="29"/>
  <c r="D8" i="19"/>
  <c r="C8" i="29"/>
  <c r="C8" i="19"/>
  <c r="B8" i="29"/>
  <c r="D8" i="18"/>
  <c r="C8" i="18"/>
  <c r="H18" i="14" a="1"/>
  <c r="H18" i="14" s="1"/>
  <c r="E2" i="38"/>
  <c r="D18" i="14" a="1"/>
  <c r="D18" i="14" s="1"/>
  <c r="F18" i="14" a="1"/>
  <c r="F18" i="14" s="1"/>
  <c r="E2" i="6"/>
  <c r="E2" i="37" s="1"/>
  <c r="B18" i="14" a="1"/>
  <c r="B18" i="14" s="1"/>
  <c r="E10" i="9"/>
  <c r="E10" i="40" s="1"/>
  <c r="P18" i="12" a="1"/>
  <c r="P18" i="12" s="1"/>
  <c r="N18" i="12" a="1"/>
  <c r="N18" i="12" s="1"/>
  <c r="E8" i="9"/>
  <c r="E8" i="40" s="1"/>
  <c r="H18" i="12" a="1"/>
  <c r="H18" i="12" s="1"/>
  <c r="E4" i="9"/>
  <c r="E4" i="40" s="1"/>
  <c r="F18" i="12" a="1"/>
  <c r="F18" i="12" s="1"/>
  <c r="L18" i="12" a="1"/>
  <c r="L18" i="12" s="1"/>
  <c r="E5" i="9"/>
  <c r="E5" i="40" s="1"/>
  <c r="J18" i="12" a="1"/>
  <c r="J18" i="12" s="1"/>
  <c r="AL7" i="40"/>
  <c r="AD7" i="40"/>
  <c r="V7" i="40"/>
  <c r="N7" i="40"/>
  <c r="F7" i="40"/>
  <c r="AK7" i="40"/>
  <c r="AC7" i="40"/>
  <c r="U7" i="40"/>
  <c r="M7" i="40"/>
  <c r="AQ6" i="40"/>
  <c r="AI6" i="40"/>
  <c r="AA6" i="40"/>
  <c r="S6" i="40"/>
  <c r="K6" i="40"/>
  <c r="E7" i="40"/>
  <c r="AP6" i="40"/>
  <c r="AH6" i="40"/>
  <c r="Z6" i="40"/>
  <c r="R6" i="40"/>
  <c r="J6" i="40"/>
  <c r="AO6" i="40"/>
  <c r="AG6" i="40"/>
  <c r="Y6" i="40"/>
  <c r="Q6" i="40"/>
  <c r="I6" i="40"/>
  <c r="AN6" i="40"/>
  <c r="AF6" i="40"/>
  <c r="X6" i="40"/>
  <c r="P6" i="40"/>
  <c r="H6" i="40"/>
  <c r="AM6" i="40"/>
  <c r="AE6" i="40"/>
  <c r="W6" i="40"/>
  <c r="O6" i="40"/>
  <c r="G6" i="40"/>
  <c r="AL6" i="40"/>
  <c r="AD6" i="40"/>
  <c r="V6" i="40"/>
  <c r="N6" i="40"/>
  <c r="F6" i="40"/>
  <c r="E6" i="40"/>
  <c r="AK6" i="40"/>
  <c r="AC6" i="40"/>
  <c r="U6" i="40"/>
  <c r="M6" i="40"/>
  <c r="AJ6" i="40"/>
  <c r="AB6" i="40"/>
  <c r="T6" i="40"/>
  <c r="L6" i="40"/>
  <c r="C2" i="27"/>
  <c r="B2" i="27"/>
  <c r="D2" i="27"/>
  <c r="M4" i="9"/>
  <c r="M4" i="40" s="1"/>
  <c r="S4" i="9"/>
  <c r="S4" i="40" s="1"/>
  <c r="K4" i="9"/>
  <c r="K4" i="40" s="1"/>
  <c r="Q4" i="9"/>
  <c r="Q4" i="40" s="1"/>
  <c r="I4" i="9"/>
  <c r="I4" i="40" s="1"/>
  <c r="O4" i="9"/>
  <c r="O4" i="40" s="1"/>
  <c r="G4" i="9"/>
  <c r="G4" i="40" s="1"/>
  <c r="B6" i="9" l="1"/>
  <c r="D6" i="9"/>
  <c r="C6" i="9"/>
  <c r="I16" i="12"/>
  <c r="I17" i="12"/>
  <c r="I15" i="12"/>
  <c r="O16" i="12"/>
  <c r="O17" i="12"/>
  <c r="O15" i="12"/>
  <c r="K17" i="12"/>
  <c r="K15" i="12"/>
  <c r="K16" i="12"/>
  <c r="Q16" i="12"/>
  <c r="Q17" i="12"/>
  <c r="Q15" i="12"/>
  <c r="G16" i="12"/>
  <c r="G17" i="12"/>
  <c r="G15" i="12"/>
  <c r="I16" i="14"/>
  <c r="C2" i="8" s="1"/>
  <c r="C2" i="39" s="1"/>
  <c r="I17" i="14"/>
  <c r="D2" i="8" s="1"/>
  <c r="D2" i="39" s="1"/>
  <c r="I15" i="14"/>
  <c r="B2" i="8" s="1"/>
  <c r="B2" i="39" s="1"/>
  <c r="G16" i="14"/>
  <c r="G17" i="14"/>
  <c r="G15" i="14"/>
  <c r="C17" i="14"/>
  <c r="C15" i="14"/>
  <c r="B2" i="6" s="1"/>
  <c r="B2" i="37" s="1"/>
  <c r="C16" i="14"/>
  <c r="C2" i="6" s="1"/>
  <c r="C2" i="37" s="1"/>
  <c r="E17" i="14"/>
  <c r="E15" i="14"/>
  <c r="E16" i="14"/>
  <c r="M16" i="12"/>
  <c r="C2" i="9" s="1"/>
  <c r="M17" i="12"/>
  <c r="D2" i="9" s="1"/>
  <c r="M15" i="12"/>
  <c r="B2" i="9" s="1"/>
  <c r="D2" i="18"/>
  <c r="D2" i="28"/>
  <c r="C2" i="18"/>
  <c r="C2" i="28"/>
  <c r="B2" i="18"/>
  <c r="B2" i="28"/>
  <c r="C2" i="29"/>
  <c r="C2" i="19"/>
  <c r="B2" i="29"/>
  <c r="B2" i="19"/>
  <c r="D2" i="29"/>
  <c r="D2" i="19"/>
  <c r="D10" i="29"/>
  <c r="C10" i="29"/>
  <c r="B10" i="29"/>
  <c r="D4" i="29"/>
  <c r="D4" i="19"/>
  <c r="B4" i="29"/>
  <c r="B4" i="19"/>
  <c r="C4" i="29"/>
  <c r="C4" i="19"/>
  <c r="D7" i="19"/>
  <c r="D7" i="29"/>
  <c r="C7" i="29"/>
  <c r="C7" i="19"/>
  <c r="B7" i="29"/>
  <c r="B7" i="19"/>
  <c r="B8" i="18"/>
  <c r="B10" i="26"/>
  <c r="D10" i="26"/>
  <c r="C10" i="26"/>
  <c r="D2" i="6"/>
  <c r="D2" i="37" s="1"/>
  <c r="D2" i="40" l="1"/>
  <c r="B2" i="40"/>
  <c r="C2" i="40"/>
  <c r="C2" i="38"/>
  <c r="B2" i="38"/>
  <c r="D2" i="38"/>
  <c r="C4" i="9"/>
  <c r="C4" i="40" s="1"/>
  <c r="B4" i="9"/>
  <c r="B4" i="40" s="1"/>
  <c r="D4" i="9"/>
  <c r="D4" i="40" s="1"/>
  <c r="C8" i="9" l="1"/>
  <c r="C8" i="40" s="1"/>
  <c r="B8" i="9"/>
  <c r="B8" i="40" s="1"/>
  <c r="D8" i="9"/>
  <c r="D8" i="40" s="1"/>
  <c r="D5" i="9" l="1"/>
  <c r="D5" i="40" s="1"/>
  <c r="B5" i="9"/>
  <c r="B5" i="40" s="1"/>
  <c r="C5" i="9"/>
  <c r="C5" i="40" s="1"/>
  <c r="C7" i="40" l="1"/>
  <c r="B7" i="40"/>
  <c r="D7" i="40"/>
  <c r="C6" i="40" l="1"/>
  <c r="C10" i="9"/>
  <c r="C10" i="40" s="1"/>
  <c r="B6" i="40"/>
  <c r="B10" i="9"/>
  <c r="B10" i="40" s="1"/>
  <c r="D10" i="9"/>
  <c r="D10" i="40" s="1"/>
  <c r="D6" i="4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<sst xmlns="http://schemas.openxmlformats.org/spreadsheetml/2006/main" count="1418" uniqueCount="188">
  <si>
    <t>BCEU BAU Components Energy Use</t>
  </si>
  <si>
    <t>Source</t>
  </si>
  <si>
    <t>Lighting</t>
  </si>
  <si>
    <t>Variable: Non Electricity Consumption: Total Final Energy Consumption (Thousand Gigajoule)</t>
  </si>
  <si>
    <t>Scenario: Business as Usual</t>
  </si>
  <si>
    <t>Branch: Demand\Commercial\Office\Conventional Office\Non Electricity Consumption\Gasoil Generator</t>
  </si>
  <si>
    <t>Region: Indonesia</t>
  </si>
  <si>
    <t>Branch</t>
  </si>
  <si>
    <t>Gasoil Generator</t>
  </si>
  <si>
    <t>Biogasoil Generator</t>
  </si>
  <si>
    <t>MDF Generator</t>
  </si>
  <si>
    <t>Year</t>
  </si>
  <si>
    <t>electricity (BTU)</t>
  </si>
  <si>
    <t>coal (BTU)</t>
  </si>
  <si>
    <t>natural gas (BTU)</t>
  </si>
  <si>
    <t>petroleum diesel (BTU)</t>
  </si>
  <si>
    <t>heat (BTU)</t>
  </si>
  <si>
    <t>biomass (BTU)</t>
  </si>
  <si>
    <t>kerosene (BTU)</t>
  </si>
  <si>
    <t>heavy or residual fuel oil (BTU)</t>
  </si>
  <si>
    <t>LPG propane or butane (BTU)</t>
  </si>
  <si>
    <t>hydrogen (BTU)</t>
  </si>
  <si>
    <t>electricity</t>
  </si>
  <si>
    <t>coal</t>
  </si>
  <si>
    <t>natural gas</t>
  </si>
  <si>
    <t>petroleum diesel</t>
  </si>
  <si>
    <t xml:space="preserve">heat </t>
  </si>
  <si>
    <t xml:space="preserve">biomass </t>
  </si>
  <si>
    <t xml:space="preserve">kerosene </t>
  </si>
  <si>
    <t xml:space="preserve">heavy or residual fuel oil </t>
  </si>
  <si>
    <t xml:space="preserve">LPG propane or butane </t>
  </si>
  <si>
    <t xml:space="preserve">hydrogen </t>
  </si>
  <si>
    <t>Variable: Electric Appliances: Total Final Energy Consumption (Million Gigajoule)</t>
  </si>
  <si>
    <t>Branch: Demand\Commercial\Office\Conventional Office\Electric Appliances\Air Conditioner</t>
  </si>
  <si>
    <t>Air Conditioner</t>
  </si>
  <si>
    <t>Lighting and Electronics</t>
  </si>
  <si>
    <t>Elevator or Escalator</t>
  </si>
  <si>
    <t>Other Electricity Use</t>
  </si>
  <si>
    <t>Branch: Demand\Commercial\Hotel\Five Star\Electric Appliances\Air Conditioner</t>
  </si>
  <si>
    <t>Branch: Demand\Commercial\Hotel\Five Star\Non Electricity Consumption\Biomass Heat</t>
  </si>
  <si>
    <t>Biomass Heat</t>
  </si>
  <si>
    <t>Solar Heat</t>
  </si>
  <si>
    <t>Gas Heat</t>
  </si>
  <si>
    <t>Kerosene Heat</t>
  </si>
  <si>
    <t>LPG Heat</t>
  </si>
  <si>
    <t>Branch: Demand\Commercial\Hotel\Four Star\Electric Appliances\Air Conditioner</t>
  </si>
  <si>
    <t>Variable: Non Electricity Consumption: Total Final Energy Consumption (Million Gigajoule)</t>
  </si>
  <si>
    <t>Branch: Demand\Commercial\Hotel\Four Star\Non Electricity Consumption\Biomass Heat</t>
  </si>
  <si>
    <t>Branch: Demand\Commercial\Hotel\Three Star\Electric Appliances\Air Conditioner</t>
  </si>
  <si>
    <t>Branch: Demand\Commercial\Hotel\Three Star\Non Electricity Consumption\Biomass Heat</t>
  </si>
  <si>
    <t>Branch: Demand\Commercial\Hotel\Budget\Electric Appliances\Air Conditioner</t>
  </si>
  <si>
    <t>Branch: Demand\Commercial\Hotel\Budget\Non Electricity Consumption\Biomass Heat</t>
  </si>
  <si>
    <t>Variable: Electric Appliances: Total Final Energy Consumption (Thousand Gigajoule)</t>
  </si>
  <si>
    <t>Branch: Demand\Commercial\Hospital\Class A\Electric Appliances\Air Conditioner</t>
  </si>
  <si>
    <t>Branch: Demand\Commercial\Hospital\Class A\Non Electricity Consumption\Biomass Heat</t>
  </si>
  <si>
    <t>Branch: Demand\Commercial\Hospital\Class B\Electric Appliances\Air Conditioner</t>
  </si>
  <si>
    <t>Branch: Demand\Commercial\Hospital\Class B\Non Electricity Consumption\Biomass Heat</t>
  </si>
  <si>
    <t>Branch: Demand\Commercial\Hospital\Class C\Electric Appliances\Air Conditioner</t>
  </si>
  <si>
    <t>Branch: Demand\Commercial\Hospital\Class C\Non Electricity Consumption\Biomass Heat</t>
  </si>
  <si>
    <t>Branch: Demand\Commercial\Hospital\Class D\Electric Appliances\Air Conditioner</t>
  </si>
  <si>
    <t>Branch: Demand\Commercial\Hospital\Class D\Non Electricity Consumption\Biomass Heat</t>
  </si>
  <si>
    <t>Branch: Demand\Commercial\Hospital\Puskesmas\Electric Appliances\Air Conditioner</t>
  </si>
  <si>
    <t>Branch: Demand\Commercial\Hospital\Puskesmas\Non Electricity Consumption\Biomass Heat</t>
  </si>
  <si>
    <t>Branch: Demand\Commercial\Hospital\Puskesmas Non Ranap\Electric Appliances\Air Conditioner</t>
  </si>
  <si>
    <t>Branch: Demand\Commercial\Hospital\Puskesmas Non Ranap\Non Electricity Consumption\Biomass Heat</t>
  </si>
  <si>
    <t>Branch: Demand\Commercial\Retail\Traditional Market\Electric Appliances\Air Conditioner</t>
  </si>
  <si>
    <t>Variable: Non Electricity Consumption: Total Final Energy Consumption (Gigajoule)</t>
  </si>
  <si>
    <t>Branch: Demand\Commercial\Retail\Traditional Market\Non Electricity Consumption\Gasoil Generator</t>
  </si>
  <si>
    <t>Branch: Demand\Commercial\Retail\Supermall\Electric Appliances\Air Conditioner</t>
  </si>
  <si>
    <t>Branch: Demand\Commercial\Retail\Supermall\Non Electricity Consumption\Gasoil Generator</t>
  </si>
  <si>
    <t>Branch: Demand\Commercial\Retail\Supermarket\Electric Appliances\Air Conditioner</t>
  </si>
  <si>
    <t>Branch: Demand\Commercial\Retail\Supermarket\Non Electricity Consumption\Gasoil Generator</t>
  </si>
  <si>
    <t>Branch: Demand\Commercial\Retail\Minimarket\Electric Appliances\Air Conditioner</t>
  </si>
  <si>
    <t>Branch: Demand\Commercial\Retail\Minimarket\Non Electricity Consumption\Gasoil Generator</t>
  </si>
  <si>
    <t>Branch: Demand\Commercial\Other Public Building\Conventional Public Building\Electric Appliances\Air Conditioner</t>
  </si>
  <si>
    <t>Branch: Demand\Commercial\Other Public Building\Conventional Public Building\Non Electricity Consumption\Kerosene Heat</t>
  </si>
  <si>
    <t>Variable: Water Heater Using LPG: Total Final Energy Consumption (Million Gigajoule)</t>
  </si>
  <si>
    <t>Branch: Demand\Residential\NonElectrical Energy Use\Water Heating\Water Heater Using LPG</t>
  </si>
  <si>
    <t>Water Heater Using LPG</t>
  </si>
  <si>
    <t>Variable: Kerosene: Total Final Energy Consumption (Thousand Gigajoule)</t>
  </si>
  <si>
    <t>Branch: Demand\Residential\NonElectrical Energy Use\Lighting\Kerosene</t>
  </si>
  <si>
    <t>Kerosene</t>
  </si>
  <si>
    <t>Variable: Biogas: Total Final Energy Consumption (Thousand Gigajoule)</t>
  </si>
  <si>
    <t>Branch: Demand\Residential\NonElectrical Energy Use\Cooking\Biogas</t>
  </si>
  <si>
    <t>Biogas</t>
  </si>
  <si>
    <t>Variable: Kerosene Stove: Total Final Energy Consumption (Million Gigajoule)</t>
  </si>
  <si>
    <t>Branch: Demand\Residential\NonElectrical Energy Use\Cooking\Kerosene Stove</t>
  </si>
  <si>
    <t>Kerosene Stove</t>
  </si>
  <si>
    <t>Variable: Biomass Stove: Total Final Energy Consumption (Million Gigajoule)</t>
  </si>
  <si>
    <t>Branch: Demand\Residential\NonElectrical Energy Use\Cooking\Biomass Stove</t>
  </si>
  <si>
    <t>Biomass Stove</t>
  </si>
  <si>
    <t>Variable: Gas Stove using City Gas: Total Final Energy Consumption (Million Gigajoule)</t>
  </si>
  <si>
    <t>Branch: Demand\Residential\NonElectrical Energy Use\Cooking\Gas Stove using City Gas</t>
  </si>
  <si>
    <t>Gas Stove using City Gas</t>
  </si>
  <si>
    <t>Variable: Gas Stove using LPG: Total Final Energy Consumption (Million Gigajoule)</t>
  </si>
  <si>
    <t>Branch: Demand\Residential\NonElectrical Energy Use\Cooking\Gas Stove using LPG</t>
  </si>
  <si>
    <t>Gas Stove using LPG</t>
  </si>
  <si>
    <t>Variable: Water Dispenser: Total Final Energy Consumption (Million Gigajoule)</t>
  </si>
  <si>
    <t>Branch: Demand\Residential\Electricity Appliances\Water Dispenser</t>
  </si>
  <si>
    <t>Water Dispenser</t>
  </si>
  <si>
    <t>Variable: Other Appliances: Total Final Energy Consumption (Million Gigajoule)</t>
  </si>
  <si>
    <t>Branch: Demand\Residential\Electricity Appliances\Other Appliances</t>
  </si>
  <si>
    <t>Other Appliances</t>
  </si>
  <si>
    <t>Variable: Television: Total Final Energy Consumption (Million Gigajoule)</t>
  </si>
  <si>
    <t>Branch: Demand\Residential\Electricity Appliances\Television</t>
  </si>
  <si>
    <t>Television</t>
  </si>
  <si>
    <t>Variable: AC: Total Final Energy Consumption (Million Gigajoule)</t>
  </si>
  <si>
    <t>Branch: Demand\Residential\Electricity Appliances\AC</t>
  </si>
  <si>
    <t>AC</t>
  </si>
  <si>
    <t>Variable: Refrigerator: Total Final Energy Consumption (Million Gigajoule)</t>
  </si>
  <si>
    <t>Branch: Demand\Residential\Electricity Appliances\Refrigerator</t>
  </si>
  <si>
    <t>Refrigerator</t>
  </si>
  <si>
    <t>Variable: Water Pump: Total Final Energy Consumption (Million Gigajoule)</t>
  </si>
  <si>
    <t>Branch: Demand\Residential\Electricity Appliances\Water Pump</t>
  </si>
  <si>
    <t>Water Pump</t>
  </si>
  <si>
    <t>Variable: Fan: Total Final Energy Consumption (Million Gigajoule)</t>
  </si>
  <si>
    <t>Branch: Demand\Residential\Electricity Appliances\Fan</t>
  </si>
  <si>
    <t>Fan</t>
  </si>
  <si>
    <t>Variable: Iron: Total Final Energy Consumption (Million Gigajoule)</t>
  </si>
  <si>
    <t>Branch: Demand\Residential\Electricity Appliances\Iron</t>
  </si>
  <si>
    <t>Iron</t>
  </si>
  <si>
    <t>Variable: Washing Machine: Total Final Energy Consumption (Million Gigajoule)</t>
  </si>
  <si>
    <t>Branch: Demand\Residential\Electricity Appliances\Washing Machine</t>
  </si>
  <si>
    <t>Washing Machine</t>
  </si>
  <si>
    <t>Variable: Rice Cooker: Total Final Energy Consumption (Million Gigajoule)</t>
  </si>
  <si>
    <t>Branch: Demand\Residential\Electricity Appliances\Rice Cooker</t>
  </si>
  <si>
    <t>Rice Cooker</t>
  </si>
  <si>
    <t>Variable: Lighting: Total Final Energy Consumption (Million Gigajoule)</t>
  </si>
  <si>
    <t>Branch: Demand\Residential\Electricity Appliances\Lighting</t>
  </si>
  <si>
    <t>LPG propane or butane (Backcast)</t>
  </si>
  <si>
    <t>Biomass Heat (Backcast)</t>
  </si>
  <si>
    <t>Solar Heat (Backcast)</t>
  </si>
  <si>
    <t>Gas Heat (Backcast)</t>
  </si>
  <si>
    <t>Kerosene Heat (Backcast)</t>
  </si>
  <si>
    <t>Gasoil Generator (Backcast)</t>
  </si>
  <si>
    <t>Biogasoil Generator (Backcast)</t>
  </si>
  <si>
    <t>MDF Generator (Backcast)</t>
  </si>
  <si>
    <t>LPG Heat (Backcast)</t>
  </si>
  <si>
    <t>Air Conditioner (Backcast)</t>
  </si>
  <si>
    <t>Lighting and Electronics  (Backcast)</t>
  </si>
  <si>
    <t>Elevator or Escalator  (Backcast)</t>
  </si>
  <si>
    <t xml:space="preserve">Elevator or Escalator </t>
  </si>
  <si>
    <t xml:space="preserve">Lighting and Electronics  </t>
  </si>
  <si>
    <t>Other Electricity Use  (Backcast)</t>
  </si>
  <si>
    <t>electricity (Backcast)</t>
  </si>
  <si>
    <t>natural gas (Backcast)</t>
  </si>
  <si>
    <t>biomass (Backcast)</t>
  </si>
  <si>
    <t>kerosene (Backcast)</t>
  </si>
  <si>
    <t>Conversion</t>
  </si>
  <si>
    <t>BTU</t>
  </si>
  <si>
    <t>Gigajoule</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</si>
  <si>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</si>
  <si>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</si>
  <si>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</si>
  <si>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</si>
  <si>
    <t>Thousand Gigajoule to Gigajoule</t>
  </si>
  <si>
    <t>Million Gigajoule to Gigajoule</t>
  </si>
  <si>
    <t>Variable: Electric Appliances: Total Final Energy Consumption (Gigajoule)</t>
  </si>
  <si>
    <t>Variable: Water Heater Using LPG: Total Final Energy Consumption (Gigajoule)</t>
  </si>
  <si>
    <t>Variable: Kerosene: Total Final Energy Consumption (Gigajoule)</t>
  </si>
  <si>
    <t>Variable: Biogas: Total Final Energy Consumption (Gigajoule)</t>
  </si>
  <si>
    <t>Variable: Kerosene Stove: Total Final Energy Consumption (Gigajoule)</t>
  </si>
  <si>
    <t>Variable: Biomass Stove: Total Final Energy Consumption (Gigajoule)</t>
  </si>
  <si>
    <t>Variable: Gas Stove using City Gas: Total Final Energy Consumption (Gigajoule)</t>
  </si>
  <si>
    <t>Variable: Gas Stove using LPG: Total Final Energy Consumption (Gigajoule)</t>
  </si>
  <si>
    <t>Variable: Water Dispenser: Total Final Energy Consumption (Gigajoule)</t>
  </si>
  <si>
    <t>Variable: Other Appliances: Total Final Energy Consumption (Gigajoule)</t>
  </si>
  <si>
    <t>Variable: Television: Total Final Energy Consumption (Gigajoule)</t>
  </si>
  <si>
    <t>Variable: AC: Total Final Energy Consumption (Gigajoule)</t>
  </si>
  <si>
    <t>Variable: Refrigerator: Total Final Energy Consumption (Gigajoule)</t>
  </si>
  <si>
    <t>Variable: Water Pump: Total Final Energy Consumption (Gigajoule)</t>
  </si>
  <si>
    <t>Variable: Fan: Total Final Energy Consumption (Gigajoule)</t>
  </si>
  <si>
    <t>Variable: Iron: Total Final Energy Consumption (Gigajoule)</t>
  </si>
  <si>
    <t>Variable: Washing Machine: Total Final Energy Consumption (Gigajoule)</t>
  </si>
  <si>
    <t>Variable: Rice Cooker: Total Final Energy Consumption (Gigajoule)</t>
  </si>
  <si>
    <t>Variable: Lighting: Total Final Energy Consumption (Gigajoule)</t>
  </si>
  <si>
    <t>Branch: Demand\Commercial\Other Public Building\Conventional Public Building\Electric Appliances</t>
  </si>
  <si>
    <t>Kerosene Heat 1</t>
  </si>
  <si>
    <t>Kerosene Heat 2</t>
  </si>
  <si>
    <t>Kerosene Heat3</t>
  </si>
  <si>
    <t>Kerosene Heat4</t>
  </si>
  <si>
    <t>Kerosene Heat5</t>
  </si>
  <si>
    <t>Kerosene Heat6</t>
  </si>
  <si>
    <t>Kerosene Heat7</t>
  </si>
  <si>
    <t>Kerosene Heat8</t>
  </si>
  <si>
    <t>Kerosene Heat9</t>
  </si>
  <si>
    <t>Kerosene Heat10</t>
  </si>
  <si>
    <t>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</si>
</sst>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_ ;_ * \-#,##0.0_ ;_ * &quot;&quot;\-&quot;&quot;??_ ;_ @_ "/>
  </numFmts>
  <fonts count="12" x14ac:knownFonts="1">
    <font>
      <sz val="12"/>
      <color theme="1"/>
      <name val="Aptos Narrow"/>
      <family val="2"/>
      <scheme val="minor"/>
    </font>
    <font>
      <b/>
      <sz val="11"/>
      <color theme="1"/>
      <name val="Calibri"/>
      <family val="2"/>
    </font>
    <font>
      <b/>
      <sz val="12"/>
      <color theme="1"/>
      <name val="Aptos Narrow"/>
      <scheme val="minor"/>
    </font>
    <font>
      <sz val="12"/>
      <color theme="1"/>
      <name val="Aptos Narrow"/>
      <family val="2"/>
      <scheme val="minor"/>
    </font>
    <font>
      <sz val="12"/>
      <color theme="1"/>
      <name val="Aptos Narrow"/>
      <scheme val="minor"/>
    </font>
    <font>
      <u/>
      <sz val="12"/>
      <color theme="10"/>
      <name val="Aptos Narrow"/>
      <family val="2"/>
      <scheme val="minor"/>
    </font>
    <font>
      <sz val="11"/>
      <color theme="1"/>
      <name val="Aptos Narrow"/>
      <scheme val="minor"/>
    </font>
    <font>
      <b/>
      <sz val="11"/>
      <color theme="1"/>
      <name val="Aptos Narrow"/>
      <scheme val="minor"/>
    </font>
    <font>
      <sz val="12"/>
      <color theme="1"/>
      <name val="Aptos Display"/>
      <scheme val="major"/>
    </font>
    <font>
      <b/>
      <sz val="11"/>
      <color theme="1"/>
      <name val="Aptos Display"/>
      <scheme val="major"/>
    </font>
    <font>
      <b/>
      <sz val="12"/>
      <color theme="1"/>
      <name val="Aptos Display"/>
      <scheme val="major"/>
    </font>
    <font>
      <sz val="11"/>
      <color theme="1"/>
      <name val="Calibri"/>
      <family val="2"/>
    </font>
  </fonts>
  <fills count="7">
    <fill>
      <patternFill patternType="none"/>
    </fill>
    <fill>
      <patternFill patternType="gray125"/>
    </fill>
    <fill>
      <patternFill patternType="solid">
        <fgColor rgb="FFDCDCDC"/>
        <bgColor indexed="64"/>
      </patternFill>
    </fill>
    <fill>
      <patternFill patternType="solid">
        <fgColor rgb="FFE2EDFA"/>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3">
    <xf numFmtId="0" fontId="0" fillId="0" borderId="0"/>
    <xf numFmtId="43" fontId="3" fillId="0" borderId="0" applyFont="0" applyFill="0" applyBorder="0" applyAlignment="0" applyProtection="0"/>
    <xf numFmtId="0" fontId="5" fillId="0" borderId="0" applyNumberFormat="0" applyFill="0" applyBorder="0" applyAlignment="0" applyProtection="0"/>
  </cellStyleXfs>
  <cellXfs count="50">
    <xf numFmtId="0" fontId="0" fillId="0" borderId="0" xfId="0"/>
    <xf numFmtId="0" fontId="1" fillId="0" borderId="0" xfId="0" applyFont="1"/>
    <xf numFmtId="0" fontId="2" fillId="0" borderId="0" xfId="0" applyFont="1" applyAlignment="1">
      <alignment vertical="top"/>
    </xf>
    <xf numFmtId="0" fontId="2" fillId="0" borderId="0" xfId="0" applyFont="1"/>
    <xf numFmtId="11" fontId="0" fillId="0" borderId="0" xfId="0" applyNumberFormat="1" applyAlignment="1">
      <alignment horizontal="left"/>
    </xf>
    <xf numFmtId="0" fontId="0" fillId="2" borderId="0" xfId="0" applyFill="1"/>
    <xf numFmtId="0" fontId="0" fillId="3" borderId="0" xfId="0" applyFill="1"/>
    <xf numFmtId="164" fontId="0" fillId="0" borderId="0" xfId="1" applyNumberFormat="1" applyFont="1"/>
    <xf numFmtId="0" fontId="2" fillId="3" borderId="0" xfId="0" applyFont="1" applyFill="1" applyAlignment="1">
      <alignment horizontal="left"/>
    </xf>
    <xf numFmtId="11" fontId="0" fillId="0" borderId="0" xfId="0" applyNumberFormat="1"/>
    <xf numFmtId="0" fontId="2" fillId="3" borderId="0" xfId="0" applyFont="1" applyFill="1"/>
    <xf numFmtId="0" fontId="0" fillId="0" borderId="0" xfId="1" applyNumberFormat="1" applyFont="1"/>
    <xf numFmtId="0" fontId="2" fillId="0" borderId="0" xfId="0" applyFont="1" applyAlignment="1">
      <alignment horizontal="left"/>
    </xf>
    <xf numFmtId="0" fontId="0" fillId="4" borderId="0" xfId="0" applyFill="1"/>
    <xf numFmtId="11" fontId="0" fillId="4" borderId="0" xfId="0" applyNumberFormat="1" applyFill="1" applyAlignment="1">
      <alignment horizontal="left"/>
    </xf>
    <xf numFmtId="11" fontId="4" fillId="0" borderId="0" xfId="0" applyNumberFormat="1" applyFont="1" applyAlignment="1">
      <alignment horizontal="left"/>
    </xf>
    <xf numFmtId="0" fontId="5" fillId="0" borderId="0" xfId="2"/>
    <xf numFmtId="11" fontId="6" fillId="0" borderId="0" xfId="0" applyNumberFormat="1" applyFont="1" applyAlignment="1">
      <alignment horizontal="left"/>
    </xf>
    <xf numFmtId="11" fontId="0" fillId="5" borderId="1" xfId="0" applyNumberFormat="1" applyFill="1" applyBorder="1"/>
    <xf numFmtId="0" fontId="0" fillId="0" borderId="1" xfId="0" applyBorder="1"/>
    <xf numFmtId="0" fontId="1" fillId="4" borderId="0" xfId="0" applyFont="1" applyFill="1" applyAlignment="1">
      <alignment horizontal="left"/>
    </xf>
    <xf numFmtId="0" fontId="7" fillId="4" borderId="0" xfId="0" applyFont="1" applyFill="1" applyAlignment="1">
      <alignment horizontal="left"/>
    </xf>
    <xf numFmtId="11" fontId="0" fillId="5" borderId="1" xfId="0" applyNumberFormat="1" applyFill="1" applyBorder="1" applyAlignment="1">
      <alignment horizontal="left"/>
    </xf>
    <xf numFmtId="0" fontId="6" fillId="0" borderId="0" xfId="0" applyFont="1"/>
    <xf numFmtId="0" fontId="1" fillId="5" borderId="1" xfId="0" applyFont="1" applyFill="1" applyBorder="1"/>
    <xf numFmtId="0" fontId="0" fillId="5" borderId="1" xfId="0" applyFill="1" applyBorder="1"/>
    <xf numFmtId="0" fontId="1" fillId="5" borderId="1" xfId="0" applyFont="1" applyFill="1" applyBorder="1" applyAlignment="1">
      <alignment horizontal="left"/>
    </xf>
    <xf numFmtId="0" fontId="2" fillId="5" borderId="1" xfId="0" applyFont="1" applyFill="1" applyBorder="1" applyAlignment="1">
      <alignment horizontal="left"/>
    </xf>
    <xf numFmtId="0" fontId="6" fillId="0" borderId="0" xfId="0" applyFont="1" applyAlignment="1">
      <alignment horizontal="left"/>
    </xf>
    <xf numFmtId="0" fontId="2" fillId="5" borderId="1" xfId="0" applyFont="1" applyFill="1" applyBorder="1"/>
    <xf numFmtId="0" fontId="2" fillId="4" borderId="0" xfId="0" applyFont="1" applyFill="1" applyAlignment="1">
      <alignment horizontal="left"/>
    </xf>
    <xf numFmtId="0" fontId="0" fillId="0" borderId="0" xfId="0" applyAlignment="1">
      <alignment vertical="top" wrapText="1"/>
    </xf>
    <xf numFmtId="11" fontId="8" fillId="0" borderId="0" xfId="0" applyNumberFormat="1" applyFont="1" applyAlignment="1">
      <alignment horizontal="left"/>
    </xf>
    <xf numFmtId="0" fontId="9" fillId="0" borderId="0" xfId="0" applyFont="1"/>
    <xf numFmtId="0" fontId="10" fillId="3" borderId="0" xfId="0" applyFont="1" applyFill="1" applyAlignment="1">
      <alignment horizontal="left"/>
    </xf>
    <xf numFmtId="11" fontId="0" fillId="0" borderId="0" xfId="1" applyNumberFormat="1" applyFont="1"/>
    <xf numFmtId="11" fontId="0" fillId="5" borderId="1" xfId="1" applyNumberFormat="1" applyFont="1" applyFill="1" applyBorder="1"/>
    <xf numFmtId="0" fontId="11" fillId="0" borderId="0" xfId="0" applyFont="1"/>
    <xf numFmtId="0" fontId="0" fillId="0" borderId="0" xfId="0" applyAlignment="1">
      <alignment horizontal="left"/>
    </xf>
    <xf numFmtId="0" fontId="0" fillId="6" borderId="0" xfId="0" applyFill="1"/>
    <xf numFmtId="0" fontId="0" fillId="6" borderId="0" xfId="1" applyNumberFormat="1" applyFont="1" applyFill="1"/>
    <xf numFmtId="0" fontId="0" fillId="6" borderId="0" xfId="0" applyFill="1" applyAlignment="1">
      <alignment horizontal="left"/>
    </xf>
    <xf numFmtId="11" fontId="0" fillId="6" borderId="0" xfId="0" applyNumberFormat="1" applyFill="1" applyAlignment="1">
      <alignment horizontal="left"/>
    </xf>
    <xf numFmtId="11" fontId="0" fillId="6" borderId="1" xfId="0" applyNumberFormat="1" applyFill="1" applyBorder="1" applyAlignment="1">
      <alignment horizontal="left"/>
    </xf>
    <xf numFmtId="0" fontId="2" fillId="6" borderId="0" xfId="0" applyFont="1" applyFill="1" applyAlignment="1">
      <alignment horizontal="left"/>
    </xf>
    <xf numFmtId="11" fontId="4" fillId="6" borderId="0" xfId="0" applyNumberFormat="1" applyFont="1" applyFill="1" applyAlignment="1">
      <alignment horizontal="left"/>
    </xf>
    <xf numFmtId="0" fontId="0" fillId="6" borderId="0" xfId="0" applyFill="1" applyAlignment="1">
      <alignment horizontal="right"/>
    </xf>
    <xf numFmtId="0" fontId="0" fillId="4" borderId="0" xfId="0" applyNumberFormat="1" applyFill="1"/>
    <xf numFmtId="43" fontId="0" fillId="6" borderId="0" xfId="0" applyNumberFormat="1" applyFill="1"/>
    <xf numFmtId="11" fontId="0" fillId="6" borderId="0" xfId="1" applyNumberFormat="1" applyFont="1" applyFill="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'Commercial-Conversion'!$A$216:$A$226</c:f>
              <c:strCache>
                <c:ptCount val="11"/>
                <c:pt idx="0">
                  <c:v>Branch</c:v>
                </c:pt>
                <c:pt idx="1">
                  <c:v>Kerosene Heat 1</c:v>
                </c:pt>
                <c:pt idx="2">
                  <c:v>Kerosene Heat 2</c:v>
                </c:pt>
                <c:pt idx="3">
                  <c:v>Kerosene Heat3</c:v>
                </c:pt>
                <c:pt idx="4">
                  <c:v>Kerosene Heat4</c:v>
                </c:pt>
                <c:pt idx="5">
                  <c:v>Kerosene Heat5</c:v>
                </c:pt>
                <c:pt idx="6">
                  <c:v>Kerosene Heat6</c:v>
                </c:pt>
                <c:pt idx="7">
                  <c:v>Kerosene Heat7</c:v>
                </c:pt>
                <c:pt idx="8">
                  <c:v>Kerosene Heat8</c:v>
                </c:pt>
                <c:pt idx="9">
                  <c:v>Kerosene Heat9</c:v>
                </c:pt>
                <c:pt idx="10">
                  <c:v>Kerosene Heat10</c:v>
                </c:pt>
              </c:strCache>
            </c:strRef>
          </c:cat>
          <c:val>
            <c:numRef>
              <c:f>'Commercial-Conversion'!$B$216:$B$226</c:f>
              <c:numCache>
                <c:formatCode>General</c:formatCode>
                <c:ptCount val="11"/>
                <c:pt idx="0">
                  <c:v>2022</c:v>
                </c:pt>
                <c:pt idx="1">
                  <c:v>21962.709867912006</c:v>
                </c:pt>
                <c:pt idx="2">
                  <c:v>48138.709563875731</c:v>
                </c:pt>
                <c:pt idx="3">
                  <c:v>36141.731313385033</c:v>
                </c:pt>
                <c:pt idx="4">
                  <c:v>60451.779913740364</c:v>
                </c:pt>
                <c:pt idx="5">
                  <c:v>6767.6886961040746</c:v>
                </c:pt>
                <c:pt idx="6">
                  <c:v>34305.10609397541</c:v>
                </c:pt>
                <c:pt idx="7">
                  <c:v>22103.79945488086</c:v>
                </c:pt>
                <c:pt idx="8">
                  <c:v>5252.4870460828843</c:v>
                </c:pt>
                <c:pt idx="9">
                  <c:v>22894.173696100952</c:v>
                </c:pt>
                <c:pt idx="10">
                  <c:v>33827.128214243843</c:v>
                </c:pt>
              </c:numCache>
            </c:numRef>
          </c:val>
          <c:extLst>
            <c:ext xmlns:c16="http://schemas.microsoft.com/office/drawing/2014/chart" uri="{C3380CC4-5D6E-409C-BE32-E72D297353CC}">
              <c16:uniqueId val="{00000000-32A1-7B4C-BF2F-83947A3F35D7}"/>
            </c:ext>
          </c:extLst>
        </c:ser>
        <c:dLbls>
          <c:showLegendKey val="0"/>
          <c:showVal val="0"/>
          <c:showCatName val="0"/>
          <c:showSerName val="0"/>
          <c:showPercent val="0"/>
          <c:showBubbleSize val="0"/>
        </c:dLbls>
        <c:gapWidth val="219"/>
        <c:overlap val="-27"/>
        <c:axId val="2063140927"/>
        <c:axId val="1919011167"/>
      </c:barChart>
      <c:catAx>
        <c:axId val="206314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011167"/>
        <c:crosses val="autoZero"/>
        <c:auto val="1"/>
        <c:lblAlgn val="ctr"/>
        <c:lblOffset val="100"/>
        <c:noMultiLvlLbl val="0"/>
      </c:catAx>
      <c:valAx>
        <c:axId val="191901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409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0"/>
          <c:tx>
            <c:strRef>
              <c:f>'Commercial-Conversion'!$A$221</c:f>
              <c:strCache>
                <c:ptCount val="1"/>
                <c:pt idx="0">
                  <c:v>Kerosene Heat5</c:v>
                </c:pt>
              </c:strCache>
            </c:strRef>
          </c:tx>
          <c:spPr>
            <a:ln w="28575" cap="rnd">
              <a:solidFill>
                <a:schemeClr val="accent5"/>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'Commercial-Conversion'!$B$221:$AN$221</c:f>
              <c:numCache>
                <c:formatCode>General</c:formatCode>
                <c:ptCount val="39"/>
                <c:pt idx="0">
                  <c:v>6767.6886961040746</c:v>
                </c:pt>
                <c:pt idx="1">
                  <c:v>6790.830418392984</c:v>
                </c:pt>
                <c:pt idx="2">
                  <c:v>6813.9721406818935</c:v>
                </c:pt>
                <c:pt idx="3">
                  <c:v>6837.1138629708021</c:v>
                </c:pt>
                <c:pt idx="4">
                  <c:v>6899.0176469743355</c:v>
                </c:pt>
                <c:pt idx="5">
                  <c:v>6960.9214309778663</c:v>
                </c:pt>
                <c:pt idx="6">
                  <c:v>7022.8252149814007</c:v>
                </c:pt>
                <c:pt idx="7">
                  <c:v>7084.7289989849351</c:v>
                </c:pt>
                <c:pt idx="8">
                  <c:v>7146.6327829884685</c:v>
                </c:pt>
                <c:pt idx="9">
                  <c:v>7198.6271770953654</c:v>
                </c:pt>
                <c:pt idx="10">
                  <c:v>7250.6215712022649</c:v>
                </c:pt>
                <c:pt idx="11">
                  <c:v>7302.6159653091618</c:v>
                </c:pt>
                <c:pt idx="12">
                  <c:v>7354.6103594160586</c:v>
                </c:pt>
                <c:pt idx="13">
                  <c:v>7406.6047535229591</c:v>
                </c:pt>
                <c:pt idx="14">
                  <c:v>7448.5752017169425</c:v>
                </c:pt>
                <c:pt idx="15">
                  <c:v>7490.5456499109241</c:v>
                </c:pt>
                <c:pt idx="16">
                  <c:v>7532.5160981049085</c:v>
                </c:pt>
                <c:pt idx="17">
                  <c:v>7574.4865462988919</c:v>
                </c:pt>
                <c:pt idx="18">
                  <c:v>7616.4569944928771</c:v>
                </c:pt>
                <c:pt idx="19">
                  <c:v>7648.6235287452291</c:v>
                </c:pt>
                <c:pt idx="20">
                  <c:v>7680.7900629975857</c:v>
                </c:pt>
                <c:pt idx="21">
                  <c:v>7712.9565972499386</c:v>
                </c:pt>
                <c:pt idx="22">
                  <c:v>7745.1231315022942</c:v>
                </c:pt>
                <c:pt idx="23">
                  <c:v>7777.2896657546489</c:v>
                </c:pt>
                <c:pt idx="24">
                  <c:v>7800.0496982606664</c:v>
                </c:pt>
                <c:pt idx="25">
                  <c:v>7822.8097307666858</c:v>
                </c:pt>
                <c:pt idx="26">
                  <c:v>7845.5697632727042</c:v>
                </c:pt>
                <c:pt idx="27">
                  <c:v>7868.3297957787217</c:v>
                </c:pt>
                <c:pt idx="28">
                  <c:v>7891.0898282847411</c:v>
                </c:pt>
                <c:pt idx="29">
                  <c:v>7891.0898282847411</c:v>
                </c:pt>
                <c:pt idx="30">
                  <c:v>7891.0898282847411</c:v>
                </c:pt>
                <c:pt idx="31">
                  <c:v>7891.0898282847411</c:v>
                </c:pt>
                <c:pt idx="32">
                  <c:v>7891.0898282847411</c:v>
                </c:pt>
                <c:pt idx="33">
                  <c:v>7891.0898282847411</c:v>
                </c:pt>
                <c:pt idx="34">
                  <c:v>7891.0898282847411</c:v>
                </c:pt>
                <c:pt idx="35">
                  <c:v>7891.0898282847411</c:v>
                </c:pt>
                <c:pt idx="36">
                  <c:v>7891.0898282847411</c:v>
                </c:pt>
                <c:pt idx="37">
                  <c:v>7891.0898282847411</c:v>
                </c:pt>
                <c:pt idx="38">
                  <c:v>7891.0898282847411</c:v>
                </c:pt>
              </c:numCache>
            </c:numRef>
          </c:val>
          <c:smooth val="0"/>
          <c:extLst>
            <c:ext xmlns:c16="http://schemas.microsoft.com/office/drawing/2014/chart" uri="{C3380CC4-5D6E-409C-BE32-E72D297353CC}">
              <c16:uniqueId val="{00000004-40FB-8E47-B2FB-A3873C1E13E9}"/>
            </c:ext>
          </c:extLst>
        </c:ser>
        <c:ser>
          <c:idx val="5"/>
          <c:order val="1"/>
          <c:tx>
            <c:strRef>
              <c:f>'Commercial-Conversion'!$A$222</c:f>
              <c:strCache>
                <c:ptCount val="1"/>
                <c:pt idx="0">
                  <c:v>Kerosene Heat6</c:v>
                </c:pt>
              </c:strCache>
            </c:strRef>
          </c:tx>
          <c:spPr>
            <a:ln w="28575" cap="rnd">
              <a:solidFill>
                <a:schemeClr val="accent6"/>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'Commercial-Conversion'!$B$222:$AN$222</c:f>
              <c:numCache>
                <c:formatCode>General</c:formatCode>
                <c:ptCount val="39"/>
                <c:pt idx="0">
                  <c:v>34305.10609397541</c:v>
                </c:pt>
                <c:pt idx="1">
                  <c:v>34422.410431389064</c:v>
                </c:pt>
                <c:pt idx="2">
                  <c:v>34539.714768802703</c:v>
                </c:pt>
                <c:pt idx="3">
                  <c:v>34657.019106216343</c:v>
                </c:pt>
                <c:pt idx="4">
                  <c:v>34970.806570920846</c:v>
                </c:pt>
                <c:pt idx="5">
                  <c:v>35284.594035625341</c:v>
                </c:pt>
                <c:pt idx="6">
                  <c:v>35598.38150032983</c:v>
                </c:pt>
                <c:pt idx="7">
                  <c:v>35912.168965034325</c:v>
                </c:pt>
                <c:pt idx="8">
                  <c:v>36225.956429738806</c:v>
                </c:pt>
                <c:pt idx="9">
                  <c:v>36489.513647900436</c:v>
                </c:pt>
                <c:pt idx="10">
                  <c:v>36753.070866062073</c:v>
                </c:pt>
                <c:pt idx="11">
                  <c:v>37016.628084223703</c:v>
                </c:pt>
                <c:pt idx="12">
                  <c:v>37280.185302385325</c:v>
                </c:pt>
                <c:pt idx="13">
                  <c:v>37543.742520546963</c:v>
                </c:pt>
                <c:pt idx="14">
                  <c:v>37756.488812931122</c:v>
                </c:pt>
                <c:pt idx="15">
                  <c:v>37969.235105315282</c:v>
                </c:pt>
                <c:pt idx="16">
                  <c:v>38181.981397699434</c:v>
                </c:pt>
                <c:pt idx="17">
                  <c:v>38394.727690083593</c:v>
                </c:pt>
                <c:pt idx="18">
                  <c:v>38607.473982467745</c:v>
                </c:pt>
                <c:pt idx="19">
                  <c:v>38770.524681126175</c:v>
                </c:pt>
                <c:pt idx="20">
                  <c:v>38933.575379784605</c:v>
                </c:pt>
                <c:pt idx="21">
                  <c:v>39096.62607844302</c:v>
                </c:pt>
                <c:pt idx="22">
                  <c:v>39259.676777101464</c:v>
                </c:pt>
                <c:pt idx="23">
                  <c:v>39422.727475759886</c:v>
                </c:pt>
                <c:pt idx="24">
                  <c:v>39538.097045029637</c:v>
                </c:pt>
                <c:pt idx="25">
                  <c:v>39653.466614299388</c:v>
                </c:pt>
                <c:pt idx="26">
                  <c:v>39768.836183569147</c:v>
                </c:pt>
                <c:pt idx="27">
                  <c:v>39884.205752838898</c:v>
                </c:pt>
                <c:pt idx="28">
                  <c:v>39999.575322108649</c:v>
                </c:pt>
                <c:pt idx="29">
                  <c:v>39999.575322108649</c:v>
                </c:pt>
                <c:pt idx="30">
                  <c:v>39999.575322108649</c:v>
                </c:pt>
                <c:pt idx="31">
                  <c:v>39999.575322108649</c:v>
                </c:pt>
                <c:pt idx="32">
                  <c:v>39999.575322108649</c:v>
                </c:pt>
                <c:pt idx="33">
                  <c:v>39999.575322108649</c:v>
                </c:pt>
                <c:pt idx="34">
                  <c:v>39999.575322108649</c:v>
                </c:pt>
                <c:pt idx="35">
                  <c:v>39999.575322108649</c:v>
                </c:pt>
                <c:pt idx="36">
                  <c:v>39999.575322108649</c:v>
                </c:pt>
                <c:pt idx="37">
                  <c:v>39999.575322108649</c:v>
                </c:pt>
                <c:pt idx="38">
                  <c:v>39999.575322108649</c:v>
                </c:pt>
              </c:numCache>
            </c:numRef>
          </c:val>
          <c:smooth val="0"/>
          <c:extLst>
            <c:ext xmlns:c16="http://schemas.microsoft.com/office/drawing/2014/chart" uri="{C3380CC4-5D6E-409C-BE32-E72D297353CC}">
              <c16:uniqueId val="{00000005-40FB-8E47-B2FB-A3873C1E13E9}"/>
            </c:ext>
          </c:extLst>
        </c:ser>
        <c:ser>
          <c:idx val="6"/>
          <c:order val="2"/>
          <c:tx>
            <c:strRef>
              <c:f>'Commercial-Conversion'!$A$223</c:f>
              <c:strCache>
                <c:ptCount val="1"/>
                <c:pt idx="0">
                  <c:v>Kerosene Heat7</c:v>
                </c:pt>
              </c:strCache>
            </c:strRef>
          </c:tx>
          <c:spPr>
            <a:ln w="28575" cap="rnd">
              <a:solidFill>
                <a:schemeClr val="accent1">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'Commercial-Conversion'!$B$223:$AN$223</c:f>
              <c:numCache>
                <c:formatCode>General</c:formatCode>
                <c:ptCount val="39"/>
                <c:pt idx="0">
                  <c:v>22103.79945488086</c:v>
                </c:pt>
                <c:pt idx="1">
                  <c:v>22179.382125935022</c:v>
                </c:pt>
                <c:pt idx="2">
                  <c:v>22254.964796989174</c:v>
                </c:pt>
                <c:pt idx="3">
                  <c:v>22330.547468043336</c:v>
                </c:pt>
                <c:pt idx="4">
                  <c:v>22532.730057780365</c:v>
                </c:pt>
                <c:pt idx="5">
                  <c:v>22734.912647517402</c:v>
                </c:pt>
                <c:pt idx="6">
                  <c:v>22937.095237254431</c:v>
                </c:pt>
                <c:pt idx="7">
                  <c:v>23139.277826991467</c:v>
                </c:pt>
                <c:pt idx="8">
                  <c:v>23341.4604167285</c:v>
                </c:pt>
                <c:pt idx="9">
                  <c:v>23511.278165700689</c:v>
                </c:pt>
                <c:pt idx="10">
                  <c:v>23681.095914672878</c:v>
                </c:pt>
                <c:pt idx="11">
                  <c:v>23850.91366364506</c:v>
                </c:pt>
                <c:pt idx="12">
                  <c:v>24020.731412617246</c:v>
                </c:pt>
                <c:pt idx="13">
                  <c:v>24190.549161589439</c:v>
                </c:pt>
                <c:pt idx="14">
                  <c:v>24327.627920907267</c:v>
                </c:pt>
                <c:pt idx="15">
                  <c:v>24464.70668022511</c:v>
                </c:pt>
                <c:pt idx="16">
                  <c:v>24601.785439542939</c:v>
                </c:pt>
                <c:pt idx="17">
                  <c:v>24738.864198860774</c:v>
                </c:pt>
                <c:pt idx="18">
                  <c:v>24875.94295817861</c:v>
                </c:pt>
                <c:pt idx="19">
                  <c:v>24981.001369432346</c:v>
                </c:pt>
                <c:pt idx="20">
                  <c:v>25086.059780686093</c:v>
                </c:pt>
                <c:pt idx="21">
                  <c:v>25191.118191939837</c:v>
                </c:pt>
                <c:pt idx="22">
                  <c:v>25296.176603193577</c:v>
                </c:pt>
                <c:pt idx="23">
                  <c:v>25401.235014447317</c:v>
                </c:pt>
                <c:pt idx="24">
                  <c:v>25475.571056882192</c:v>
                </c:pt>
                <c:pt idx="25">
                  <c:v>25549.907099317064</c:v>
                </c:pt>
                <c:pt idx="26">
                  <c:v>25624.24314175194</c:v>
                </c:pt>
                <c:pt idx="27">
                  <c:v>25698.579184186812</c:v>
                </c:pt>
                <c:pt idx="28">
                  <c:v>25772.915226621688</c:v>
                </c:pt>
                <c:pt idx="29">
                  <c:v>25772.915226621688</c:v>
                </c:pt>
                <c:pt idx="30">
                  <c:v>25772.915226621688</c:v>
                </c:pt>
                <c:pt idx="31">
                  <c:v>25772.915226621688</c:v>
                </c:pt>
                <c:pt idx="32">
                  <c:v>25772.915226621688</c:v>
                </c:pt>
                <c:pt idx="33">
                  <c:v>25772.915226621688</c:v>
                </c:pt>
                <c:pt idx="34">
                  <c:v>25772.915226621688</c:v>
                </c:pt>
                <c:pt idx="35">
                  <c:v>25772.915226621688</c:v>
                </c:pt>
                <c:pt idx="36">
                  <c:v>25772.915226621688</c:v>
                </c:pt>
                <c:pt idx="37">
                  <c:v>25772.915226621688</c:v>
                </c:pt>
                <c:pt idx="38">
                  <c:v>25772.915226621688</c:v>
                </c:pt>
              </c:numCache>
            </c:numRef>
          </c:val>
          <c:smooth val="0"/>
          <c:extLst>
            <c:ext xmlns:c16="http://schemas.microsoft.com/office/drawing/2014/chart" uri="{C3380CC4-5D6E-409C-BE32-E72D297353CC}">
              <c16:uniqueId val="{00000006-40FB-8E47-B2FB-A3873C1E13E9}"/>
            </c:ext>
          </c:extLst>
        </c:ser>
        <c:ser>
          <c:idx val="7"/>
          <c:order val="3"/>
          <c:tx>
            <c:strRef>
              <c:f>'Commercial-Conversion'!$A$224</c:f>
              <c:strCache>
                <c:ptCount val="1"/>
                <c:pt idx="0">
                  <c:v>Kerosene Heat8</c:v>
                </c:pt>
              </c:strCache>
            </c:strRef>
          </c:tx>
          <c:spPr>
            <a:ln w="28575" cap="rnd">
              <a:solidFill>
                <a:schemeClr val="accent2">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'Commercial-Conversion'!$B$224:$AN$224</c:f>
              <c:numCache>
                <c:formatCode>General</c:formatCode>
                <c:ptCount val="39"/>
                <c:pt idx="0">
                  <c:v>5252.4870460828843</c:v>
                </c:pt>
                <c:pt idx="1">
                  <c:v>5270.4476234682652</c:v>
                </c:pt>
                <c:pt idx="2">
                  <c:v>5288.4082008536443</c:v>
                </c:pt>
                <c:pt idx="3">
                  <c:v>5306.3687782390243</c:v>
                </c:pt>
                <c:pt idx="4">
                  <c:v>5354.4130719680261</c:v>
                </c:pt>
                <c:pt idx="5">
                  <c:v>5402.4573656970279</c:v>
                </c:pt>
                <c:pt idx="6">
                  <c:v>5450.5016594260323</c:v>
                </c:pt>
                <c:pt idx="7">
                  <c:v>5498.5459531550341</c:v>
                </c:pt>
                <c:pt idx="8">
                  <c:v>5546.5902468840359</c:v>
                </c:pt>
                <c:pt idx="9">
                  <c:v>5586.9437403407637</c:v>
                </c:pt>
                <c:pt idx="10">
                  <c:v>5627.2972337974916</c:v>
                </c:pt>
                <c:pt idx="11">
                  <c:v>5667.6507272542203</c:v>
                </c:pt>
                <c:pt idx="12">
                  <c:v>5708.0042207109482</c:v>
                </c:pt>
                <c:pt idx="13">
                  <c:v>5748.3577141676769</c:v>
                </c:pt>
                <c:pt idx="14">
                  <c:v>5780.9314990085923</c:v>
                </c:pt>
                <c:pt idx="15">
                  <c:v>5813.5052838495085</c:v>
                </c:pt>
                <c:pt idx="16">
                  <c:v>5846.0790686904256</c:v>
                </c:pt>
                <c:pt idx="17">
                  <c:v>5878.65285353134</c:v>
                </c:pt>
                <c:pt idx="18">
                  <c:v>5911.2266383722563</c:v>
                </c:pt>
                <c:pt idx="19">
                  <c:v>5936.1914841363841</c:v>
                </c:pt>
                <c:pt idx="20">
                  <c:v>5961.156329900512</c:v>
                </c:pt>
                <c:pt idx="21">
                  <c:v>5986.1211756646408</c:v>
                </c:pt>
                <c:pt idx="22">
                  <c:v>6011.0860214287695</c:v>
                </c:pt>
                <c:pt idx="23">
                  <c:v>6036.0508671928983</c:v>
                </c:pt>
                <c:pt idx="24">
                  <c:v>6053.7152104087891</c:v>
                </c:pt>
                <c:pt idx="25">
                  <c:v>6071.3795536246807</c:v>
                </c:pt>
                <c:pt idx="26">
                  <c:v>6089.0438968405706</c:v>
                </c:pt>
                <c:pt idx="27">
                  <c:v>6106.7082400564632</c:v>
                </c:pt>
                <c:pt idx="28">
                  <c:v>6124.372583272353</c:v>
                </c:pt>
                <c:pt idx="29">
                  <c:v>6124.372583272353</c:v>
                </c:pt>
                <c:pt idx="30">
                  <c:v>6124.372583272353</c:v>
                </c:pt>
                <c:pt idx="31">
                  <c:v>6124.372583272353</c:v>
                </c:pt>
                <c:pt idx="32">
                  <c:v>6124.372583272353</c:v>
                </c:pt>
                <c:pt idx="33">
                  <c:v>6124.372583272353</c:v>
                </c:pt>
                <c:pt idx="34">
                  <c:v>6124.372583272353</c:v>
                </c:pt>
                <c:pt idx="35">
                  <c:v>6124.372583272353</c:v>
                </c:pt>
                <c:pt idx="36">
                  <c:v>6124.372583272353</c:v>
                </c:pt>
                <c:pt idx="37">
                  <c:v>6124.372583272353</c:v>
                </c:pt>
                <c:pt idx="38">
                  <c:v>6124.372583272353</c:v>
                </c:pt>
              </c:numCache>
            </c:numRef>
          </c:val>
          <c:smooth val="0"/>
          <c:extLst>
            <c:ext xmlns:c16="http://schemas.microsoft.com/office/drawing/2014/chart" uri="{C3380CC4-5D6E-409C-BE32-E72D297353CC}">
              <c16:uniqueId val="{00000007-40FB-8E47-B2FB-A3873C1E13E9}"/>
            </c:ext>
          </c:extLst>
        </c:ser>
        <c:ser>
          <c:idx val="8"/>
          <c:order val="4"/>
          <c:tx>
            <c:strRef>
              <c:f>'Commercial-Conversion'!$A$225</c:f>
              <c:strCache>
                <c:ptCount val="1"/>
                <c:pt idx="0">
                  <c:v>Kerosene Heat9</c:v>
                </c:pt>
              </c:strCache>
            </c:strRef>
          </c:tx>
          <c:spPr>
            <a:ln w="28575" cap="rnd">
              <a:solidFill>
                <a:schemeClr val="accent3">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'Commercial-Conversion'!$B$225:$AN$225</c:f>
              <c:numCache>
                <c:formatCode>General</c:formatCode>
                <c:ptCount val="39"/>
                <c:pt idx="0">
                  <c:v>22894.173696100952</c:v>
                </c:pt>
                <c:pt idx="1">
                  <c:v>22972.459006418816</c:v>
                </c:pt>
                <c:pt idx="2">
                  <c:v>23050.744316736676</c:v>
                </c:pt>
                <c:pt idx="3">
                  <c:v>23129.02962705454</c:v>
                </c:pt>
                <c:pt idx="4">
                  <c:v>23338.441739086036</c:v>
                </c:pt>
                <c:pt idx="5">
                  <c:v>23547.853851117528</c:v>
                </c:pt>
                <c:pt idx="6">
                  <c:v>23757.265963149021</c:v>
                </c:pt>
                <c:pt idx="7">
                  <c:v>23966.678075180513</c:v>
                </c:pt>
                <c:pt idx="8">
                  <c:v>24176.090187212008</c:v>
                </c:pt>
                <c:pt idx="9">
                  <c:v>24351.980176151967</c:v>
                </c:pt>
                <c:pt idx="10">
                  <c:v>24527.870165091928</c:v>
                </c:pt>
                <c:pt idx="11">
                  <c:v>24703.760154031886</c:v>
                </c:pt>
                <c:pt idx="12">
                  <c:v>24879.650142971848</c:v>
                </c:pt>
                <c:pt idx="13">
                  <c:v>25055.54013191181</c:v>
                </c:pt>
                <c:pt idx="14">
                  <c:v>25197.520470281899</c:v>
                </c:pt>
                <c:pt idx="15">
                  <c:v>25339.500808651988</c:v>
                </c:pt>
                <c:pt idx="16">
                  <c:v>25481.481147022077</c:v>
                </c:pt>
                <c:pt idx="17">
                  <c:v>25623.461485392159</c:v>
                </c:pt>
                <c:pt idx="18">
                  <c:v>25765.441823762245</c:v>
                </c:pt>
                <c:pt idx="19">
                  <c:v>25874.256849902395</c:v>
                </c:pt>
                <c:pt idx="20">
                  <c:v>25983.071876042552</c:v>
                </c:pt>
                <c:pt idx="21">
                  <c:v>26091.886902182701</c:v>
                </c:pt>
                <c:pt idx="22">
                  <c:v>26200.701928322862</c:v>
                </c:pt>
                <c:pt idx="23">
                  <c:v>26309.516954463015</c:v>
                </c:pt>
                <c:pt idx="24">
                  <c:v>26386.511059972279</c:v>
                </c:pt>
                <c:pt idx="25">
                  <c:v>26463.505165481543</c:v>
                </c:pt>
                <c:pt idx="26">
                  <c:v>26540.499270990804</c:v>
                </c:pt>
                <c:pt idx="27">
                  <c:v>26617.493376500068</c:v>
                </c:pt>
                <c:pt idx="28">
                  <c:v>26694.487482009332</c:v>
                </c:pt>
                <c:pt idx="29">
                  <c:v>26694.487482009332</c:v>
                </c:pt>
                <c:pt idx="30">
                  <c:v>26694.487482009332</c:v>
                </c:pt>
                <c:pt idx="31">
                  <c:v>26694.487482009332</c:v>
                </c:pt>
                <c:pt idx="32">
                  <c:v>26694.487482009332</c:v>
                </c:pt>
                <c:pt idx="33">
                  <c:v>26694.487482009332</c:v>
                </c:pt>
                <c:pt idx="34">
                  <c:v>26694.487482009332</c:v>
                </c:pt>
                <c:pt idx="35">
                  <c:v>26694.487482009332</c:v>
                </c:pt>
                <c:pt idx="36">
                  <c:v>26694.487482009332</c:v>
                </c:pt>
                <c:pt idx="37">
                  <c:v>26694.487482009332</c:v>
                </c:pt>
                <c:pt idx="38">
                  <c:v>26694.487482009332</c:v>
                </c:pt>
              </c:numCache>
            </c:numRef>
          </c:val>
          <c:smooth val="0"/>
          <c:extLst>
            <c:ext xmlns:c16="http://schemas.microsoft.com/office/drawing/2014/chart" uri="{C3380CC4-5D6E-409C-BE32-E72D297353CC}">
              <c16:uniqueId val="{00000008-40FB-8E47-B2FB-A3873C1E13E9}"/>
            </c:ext>
          </c:extLst>
        </c:ser>
        <c:ser>
          <c:idx val="9"/>
          <c:order val="5"/>
          <c:tx>
            <c:strRef>
              <c:f>'Commercial-Conversion'!$A$226</c:f>
              <c:strCache>
                <c:ptCount val="1"/>
                <c:pt idx="0">
                  <c:v>Kerosene Heat10</c:v>
                </c:pt>
              </c:strCache>
            </c:strRef>
          </c:tx>
          <c:spPr>
            <a:ln w="28575" cap="rnd">
              <a:solidFill>
                <a:schemeClr val="accent4">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'Commercial-Conversion'!$B$226:$AN$226</c:f>
              <c:numCache>
                <c:formatCode>General</c:formatCode>
                <c:ptCount val="39"/>
                <c:pt idx="0">
                  <c:v>33827.128214243843</c:v>
                </c:pt>
                <c:pt idx="1">
                  <c:v>33942.798133786091</c:v>
                </c:pt>
                <c:pt idx="2">
                  <c:v>34058.468053328332</c:v>
                </c:pt>
                <c:pt idx="3">
                  <c:v>34174.13797287058</c:v>
                </c:pt>
                <c:pt idx="4">
                  <c:v>34483.553392589856</c:v>
                </c:pt>
                <c:pt idx="5">
                  <c:v>34792.968812309118</c:v>
                </c:pt>
                <c:pt idx="6">
                  <c:v>35102.384232028387</c:v>
                </c:pt>
                <c:pt idx="7">
                  <c:v>35411.799651747657</c:v>
                </c:pt>
                <c:pt idx="8">
                  <c:v>35721.215071466919</c:v>
                </c:pt>
                <c:pt idx="9">
                  <c:v>35981.100109750143</c:v>
                </c:pt>
                <c:pt idx="10">
                  <c:v>36240.985148033375</c:v>
                </c:pt>
                <c:pt idx="11">
                  <c:v>36500.870186316599</c:v>
                </c:pt>
                <c:pt idx="12">
                  <c:v>36760.755224599816</c:v>
                </c:pt>
                <c:pt idx="13">
                  <c:v>37020.640262883047</c:v>
                </c:pt>
                <c:pt idx="14">
                  <c:v>37230.422331181268</c:v>
                </c:pt>
                <c:pt idx="15">
                  <c:v>37440.20439947948</c:v>
                </c:pt>
                <c:pt idx="16">
                  <c:v>37649.986467777686</c:v>
                </c:pt>
                <c:pt idx="17">
                  <c:v>37859.768536075913</c:v>
                </c:pt>
                <c:pt idx="18">
                  <c:v>38069.550604374119</c:v>
                </c:pt>
                <c:pt idx="19">
                  <c:v>38230.329494660356</c:v>
                </c:pt>
                <c:pt idx="20">
                  <c:v>38391.108384946587</c:v>
                </c:pt>
                <c:pt idx="21">
                  <c:v>38551.88727523281</c:v>
                </c:pt>
                <c:pt idx="22">
                  <c:v>38712.66616551904</c:v>
                </c:pt>
                <c:pt idx="23">
                  <c:v>38873.445055805256</c:v>
                </c:pt>
                <c:pt idx="24">
                  <c:v>38987.207164600935</c:v>
                </c:pt>
                <c:pt idx="25">
                  <c:v>39100.969273396615</c:v>
                </c:pt>
                <c:pt idx="26">
                  <c:v>39214.731382192287</c:v>
                </c:pt>
                <c:pt idx="27">
                  <c:v>39328.493490987967</c:v>
                </c:pt>
                <c:pt idx="28">
                  <c:v>39442.255599783646</c:v>
                </c:pt>
                <c:pt idx="29">
                  <c:v>39442.255599783646</c:v>
                </c:pt>
                <c:pt idx="30">
                  <c:v>39442.255599783646</c:v>
                </c:pt>
                <c:pt idx="31">
                  <c:v>39442.255599783646</c:v>
                </c:pt>
                <c:pt idx="32">
                  <c:v>39442.255599783646</c:v>
                </c:pt>
                <c:pt idx="33">
                  <c:v>39442.255599783646</c:v>
                </c:pt>
                <c:pt idx="34">
                  <c:v>39442.255599783646</c:v>
                </c:pt>
                <c:pt idx="35">
                  <c:v>39442.255599783646</c:v>
                </c:pt>
                <c:pt idx="36">
                  <c:v>39442.255599783646</c:v>
                </c:pt>
                <c:pt idx="37">
                  <c:v>39442.255599783646</c:v>
                </c:pt>
                <c:pt idx="38">
                  <c:v>39442.255599783646</c:v>
                </c:pt>
              </c:numCache>
            </c:numRef>
          </c:val>
          <c:smooth val="0"/>
          <c:extLst>
            <c:ext xmlns:c16="http://schemas.microsoft.com/office/drawing/2014/chart" uri="{C3380CC4-5D6E-409C-BE32-E72D297353CC}">
              <c16:uniqueId val="{00000009-40FB-8E47-B2FB-A3873C1E13E9}"/>
            </c:ext>
          </c:extLst>
        </c:ser>
        <c:dLbls>
          <c:showLegendKey val="0"/>
          <c:showVal val="0"/>
          <c:showCatName val="0"/>
          <c:showSerName val="0"/>
          <c:showPercent val="0"/>
          <c:showBubbleSize val="0"/>
        </c:dLbls>
        <c:smooth val="0"/>
        <c:axId val="1996732735"/>
        <c:axId val="1997339871"/>
      </c:lineChart>
      <c:catAx>
        <c:axId val="199673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339871"/>
        <c:crosses val="autoZero"/>
        <c:auto val="1"/>
        <c:lblAlgn val="ctr"/>
        <c:lblOffset val="100"/>
        <c:noMultiLvlLbl val="0"/>
      </c:catAx>
      <c:valAx>
        <c:axId val="199733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32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116217</xdr:colOff>
      <xdr:row>229</xdr:row>
      <xdr:rowOff>126040</xdr:rowOff>
    </xdr:from>
    <xdr:to>
      <xdr:col>11</xdr:col>
      <xdr:colOff>554727</xdr:colOff>
      <xdr:row>243</xdr:row>
      <xdr:rowOff>17731</xdr:rowOff>
    </xdr:to>
    <xdr:graphicFrame macro="">
      <xdr:nvGraphicFramePr>
        <xdr:cNvPr id="10" name="Chart 9">
          <a:extLst>
            <a:ext uri="{FF2B5EF4-FFF2-40B4-BE49-F238E27FC236}">
              <a16:creationId xmlns:a16="http://schemas.microsoft.com/office/drawing/2014/main" id="{4A3A2BF6-9B86-392A-F42F-84544C769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811122</xdr:colOff>
      <xdr:row>208</xdr:row>
      <xdr:rowOff>35944</xdr:rowOff>
    </xdr:from>
    <xdr:to>
      <xdr:col>29</xdr:col>
      <xdr:colOff>422934</xdr:colOff>
      <xdr:row>239</xdr:row>
      <xdr:rowOff>167735</xdr:rowOff>
    </xdr:to>
    <xdr:graphicFrame macro="">
      <xdr:nvGraphicFramePr>
        <xdr:cNvPr id="11" name="Chart 10">
          <a:extLst>
            <a:ext uri="{FF2B5EF4-FFF2-40B4-BE49-F238E27FC236}">
              <a16:creationId xmlns:a16="http://schemas.microsoft.com/office/drawing/2014/main" id="{350B6AB5-E594-6390-0AE3-4A156980D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2707-134A-D84F-947C-8BF2106489E6}">
  <dimension ref="A1:B10"/>
  <sheetViews>
    <sheetView workbookViewId="0">
      <selection activeCell="A10" sqref="A10"/>
    </sheetView>
  </sheetViews>
  <sheetFormatPr baseColWidth="10" defaultRowHeight="16" x14ac:dyDescent="0.2"/>
  <cols>
    <col min="2" max="2" width="103.6640625" customWidth="1"/>
  </cols>
  <sheetData>
    <row r="1" spans="1:2" x14ac:dyDescent="0.2">
      <c r="A1" s="1" t="s">
        <v>0</v>
      </c>
    </row>
    <row r="3" spans="1:2" x14ac:dyDescent="0.2">
      <c r="A3" s="3" t="s">
        <v>1</v>
      </c>
      <c r="B3" t="s">
        <v>151</v>
      </c>
    </row>
    <row r="4" spans="1:2" x14ac:dyDescent="0.2">
      <c r="B4" s="16" t="s">
        <v>152</v>
      </c>
    </row>
    <row r="10" spans="1:2" ht="102" x14ac:dyDescent="0.2">
      <c r="A10" s="2" t="s">
        <v>153</v>
      </c>
      <c r="B10" s="31" t="s">
        <v>154</v>
      </c>
    </row>
  </sheetData>
  <hyperlinks>
    <hyperlink ref="B4" r:id="rId1" xr:uid="{A0819F6C-2749-FF4E-9454-0F34838BB1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876C-1BF6-7D4E-807A-CC3EBF86578B}">
  <sheetPr>
    <tabColor theme="4" tint="0.79998168889431442"/>
  </sheetPr>
  <dimension ref="A1:AX218"/>
  <sheetViews>
    <sheetView topLeftCell="AH1" zoomScale="120" zoomScaleNormal="120" workbookViewId="0">
      <selection activeCell="AO190" sqref="AO190:AX193"/>
    </sheetView>
  </sheetViews>
  <sheetFormatPr baseColWidth="10" defaultRowHeight="16" x14ac:dyDescent="0.2"/>
  <sheetData>
    <row r="1" spans="1:50" x14ac:dyDescent="0.2">
      <c r="A1" s="5" t="s">
        <v>3</v>
      </c>
    </row>
    <row r="2" spans="1:50" x14ac:dyDescent="0.2">
      <c r="A2" s="5" t="s">
        <v>4</v>
      </c>
    </row>
    <row r="3" spans="1:50" x14ac:dyDescent="0.2">
      <c r="A3" s="5" t="s">
        <v>5</v>
      </c>
    </row>
    <row r="4" spans="1:50" x14ac:dyDescent="0.2">
      <c r="A4" s="5" t="s">
        <v>6</v>
      </c>
    </row>
    <row r="5" spans="1:50" x14ac:dyDescent="0.2">
      <c r="A5" t="s">
        <v>155</v>
      </c>
      <c r="B5">
        <v>1000</v>
      </c>
    </row>
    <row r="6" spans="1:5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c r="AO6" s="39">
        <f>AN6+1</f>
        <v>2061</v>
      </c>
      <c r="AP6" s="39">
        <f t="shared" ref="AP6:AW6" si="0">AO6+1</f>
        <v>2062</v>
      </c>
      <c r="AQ6" s="39">
        <f t="shared" si="0"/>
        <v>2063</v>
      </c>
      <c r="AR6" s="39">
        <f t="shared" si="0"/>
        <v>2064</v>
      </c>
      <c r="AS6" s="39">
        <f t="shared" si="0"/>
        <v>2065</v>
      </c>
      <c r="AT6" s="39">
        <f t="shared" si="0"/>
        <v>2066</v>
      </c>
      <c r="AU6" s="39">
        <f>AT6+1</f>
        <v>2067</v>
      </c>
      <c r="AV6" s="39">
        <f t="shared" si="0"/>
        <v>2068</v>
      </c>
      <c r="AW6" s="39">
        <f t="shared" si="0"/>
        <v>2069</v>
      </c>
      <c r="AX6" s="39">
        <f>AW6+1</f>
        <v>2070</v>
      </c>
    </row>
    <row r="7" spans="1:50" x14ac:dyDescent="0.2">
      <c r="A7" s="6" t="s">
        <v>8</v>
      </c>
      <c r="B7" s="11">
        <v>328.18775145973922</v>
      </c>
      <c r="C7" s="11">
        <v>344.62501470578667</v>
      </c>
      <c r="D7" s="11">
        <v>347.97380247837577</v>
      </c>
      <c r="E7" s="11">
        <v>351.33735956758551</v>
      </c>
      <c r="F7" s="11">
        <v>356.71991324162286</v>
      </c>
      <c r="G7" s="11">
        <v>362.14197463140272</v>
      </c>
      <c r="H7" s="11">
        <v>367.60354373692485</v>
      </c>
      <c r="I7" s="11">
        <v>373.1046205581892</v>
      </c>
      <c r="J7" s="11">
        <v>378.64520509519565</v>
      </c>
      <c r="K7" s="11">
        <v>383.69711270960772</v>
      </c>
      <c r="L7" s="11">
        <v>388.78220375174772</v>
      </c>
      <c r="M7" s="11">
        <v>393.90047822161586</v>
      </c>
      <c r="N7" s="11">
        <v>399.0519361192118</v>
      </c>
      <c r="O7" s="11">
        <v>404.23657744453561</v>
      </c>
      <c r="P7" s="11">
        <v>408.90411806243037</v>
      </c>
      <c r="Q7" s="11">
        <v>413.59844470905546</v>
      </c>
      <c r="R7" s="11">
        <v>418.3195573844107</v>
      </c>
      <c r="S7" s="11">
        <v>423.06745608849621</v>
      </c>
      <c r="T7" s="11">
        <v>427.84214082131166</v>
      </c>
      <c r="U7" s="11">
        <v>432.08976410344991</v>
      </c>
      <c r="V7" s="11">
        <v>436.35791644228681</v>
      </c>
      <c r="W7" s="11">
        <v>440.64659783782207</v>
      </c>
      <c r="X7" s="11">
        <v>444.95580829005593</v>
      </c>
      <c r="Y7" s="11">
        <v>449.28554779898786</v>
      </c>
      <c r="Z7" s="11">
        <v>453.08941134107363</v>
      </c>
      <c r="AA7" s="11">
        <v>456.90780060091674</v>
      </c>
      <c r="AB7" s="11">
        <v>460.7407155785171</v>
      </c>
      <c r="AC7" s="11">
        <v>464.5881562738744</v>
      </c>
      <c r="AD7" s="11">
        <v>468.45012268698889</v>
      </c>
      <c r="AE7" s="11">
        <v>470.96821539206672</v>
      </c>
      <c r="AF7" s="11">
        <v>473.4863080971449</v>
      </c>
      <c r="AG7" s="11">
        <v>476.00440080222313</v>
      </c>
      <c r="AH7" s="11">
        <v>478.52249350730165</v>
      </c>
      <c r="AI7" s="11">
        <v>481.04058621237965</v>
      </c>
      <c r="AJ7" s="11">
        <v>483.55867891745754</v>
      </c>
      <c r="AK7" s="11">
        <v>486.0767716225356</v>
      </c>
      <c r="AL7" s="11">
        <v>488.59486432761412</v>
      </c>
      <c r="AM7" s="11">
        <v>491.11295703269241</v>
      </c>
      <c r="AN7" s="11">
        <v>493.63104973777064</v>
      </c>
      <c r="AO7" s="39">
        <f>(AN7+AN7*$AN$10)</f>
        <v>496.16205350695452</v>
      </c>
      <c r="AP7" s="39">
        <f t="shared" ref="AP7:AX7" si="1">(AO7+AO7*$AN$10)</f>
        <v>498.706034539386</v>
      </c>
      <c r="AQ7" s="39">
        <f t="shared" si="1"/>
        <v>501.26305937363105</v>
      </c>
      <c r="AR7" s="39">
        <f t="shared" si="1"/>
        <v>503.83319488942016</v>
      </c>
      <c r="AS7" s="39">
        <f t="shared" si="1"/>
        <v>506.4165083093975</v>
      </c>
      <c r="AT7" s="39">
        <f t="shared" si="1"/>
        <v>509.01306720087916</v>
      </c>
      <c r="AU7" s="39">
        <f t="shared" si="1"/>
        <v>511.62293947762038</v>
      </c>
      <c r="AV7" s="39">
        <f t="shared" si="1"/>
        <v>514.24619340159188</v>
      </c>
      <c r="AW7" s="39">
        <f t="shared" si="1"/>
        <v>516.88289758476537</v>
      </c>
      <c r="AX7" s="39">
        <f t="shared" si="1"/>
        <v>519.53312099090783</v>
      </c>
    </row>
    <row r="8" spans="1:50" x14ac:dyDescent="0.2">
      <c r="A8" s="6" t="s">
        <v>9</v>
      </c>
      <c r="B8" s="11">
        <v>3364.4750994228884</v>
      </c>
      <c r="C8" s="11">
        <v>3532.9846268138585</v>
      </c>
      <c r="D8" s="11">
        <v>3567.3153202172953</v>
      </c>
      <c r="E8" s="11">
        <v>3601.797423896664</v>
      </c>
      <c r="F8" s="11">
        <v>3656.9776301263519</v>
      </c>
      <c r="G8" s="11">
        <v>3712.5628567300769</v>
      </c>
      <c r="H8" s="11">
        <v>3768.5531037078367</v>
      </c>
      <c r="I8" s="11">
        <v>3824.9483710596314</v>
      </c>
      <c r="J8" s="11">
        <v>3881.7486587854592</v>
      </c>
      <c r="K8" s="11">
        <v>3933.5391881323758</v>
      </c>
      <c r="L8" s="11">
        <v>3985.6699032900297</v>
      </c>
      <c r="M8" s="11">
        <v>4038.1408042584217</v>
      </c>
      <c r="N8" s="11">
        <v>4090.9518910375486</v>
      </c>
      <c r="O8" s="11">
        <v>4144.103163627412</v>
      </c>
      <c r="P8" s="11">
        <v>4191.9532863532086</v>
      </c>
      <c r="Q8" s="11">
        <v>4240.0780108161971</v>
      </c>
      <c r="R8" s="11">
        <v>4288.4773370163739</v>
      </c>
      <c r="S8" s="11">
        <v>4337.1512649537408</v>
      </c>
      <c r="T8" s="11">
        <v>4386.0997946282951</v>
      </c>
      <c r="U8" s="11">
        <v>4429.6450601079423</v>
      </c>
      <c r="V8" s="11">
        <v>4473.4007828632502</v>
      </c>
      <c r="W8" s="11">
        <v>4517.3669628942162</v>
      </c>
      <c r="X8" s="11">
        <v>4561.543600200841</v>
      </c>
      <c r="Y8" s="11">
        <v>4605.9306947831201</v>
      </c>
      <c r="Z8" s="11">
        <v>4644.9266783688154</v>
      </c>
      <c r="AA8" s="11">
        <v>4684.0715749333713</v>
      </c>
      <c r="AB8" s="11">
        <v>4723.3653844767887</v>
      </c>
      <c r="AC8" s="11">
        <v>4762.8081069990649</v>
      </c>
      <c r="AD8" s="11">
        <v>4802.3997425001999</v>
      </c>
      <c r="AE8" s="11">
        <v>4828.2144176871634</v>
      </c>
      <c r="AF8" s="11">
        <v>4854.0290928741288</v>
      </c>
      <c r="AG8" s="11">
        <v>4879.8437680610959</v>
      </c>
      <c r="AH8" s="11">
        <v>4905.6584432480649</v>
      </c>
      <c r="AI8" s="11">
        <v>4931.4731184350303</v>
      </c>
      <c r="AJ8" s="11">
        <v>4957.2877936219929</v>
      </c>
      <c r="AK8" s="11">
        <v>4983.1024688089583</v>
      </c>
      <c r="AL8" s="11">
        <v>5008.9171439959273</v>
      </c>
      <c r="AM8" s="11">
        <v>5034.7318191828945</v>
      </c>
      <c r="AN8" s="11">
        <v>5060.5464943698616</v>
      </c>
      <c r="AO8" s="39">
        <f>(AN8+AN8*$AN$11)</f>
        <v>5086.4935296266285</v>
      </c>
      <c r="AP8" s="39">
        <f t="shared" ref="AP8:AX8" si="2">(AO8+AO8*$AN$11)</f>
        <v>5112.5736036054714</v>
      </c>
      <c r="AQ8" s="39">
        <f t="shared" si="2"/>
        <v>5138.7873984383323</v>
      </c>
      <c r="AR8" s="39">
        <f t="shared" si="2"/>
        <v>5165.1355997546625</v>
      </c>
      <c r="AS8" s="39">
        <f t="shared" si="2"/>
        <v>5191.6188966993541</v>
      </c>
      <c r="AT8" s="39">
        <f t="shared" si="2"/>
        <v>5218.2379819507642</v>
      </c>
      <c r="AU8" s="39">
        <f t="shared" si="2"/>
        <v>5244.9935517388321</v>
      </c>
      <c r="AV8" s="39">
        <f t="shared" si="2"/>
        <v>5271.8863058632915</v>
      </c>
      <c r="AW8" s="39">
        <f t="shared" si="2"/>
        <v>5298.9169477119704</v>
      </c>
      <c r="AX8" s="39">
        <f t="shared" si="2"/>
        <v>5326.0861842791919</v>
      </c>
    </row>
    <row r="9" spans="1:50" x14ac:dyDescent="0.2">
      <c r="A9" s="6" t="s">
        <v>10</v>
      </c>
      <c r="B9" s="11">
        <v>2.9221902708338789</v>
      </c>
      <c r="C9" s="11">
        <v>3.0685479899233066</v>
      </c>
      <c r="D9" s="11">
        <v>3.0983656629005005</v>
      </c>
      <c r="E9" s="11">
        <v>3.1283148421668354</v>
      </c>
      <c r="F9" s="11">
        <v>3.176241207208045</v>
      </c>
      <c r="G9" s="11">
        <v>3.224519349736537</v>
      </c>
      <c r="H9" s="11">
        <v>3.2731492697523104</v>
      </c>
      <c r="I9" s="11">
        <v>3.3221309672553652</v>
      </c>
      <c r="J9" s="11">
        <v>3.3714644422456983</v>
      </c>
      <c r="K9" s="11">
        <v>3.4164467281912403</v>
      </c>
      <c r="L9" s="11">
        <v>3.4617244800377134</v>
      </c>
      <c r="M9" s="11">
        <v>3.5072976977851185</v>
      </c>
      <c r="N9" s="11">
        <v>3.5531663814334542</v>
      </c>
      <c r="O9" s="11">
        <v>3.5993305309827193</v>
      </c>
      <c r="P9" s="11">
        <v>3.640890405541314</v>
      </c>
      <c r="Q9" s="11">
        <v>3.6826887834328392</v>
      </c>
      <c r="R9" s="11">
        <v>3.7247256646572935</v>
      </c>
      <c r="S9" s="11">
        <v>3.7670010492146764</v>
      </c>
      <c r="T9" s="11">
        <v>3.809514937104987</v>
      </c>
      <c r="U9" s="11">
        <v>3.8473358593484983</v>
      </c>
      <c r="V9" s="11">
        <v>3.8853395727214401</v>
      </c>
      <c r="W9" s="11">
        <v>3.9235260772238085</v>
      </c>
      <c r="X9" s="11">
        <v>3.9618953728556057</v>
      </c>
      <c r="Y9" s="11">
        <v>4.0004474596168267</v>
      </c>
      <c r="Z9" s="11">
        <v>4.0343171363028754</v>
      </c>
      <c r="AA9" s="11">
        <v>4.0683161502689371</v>
      </c>
      <c r="AB9" s="11">
        <v>4.1024445015150102</v>
      </c>
      <c r="AC9" s="11">
        <v>4.1367021900410954</v>
      </c>
      <c r="AD9" s="11">
        <v>4.1710892158471884</v>
      </c>
      <c r="AE9" s="11">
        <v>4.1935103634101543</v>
      </c>
      <c r="AF9" s="11">
        <v>4.2159315109731219</v>
      </c>
      <c r="AG9" s="11">
        <v>4.2383526585360887</v>
      </c>
      <c r="AH9" s="11">
        <v>4.260773806099059</v>
      </c>
      <c r="AI9" s="11">
        <v>4.2831949536620249</v>
      </c>
      <c r="AJ9" s="11">
        <v>4.3056161012249889</v>
      </c>
      <c r="AK9" s="11">
        <v>4.3280372487879557</v>
      </c>
      <c r="AL9" s="11">
        <v>4.350458396350926</v>
      </c>
      <c r="AM9" s="11">
        <v>4.3728795439138937</v>
      </c>
      <c r="AN9" s="11">
        <v>4.3953006914768613</v>
      </c>
      <c r="AO9" s="39">
        <f>(AN9+AN9*$AN$12)</f>
        <v>4.4178367994115915</v>
      </c>
      <c r="AP9" s="39">
        <f t="shared" ref="AP9:AX9" si="3">(AO9+AO9*$AN$12)</f>
        <v>4.4404884571565608</v>
      </c>
      <c r="AQ9" s="39">
        <f t="shared" si="3"/>
        <v>4.4632562571724863</v>
      </c>
      <c r="AR9" s="39">
        <f t="shared" si="3"/>
        <v>4.4861407949578185</v>
      </c>
      <c r="AS9" s="39">
        <f t="shared" si="3"/>
        <v>4.5091426690643193</v>
      </c>
      <c r="AT9" s="39">
        <f t="shared" si="3"/>
        <v>4.5322624811127152</v>
      </c>
      <c r="AU9" s="39">
        <f t="shared" si="3"/>
        <v>4.5555008358084352</v>
      </c>
      <c r="AV9" s="39">
        <f t="shared" si="3"/>
        <v>4.5788583409574253</v>
      </c>
      <c r="AW9" s="39">
        <f t="shared" si="3"/>
        <v>4.602335607482047</v>
      </c>
      <c r="AX9" s="39">
        <f t="shared" si="3"/>
        <v>4.625933249437054</v>
      </c>
    </row>
    <row r="10" spans="1:50" x14ac:dyDescent="0.2">
      <c r="AM10" s="13" t="s">
        <v>187</v>
      </c>
      <c r="AN10" s="13">
        <f>(AN7-AM7)/AM7</f>
        <v>5.1273188153954713E-3</v>
      </c>
    </row>
    <row r="11" spans="1:50" x14ac:dyDescent="0.2">
      <c r="A11" s="5" t="s">
        <v>3</v>
      </c>
      <c r="AM11" s="13" t="s">
        <v>187</v>
      </c>
      <c r="AN11" s="13">
        <f t="shared" ref="AN11:AN12" si="4">(AN8-AM8)/AM8</f>
        <v>5.1273188153955615E-3</v>
      </c>
    </row>
    <row r="12" spans="1:50" x14ac:dyDescent="0.2">
      <c r="A12" s="5" t="s">
        <v>4</v>
      </c>
      <c r="AM12" s="13" t="s">
        <v>187</v>
      </c>
      <c r="AN12" s="13">
        <f t="shared" si="4"/>
        <v>5.1273188153954652E-3</v>
      </c>
    </row>
    <row r="13" spans="1:50" x14ac:dyDescent="0.2">
      <c r="A13" s="5" t="s">
        <v>39</v>
      </c>
    </row>
    <row r="14" spans="1:50" x14ac:dyDescent="0.2">
      <c r="A14" s="5" t="s">
        <v>6</v>
      </c>
    </row>
    <row r="15" spans="1:50" x14ac:dyDescent="0.2">
      <c r="A15" s="5"/>
    </row>
    <row r="16" spans="1:50" x14ac:dyDescent="0.2">
      <c r="A16" s="6" t="s">
        <v>7</v>
      </c>
      <c r="B16" s="6">
        <v>2022</v>
      </c>
      <c r="C16" s="6">
        <v>2023</v>
      </c>
      <c r="D16" s="6">
        <v>2024</v>
      </c>
      <c r="E16" s="6">
        <v>2025</v>
      </c>
      <c r="F16" s="6">
        <v>2026</v>
      </c>
      <c r="G16" s="6">
        <v>2027</v>
      </c>
      <c r="H16" s="6">
        <v>2028</v>
      </c>
      <c r="I16" s="6">
        <v>2029</v>
      </c>
      <c r="J16" s="6">
        <v>2030</v>
      </c>
      <c r="K16" s="6">
        <v>2031</v>
      </c>
      <c r="L16" s="6">
        <v>2032</v>
      </c>
      <c r="M16" s="6">
        <v>2033</v>
      </c>
      <c r="N16" s="6">
        <v>2034</v>
      </c>
      <c r="O16" s="6">
        <v>2035</v>
      </c>
      <c r="P16" s="6">
        <v>2036</v>
      </c>
      <c r="Q16" s="6">
        <v>2037</v>
      </c>
      <c r="R16" s="6">
        <v>2038</v>
      </c>
      <c r="S16" s="6">
        <v>2039</v>
      </c>
      <c r="T16" s="6">
        <v>2040</v>
      </c>
      <c r="U16" s="6">
        <v>2041</v>
      </c>
      <c r="V16" s="6">
        <v>2042</v>
      </c>
      <c r="W16" s="6">
        <v>2043</v>
      </c>
      <c r="X16" s="6">
        <v>2044</v>
      </c>
      <c r="Y16" s="6">
        <v>2045</v>
      </c>
      <c r="Z16" s="6">
        <v>2046</v>
      </c>
      <c r="AA16" s="6">
        <v>2047</v>
      </c>
      <c r="AB16" s="6">
        <v>2048</v>
      </c>
      <c r="AC16" s="6">
        <v>2049</v>
      </c>
      <c r="AD16" s="6">
        <v>2050</v>
      </c>
      <c r="AE16" s="6">
        <v>2051</v>
      </c>
      <c r="AF16" s="6">
        <v>2052</v>
      </c>
      <c r="AG16" s="6">
        <v>2053</v>
      </c>
      <c r="AH16" s="6">
        <v>2054</v>
      </c>
      <c r="AI16" s="6">
        <v>2055</v>
      </c>
      <c r="AJ16" s="6">
        <v>2056</v>
      </c>
      <c r="AK16" s="6">
        <v>2057</v>
      </c>
      <c r="AL16" s="6">
        <v>2058</v>
      </c>
      <c r="AM16" s="6">
        <v>2059</v>
      </c>
      <c r="AN16" s="6">
        <v>2060</v>
      </c>
      <c r="AO16" s="39">
        <f>AN16+1</f>
        <v>2061</v>
      </c>
      <c r="AP16" s="39">
        <f t="shared" ref="AP16:AX16" si="5">AO16+1</f>
        <v>2062</v>
      </c>
      <c r="AQ16" s="39">
        <f t="shared" si="5"/>
        <v>2063</v>
      </c>
      <c r="AR16" s="39">
        <f t="shared" si="5"/>
        <v>2064</v>
      </c>
      <c r="AS16" s="39">
        <f t="shared" si="5"/>
        <v>2065</v>
      </c>
      <c r="AT16" s="39">
        <f t="shared" si="5"/>
        <v>2066</v>
      </c>
      <c r="AU16" s="39">
        <f t="shared" si="5"/>
        <v>2067</v>
      </c>
      <c r="AV16" s="39">
        <f t="shared" si="5"/>
        <v>2068</v>
      </c>
      <c r="AW16" s="39">
        <f>AV16+1</f>
        <v>2069</v>
      </c>
      <c r="AX16" s="39">
        <f t="shared" si="5"/>
        <v>2070</v>
      </c>
    </row>
    <row r="17" spans="1:50" x14ac:dyDescent="0.2">
      <c r="A17" s="6" t="s">
        <v>40</v>
      </c>
      <c r="B17" s="11">
        <v>660.23083142148164</v>
      </c>
      <c r="C17" s="11">
        <v>703.32055036810448</v>
      </c>
      <c r="D17" s="11">
        <v>749.22250374931377</v>
      </c>
      <c r="E17" s="11">
        <v>798.12023099651901</v>
      </c>
      <c r="F17" s="11">
        <v>850.20925017366085</v>
      </c>
      <c r="G17" s="11">
        <v>905.69783975819462</v>
      </c>
      <c r="H17" s="11">
        <v>964.80787144471901</v>
      </c>
      <c r="I17" s="11">
        <v>1027.7756973012226</v>
      </c>
      <c r="J17" s="11">
        <v>1094.8530948252524</v>
      </c>
      <c r="K17" s="11">
        <v>1166.3082736788181</v>
      </c>
      <c r="L17" s="11">
        <v>1242.4269481274803</v>
      </c>
      <c r="M17" s="11">
        <v>1323.5134794717696</v>
      </c>
      <c r="N17" s="11">
        <v>1409.8920930389663</v>
      </c>
      <c r="O17" s="11">
        <v>1501.9081746014042</v>
      </c>
      <c r="P17" s="11">
        <v>1599.9296514050168</v>
      </c>
      <c r="Q17" s="11">
        <v>1704.348463330205</v>
      </c>
      <c r="R17" s="11">
        <v>1815.5821300674747</v>
      </c>
      <c r="S17" s="11">
        <v>1934.0754205741946</v>
      </c>
      <c r="T17" s="11">
        <v>2060.3021314878374</v>
      </c>
      <c r="U17" s="11">
        <v>2194.7669816066964</v>
      </c>
      <c r="V17" s="11">
        <v>2338.0076300131741</v>
      </c>
      <c r="W17" s="11">
        <v>2490.5968259091387</v>
      </c>
      <c r="X17" s="11">
        <v>2653.1446987594827</v>
      </c>
      <c r="Y17" s="11">
        <v>2826.3011979010475</v>
      </c>
      <c r="Z17" s="11">
        <v>3010.758691371715</v>
      </c>
      <c r="AA17" s="11">
        <v>3207.2547343510973</v>
      </c>
      <c r="AB17" s="11">
        <v>3416.5750182825077</v>
      </c>
      <c r="AC17" s="11">
        <v>3639.5565124682344</v>
      </c>
      <c r="AD17" s="11">
        <v>3877.0908106998945</v>
      </c>
      <c r="AE17" s="11">
        <v>4130.1276963053524</v>
      </c>
      <c r="AF17" s="11">
        <v>4399.6789398670926</v>
      </c>
      <c r="AG17" s="11">
        <v>4686.8223447972741</v>
      </c>
      <c r="AH17" s="11">
        <v>4992.7060569457326</v>
      </c>
      <c r="AI17" s="11">
        <v>5318.5531554729387</v>
      </c>
      <c r="AJ17" s="11">
        <v>5665.6665433445551</v>
      </c>
      <c r="AK17" s="11">
        <v>6035.4341570023189</v>
      </c>
      <c r="AL17" s="11">
        <v>6429.334516042135</v>
      </c>
      <c r="AM17" s="11">
        <v>6848.9426350898502</v>
      </c>
      <c r="AN17" s="11">
        <v>7295.9363215133881</v>
      </c>
      <c r="AO17" s="39">
        <f>(AN17+AN17*$AN$25)</f>
        <v>7772.1028841527132</v>
      </c>
      <c r="AP17" s="39">
        <f t="shared" ref="AP17:AX17" si="6">(AO17+AO17*$AN$25)</f>
        <v>8279.3462798925666</v>
      </c>
      <c r="AQ17" s="39">
        <f t="shared" si="6"/>
        <v>8819.6947266535954</v>
      </c>
      <c r="AR17" s="39">
        <f t="shared" si="6"/>
        <v>9395.308813242511</v>
      </c>
      <c r="AS17" s="39">
        <f t="shared" si="6"/>
        <v>10008.490138488598</v>
      </c>
      <c r="AT17" s="39">
        <f t="shared" si="6"/>
        <v>10661.690514210237</v>
      </c>
      <c r="AU17" s="39">
        <f t="shared" si="6"/>
        <v>11357.521768809609</v>
      </c>
      <c r="AV17" s="39">
        <f t="shared" si="6"/>
        <v>12098.766190695351</v>
      </c>
      <c r="AW17" s="39">
        <f t="shared" si="6"/>
        <v>12888.387653291296</v>
      </c>
      <c r="AX17" s="39">
        <f t="shared" si="6"/>
        <v>13729.543466114761</v>
      </c>
    </row>
    <row r="18" spans="1:50" x14ac:dyDescent="0.2">
      <c r="A18" s="6" t="s">
        <v>41</v>
      </c>
      <c r="B18" s="11">
        <v>403.31080465792735</v>
      </c>
      <c r="C18" s="11">
        <v>429.63273388899677</v>
      </c>
      <c r="D18" s="11">
        <v>457.67255401325258</v>
      </c>
      <c r="E18" s="11">
        <v>487.54238253906504</v>
      </c>
      <c r="F18" s="11">
        <v>519.3616542821685</v>
      </c>
      <c r="G18" s="11">
        <v>553.25759892699728</v>
      </c>
      <c r="H18" s="11">
        <v>589.36574975588337</v>
      </c>
      <c r="I18" s="11">
        <v>627.83048558027656</v>
      </c>
      <c r="J18" s="11">
        <v>668.80560804090237</v>
      </c>
      <c r="K18" s="11">
        <v>712.45495658520008</v>
      </c>
      <c r="L18" s="11">
        <v>758.95306358103448</v>
      </c>
      <c r="M18" s="11">
        <v>808.48585218615847</v>
      </c>
      <c r="N18" s="11">
        <v>861.25137976386497</v>
      </c>
      <c r="O18" s="11">
        <v>917.46062981738953</v>
      </c>
      <c r="P18" s="11">
        <v>977.33835560960688</v>
      </c>
      <c r="Q18" s="11">
        <v>1041.1239788412613</v>
      </c>
      <c r="R18" s="11">
        <v>1109.0725469810925</v>
      </c>
      <c r="S18" s="11">
        <v>1181.4557530757538</v>
      </c>
      <c r="T18" s="11">
        <v>1258.5630221172471</v>
      </c>
      <c r="U18" s="11">
        <v>1340.7026683117219</v>
      </c>
      <c r="V18" s="11">
        <v>1428.2031278769916</v>
      </c>
      <c r="W18" s="11">
        <v>1521.4142722981176</v>
      </c>
      <c r="X18" s="11">
        <v>1620.7088072921306</v>
      </c>
      <c r="Y18" s="11">
        <v>1726.483763075666</v>
      </c>
      <c r="Z18" s="11">
        <v>1839.1620818943575</v>
      </c>
      <c r="AA18" s="11">
        <v>1959.1943091617359</v>
      </c>
      <c r="AB18" s="11">
        <v>2087.0603949697002</v>
      </c>
      <c r="AC18" s="11">
        <v>2223.2716131738707</v>
      </c>
      <c r="AD18" s="11">
        <v>2368.3726057273516</v>
      </c>
      <c r="AE18" s="11">
        <v>2522.9435604371661</v>
      </c>
      <c r="AF18" s="11">
        <v>2687.6025308511507</v>
      </c>
      <c r="AG18" s="11">
        <v>2863.0079075514082</v>
      </c>
      <c r="AH18" s="11">
        <v>3049.8610507357998</v>
      </c>
      <c r="AI18" s="11">
        <v>3248.9090946139017</v>
      </c>
      <c r="AJ18" s="11">
        <v>3460.9479348307868</v>
      </c>
      <c r="AK18" s="11">
        <v>3686.8254108639394</v>
      </c>
      <c r="AL18" s="11">
        <v>3927.444696118097</v>
      </c>
      <c r="AM18" s="11">
        <v>4183.7679092733733</v>
      </c>
      <c r="AN18" s="11">
        <v>4456.8199613266697</v>
      </c>
      <c r="AO18" s="39">
        <f>(AN18+AN18*$AN$25)</f>
        <v>4747.6926537088102</v>
      </c>
      <c r="AP18" s="39">
        <f t="shared" ref="AP18:AX18" si="7">(AO18+AO18*$AN$25)</f>
        <v>5057.5490438637571</v>
      </c>
      <c r="AQ18" s="39">
        <f t="shared" si="7"/>
        <v>5387.6280957457329</v>
      </c>
      <c r="AR18" s="39">
        <f t="shared" si="7"/>
        <v>5739.2496338292995</v>
      </c>
      <c r="AS18" s="39">
        <f t="shared" si="7"/>
        <v>6113.8196204410569</v>
      </c>
      <c r="AT18" s="39">
        <f t="shared" si="7"/>
        <v>6512.8357775144259</v>
      </c>
      <c r="AU18" s="39">
        <f t="shared" si="7"/>
        <v>6937.8935752461612</v>
      </c>
      <c r="AV18" s="39">
        <f t="shared" si="7"/>
        <v>7390.6926116002996</v>
      </c>
      <c r="AW18" s="39">
        <f t="shared" si="7"/>
        <v>7873.0434081680505</v>
      </c>
      <c r="AX18" s="39">
        <f t="shared" si="7"/>
        <v>8386.8746495569485</v>
      </c>
    </row>
    <row r="19" spans="1:50" x14ac:dyDescent="0.2">
      <c r="A19" s="6" t="s">
        <v>42</v>
      </c>
      <c r="B19" s="11">
        <v>313.17282632367687</v>
      </c>
      <c r="C19" s="11">
        <v>333.61193402022741</v>
      </c>
      <c r="D19" s="11">
        <v>355.38499245680623</v>
      </c>
      <c r="E19" s="11">
        <v>378.57906143089764</v>
      </c>
      <c r="F19" s="11">
        <v>403.28688266519532</v>
      </c>
      <c r="G19" s="11">
        <v>429.60725063633214</v>
      </c>
      <c r="H19" s="11">
        <v>457.64540760560794</v>
      </c>
      <c r="I19" s="11">
        <v>487.51346443125101</v>
      </c>
      <c r="J19" s="11">
        <v>519.33084884483446</v>
      </c>
      <c r="K19" s="11">
        <v>553.22478298428598</v>
      </c>
      <c r="L19" s="11">
        <v>589.33079209291157</v>
      </c>
      <c r="M19" s="11">
        <v>627.79324641847029</v>
      </c>
      <c r="N19" s="11">
        <v>668.76593847909066</v>
      </c>
      <c r="O19" s="11">
        <v>712.41269800423379</v>
      </c>
      <c r="P19" s="11">
        <v>758.90804700954413</v>
      </c>
      <c r="Q19" s="11">
        <v>808.43789762492031</v>
      </c>
      <c r="R19" s="11">
        <v>861.20029546607532</v>
      </c>
      <c r="S19" s="11">
        <v>917.40621152195877</v>
      </c>
      <c r="T19" s="11">
        <v>977.28038572442267</v>
      </c>
      <c r="U19" s="11">
        <v>1041.0622255731432</v>
      </c>
      <c r="V19" s="11">
        <v>1109.0067634089648</v>
      </c>
      <c r="W19" s="11">
        <v>1181.3856761633283</v>
      </c>
      <c r="X19" s="11">
        <v>1258.488371661271</v>
      </c>
      <c r="Y19" s="11">
        <v>1340.6231458215809</v>
      </c>
      <c r="Z19" s="11">
        <v>1428.1184153811944</v>
      </c>
      <c r="AA19" s="11">
        <v>1521.3240310728788</v>
      </c>
      <c r="AB19" s="11">
        <v>1620.6126765069873</v>
      </c>
      <c r="AC19" s="11">
        <v>1726.3813583506876</v>
      </c>
      <c r="AD19" s="11">
        <v>1839.0529937631991</v>
      </c>
      <c r="AE19" s="11">
        <v>1959.0781014343881</v>
      </c>
      <c r="AF19" s="11">
        <v>2086.9366029883727</v>
      </c>
      <c r="AG19" s="11">
        <v>2223.1397419550563</v>
      </c>
      <c r="AH19" s="11">
        <v>2368.2321279826288</v>
      </c>
      <c r="AI19" s="11">
        <v>2522.7939144648317</v>
      </c>
      <c r="AJ19" s="11">
        <v>2687.4431182902504</v>
      </c>
      <c r="AK19" s="11">
        <v>2862.8380909891807</v>
      </c>
      <c r="AL19" s="11">
        <v>3049.6801511589824</v>
      </c>
      <c r="AM19" s="11">
        <v>3248.7163886936773</v>
      </c>
      <c r="AN19" s="11">
        <v>3460.7426520305576</v>
      </c>
      <c r="AO19" s="39">
        <f t="shared" ref="AO19:AX24" si="8">(AN19+AN19*$AN$25)</f>
        <v>3686.6067303583236</v>
      </c>
      <c r="AP19" s="39">
        <f t="shared" si="8"/>
        <v>3927.2117435108503</v>
      </c>
      <c r="AQ19" s="39">
        <f t="shared" si="8"/>
        <v>4183.5197531011063</v>
      </c>
      <c r="AR19" s="39">
        <f t="shared" si="8"/>
        <v>4456.555609334383</v>
      </c>
      <c r="AS19" s="39">
        <f t="shared" si="8"/>
        <v>4747.4110488823499</v>
      </c>
      <c r="AT19" s="39">
        <f t="shared" si="8"/>
        <v>5057.2490602033367</v>
      </c>
      <c r="AU19" s="39">
        <f t="shared" si="8"/>
        <v>5387.3085337636094</v>
      </c>
      <c r="AV19" s="39">
        <f t="shared" si="8"/>
        <v>5738.9092157536097</v>
      </c>
      <c r="AW19" s="39">
        <f t="shared" si="8"/>
        <v>6113.4569851066326</v>
      </c>
      <c r="AX19" s="39">
        <f t="shared" si="8"/>
        <v>6512.4494749201631</v>
      </c>
    </row>
    <row r="20" spans="1:50" x14ac:dyDescent="0.2">
      <c r="A20" s="6" t="s">
        <v>43</v>
      </c>
      <c r="B20" s="11">
        <v>21.962709867912007</v>
      </c>
      <c r="C20" s="11">
        <v>23.396097935350504</v>
      </c>
      <c r="D20" s="11">
        <v>24.923035540356633</v>
      </c>
      <c r="E20" s="11">
        <v>26.549628158605756</v>
      </c>
      <c r="F20" s="11">
        <v>28.282379737365865</v>
      </c>
      <c r="G20" s="11">
        <v>30.128218701597408</v>
      </c>
      <c r="H20" s="11">
        <v>32.094525657331594</v>
      </c>
      <c r="I20" s="11">
        <v>34.189162903099273</v>
      </c>
      <c r="J20" s="11">
        <v>36.420505867412302</v>
      </c>
      <c r="K20" s="11">
        <v>38.797476598000273</v>
      </c>
      <c r="L20" s="11">
        <v>41.329579436709984</v>
      </c>
      <c r="M20" s="11">
        <v>44.026939022713769</v>
      </c>
      <c r="N20" s="11">
        <v>46.900340775982926</v>
      </c>
      <c r="O20" s="11">
        <v>49.961274022900355</v>
      </c>
      <c r="P20" s="11">
        <v>53.221977936449768</v>
      </c>
      <c r="Q20" s="11">
        <v>56.695490474674386</v>
      </c>
      <c r="R20" s="11">
        <v>60.395700513086076</v>
      </c>
      <c r="S20" s="11">
        <v>64.33740337947637</v>
      </c>
      <c r="T20" s="11">
        <v>68.536360013186439</v>
      </c>
      <c r="U20" s="11">
        <v>73.009359985384776</v>
      </c>
      <c r="V20" s="11">
        <v>77.774288632339662</v>
      </c>
      <c r="W20" s="11">
        <v>82.850198570119673</v>
      </c>
      <c r="X20" s="11">
        <v>88.257385876674491</v>
      </c>
      <c r="Y20" s="11">
        <v>94.017471245910698</v>
      </c>
      <c r="Z20" s="11">
        <v>100.15348643825838</v>
      </c>
      <c r="AA20" s="11">
        <v>106.68996637340084</v>
      </c>
      <c r="AB20" s="11">
        <v>113.65304723340344</v>
      </c>
      <c r="AC20" s="11">
        <v>121.07057096850492</v>
      </c>
      <c r="AD20" s="11">
        <v>128.97219662344142</v>
      </c>
      <c r="AE20" s="11">
        <v>137.38951892944104</v>
      </c>
      <c r="AF20" s="11">
        <v>146.35619463608052</v>
      </c>
      <c r="AG20" s="11">
        <v>155.90807708814373</v>
      </c>
      <c r="AH20" s="11">
        <v>166.08335958558865</v>
      </c>
      <c r="AI20" s="11">
        <v>176.92272809984902</v>
      </c>
      <c r="AJ20" s="11">
        <v>188.46952395710815</v>
      </c>
      <c r="AK20" s="11">
        <v>200.76991713903644</v>
      </c>
      <c r="AL20" s="11">
        <v>213.87309089393659</v>
      </c>
      <c r="AM20" s="11">
        <v>227.83143839646647</v>
      </c>
      <c r="AN20" s="11">
        <v>242.70077224228538</v>
      </c>
      <c r="AO20" s="39">
        <f t="shared" si="8"/>
        <v>258.54054761529017</v>
      </c>
      <c r="AP20" s="39">
        <f t="shared" si="8"/>
        <v>275.41410001977789</v>
      </c>
      <c r="AQ20" s="39">
        <f t="shared" si="8"/>
        <v>293.38889852810945</v>
      </c>
      <c r="AR20" s="39">
        <f t="shared" si="8"/>
        <v>312.53681555648745</v>
      </c>
      <c r="AS20" s="39">
        <f t="shared" si="8"/>
        <v>332.93441424754946</v>
      </c>
      <c r="AT20" s="39">
        <f t="shared" si="8"/>
        <v>354.66325460887936</v>
      </c>
      <c r="AU20" s="39">
        <f t="shared" si="8"/>
        <v>377.81021963153398</v>
      </c>
      <c r="AV20" s="39">
        <f t="shared" si="8"/>
        <v>402.46786269257422</v>
      </c>
      <c r="AW20" s="39">
        <f t="shared" si="8"/>
        <v>428.73477763069241</v>
      </c>
      <c r="AX20" s="39">
        <f t="shared" si="8"/>
        <v>456.71599297468759</v>
      </c>
    </row>
    <row r="21" spans="1:50" x14ac:dyDescent="0.2">
      <c r="A21" s="6" t="s">
        <v>8</v>
      </c>
      <c r="B21" s="11">
        <v>16.796903217834259</v>
      </c>
      <c r="C21" s="11">
        <v>17.893146841101313</v>
      </c>
      <c r="D21" s="11">
        <v>19.060936395542026</v>
      </c>
      <c r="E21" s="11">
        <v>20.304941299667803</v>
      </c>
      <c r="F21" s="11">
        <v>21.630135719847523</v>
      </c>
      <c r="G21" s="11">
        <v>23.041818459562752</v>
      </c>
      <c r="H21" s="11">
        <v>24.545634146727828</v>
      </c>
      <c r="I21" s="11">
        <v>26.147595803792488</v>
      </c>
      <c r="J21" s="11">
        <v>27.854108890873782</v>
      </c>
      <c r="K21" s="11">
        <v>29.671996918054042</v>
      </c>
      <c r="L21" s="11">
        <v>31.60852872925599</v>
      </c>
      <c r="M21" s="11">
        <v>33.671447566789695</v>
      </c>
      <c r="N21" s="11">
        <v>35.86900203278627</v>
      </c>
      <c r="O21" s="11">
        <v>38.209979071318322</v>
      </c>
      <c r="P21" s="11">
        <v>40.703739103085745</v>
      </c>
      <c r="Q21" s="11">
        <v>43.360253453153945</v>
      </c>
      <c r="R21" s="11">
        <v>46.190144221399514</v>
      </c>
      <c r="S21" s="11">
        <v>49.204726755085375</v>
      </c>
      <c r="T21" s="11">
        <v>52.416054893392939</v>
      </c>
      <c r="U21" s="11">
        <v>55.836969164821753</v>
      </c>
      <c r="V21" s="11">
        <v>59.481148130174375</v>
      </c>
      <c r="W21" s="11">
        <v>63.363163076421976</v>
      </c>
      <c r="X21" s="11">
        <v>67.498536280144833</v>
      </c>
      <c r="Y21" s="11">
        <v>71.903803073514439</v>
      </c>
      <c r="Z21" s="11">
        <v>76.596577960988881</v>
      </c>
      <c r="AA21" s="11">
        <v>81.595625051089215</v>
      </c>
      <c r="AB21" s="11">
        <v>86.92093308488046</v>
      </c>
      <c r="AC21" s="11">
        <v>92.593795361157163</v>
      </c>
      <c r="AD21" s="11">
        <v>98.636894877917427</v>
      </c>
      <c r="AE21" s="11">
        <v>105.07439503056294</v>
      </c>
      <c r="AF21" s="11">
        <v>111.93203622948334</v>
      </c>
      <c r="AG21" s="11">
        <v>119.23723882335109</v>
      </c>
      <c r="AH21" s="11">
        <v>127.01921273966698</v>
      </c>
      <c r="AI21" s="11">
        <v>135.30907428095503</v>
      </c>
      <c r="AJ21" s="11">
        <v>144.1399705436169</v>
      </c>
      <c r="AK21" s="11">
        <v>153.5472119569371</v>
      </c>
      <c r="AL21" s="11">
        <v>163.5684134721966</v>
      </c>
      <c r="AM21" s="11">
        <v>174.24364496644125</v>
      </c>
      <c r="AN21" s="11">
        <v>185.61559146229649</v>
      </c>
      <c r="AO21" s="39">
        <f t="shared" si="8"/>
        <v>197.72972380446771</v>
      </c>
      <c r="AP21" s="39">
        <f t="shared" si="8"/>
        <v>210.63448047537938</v>
      </c>
      <c r="AQ21" s="39">
        <f t="shared" si="8"/>
        <v>224.38146127694384</v>
      </c>
      <c r="AR21" s="39">
        <f t="shared" si="8"/>
        <v>239.02563365289856</v>
      </c>
      <c r="AS21" s="39">
        <f t="shared" si="8"/>
        <v>254.62555247669368</v>
      </c>
      <c r="AT21" s="39">
        <f t="shared" si="8"/>
        <v>271.24359418375411</v>
      </c>
      <c r="AU21" s="39">
        <f t="shared" si="8"/>
        <v>288.94620618429627</v>
      </c>
      <c r="AV21" s="39">
        <f t="shared" si="8"/>
        <v>307.80417255397953</v>
      </c>
      <c r="AW21" s="39">
        <f t="shared" si="8"/>
        <v>327.8928970647587</v>
      </c>
      <c r="AX21" s="39">
        <f t="shared" si="8"/>
        <v>349.29270468763963</v>
      </c>
    </row>
    <row r="22" spans="1:50" x14ac:dyDescent="0.2">
      <c r="A22" s="6" t="s">
        <v>9</v>
      </c>
      <c r="B22" s="11">
        <v>172.1964405861427</v>
      </c>
      <c r="C22" s="11">
        <v>183.43477705172498</v>
      </c>
      <c r="D22" s="11">
        <v>195.40657935483404</v>
      </c>
      <c r="E22" s="11">
        <v>208.15971686977323</v>
      </c>
      <c r="F22" s="11">
        <v>221.74518314770464</v>
      </c>
      <c r="G22" s="11">
        <v>236.21729981488627</v>
      </c>
      <c r="H22" s="11">
        <v>251.63393377825204</v>
      </c>
      <c r="I22" s="11">
        <v>268.05672860683239</v>
      </c>
      <c r="J22" s="11">
        <v>285.55135101419762</v>
      </c>
      <c r="K22" s="11">
        <v>304.18775342748535</v>
      </c>
      <c r="L22" s="11">
        <v>324.04045369289821</v>
      </c>
      <c r="M22" s="11">
        <v>345.18883303607618</v>
      </c>
      <c r="N22" s="11">
        <v>367.71745346874087</v>
      </c>
      <c r="O22" s="11">
        <v>391.71639591076826</v>
      </c>
      <c r="P22" s="11">
        <v>417.28162037966911</v>
      </c>
      <c r="Q22" s="11">
        <v>444.51534968770375</v>
      </c>
      <c r="R22" s="11">
        <v>473.52647818084648</v>
      </c>
      <c r="S22" s="11">
        <v>504.4310071539432</v>
      </c>
      <c r="T22" s="11">
        <v>537.35250868307969</v>
      </c>
      <c r="U22" s="11">
        <v>572.42261972979509</v>
      </c>
      <c r="V22" s="11">
        <v>609.78156849282323</v>
      </c>
      <c r="W22" s="11">
        <v>649.5787351119825</v>
      </c>
      <c r="X22" s="11">
        <v>691.97324896619796</v>
      </c>
      <c r="Y22" s="11">
        <v>737.13462495395481</v>
      </c>
      <c r="Z22" s="11">
        <v>785.24344130036036</v>
      </c>
      <c r="AA22" s="11">
        <v>836.4920616010246</v>
      </c>
      <c r="AB22" s="11">
        <v>891.08540398987691</v>
      </c>
      <c r="AC22" s="11">
        <v>949.24176050642075</v>
      </c>
      <c r="AD22" s="11">
        <v>1011.1936699386956</v>
      </c>
      <c r="AE22" s="11">
        <v>1077.1888476320059</v>
      </c>
      <c r="AF22" s="11">
        <v>1147.4911759812694</v>
      </c>
      <c r="AG22" s="11">
        <v>1222.3817595674786</v>
      </c>
      <c r="AH22" s="11">
        <v>1302.1600491572533</v>
      </c>
      <c r="AI22" s="11">
        <v>1387.1450390598036</v>
      </c>
      <c r="AJ22" s="11">
        <v>1477.6765426289428</v>
      </c>
      <c r="AK22" s="11">
        <v>1574.1165510102708</v>
      </c>
      <c r="AL22" s="11">
        <v>1676.8506805664827</v>
      </c>
      <c r="AM22" s="11">
        <v>1786.2897147683502</v>
      </c>
      <c r="AN22" s="11">
        <v>1902.8712467166436</v>
      </c>
      <c r="AO22" s="39">
        <f t="shared" si="8"/>
        <v>2027.0614288626307</v>
      </c>
      <c r="AP22" s="39">
        <f t="shared" si="8"/>
        <v>2159.3568369234376</v>
      </c>
      <c r="AQ22" s="39">
        <f t="shared" si="8"/>
        <v>2300.2864554451462</v>
      </c>
      <c r="AR22" s="39">
        <f t="shared" si="8"/>
        <v>2450.4137929529265</v>
      </c>
      <c r="AS22" s="39">
        <f t="shared" si="8"/>
        <v>2610.3391351456553</v>
      </c>
      <c r="AT22" s="39">
        <f t="shared" si="8"/>
        <v>2780.7019451444398</v>
      </c>
      <c r="AU22" s="39">
        <f t="shared" si="8"/>
        <v>2962.1834203924668</v>
      </c>
      <c r="AV22" s="39">
        <f t="shared" si="8"/>
        <v>3155.5092164299663</v>
      </c>
      <c r="AW22" s="39">
        <f t="shared" si="8"/>
        <v>3361.4523484353313</v>
      </c>
      <c r="AX22" s="39">
        <f t="shared" si="8"/>
        <v>3580.836282134238</v>
      </c>
    </row>
    <row r="23" spans="1:50" x14ac:dyDescent="0.2">
      <c r="A23" s="6" t="s">
        <v>10</v>
      </c>
      <c r="B23" s="11">
        <v>0.14955996056827514</v>
      </c>
      <c r="C23" s="11">
        <v>0.15932093560889832</v>
      </c>
      <c r="D23" s="11">
        <v>0.16971895704470416</v>
      </c>
      <c r="E23" s="11">
        <v>0.18079560147105586</v>
      </c>
      <c r="F23" s="11">
        <v>0.19259515896430496</v>
      </c>
      <c r="G23" s="11">
        <v>0.2051648101761161</v>
      </c>
      <c r="H23" s="11">
        <v>0.21855481498578613</v>
      </c>
      <c r="I23" s="11">
        <v>0.2328187134648875</v>
      </c>
      <c r="J23" s="11">
        <v>0.24801353995779335</v>
      </c>
      <c r="K23" s="11">
        <v>0.26420005113408834</v>
      </c>
      <c r="L23" s="11">
        <v>0.28144296892473558</v>
      </c>
      <c r="M23" s="11">
        <v>0.29981123931338122</v>
      </c>
      <c r="N23" s="11">
        <v>0.31937830801757672</v>
      </c>
      <c r="O23" s="11">
        <v>0.34022241416223514</v>
      </c>
      <c r="P23" s="11">
        <v>0.3624269031195731</v>
      </c>
      <c r="Q23" s="11">
        <v>0.38608055976643718</v>
      </c>
      <c r="R23" s="11">
        <v>0.41127796349154494</v>
      </c>
      <c r="S23" s="11">
        <v>0.43811986637214045</v>
      </c>
      <c r="T23" s="11">
        <v>0.46671359603220808</v>
      </c>
      <c r="U23" s="11">
        <v>0.49717348479307882</v>
      </c>
      <c r="V23" s="11">
        <v>0.52962132683238949</v>
      </c>
      <c r="W23" s="11">
        <v>0.56418686517935057</v>
      </c>
      <c r="X23" s="11">
        <v>0.60100831049358028</v>
      </c>
      <c r="Y23" s="11">
        <v>0.64023289370184389</v>
      </c>
      <c r="Z23" s="11">
        <v>0.68201745470242592</v>
      </c>
      <c r="AA23" s="11">
        <v>0.7265290694910691</v>
      </c>
      <c r="AB23" s="11">
        <v>0.77394571821606117</v>
      </c>
      <c r="AC23" s="11">
        <v>0.82445699683367957</v>
      </c>
      <c r="AD23" s="11">
        <v>0.87826487520956986</v>
      </c>
      <c r="AE23" s="11">
        <v>0.93558450469732424</v>
      </c>
      <c r="AF23" s="11">
        <v>0.99664507842337557</v>
      </c>
      <c r="AG23" s="11">
        <v>1.061690747718063</v>
      </c>
      <c r="AH23" s="11">
        <v>1.1309815983572333</v>
      </c>
      <c r="AI23" s="11">
        <v>1.2047946905178823</v>
      </c>
      <c r="AJ23" s="11">
        <v>1.2834251666061127</v>
      </c>
      <c r="AK23" s="11">
        <v>1.367187431387074</v>
      </c>
      <c r="AL23" s="11">
        <v>1.4564164091356397</v>
      </c>
      <c r="AM23" s="11">
        <v>1.5514688828345566</v>
      </c>
      <c r="AN23" s="11">
        <v>1.6527249207748609</v>
      </c>
      <c r="AO23" s="39">
        <f t="shared" si="8"/>
        <v>1.7605893962628372</v>
      </c>
      <c r="AP23" s="39">
        <f t="shared" si="8"/>
        <v>1.8754936065100869</v>
      </c>
      <c r="AQ23" s="39">
        <f t="shared" si="8"/>
        <v>1.997896997179853</v>
      </c>
      <c r="AR23" s="39">
        <f t="shared" si="8"/>
        <v>2.1282889994852168</v>
      </c>
      <c r="AS23" s="39">
        <f t="shared" si="8"/>
        <v>2.267190987184823</v>
      </c>
      <c r="AT23" s="39">
        <f t="shared" si="8"/>
        <v>2.4151583613012026</v>
      </c>
      <c r="AU23" s="39">
        <f t="shared" si="8"/>
        <v>2.5727827708974575</v>
      </c>
      <c r="AV23" s="39">
        <f t="shared" si="8"/>
        <v>2.7406944787921073</v>
      </c>
      <c r="AW23" s="39">
        <f t="shared" si="8"/>
        <v>2.9195648816714344</v>
      </c>
      <c r="AX23" s="39">
        <f t="shared" si="8"/>
        <v>3.1101091946760202</v>
      </c>
    </row>
    <row r="24" spans="1:50" x14ac:dyDescent="0.2">
      <c r="A24" s="6" t="s">
        <v>44</v>
      </c>
      <c r="B24" s="11">
        <v>273.08574223023521</v>
      </c>
      <c r="C24" s="11">
        <v>290.90858133590962</v>
      </c>
      <c r="D24" s="11">
        <v>309.89462138789702</v>
      </c>
      <c r="E24" s="11">
        <v>330.11977826208448</v>
      </c>
      <c r="F24" s="11">
        <v>351.66492245568219</v>
      </c>
      <c r="G24" s="11">
        <v>374.6162024487362</v>
      </c>
      <c r="H24" s="11">
        <v>399.06538916970953</v>
      </c>
      <c r="I24" s="11">
        <v>425.11024294248057</v>
      </c>
      <c r="J24" s="11">
        <v>452.85490438200111</v>
      </c>
      <c r="K24" s="11">
        <v>482.41031080161309</v>
      </c>
      <c r="L24" s="11">
        <v>513.89463979703442</v>
      </c>
      <c r="M24" s="11">
        <v>547.43378178068758</v>
      </c>
      <c r="N24" s="11">
        <v>583.1618433558034</v>
      </c>
      <c r="O24" s="11">
        <v>621.22168354305268</v>
      </c>
      <c r="P24" s="11">
        <v>661.76548500380238</v>
      </c>
      <c r="Q24" s="11">
        <v>704.95536254404954</v>
      </c>
      <c r="R24" s="11">
        <v>750.96401133213692</v>
      </c>
      <c r="S24" s="11">
        <v>799.97539742215292</v>
      </c>
      <c r="T24" s="11">
        <v>852.18549334408647</v>
      </c>
      <c r="U24" s="11">
        <v>907.80306170199947</v>
      </c>
      <c r="V24" s="11">
        <v>967.05048991343881</v>
      </c>
      <c r="W24" s="11">
        <v>1030.1646794278067</v>
      </c>
      <c r="X24" s="11">
        <v>1097.3979929792374</v>
      </c>
      <c r="Y24" s="11">
        <v>1169.0192636615757</v>
      </c>
      <c r="Z24" s="11">
        <v>1245.3148698602643</v>
      </c>
      <c r="AA24" s="11">
        <v>1326.5898803392477</v>
      </c>
      <c r="AB24" s="11">
        <v>1413.1692740615638</v>
      </c>
      <c r="AC24" s="11">
        <v>1505.3992396210529</v>
      </c>
      <c r="AD24" s="11">
        <v>1603.6485594810047</v>
      </c>
      <c r="AE24" s="11">
        <v>1708.3100845546203</v>
      </c>
      <c r="AF24" s="11">
        <v>1819.8023050234171</v>
      </c>
      <c r="AG24" s="11">
        <v>1938.571023674511</v>
      </c>
      <c r="AH24" s="11">
        <v>2065.0911384476358</v>
      </c>
      <c r="AI24" s="11">
        <v>2199.8685413194262</v>
      </c>
      <c r="AJ24" s="11">
        <v>2343.4421411176731</v>
      </c>
      <c r="AK24" s="11">
        <v>2496.3860183538009</v>
      </c>
      <c r="AL24" s="11">
        <v>2659.3117206896773</v>
      </c>
      <c r="AM24" s="11">
        <v>2832.8707082172173</v>
      </c>
      <c r="AN24" s="11">
        <v>3017.7569583282402</v>
      </c>
      <c r="AO24" s="39">
        <f t="shared" si="8"/>
        <v>3214.7097405901882</v>
      </c>
      <c r="AP24" s="39">
        <f t="shared" si="8"/>
        <v>3424.5165727230742</v>
      </c>
      <c r="AQ24" s="39">
        <f t="shared" si="8"/>
        <v>3648.0163694971648</v>
      </c>
      <c r="AR24" s="39">
        <f t="shared" si="8"/>
        <v>3886.1027971422923</v>
      </c>
      <c r="AS24" s="39">
        <f t="shared" si="8"/>
        <v>4139.7278466814414</v>
      </c>
      <c r="AT24" s="39">
        <f t="shared" si="8"/>
        <v>4409.9056404766197</v>
      </c>
      <c r="AU24" s="39">
        <f t="shared" si="8"/>
        <v>4697.7164872075236</v>
      </c>
      <c r="AV24" s="39">
        <f t="shared" si="8"/>
        <v>5004.3112014968738</v>
      </c>
      <c r="AW24" s="39">
        <f t="shared" si="8"/>
        <v>5330.9157054544903</v>
      </c>
      <c r="AX24" s="39">
        <f t="shared" si="8"/>
        <v>5678.8359305394206</v>
      </c>
    </row>
    <row r="25" spans="1:50" x14ac:dyDescent="0.2">
      <c r="AM25" s="13" t="s">
        <v>187</v>
      </c>
      <c r="AN25" s="13">
        <f>(AN17-AM17)/AM17</f>
        <v>6.5264627000000242E-2</v>
      </c>
    </row>
    <row r="26" spans="1:50" x14ac:dyDescent="0.2">
      <c r="A26" s="5" t="s">
        <v>46</v>
      </c>
      <c r="AM26" s="13" t="s">
        <v>187</v>
      </c>
      <c r="AN26" s="13">
        <f t="shared" ref="AN26:AN32" si="9">(AN18-AM18)/AM18</f>
        <v>6.5264626999999964E-2</v>
      </c>
    </row>
    <row r="27" spans="1:50" x14ac:dyDescent="0.2">
      <c r="A27" s="5" t="s">
        <v>4</v>
      </c>
      <c r="AM27" s="13" t="s">
        <v>187</v>
      </c>
      <c r="AN27" s="13">
        <f t="shared" si="9"/>
        <v>6.5264627000000103E-2</v>
      </c>
    </row>
    <row r="28" spans="1:50" x14ac:dyDescent="0.2">
      <c r="A28" s="5"/>
      <c r="AM28" s="13" t="s">
        <v>187</v>
      </c>
      <c r="AN28" s="13">
        <f t="shared" si="9"/>
        <v>6.5264627000000228E-2</v>
      </c>
    </row>
    <row r="29" spans="1:50" x14ac:dyDescent="0.2">
      <c r="A29" s="5"/>
      <c r="AM29" s="13" t="s">
        <v>187</v>
      </c>
      <c r="AN29" s="13">
        <f t="shared" si="9"/>
        <v>6.5264627000000144E-2</v>
      </c>
    </row>
    <row r="30" spans="1:50" x14ac:dyDescent="0.2">
      <c r="A30" s="5"/>
      <c r="AM30" s="13" t="s">
        <v>187</v>
      </c>
      <c r="AN30" s="13">
        <f t="shared" si="9"/>
        <v>6.5264627000000311E-2</v>
      </c>
    </row>
    <row r="31" spans="1:50" x14ac:dyDescent="0.2">
      <c r="A31" s="5"/>
      <c r="AM31" s="13" t="s">
        <v>187</v>
      </c>
      <c r="AN31" s="13">
        <f t="shared" si="9"/>
        <v>6.5264627000000131E-2</v>
      </c>
    </row>
    <row r="32" spans="1:50" x14ac:dyDescent="0.2">
      <c r="A32" s="5"/>
      <c r="AM32" s="13" t="s">
        <v>187</v>
      </c>
      <c r="AN32" s="13">
        <f t="shared" si="9"/>
        <v>6.5264627000000144E-2</v>
      </c>
    </row>
    <row r="33" spans="1:50" x14ac:dyDescent="0.2">
      <c r="A33" s="5" t="s">
        <v>47</v>
      </c>
    </row>
    <row r="34" spans="1:50" x14ac:dyDescent="0.2">
      <c r="A34" s="5" t="s">
        <v>6</v>
      </c>
    </row>
    <row r="35" spans="1:50" x14ac:dyDescent="0.2">
      <c r="A35" t="s">
        <v>156</v>
      </c>
      <c r="B35">
        <v>1000000</v>
      </c>
    </row>
    <row r="36" spans="1:50" x14ac:dyDescent="0.2">
      <c r="A36" s="6" t="s">
        <v>7</v>
      </c>
      <c r="B36" s="6">
        <v>2022</v>
      </c>
      <c r="C36" s="6">
        <v>2023</v>
      </c>
      <c r="D36" s="6">
        <v>2024</v>
      </c>
      <c r="E36" s="6">
        <v>2025</v>
      </c>
      <c r="F36" s="6">
        <v>2026</v>
      </c>
      <c r="G36" s="6">
        <v>2027</v>
      </c>
      <c r="H36" s="6">
        <v>2028</v>
      </c>
      <c r="I36" s="6">
        <v>2029</v>
      </c>
      <c r="J36" s="6">
        <v>2030</v>
      </c>
      <c r="K36" s="6">
        <v>2031</v>
      </c>
      <c r="L36" s="6">
        <v>2032</v>
      </c>
      <c r="M36" s="6">
        <v>2033</v>
      </c>
      <c r="N36" s="6">
        <v>2034</v>
      </c>
      <c r="O36" s="6">
        <v>2035</v>
      </c>
      <c r="P36" s="6">
        <v>2036</v>
      </c>
      <c r="Q36" s="6">
        <v>2037</v>
      </c>
      <c r="R36" s="6">
        <v>2038</v>
      </c>
      <c r="S36" s="6">
        <v>2039</v>
      </c>
      <c r="T36" s="6">
        <v>2040</v>
      </c>
      <c r="U36" s="6">
        <v>2041</v>
      </c>
      <c r="V36" s="6">
        <v>2042</v>
      </c>
      <c r="W36" s="6">
        <v>2043</v>
      </c>
      <c r="X36" s="6">
        <v>2044</v>
      </c>
      <c r="Y36" s="6">
        <v>2045</v>
      </c>
      <c r="Z36" s="6">
        <v>2046</v>
      </c>
      <c r="AA36" s="6">
        <v>2047</v>
      </c>
      <c r="AB36" s="6">
        <v>2048</v>
      </c>
      <c r="AC36" s="6">
        <v>2049</v>
      </c>
      <c r="AD36" s="6">
        <v>2050</v>
      </c>
      <c r="AE36" s="6">
        <v>2051</v>
      </c>
      <c r="AF36" s="6">
        <v>2052</v>
      </c>
      <c r="AG36" s="6">
        <v>2053</v>
      </c>
      <c r="AH36" s="6">
        <v>2054</v>
      </c>
      <c r="AI36" s="6">
        <v>2055</v>
      </c>
      <c r="AJ36" s="6">
        <v>2056</v>
      </c>
      <c r="AK36" s="6">
        <v>2057</v>
      </c>
      <c r="AL36" s="6">
        <v>2058</v>
      </c>
      <c r="AM36" s="6">
        <v>2059</v>
      </c>
      <c r="AN36" s="6">
        <v>2060</v>
      </c>
      <c r="AO36" s="39">
        <f>AN36+1</f>
        <v>2061</v>
      </c>
      <c r="AP36" s="39">
        <f t="shared" ref="AP36:AX36" si="10">AO36+1</f>
        <v>2062</v>
      </c>
      <c r="AQ36" s="39">
        <f t="shared" si="10"/>
        <v>2063</v>
      </c>
      <c r="AR36" s="39">
        <f t="shared" si="10"/>
        <v>2064</v>
      </c>
      <c r="AS36" s="39">
        <f t="shared" si="10"/>
        <v>2065</v>
      </c>
      <c r="AT36" s="39">
        <f t="shared" si="10"/>
        <v>2066</v>
      </c>
      <c r="AU36" s="39">
        <f t="shared" si="10"/>
        <v>2067</v>
      </c>
      <c r="AV36" s="39">
        <f t="shared" si="10"/>
        <v>2068</v>
      </c>
      <c r="AW36" s="39">
        <f>AV36+1</f>
        <v>2069</v>
      </c>
      <c r="AX36" s="39">
        <f t="shared" si="10"/>
        <v>2070</v>
      </c>
    </row>
    <row r="37" spans="1:50" x14ac:dyDescent="0.2">
      <c r="A37" s="6" t="s">
        <v>40</v>
      </c>
      <c r="B37" s="11">
        <v>1.4471192500736063</v>
      </c>
      <c r="C37" s="11">
        <v>1.5415649481541798</v>
      </c>
      <c r="D37" s="11">
        <v>1.6421746094917375</v>
      </c>
      <c r="E37" s="11">
        <v>1.7493505228490867</v>
      </c>
      <c r="F37" s="11">
        <v>1.8635212322150876</v>
      </c>
      <c r="G37" s="11">
        <v>1.9851432503421866</v>
      </c>
      <c r="H37" s="11">
        <v>2.114702884117337</v>
      </c>
      <c r="I37" s="11">
        <v>2.252718179065079</v>
      </c>
      <c r="J37" s="11">
        <v>2.3997409907578811</v>
      </c>
      <c r="K37" s="11">
        <v>2.5563591914163055</v>
      </c>
      <c r="L37" s="11">
        <v>2.723199020522113</v>
      </c>
      <c r="M37" s="11">
        <v>2.9009275888432553</v>
      </c>
      <c r="N37" s="11">
        <v>3.0902555458831191</v>
      </c>
      <c r="O37" s="11">
        <v>3.2919399214198646</v>
      </c>
      <c r="P37" s="11">
        <v>3.5067871524977416</v>
      </c>
      <c r="Q37" s="11">
        <v>3.7356563079738994</v>
      </c>
      <c r="R37" s="11">
        <v>3.9794625235140146</v>
      </c>
      <c r="S37" s="11">
        <v>4.2391806607716358</v>
      </c>
      <c r="T37" s="11">
        <v>4.5158492053825103</v>
      </c>
      <c r="U37" s="11">
        <v>4.810574419360047</v>
      </c>
      <c r="V37" s="11">
        <v>5.1245347644953236</v>
      </c>
      <c r="W37" s="11">
        <v>5.4589856144486451</v>
      </c>
      <c r="X37" s="11">
        <v>5.8152642743740035</v>
      </c>
      <c r="Y37" s="11">
        <v>6.1947953281474488</v>
      </c>
      <c r="Z37" s="11">
        <v>6.5990963345803371</v>
      </c>
      <c r="AA37" s="11">
        <v>7.0297838953937903</v>
      </c>
      <c r="AB37" s="11">
        <v>7.4885801192172758</v>
      </c>
      <c r="AC37" s="11">
        <v>7.9773195074576071</v>
      </c>
      <c r="AD37" s="11">
        <v>8.4979562895716541</v>
      </c>
      <c r="AE37" s="11">
        <v>9.0525722370728552</v>
      </c>
      <c r="AF37" s="11">
        <v>9.6433849875159741</v>
      </c>
      <c r="AG37" s="11">
        <v>10.272756911743606</v>
      </c>
      <c r="AH37" s="11">
        <v>10.943204559850223</v>
      </c>
      <c r="AI37" s="11">
        <v>11.65740872363355</v>
      </c>
      <c r="AJ37" s="11">
        <v>12.418225155768042</v>
      </c>
      <c r="AK37" s="11">
        <v>13.228695988561265</v>
      </c>
      <c r="AL37" s="11">
        <v>14.092061897951117</v>
      </c>
      <c r="AM37" s="11">
        <v>15.01177506138181</v>
      </c>
      <c r="AN37" s="11">
        <v>15.991512961370798</v>
      </c>
      <c r="AO37" s="39">
        <f>(AN37+AN37*$AN$45)</f>
        <v>17.03519308996033</v>
      </c>
      <c r="AP37" s="39">
        <f t="shared" ref="AP37:AX37" si="11">(AO37+AO37*$AN$45)</f>
        <v>18.146988612849572</v>
      </c>
      <c r="AQ37" s="39">
        <f t="shared" si="11"/>
        <v>19.331345055840451</v>
      </c>
      <c r="AR37" s="39">
        <f t="shared" si="11"/>
        <v>20.592998080318175</v>
      </c>
      <c r="AS37" s="39">
        <f t="shared" si="11"/>
        <v>21.936992418841861</v>
      </c>
      <c r="AT37" s="39">
        <f t="shared" si="11"/>
        <v>23.368702046559406</v>
      </c>
      <c r="AU37" s="39">
        <f t="shared" si="11"/>
        <v>24.893851669102247</v>
      </c>
      <c r="AV37" s="39">
        <f t="shared" si="11"/>
        <v>26.518539612879536</v>
      </c>
      <c r="AW37" s="39">
        <f t="shared" si="11"/>
        <v>28.249262209298848</v>
      </c>
      <c r="AX37" s="39">
        <f t="shared" si="11"/>
        <v>30.092939770413938</v>
      </c>
    </row>
    <row r="38" spans="1:50" x14ac:dyDescent="0.2">
      <c r="A38" s="6" t="s">
        <v>41</v>
      </c>
      <c r="B38" s="11">
        <v>0.88399208515874217</v>
      </c>
      <c r="C38" s="11">
        <v>0.94168549886757968</v>
      </c>
      <c r="D38" s="11">
        <v>1.0031442517024816</v>
      </c>
      <c r="E38" s="11">
        <v>1.0686140871170382</v>
      </c>
      <c r="F38" s="11">
        <v>1.1383567869196776</v>
      </c>
      <c r="G38" s="11">
        <v>1.2126512180109092</v>
      </c>
      <c r="H38" s="11">
        <v>1.2917944474354872</v>
      </c>
      <c r="I38" s="11">
        <v>1.3761029302080352</v>
      </c>
      <c r="J38" s="11">
        <v>1.4659137746616699</v>
      </c>
      <c r="K38" s="11">
        <v>1.5615860903791261</v>
      </c>
      <c r="L38" s="11">
        <v>1.6635024240961087</v>
      </c>
      <c r="M38" s="11">
        <v>1.7720702893183375</v>
      </c>
      <c r="N38" s="11">
        <v>1.8877237957684807</v>
      </c>
      <c r="O38" s="11">
        <v>2.0109253851783362</v>
      </c>
      <c r="P38" s="11">
        <v>2.1421676803668319</v>
      </c>
      <c r="Q38" s="11">
        <v>2.2819754549974287</v>
      </c>
      <c r="R38" s="11">
        <v>2.4309077318909922</v>
      </c>
      <c r="S38" s="11">
        <v>2.5895600182842737</v>
      </c>
      <c r="T38" s="11">
        <v>2.7585666869717107</v>
      </c>
      <c r="U38" s="11">
        <v>2.9386035128515462</v>
      </c>
      <c r="V38" s="11">
        <v>3.1303903750186923</v>
      </c>
      <c r="W38" s="11">
        <v>3.3346941352086774</v>
      </c>
      <c r="X38" s="11">
        <v>3.5523317041021603</v>
      </c>
      <c r="Y38" s="11">
        <v>3.7841733077506627</v>
      </c>
      <c r="Z38" s="11">
        <v>4.0311459671843668</v>
      </c>
      <c r="AA38" s="11">
        <v>4.29423720511521</v>
      </c>
      <c r="AB38" s="11">
        <v>4.5744989945565786</v>
      </c>
      <c r="AC38" s="11">
        <v>4.8730519651481892</v>
      </c>
      <c r="AD38" s="11">
        <v>5.1910898840052031</v>
      </c>
      <c r="AE38" s="11">
        <v>5.5298844290082787</v>
      </c>
      <c r="AF38" s="11">
        <v>5.8907902736206132</v>
      </c>
      <c r="AG38" s="11">
        <v>6.2752505035636919</v>
      </c>
      <c r="AH38" s="11">
        <v>6.6848023870103379</v>
      </c>
      <c r="AI38" s="11">
        <v>7.1210835213672796</v>
      </c>
      <c r="AJ38" s="11">
        <v>7.5858383812251624</v>
      </c>
      <c r="AK38" s="11">
        <v>8.08092529365811</v>
      </c>
      <c r="AL38" s="11">
        <v>8.6083238687635735</v>
      </c>
      <c r="AM38" s="11">
        <v>9.170142915153626</v>
      </c>
      <c r="AN38" s="11">
        <v>9.768628872047822</v>
      </c>
      <c r="AO38" s="39">
        <f t="shared" ref="AO38:AX44" si="12">(AN38+AN38*$AN$45)</f>
        <v>10.406174791683455</v>
      </c>
      <c r="AP38" s="39">
        <f t="shared" si="12"/>
        <v>11.08532990795948</v>
      </c>
      <c r="AQ38" s="39">
        <f t="shared" si="12"/>
        <v>11.808809829574402</v>
      </c>
      <c r="AR38" s="39">
        <f t="shared" si="12"/>
        <v>12.579507398415512</v>
      </c>
      <c r="AS38" s="39">
        <f t="shared" si="12"/>
        <v>13.400504256616843</v>
      </c>
      <c r="AT38" s="39">
        <f t="shared" si="12"/>
        <v>14.275083168536856</v>
      </c>
      <c r="AU38" s="39">
        <f t="shared" si="12"/>
        <v>15.206741146925394</v>
      </c>
      <c r="AV38" s="39">
        <f t="shared" si="12"/>
        <v>16.199203435765035</v>
      </c>
      <c r="AW38" s="39">
        <f t="shared" si="12"/>
        <v>17.256438405697363</v>
      </c>
      <c r="AX38" s="39">
        <f t="shared" si="12"/>
        <v>18.38267342159368</v>
      </c>
    </row>
    <row r="39" spans="1:50" x14ac:dyDescent="0.2">
      <c r="A39" s="6" t="s">
        <v>42</v>
      </c>
      <c r="B39" s="11">
        <v>0.68642420813891092</v>
      </c>
      <c r="C39" s="11">
        <v>0.73122342804686735</v>
      </c>
      <c r="D39" s="11">
        <v>0.77894645233200777</v>
      </c>
      <c r="E39" s="11">
        <v>0.82978410199642971</v>
      </c>
      <c r="F39" s="11">
        <v>0.88393965190375678</v>
      </c>
      <c r="G39" s="11">
        <v>0.94162964357576562</v>
      </c>
      <c r="H39" s="11">
        <v>1.0030847510358811</v>
      </c>
      <c r="I39" s="11">
        <v>1.0685507031616257</v>
      </c>
      <c r="J39" s="11">
        <v>1.1382892662340571</v>
      </c>
      <c r="K39" s="11">
        <v>1.2125792906129269</v>
      </c>
      <c r="L39" s="11">
        <v>1.2917178257227044</v>
      </c>
      <c r="M39" s="11">
        <v>1.3760213078077481</v>
      </c>
      <c r="N39" s="11">
        <v>1.465826825205873</v>
      </c>
      <c r="O39" s="11">
        <v>1.5614934661995297</v>
      </c>
      <c r="P39" s="11">
        <v>1.6634037548339791</v>
      </c>
      <c r="Q39" s="11">
        <v>1.7719651804436183</v>
      </c>
      <c r="R39" s="11">
        <v>1.8876118270022595</v>
      </c>
      <c r="S39" s="11">
        <v>2.0108061088123503</v>
      </c>
      <c r="T39" s="11">
        <v>2.1420406194733101</v>
      </c>
      <c r="U39" s="11">
        <v>2.2818401015220853</v>
      </c>
      <c r="V39" s="11">
        <v>2.4307635446215667</v>
      </c>
      <c r="W39" s="11">
        <v>2.5894064206864917</v>
      </c>
      <c r="X39" s="11">
        <v>2.7584030648840017</v>
      </c>
      <c r="Y39" s="11">
        <v>2.938429212029313</v>
      </c>
      <c r="Z39" s="11">
        <v>3.1302046985183112</v>
      </c>
      <c r="AA39" s="11">
        <v>3.3344963406007571</v>
      </c>
      <c r="AB39" s="11">
        <v>3.5521210005029311</v>
      </c>
      <c r="AC39" s="11">
        <v>3.7839488526596221</v>
      </c>
      <c r="AD39" s="11">
        <v>4.0309068631155318</v>
      </c>
      <c r="AE39" s="11">
        <v>4.2939824960085078</v>
      </c>
      <c r="AF39" s="11">
        <v>4.5742276619550335</v>
      </c>
      <c r="AG39" s="11">
        <v>4.8727629241256123</v>
      </c>
      <c r="AH39" s="11">
        <v>5.1907819788280989</v>
      </c>
      <c r="AI39" s="11">
        <v>5.5295564285146384</v>
      </c>
      <c r="AJ39" s="11">
        <v>5.8904408662970988</v>
      </c>
      <c r="AK39" s="11">
        <v>6.2748782923015387</v>
      </c>
      <c r="AL39" s="11">
        <v>6.6844058835189974</v>
      </c>
      <c r="AM39" s="11">
        <v>7.1206611402234703</v>
      </c>
      <c r="AN39" s="11">
        <v>7.5853884335335513</v>
      </c>
      <c r="AO39" s="39">
        <f t="shared" si="12"/>
        <v>8.0804459802982347</v>
      </c>
      <c r="AP39" s="39">
        <f t="shared" si="12"/>
        <v>8.6078132731960491</v>
      </c>
      <c r="AQ39" s="39">
        <f t="shared" si="12"/>
        <v>9.1695989957568393</v>
      </c>
      <c r="AR39" s="39">
        <f t="shared" si="12"/>
        <v>9.768049453954486</v>
      </c>
      <c r="AS39" s="39">
        <f t="shared" si="12"/>
        <v>10.40555755808438</v>
      </c>
      <c r="AT39" s="39">
        <f t="shared" si="12"/>
        <v>11.08467239083979</v>
      </c>
      <c r="AU39" s="39">
        <f t="shared" si="12"/>
        <v>11.808109399845149</v>
      </c>
      <c r="AV39" s="39">
        <f t="shared" si="12"/>
        <v>12.578761255401238</v>
      </c>
      <c r="AW39" s="39">
        <f t="shared" si="12"/>
        <v>13.399709416857053</v>
      </c>
      <c r="AX39" s="39">
        <f t="shared" si="12"/>
        <v>14.274236453856618</v>
      </c>
    </row>
    <row r="40" spans="1:50" x14ac:dyDescent="0.2">
      <c r="A40" s="6" t="s">
        <v>43</v>
      </c>
      <c r="B40" s="11">
        <v>4.8138709563875733E-2</v>
      </c>
      <c r="C40" s="11">
        <v>5.1280464487823418E-2</v>
      </c>
      <c r="D40" s="11">
        <v>5.4627264875007985E-2</v>
      </c>
      <c r="E40" s="11">
        <v>5.8192492941105588E-2</v>
      </c>
      <c r="F40" s="11">
        <v>6.1990404287106983E-2</v>
      </c>
      <c r="G40" s="11">
        <v>6.6036184900484241E-2</v>
      </c>
      <c r="H40" s="11">
        <v>7.03460118765174E-2</v>
      </c>
      <c r="I40" s="11">
        <v>7.4937118102575861E-2</v>
      </c>
      <c r="J40" s="11">
        <v>7.9827861163995442E-2</v>
      </c>
      <c r="K40" s="11">
        <v>8.5037796747071404E-2</v>
      </c>
      <c r="L40" s="11">
        <v>9.058775683267084E-2</v>
      </c>
      <c r="M40" s="11">
        <v>9.6499932993121859E-2</v>
      </c>
      <c r="N40" s="11">
        <v>0.10279796512544295</v>
      </c>
      <c r="O40" s="11">
        <v>0.10950703597571405</v>
      </c>
      <c r="P40" s="11">
        <v>0.11665397183254464</v>
      </c>
      <c r="Q40" s="11">
        <v>0.12426734979226418</v>
      </c>
      <c r="R40" s="11">
        <v>0.13237761202473489</v>
      </c>
      <c r="S40" s="11">
        <v>0.14101718749667988</v>
      </c>
      <c r="T40" s="11">
        <v>0.1502206216392398</v>
      </c>
      <c r="U40" s="11">
        <v>0.16002471447823297</v>
      </c>
      <c r="V40" s="11">
        <v>0.17046866777943639</v>
      </c>
      <c r="W40" s="11">
        <v>0.18159424179724823</v>
      </c>
      <c r="X40" s="11">
        <v>0.19344592225349355</v>
      </c>
      <c r="Y40" s="11">
        <v>0.20607109821403879</v>
      </c>
      <c r="Z40" s="11">
        <v>0.21952025157445848</v>
      </c>
      <c r="AA40" s="11">
        <v>0.23384715891241173</v>
      </c>
      <c r="AB40" s="11">
        <v>0.24910910651384005</v>
      </c>
      <c r="AC40" s="11">
        <v>0.26536711943276914</v>
      </c>
      <c r="AD40" s="11">
        <v>0.2826862055006133</v>
      </c>
      <c r="AE40" s="11">
        <v>0.30113561526065635</v>
      </c>
      <c r="AF40" s="11">
        <v>0.32078911886705858</v>
      </c>
      <c r="AG40" s="11">
        <v>0.34172530105557597</v>
      </c>
      <c r="AH40" s="11">
        <v>0.3640278753654308</v>
      </c>
      <c r="AI40" s="11">
        <v>0.3877860188687583</v>
      </c>
      <c r="AJ40" s="11">
        <v>0.41309472874604275</v>
      </c>
      <c r="AK40" s="11">
        <v>0.44005520213331961</v>
      </c>
      <c r="AL40" s="11">
        <v>0.46877524075996047</v>
      </c>
      <c r="AM40" s="11">
        <v>0.49936968199499454</v>
      </c>
      <c r="AN40" s="11">
        <v>0.53196085802550652</v>
      </c>
      <c r="AO40" s="39">
        <f t="shared" si="12"/>
        <v>0.56667908500314124</v>
      </c>
      <c r="AP40" s="39">
        <f t="shared" si="12"/>
        <v>0.60366318411457265</v>
      </c>
      <c r="AQ40" s="39">
        <f t="shared" si="12"/>
        <v>0.6430610366594427</v>
      </c>
      <c r="AR40" s="39">
        <f t="shared" si="12"/>
        <v>0.68503017535525468</v>
      </c>
      <c r="AS40" s="39">
        <f t="shared" si="12"/>
        <v>0.72973841423356012</v>
      </c>
      <c r="AT40" s="39">
        <f t="shared" si="12"/>
        <v>0.77736451964608499</v>
      </c>
      <c r="AU40" s="39">
        <f t="shared" si="12"/>
        <v>0.82809892506382099</v>
      </c>
      <c r="AV40" s="39">
        <f t="shared" si="12"/>
        <v>0.88214449252721239</v>
      </c>
      <c r="AW40" s="39">
        <f t="shared" si="12"/>
        <v>0.93971732379210537</v>
      </c>
      <c r="AX40" s="39">
        <f t="shared" si="12"/>
        <v>1.0010476244148354</v>
      </c>
    </row>
    <row r="41" spans="1:50" x14ac:dyDescent="0.2">
      <c r="A41" s="6" t="s">
        <v>8</v>
      </c>
      <c r="B41" s="11">
        <v>3.6816096467932567E-2</v>
      </c>
      <c r="C41" s="11">
        <v>3.92188852715082E-2</v>
      </c>
      <c r="D41" s="11">
        <v>4.1778491190108992E-2</v>
      </c>
      <c r="E41" s="11">
        <v>4.4505148834254257E-2</v>
      </c>
      <c r="F41" s="11">
        <v>4.7409760772501357E-2</v>
      </c>
      <c r="G41" s="11">
        <v>5.0503941125477902E-2</v>
      </c>
      <c r="H41" s="11">
        <v>5.3800062005062183E-2</v>
      </c>
      <c r="I41" s="11">
        <v>5.7311302984399431E-2</v>
      </c>
      <c r="J41" s="11">
        <v>6.1051703796560268E-2</v>
      </c>
      <c r="K41" s="11">
        <v>6.5036220472557277E-2</v>
      </c>
      <c r="L41" s="11">
        <v>6.9280785143188486E-2</v>
      </c>
      <c r="M41" s="11">
        <v>7.3802369743825869E-2</v>
      </c>
      <c r="N41" s="11">
        <v>7.8619053876872735E-2</v>
      </c>
      <c r="O41" s="11">
        <v>8.3750097103239815E-2</v>
      </c>
      <c r="P41" s="11">
        <v>8.9216015951896543E-2</v>
      </c>
      <c r="Q41" s="11">
        <v>9.5038665955423124E-2</v>
      </c>
      <c r="R41" s="11">
        <v>0.10124132903958144</v>
      </c>
      <c r="S41" s="11">
        <v>0.107848806616334</v>
      </c>
      <c r="T41" s="11">
        <v>0.1148875187525442</v>
      </c>
      <c r="U41" s="11">
        <v>0.12238560981088453</v>
      </c>
      <c r="V41" s="11">
        <v>0.13037306098535947</v>
      </c>
      <c r="W41" s="11">
        <v>0.13888181018141721</v>
      </c>
      <c r="X41" s="11">
        <v>0.14794587971999229</v>
      </c>
      <c r="Y41" s="11">
        <v>0.15760151237610442</v>
      </c>
      <c r="Z41" s="11">
        <v>0.16788731629596684</v>
      </c>
      <c r="AA41" s="11">
        <v>0.17884441937205417</v>
      </c>
      <c r="AB41" s="11">
        <v>0.19051663369340294</v>
      </c>
      <c r="AC41" s="11">
        <v>0.20295063072869851</v>
      </c>
      <c r="AD41" s="11">
        <v>0.21619612794262183</v>
      </c>
      <c r="AE41" s="11">
        <v>0.23030608759164137</v>
      </c>
      <c r="AF41" s="11">
        <v>0.24533692849413927</v>
      </c>
      <c r="AG41" s="11">
        <v>0.26134875162163501</v>
      </c>
      <c r="AH41" s="11">
        <v>0.27840558041313657</v>
      </c>
      <c r="AI41" s="11">
        <v>0.29657561677351857</v>
      </c>
      <c r="AJ41" s="11">
        <v>0.31593151377953721</v>
      </c>
      <c r="AK41" s="11">
        <v>0.33655066618390422</v>
      </c>
      <c r="AL41" s="11">
        <v>0.35851551987899832</v>
      </c>
      <c r="AM41" s="11">
        <v>0.38191390155761229</v>
      </c>
      <c r="AN41" s="11">
        <v>0.40683936988888464</v>
      </c>
      <c r="AO41" s="39">
        <f t="shared" si="12"/>
        <v>0.43339158961359781</v>
      </c>
      <c r="AP41" s="39">
        <f t="shared" si="12"/>
        <v>0.46167673005466642</v>
      </c>
      <c r="AQ41" s="39">
        <f t="shared" si="12"/>
        <v>0.49180788963626398</v>
      </c>
      <c r="AR41" s="39">
        <f t="shared" si="12"/>
        <v>0.523905548109032</v>
      </c>
      <c r="AS41" s="39">
        <f t="shared" si="12"/>
        <v>0.55809804828959864</v>
      </c>
      <c r="AT41" s="39">
        <f t="shared" si="12"/>
        <v>0.59452210924064741</v>
      </c>
      <c r="AU41" s="39">
        <f t="shared" si="12"/>
        <v>0.63332337294349161</v>
      </c>
      <c r="AV41" s="39">
        <f t="shared" si="12"/>
        <v>0.67465698664903062</v>
      </c>
      <c r="AW41" s="39">
        <f t="shared" si="12"/>
        <v>0.71868822323562365</v>
      </c>
      <c r="AX41" s="39">
        <f t="shared" si="12"/>
        <v>0.76559314205438944</v>
      </c>
    </row>
    <row r="42" spans="1:50" x14ac:dyDescent="0.2">
      <c r="A42" s="6" t="s">
        <v>9</v>
      </c>
      <c r="B42" s="11">
        <v>0.37742676066855957</v>
      </c>
      <c r="C42" s="11">
        <v>0.40205937742341141</v>
      </c>
      <c r="D42" s="11">
        <v>0.4282996327228028</v>
      </c>
      <c r="E42" s="11">
        <v>0.45625244849669366</v>
      </c>
      <c r="F42" s="11">
        <v>0.48602959436566712</v>
      </c>
      <c r="G42" s="11">
        <v>0.51775013455290386</v>
      </c>
      <c r="H42" s="11">
        <v>0.55154090396369915</v>
      </c>
      <c r="I42" s="11">
        <v>0.58753701533613256</v>
      </c>
      <c r="J42" s="11">
        <v>0.62588239949073865</v>
      </c>
      <c r="K42" s="11">
        <v>0.66673038083936698</v>
      </c>
      <c r="L42" s="11">
        <v>0.71024429045441639</v>
      </c>
      <c r="M42" s="11">
        <v>0.75659811914980368</v>
      </c>
      <c r="N42" s="11">
        <v>0.80597721318501714</v>
      </c>
      <c r="O42" s="11">
        <v>0.85857901537403747</v>
      </c>
      <c r="P42" s="11">
        <v>0.91461385456245137</v>
      </c>
      <c r="Q42" s="11">
        <v>0.97430578662950207</v>
      </c>
      <c r="R42" s="11">
        <v>1.0378934903778183</v>
      </c>
      <c r="S42" s="11">
        <v>1.1056312218930546</v>
      </c>
      <c r="T42" s="11">
        <v>1.1777898311894597</v>
      </c>
      <c r="U42" s="11">
        <v>1.254657845206433</v>
      </c>
      <c r="V42" s="11">
        <v>1.3365426214864549</v>
      </c>
      <c r="W42" s="11">
        <v>1.4237715771473705</v>
      </c>
      <c r="X42" s="11">
        <v>1.5166934980630959</v>
      </c>
      <c r="Y42" s="11">
        <v>1.6156799334875094</v>
      </c>
      <c r="Z42" s="11">
        <v>1.7211266816979571</v>
      </c>
      <c r="AA42" s="11">
        <v>1.8334553725987222</v>
      </c>
      <c r="AB42" s="11">
        <v>1.9531151536125244</v>
      </c>
      <c r="AC42" s="11">
        <v>2.080584485601094</v>
      </c>
      <c r="AD42" s="11">
        <v>2.2163730559958363</v>
      </c>
      <c r="AE42" s="11">
        <v>2.3610238167882551</v>
      </c>
      <c r="AF42" s="11">
        <v>2.5151151555290587</v>
      </c>
      <c r="AG42" s="11">
        <v>2.6792632080167098</v>
      </c>
      <c r="AH42" s="11">
        <v>2.8541243219227437</v>
      </c>
      <c r="AI42" s="11">
        <v>3.0403976812046603</v>
      </c>
      <c r="AJ42" s="11">
        <v>3.2388281018001472</v>
      </c>
      <c r="AK42" s="11">
        <v>3.4502090097812546</v>
      </c>
      <c r="AL42" s="11">
        <v>3.6753856138766676</v>
      </c>
      <c r="AM42" s="11">
        <v>3.9152582850474951</v>
      </c>
      <c r="AN42" s="11">
        <v>4.1707861566297799</v>
      </c>
      <c r="AO42" s="39">
        <f t="shared" si="12"/>
        <v>4.4429909594389869</v>
      </c>
      <c r="AP42" s="39">
        <f t="shared" si="12"/>
        <v>4.7329611071711453</v>
      </c>
      <c r="AQ42" s="39">
        <f t="shared" si="12"/>
        <v>5.0418560484361779</v>
      </c>
      <c r="AR42" s="39">
        <f t="shared" si="12"/>
        <v>5.3709109028250595</v>
      </c>
      <c r="AS42" s="39">
        <f t="shared" si="12"/>
        <v>5.721441399548171</v>
      </c>
      <c r="AT42" s="39">
        <f t="shared" si="12"/>
        <v>6.0948491383920409</v>
      </c>
      <c r="AU42" s="39">
        <f t="shared" si="12"/>
        <v>6.4926271940304696</v>
      </c>
      <c r="AV42" s="39">
        <f t="shared" si="12"/>
        <v>6.9163660860989262</v>
      </c>
      <c r="AW42" s="39">
        <f t="shared" si="12"/>
        <v>7.3677601389036234</v>
      </c>
      <c r="AX42" s="39">
        <f t="shared" si="12"/>
        <v>7.8486142561946375</v>
      </c>
    </row>
    <row r="43" spans="1:50" x14ac:dyDescent="0.2">
      <c r="A43" s="6" t="s">
        <v>10</v>
      </c>
      <c r="B43" s="11">
        <v>3.2781125585794053E-4</v>
      </c>
      <c r="C43" s="11">
        <v>3.4920573519791053E-4</v>
      </c>
      <c r="D43" s="11">
        <v>3.7199651725186312E-4</v>
      </c>
      <c r="E43" s="11">
        <v>3.9627473119560516E-4</v>
      </c>
      <c r="F43" s="11">
        <v>4.221374537166117E-4</v>
      </c>
      <c r="G43" s="11">
        <v>4.4968809717615618E-4</v>
      </c>
      <c r="H43" s="11">
        <v>4.7903682310469786E-4</v>
      </c>
      <c r="I43" s="11">
        <v>5.1030098268389085E-4</v>
      </c>
      <c r="J43" s="11">
        <v>5.4360558597648864E-4</v>
      </c>
      <c r="K43" s="11">
        <v>5.7908380178036073E-4</v>
      </c>
      <c r="L43" s="11">
        <v>6.1687749010529798E-4</v>
      </c>
      <c r="M43" s="11">
        <v>6.5713776940171673E-4</v>
      </c>
      <c r="N43" s="11">
        <v>7.0002562080933174E-4</v>
      </c>
      <c r="O43" s="11">
        <v>7.4571253184189674E-4</v>
      </c>
      <c r="P43" s="11">
        <v>7.9438118208178393E-4</v>
      </c>
      <c r="Q43" s="11">
        <v>8.4622617362617079E-4</v>
      </c>
      <c r="R43" s="11">
        <v>9.0145480920552029E-4</v>
      </c>
      <c r="S43" s="11">
        <v>9.6028792108567463E-4</v>
      </c>
      <c r="T43" s="11">
        <v>1.0229607540679368E-3</v>
      </c>
      <c r="U43" s="11">
        <v>1.08972390611782E-3</v>
      </c>
      <c r="V43" s="11">
        <v>1.1608443303835828E-3</v>
      </c>
      <c r="W43" s="11">
        <v>1.2366064026111321E-3</v>
      </c>
      <c r="X43" s="11">
        <v>1.3173130582233596E-3</v>
      </c>
      <c r="Y43" s="11">
        <v>1.4032870036105366E-3</v>
      </c>
      <c r="Z43" s="11">
        <v>1.4948720064751266E-3</v>
      </c>
      <c r="AA43" s="11">
        <v>1.5924342703904676E-3</v>
      </c>
      <c r="AB43" s="11">
        <v>1.6963638990695189E-3</v>
      </c>
      <c r="AC43" s="11">
        <v>1.8070764561985569E-3</v>
      </c>
      <c r="AD43" s="11">
        <v>1.9250146270728379E-3</v>
      </c>
      <c r="AE43" s="11">
        <v>2.0506499886782919E-3</v>
      </c>
      <c r="AF43" s="11">
        <v>2.1844848952969355E-3</v>
      </c>
      <c r="AG43" s="11">
        <v>2.3270544871756243E-3</v>
      </c>
      <c r="AH43" s="11">
        <v>2.4789288302898174E-3</v>
      </c>
      <c r="AI43" s="11">
        <v>2.6407151957582296E-3</v>
      </c>
      <c r="AJ43" s="11">
        <v>2.8130604880226232E-3</v>
      </c>
      <c r="AK43" s="11">
        <v>2.9966538315018589E-3</v>
      </c>
      <c r="AL43" s="11">
        <v>3.1922293260629496E-3</v>
      </c>
      <c r="AM43" s="11">
        <v>3.4005689823269096E-3</v>
      </c>
      <c r="AN43" s="11">
        <v>3.6225058485462452E-3</v>
      </c>
      <c r="AO43" s="39">
        <f t="shared" si="12"/>
        <v>3.8589273415569349E-3</v>
      </c>
      <c r="AP43" s="39">
        <f t="shared" si="12"/>
        <v>4.1107787951237505E-3</v>
      </c>
      <c r="AQ43" s="39">
        <f t="shared" si="12"/>
        <v>4.379067239867012E-3</v>
      </c>
      <c r="AR43" s="39">
        <f t="shared" si="12"/>
        <v>4.6648654298848524E-3</v>
      </c>
      <c r="AS43" s="39">
        <f t="shared" si="12"/>
        <v>4.9693161321714826E-3</v>
      </c>
      <c r="AT43" s="39">
        <f t="shared" si="12"/>
        <v>5.2936366959827376E-3</v>
      </c>
      <c r="AU43" s="39">
        <f t="shared" si="12"/>
        <v>5.6391239204195646E-3</v>
      </c>
      <c r="AV43" s="39">
        <f t="shared" si="12"/>
        <v>6.007159239692526E-3</v>
      </c>
      <c r="AW43" s="39">
        <f t="shared" si="12"/>
        <v>6.3992142468006635E-3</v>
      </c>
      <c r="AX43" s="39">
        <f t="shared" si="12"/>
        <v>6.8168565777111962E-3</v>
      </c>
    </row>
    <row r="44" spans="1:50" x14ac:dyDescent="0.2">
      <c r="A44" s="6" t="s">
        <v>44</v>
      </c>
      <c r="B44" s="11">
        <v>0.59855980019586374</v>
      </c>
      <c r="C44" s="11">
        <v>0.63762458229284125</v>
      </c>
      <c r="D44" s="11">
        <v>0.6792389128222146</v>
      </c>
      <c r="E44" s="11">
        <v>0.72356918711144214</v>
      </c>
      <c r="F44" s="11">
        <v>0.77079266021696369</v>
      </c>
      <c r="G44" s="11">
        <v>0.82109815568036204</v>
      </c>
      <c r="H44" s="11">
        <v>0.8746868205412287</v>
      </c>
      <c r="I44" s="11">
        <v>0.93177292962566793</v>
      </c>
      <c r="J44" s="11">
        <v>0.99258474232638449</v>
      </c>
      <c r="K44" s="11">
        <v>1.0573654153002077</v>
      </c>
      <c r="L44" s="11">
        <v>1.1263739747324761</v>
      </c>
      <c r="M44" s="11">
        <v>1.1998863520558989</v>
      </c>
      <c r="N44" s="11">
        <v>1.2781964872652176</v>
      </c>
      <c r="O44" s="11">
        <v>1.3616175042392931</v>
      </c>
      <c r="P44" s="11">
        <v>1.4504829627701417</v>
      </c>
      <c r="Q44" s="11">
        <v>1.5451481923051902</v>
      </c>
      <c r="R44" s="11">
        <v>1.6459917127357131</v>
      </c>
      <c r="S44" s="11">
        <v>1.7534167479125005</v>
      </c>
      <c r="T44" s="11">
        <v>1.8678528379405634</v>
      </c>
      <c r="U44" s="11">
        <v>1.9897575566996466</v>
      </c>
      <c r="V44" s="11">
        <v>2.1196183414580805</v>
      </c>
      <c r="W44" s="11">
        <v>2.2579544418957007</v>
      </c>
      <c r="X44" s="11">
        <v>2.4053189963290182</v>
      </c>
      <c r="Y44" s="11">
        <v>2.5623012434404453</v>
      </c>
      <c r="Z44" s="11">
        <v>2.7295288783552234</v>
      </c>
      <c r="AA44" s="11">
        <v>2.9076705624868064</v>
      </c>
      <c r="AB44" s="11">
        <v>3.0974385971863887</v>
      </c>
      <c r="AC44" s="11">
        <v>3.2995917718871621</v>
      </c>
      <c r="AD44" s="11">
        <v>3.5149383981316471</v>
      </c>
      <c r="AE44" s="11">
        <v>3.7443395416136886</v>
      </c>
      <c r="AF44" s="11">
        <v>3.9887124651584585</v>
      </c>
      <c r="AG44" s="11">
        <v>4.2490342964072756</v>
      </c>
      <c r="AH44" s="11">
        <v>4.526345934872503</v>
      </c>
      <c r="AI44" s="11">
        <v>4.8217562139849255</v>
      </c>
      <c r="AJ44" s="11">
        <v>5.1364463347755844</v>
      </c>
      <c r="AK44" s="11">
        <v>5.4716745889202327</v>
      </c>
      <c r="AL44" s="11">
        <v>5.8287813900314918</v>
      </c>
      <c r="AM44" s="11">
        <v>6.2091946333164385</v>
      </c>
      <c r="AN44" s="11">
        <v>6.614435405030239</v>
      </c>
      <c r="AO44" s="39">
        <f t="shared" si="12"/>
        <v>7.0461240645551326</v>
      </c>
      <c r="AP44" s="39">
        <f t="shared" si="12"/>
        <v>7.5059867234240487</v>
      </c>
      <c r="AQ44" s="39">
        <f t="shared" si="12"/>
        <v>7.9958621471952727</v>
      </c>
      <c r="AR44" s="39">
        <f t="shared" si="12"/>
        <v>8.5177091077753921</v>
      </c>
      <c r="AS44" s="39">
        <f t="shared" si="12"/>
        <v>9.0736142155888579</v>
      </c>
      <c r="AT44" s="39">
        <f t="shared" si="12"/>
        <v>9.6658002629111639</v>
      </c>
      <c r="AU44" s="39">
        <f t="shared" si="12"/>
        <v>10.296635111726564</v>
      </c>
      <c r="AV44" s="39">
        <f t="shared" si="12"/>
        <v>10.968641161648502</v>
      </c>
      <c r="AW44" s="39">
        <f t="shared" si="12"/>
        <v>11.68450543576034</v>
      </c>
      <c r="AX44" s="39">
        <f t="shared" si="12"/>
        <v>12.447090324704712</v>
      </c>
    </row>
    <row r="45" spans="1:50" x14ac:dyDescent="0.2">
      <c r="AM45" s="13" t="s">
        <v>187</v>
      </c>
      <c r="AN45" s="13">
        <f>(AN37-AM37)/AM37</f>
        <v>6.5264627000000158E-2</v>
      </c>
    </row>
    <row r="46" spans="1:50" x14ac:dyDescent="0.2">
      <c r="A46" s="5" t="s">
        <v>46</v>
      </c>
      <c r="AM46" s="13" t="s">
        <v>187</v>
      </c>
      <c r="AN46" s="13">
        <f t="shared" ref="AN46:AN49" si="13">(AN38-AM38)/AM38</f>
        <v>6.5264627000000214E-2</v>
      </c>
    </row>
    <row r="47" spans="1:50" x14ac:dyDescent="0.2">
      <c r="A47" s="5" t="s">
        <v>4</v>
      </c>
      <c r="AM47" s="13" t="s">
        <v>187</v>
      </c>
      <c r="AN47" s="13">
        <f t="shared" si="13"/>
        <v>6.5264627000000214E-2</v>
      </c>
    </row>
    <row r="48" spans="1:50" x14ac:dyDescent="0.2">
      <c r="A48" s="5" t="s">
        <v>49</v>
      </c>
      <c r="AM48" s="13" t="s">
        <v>187</v>
      </c>
      <c r="AN48" s="13">
        <f t="shared" si="13"/>
        <v>6.5264627000000089E-2</v>
      </c>
    </row>
    <row r="49" spans="1:50" x14ac:dyDescent="0.2">
      <c r="A49" s="5" t="s">
        <v>6</v>
      </c>
      <c r="AM49" s="13" t="s">
        <v>187</v>
      </c>
      <c r="AN49" s="13">
        <f t="shared" si="13"/>
        <v>6.5264627000000172E-2</v>
      </c>
    </row>
    <row r="50" spans="1:50" x14ac:dyDescent="0.2">
      <c r="A50" s="5"/>
    </row>
    <row r="51" spans="1:50" x14ac:dyDescent="0.2">
      <c r="A51" s="6" t="s">
        <v>7</v>
      </c>
      <c r="B51" s="6">
        <v>2022</v>
      </c>
      <c r="C51" s="6">
        <v>2023</v>
      </c>
      <c r="D51" s="6">
        <v>2024</v>
      </c>
      <c r="E51" s="6">
        <v>2025</v>
      </c>
      <c r="F51" s="6">
        <v>2026</v>
      </c>
      <c r="G51" s="6">
        <v>2027</v>
      </c>
      <c r="H51" s="6">
        <v>2028</v>
      </c>
      <c r="I51" s="6">
        <v>2029</v>
      </c>
      <c r="J51" s="6">
        <v>2030</v>
      </c>
      <c r="K51" s="6">
        <v>2031</v>
      </c>
      <c r="L51" s="6">
        <v>2032</v>
      </c>
      <c r="M51" s="6">
        <v>2033</v>
      </c>
      <c r="N51" s="6">
        <v>2034</v>
      </c>
      <c r="O51" s="6">
        <v>2035</v>
      </c>
      <c r="P51" s="6">
        <v>2036</v>
      </c>
      <c r="Q51" s="6">
        <v>2037</v>
      </c>
      <c r="R51" s="6">
        <v>2038</v>
      </c>
      <c r="S51" s="6">
        <v>2039</v>
      </c>
      <c r="T51" s="6">
        <v>2040</v>
      </c>
      <c r="U51" s="6">
        <v>2041</v>
      </c>
      <c r="V51" s="6">
        <v>2042</v>
      </c>
      <c r="W51" s="6">
        <v>2043</v>
      </c>
      <c r="X51" s="6">
        <v>2044</v>
      </c>
      <c r="Y51" s="6">
        <v>2045</v>
      </c>
      <c r="Z51" s="6">
        <v>2046</v>
      </c>
      <c r="AA51" s="6">
        <v>2047</v>
      </c>
      <c r="AB51" s="6">
        <v>2048</v>
      </c>
      <c r="AC51" s="6">
        <v>2049</v>
      </c>
      <c r="AD51" s="6">
        <v>2050</v>
      </c>
      <c r="AE51" s="6">
        <v>2051</v>
      </c>
      <c r="AF51" s="6">
        <v>2052</v>
      </c>
      <c r="AG51" s="6">
        <v>2053</v>
      </c>
      <c r="AH51" s="6">
        <v>2054</v>
      </c>
      <c r="AI51" s="6">
        <v>2055</v>
      </c>
      <c r="AJ51" s="6">
        <v>2056</v>
      </c>
      <c r="AK51" s="6">
        <v>2057</v>
      </c>
      <c r="AL51" s="6">
        <v>2058</v>
      </c>
      <c r="AM51" s="6">
        <v>2059</v>
      </c>
      <c r="AN51" s="6">
        <v>2060</v>
      </c>
      <c r="AO51" s="39">
        <f>AN51+1</f>
        <v>2061</v>
      </c>
      <c r="AP51" s="39">
        <f t="shared" ref="AP51:AX51" si="14">AO51+1</f>
        <v>2062</v>
      </c>
      <c r="AQ51" s="39">
        <f t="shared" si="14"/>
        <v>2063</v>
      </c>
      <c r="AR51" s="39">
        <f t="shared" si="14"/>
        <v>2064</v>
      </c>
      <c r="AS51" s="39">
        <f t="shared" si="14"/>
        <v>2065</v>
      </c>
      <c r="AT51" s="39">
        <f t="shared" si="14"/>
        <v>2066</v>
      </c>
      <c r="AU51" s="39">
        <f t="shared" si="14"/>
        <v>2067</v>
      </c>
      <c r="AV51" s="39">
        <f t="shared" si="14"/>
        <v>2068</v>
      </c>
      <c r="AW51" s="39">
        <f>AV51+1</f>
        <v>2069</v>
      </c>
      <c r="AX51" s="39">
        <f t="shared" si="14"/>
        <v>2070</v>
      </c>
    </row>
    <row r="52" spans="1:50" x14ac:dyDescent="0.2">
      <c r="A52" s="6" t="s">
        <v>40</v>
      </c>
      <c r="B52" s="11">
        <v>1.0864727286844753</v>
      </c>
      <c r="C52" s="11">
        <v>1.1573809660677401</v>
      </c>
      <c r="D52" s="11">
        <v>1.2329170031150509</v>
      </c>
      <c r="E52" s="11">
        <v>1.3133828714453126</v>
      </c>
      <c r="F52" s="11">
        <v>1.3991003146583805</v>
      </c>
      <c r="G52" s="11">
        <v>1.4904120748301426</v>
      </c>
      <c r="H52" s="11">
        <v>1.5876832629702282</v>
      </c>
      <c r="I52" s="11">
        <v>1.6913028189221231</v>
      </c>
      <c r="J52" s="11">
        <v>1.8016850665431245</v>
      </c>
      <c r="K52" s="11">
        <v>1.9192713703825319</v>
      </c>
      <c r="L52" s="11">
        <v>2.044531900482327</v>
      </c>
      <c r="M52" s="11">
        <v>2.1779675123569082</v>
      </c>
      <c r="N52" s="11">
        <v>2.3201117496689996</v>
      </c>
      <c r="O52" s="11">
        <v>2.4715329776094648</v>
      </c>
      <c r="P52" s="11">
        <v>2.6328366555113476</v>
      </c>
      <c r="Q52" s="11">
        <v>2.8046677577852233</v>
      </c>
      <c r="R52" s="11">
        <v>2.9877133528560034</v>
      </c>
      <c r="S52" s="11">
        <v>3.1827053504130691</v>
      </c>
      <c r="T52" s="11">
        <v>3.3904234279586838</v>
      </c>
      <c r="U52" s="11">
        <v>3.6116981483564694</v>
      </c>
      <c r="V52" s="11">
        <v>3.8474142808455452</v>
      </c>
      <c r="W52" s="11">
        <v>4.0985143387994052</v>
      </c>
      <c r="X52" s="11">
        <v>4.3660023483753001</v>
      </c>
      <c r="Y52" s="11">
        <v>4.6509478631231396</v>
      </c>
      <c r="Z52" s="11">
        <v>4.954490240606316</v>
      </c>
      <c r="AA52" s="11">
        <v>5.2778431981346321</v>
      </c>
      <c r="AB52" s="11">
        <v>5.622299665825377</v>
      </c>
      <c r="AC52" s="11">
        <v>5.9892369563976962</v>
      </c>
      <c r="AD52" s="11">
        <v>6.380122272371608</v>
      </c>
      <c r="AE52" s="11">
        <v>6.7965185726923343</v>
      </c>
      <c r="AF52" s="11">
        <v>7.2400908222376739</v>
      </c>
      <c r="AG52" s="11">
        <v>7.7126126491971432</v>
      </c>
      <c r="AH52" s="11">
        <v>8.2159734369424733</v>
      </c>
      <c r="AI52" s="11">
        <v>8.7521858787464364</v>
      </c>
      <c r="AJ52" s="11">
        <v>9.3233940255574907</v>
      </c>
      <c r="AK52" s="11">
        <v>9.9318818590095308</v>
      </c>
      <c r="AL52" s="11">
        <v>10.580082423945859</v>
      </c>
      <c r="AM52" s="11">
        <v>11.270587556973945</v>
      </c>
      <c r="AN52" s="11">
        <v>12.006158249950689</v>
      </c>
      <c r="AO52" s="39">
        <f>(AN52+AN52*$AN$60)</f>
        <v>12.789735689836691</v>
      </c>
      <c r="AP52" s="39">
        <f t="shared" ref="AP52:AX52" si="15">(AO52+AO52*$AN$60)</f>
        <v>13.624453019062468</v>
      </c>
      <c r="AQ52" s="39">
        <f t="shared" si="15"/>
        <v>14.513647863430601</v>
      </c>
      <c r="AR52" s="39">
        <f t="shared" si="15"/>
        <v>15.460875677646744</v>
      </c>
      <c r="AS52" s="39">
        <f t="shared" si="15"/>
        <v>16.469923961841729</v>
      </c>
      <c r="AT52" s="39">
        <f t="shared" si="15"/>
        <v>17.544827405929688</v>
      </c>
      <c r="AU52" s="39">
        <f t="shared" si="15"/>
        <v>18.689884022357063</v>
      </c>
      <c r="AV52" s="39">
        <f t="shared" si="15"/>
        <v>19.909672331749452</v>
      </c>
      <c r="AW52" s="39">
        <f t="shared" si="15"/>
        <v>21.209069670173296</v>
      </c>
      <c r="AX52" s="39">
        <f t="shared" si="15"/>
        <v>22.593271691214166</v>
      </c>
    </row>
    <row r="53" spans="1:50" x14ac:dyDescent="0.2">
      <c r="A53" s="6" t="s">
        <v>41</v>
      </c>
      <c r="B53" s="11">
        <v>0.66368634958816297</v>
      </c>
      <c r="C53" s="11">
        <v>0.70700159163902621</v>
      </c>
      <c r="D53" s="11">
        <v>0.75314378680575367</v>
      </c>
      <c r="E53" s="11">
        <v>0.80229743512899887</v>
      </c>
      <c r="F53" s="11">
        <v>0.85465907797575014</v>
      </c>
      <c r="G53" s="11">
        <v>0.91043808391200109</v>
      </c>
      <c r="H53" s="11">
        <v>0.969857485865113</v>
      </c>
      <c r="I53" s="11">
        <v>1.0331548729232574</v>
      </c>
      <c r="J53" s="11">
        <v>1.1005833403378262</v>
      </c>
      <c r="K53" s="11">
        <v>1.172412501527389</v>
      </c>
      <c r="L53" s="11">
        <v>1.2489295661297113</v>
      </c>
      <c r="M53" s="11">
        <v>1.3304404884124388</v>
      </c>
      <c r="N53" s="11">
        <v>1.4172711906343747</v>
      </c>
      <c r="O53" s="11">
        <v>1.5097688662489737</v>
      </c>
      <c r="P53" s="11">
        <v>1.6083033681609264</v>
      </c>
      <c r="Q53" s="11">
        <v>1.7132686875867931</v>
      </c>
      <c r="R53" s="11">
        <v>1.8250845294329252</v>
      </c>
      <c r="S53" s="11">
        <v>1.9441979904898357</v>
      </c>
      <c r="T53" s="11">
        <v>2.0710853471533044</v>
      </c>
      <c r="U53" s="11">
        <v>2.2062539598204314</v>
      </c>
      <c r="V53" s="11">
        <v>2.3502443015753847</v>
      </c>
      <c r="W53" s="11">
        <v>2.5036321192765785</v>
      </c>
      <c r="X53" s="11">
        <v>2.6670307356863852</v>
      </c>
      <c r="Y53" s="11">
        <v>2.8410935018484929</v>
      </c>
      <c r="Z53" s="11">
        <v>3.0265164095187584</v>
      </c>
      <c r="AA53" s="11">
        <v>3.2240408740953814</v>
      </c>
      <c r="AB53" s="11">
        <v>3.4344566991759709</v>
      </c>
      <c r="AC53" s="11">
        <v>3.6586052345953428</v>
      </c>
      <c r="AD53" s="11">
        <v>3.8973827405714561</v>
      </c>
      <c r="AE53" s="11">
        <v>4.15174397141109</v>
      </c>
      <c r="AF53" s="11">
        <v>4.422705993104735</v>
      </c>
      <c r="AG53" s="11">
        <v>4.7113522500753824</v>
      </c>
      <c r="AH53" s="11">
        <v>5.0188368973421609</v>
      </c>
      <c r="AI53" s="11">
        <v>5.3463894154210383</v>
      </c>
      <c r="AJ53" s="11">
        <v>5.695319526415239</v>
      </c>
      <c r="AK53" s="11">
        <v>6.067022430952548</v>
      </c>
      <c r="AL53" s="11">
        <v>6.4629843869093024</v>
      </c>
      <c r="AM53" s="11">
        <v>6.8847886522277637</v>
      </c>
      <c r="AN53" s="11">
        <v>7.3341218155892403</v>
      </c>
      <c r="AO53" s="39">
        <f t="shared" ref="AO53:AX59" si="16">(AN53+AN53*$AN$60)</f>
        <v>7.8127805402562336</v>
      </c>
      <c r="AP53" s="39">
        <f t="shared" si="16"/>
        <v>8.3226787480489133</v>
      </c>
      <c r="AQ53" s="39">
        <f t="shared" si="16"/>
        <v>8.8658552721811503</v>
      </c>
      <c r="AR53" s="39">
        <f t="shared" si="16"/>
        <v>9.4444820095560349</v>
      </c>
      <c r="AS53" s="39">
        <f t="shared" si="16"/>
        <v>10.060872605117918</v>
      </c>
      <c r="AT53" s="39">
        <f t="shared" si="16"/>
        <v>10.717491702985456</v>
      </c>
      <c r="AU53" s="39">
        <f t="shared" si="16"/>
        <v>11.416964801356395</v>
      </c>
      <c r="AV53" s="39">
        <f t="shared" si="16"/>
        <v>12.162088750589046</v>
      </c>
      <c r="AW53" s="39">
        <f t="shared" si="16"/>
        <v>12.955842936437133</v>
      </c>
      <c r="AX53" s="39">
        <f t="shared" si="16"/>
        <v>13.801401193154284</v>
      </c>
    </row>
    <row r="54" spans="1:50" x14ac:dyDescent="0.2">
      <c r="A54" s="6" t="s">
        <v>42</v>
      </c>
      <c r="B54" s="11">
        <v>0.51535571950114467</v>
      </c>
      <c r="C54" s="11">
        <v>0.54899021830670347</v>
      </c>
      <c r="D54" s="11">
        <v>0.58481986013113929</v>
      </c>
      <c r="E54" s="11">
        <v>0.62298791016479038</v>
      </c>
      <c r="F54" s="11">
        <v>0.6636469837472051</v>
      </c>
      <c r="G54" s="11">
        <v>0.70695965660114146</v>
      </c>
      <c r="H54" s="11">
        <v>0.75309911489326331</v>
      </c>
      <c r="I54" s="11">
        <v>0.80224984772080232</v>
      </c>
      <c r="J54" s="11">
        <v>0.85460838479310752</v>
      </c>
      <c r="K54" s="11">
        <v>0.91038408225770229</v>
      </c>
      <c r="L54" s="11">
        <v>0.96979995981298872</v>
      </c>
      <c r="M54" s="11">
        <v>1.0330935924547988</v>
      </c>
      <c r="N54" s="11">
        <v>1.1005180604224511</v>
      </c>
      <c r="O54" s="11">
        <v>1.1723429611426863</v>
      </c>
      <c r="P54" s="11">
        <v>1.24885548721774</v>
      </c>
      <c r="Q54" s="11">
        <v>1.3303615747679089</v>
      </c>
      <c r="R54" s="11">
        <v>1.4171871267202696</v>
      </c>
      <c r="S54" s="11">
        <v>1.5096793159348696</v>
      </c>
      <c r="T54" s="11">
        <v>1.6082079733789743</v>
      </c>
      <c r="U54" s="11">
        <v>1.7131670668999797</v>
      </c>
      <c r="V54" s="11">
        <v>1.8249762765098911</v>
      </c>
      <c r="W54" s="11">
        <v>1.9440826724801588</v>
      </c>
      <c r="X54" s="11">
        <v>2.07096250295674</v>
      </c>
      <c r="Y54" s="11">
        <v>2.2061230982431983</v>
      </c>
      <c r="Z54" s="11">
        <v>2.3501048993661242</v>
      </c>
      <c r="AA54" s="11">
        <v>2.5034836190341294</v>
      </c>
      <c r="AB54" s="11">
        <v>2.6668725436310021</v>
      </c>
      <c r="AC54" s="11">
        <v>2.8409249854476215</v>
      </c>
      <c r="AD54" s="11">
        <v>3.0263368949578409</v>
      </c>
      <c r="AE54" s="11">
        <v>3.2238496435836033</v>
      </c>
      <c r="AF54" s="11">
        <v>3.434252988076171</v>
      </c>
      <c r="AG54" s="11">
        <v>3.6583882283665998</v>
      </c>
      <c r="AH54" s="11">
        <v>3.8971515715121354</v>
      </c>
      <c r="AI54" s="11">
        <v>4.1514977151893415</v>
      </c>
      <c r="AJ54" s="11">
        <v>4.4224436650625254</v>
      </c>
      <c r="AK54" s="11">
        <v>4.711072801291345</v>
      </c>
      <c r="AL54" s="11">
        <v>5.0185392104374724</v>
      </c>
      <c r="AM54" s="11">
        <v>5.3460723000915493</v>
      </c>
      <c r="AN54" s="11">
        <v>5.6949817146720561</v>
      </c>
      <c r="AO54" s="39">
        <f t="shared" si="16"/>
        <v>6.0666625720519471</v>
      </c>
      <c r="AP54" s="39">
        <f t="shared" si="16"/>
        <v>6.4626010419517765</v>
      </c>
      <c r="AQ54" s="39">
        <f t="shared" si="16"/>
        <v>6.8843802884045697</v>
      </c>
      <c r="AR54" s="39">
        <f t="shared" si="16"/>
        <v>7.333686800053445</v>
      </c>
      <c r="AS54" s="39">
        <f t="shared" si="16"/>
        <v>7.8123171335937549</v>
      </c>
      <c r="AT54" s="39">
        <f t="shared" si="16"/>
        <v>8.3221850973234588</v>
      </c>
      <c r="AU54" s="39">
        <f t="shared" si="16"/>
        <v>8.8653294035252319</v>
      </c>
      <c r="AV54" s="39">
        <f t="shared" si="16"/>
        <v>9.4439218202784367</v>
      </c>
      <c r="AW54" s="39">
        <f t="shared" si="16"/>
        <v>10.060275855296068</v>
      </c>
      <c r="AX54" s="39">
        <f t="shared" si="16"/>
        <v>10.716856006509069</v>
      </c>
    </row>
    <row r="55" spans="1:50" x14ac:dyDescent="0.2">
      <c r="A55" s="6" t="s">
        <v>43</v>
      </c>
      <c r="B55" s="11">
        <v>3.614173131338503E-2</v>
      </c>
      <c r="C55" s="11">
        <v>3.8500507926687327E-2</v>
      </c>
      <c r="D55" s="11">
        <v>4.1013229215833127E-2</v>
      </c>
      <c r="E55" s="11">
        <v>4.368994232266999E-2</v>
      </c>
      <c r="F55" s="11">
        <v>4.654135011201057E-2</v>
      </c>
      <c r="G55" s="11">
        <v>4.9578853967147347E-2</v>
      </c>
      <c r="H55" s="11">
        <v>5.281459937840071E-2</v>
      </c>
      <c r="I55" s="11">
        <v>5.626152450698646E-2</v>
      </c>
      <c r="J55" s="11">
        <v>5.993341191838631E-2</v>
      </c>
      <c r="K55" s="11">
        <v>6.3844943692077161E-2</v>
      </c>
      <c r="L55" s="11">
        <v>6.8011760127976578E-2</v>
      </c>
      <c r="M55" s="11">
        <v>7.245052228434247E-2</v>
      </c>
      <c r="N55" s="11">
        <v>7.7178978597185269E-2</v>
      </c>
      <c r="O55" s="11">
        <v>8.2216035847571575E-2</v>
      </c>
      <c r="P55" s="11">
        <v>8.7581834760582011E-2</v>
      </c>
      <c r="Q55" s="11">
        <v>9.3297830538207019E-2</v>
      </c>
      <c r="R55" s="11">
        <v>9.9386878648192359E-2</v>
      </c>
      <c r="S55" s="11">
        <v>0.10587332621186088</v>
      </c>
      <c r="T55" s="11">
        <v>0.11278310935632735</v>
      </c>
      <c r="U55" s="11">
        <v>0.1201438569203683</v>
      </c>
      <c r="V55" s="11">
        <v>0.1279850009286175</v>
      </c>
      <c r="W55" s="11">
        <v>0.13633789427581844</v>
      </c>
      <c r="X55" s="11">
        <v>0.14523593609169522</v>
      </c>
      <c r="Y55" s="11">
        <v>0.15471470528771553</v>
      </c>
      <c r="Z55" s="11">
        <v>0.16481210281973319</v>
      </c>
      <c r="AA55" s="11">
        <v>0.17556850323534884</v>
      </c>
      <c r="AB55" s="11">
        <v>0.18702691611195221</v>
      </c>
      <c r="AC55" s="11">
        <v>0.19923315803095915</v>
      </c>
      <c r="AD55" s="11">
        <v>0.21223603577588179</v>
      </c>
      <c r="AE55" s="11">
        <v>0.22608754148675334</v>
      </c>
      <c r="AF55" s="11">
        <v>0.24084306055123345</v>
      </c>
      <c r="AG55" s="11">
        <v>0.25656159306364823</v>
      </c>
      <c r="AH55" s="11">
        <v>0.27330598973747289</v>
      </c>
      <c r="AI55" s="11">
        <v>0.29114320321455506</v>
      </c>
      <c r="AJ55" s="11">
        <v>0.31014455577593814</v>
      </c>
      <c r="AK55" s="11">
        <v>0.33038602452473553</v>
      </c>
      <c r="AL55" s="11">
        <v>0.35194854518135543</v>
      </c>
      <c r="AM55" s="11">
        <v>0.3749183357058094</v>
      </c>
      <c r="AN55" s="11">
        <v>0.39938724104110973</v>
      </c>
      <c r="AO55" s="39">
        <f t="shared" si="16"/>
        <v>0.42545310035621675</v>
      </c>
      <c r="AP55" s="39">
        <f t="shared" si="16"/>
        <v>0.45322013825695873</v>
      </c>
      <c r="AQ55" s="39">
        <f t="shared" si="16"/>
        <v>0.4827993815291875</v>
      </c>
      <c r="AR55" s="39">
        <f t="shared" si="16"/>
        <v>0.51430910308052047</v>
      </c>
      <c r="AS55" s="39">
        <f t="shared" si="16"/>
        <v>0.54787529485577513</v>
      </c>
      <c r="AT55" s="39">
        <f t="shared" si="16"/>
        <v>0.58363217161705216</v>
      </c>
      <c r="AU55" s="39">
        <f t="shared" si="16"/>
        <v>0.62172270760283899</v>
      </c>
      <c r="AV55" s="39">
        <f t="shared" si="16"/>
        <v>0.66229920821196819</v>
      </c>
      <c r="AW55" s="39">
        <f t="shared" si="16"/>
        <v>0.70552391899831757</v>
      </c>
      <c r="AX55" s="39">
        <f t="shared" si="16"/>
        <v>0.75156967441132083</v>
      </c>
    </row>
    <row r="56" spans="1:50" x14ac:dyDescent="0.2">
      <c r="A56" s="6" t="s">
        <v>8</v>
      </c>
      <c r="B56" s="11">
        <v>2.764090436715606E-2</v>
      </c>
      <c r="C56" s="11">
        <v>2.9444877680621175E-2</v>
      </c>
      <c r="D56" s="11">
        <v>3.1366586639507553E-2</v>
      </c>
      <c r="E56" s="11">
        <v>3.3413715216798201E-2</v>
      </c>
      <c r="F56" s="11">
        <v>3.559444887710677E-2</v>
      </c>
      <c r="G56" s="11">
        <v>3.7917507306341712E-2</v>
      </c>
      <c r="H56" s="11">
        <v>4.0392179277459889E-2</v>
      </c>
      <c r="I56" s="11">
        <v>4.3028359791720434E-2</v>
      </c>
      <c r="J56" s="11">
        <v>4.5836589643948877E-2</v>
      </c>
      <c r="K56" s="11">
        <v>4.8828097570013274E-2</v>
      </c>
      <c r="L56" s="11">
        <v>5.2014845145039811E-2</v>
      </c>
      <c r="M56" s="11">
        <v>5.5409574611893608E-2</v>
      </c>
      <c r="N56" s="11">
        <v>5.9025859831167517E-2</v>
      </c>
      <c r="O56" s="11">
        <v>6.2878160556402968E-2</v>
      </c>
      <c r="P56" s="11">
        <v>6.6981880251562764E-2</v>
      </c>
      <c r="Q56" s="11">
        <v>7.1353427681939668E-2</v>
      </c>
      <c r="R56" s="11">
        <v>7.601028252477296E-2</v>
      </c>
      <c r="S56" s="11">
        <v>8.09710652619169E-2</v>
      </c>
      <c r="T56" s="11">
        <v>8.6255611634028548E-2</v>
      </c>
      <c r="U56" s="11">
        <v>9.1885051953980335E-2</v>
      </c>
      <c r="V56" s="11">
        <v>9.788189559663249E-2</v>
      </c>
      <c r="W56" s="11">
        <v>0.10427012100279967</v>
      </c>
      <c r="X56" s="11">
        <v>0.11107527155729228</v>
      </c>
      <c r="Y56" s="11">
        <v>0.1183245577244027</v>
      </c>
      <c r="Z56" s="11">
        <v>0.12604696584922581</v>
      </c>
      <c r="AA56" s="11">
        <v>0.13427337405985737</v>
      </c>
      <c r="AB56" s="11">
        <v>0.14303667573390544</v>
      </c>
      <c r="AC56" s="11">
        <v>0.15237191102299877</v>
      </c>
      <c r="AD56" s="11">
        <v>0.16231640696119201</v>
      </c>
      <c r="AE56" s="11">
        <v>0.17290992671749442</v>
      </c>
      <c r="AF56" s="11">
        <v>0.18419482858930911</v>
      </c>
      <c r="AG56" s="11">
        <v>0.19621623537251939</v>
      </c>
      <c r="AH56" s="11">
        <v>0.20902221478545097</v>
      </c>
      <c r="AI56" s="11">
        <v>0.22266397166813748</v>
      </c>
      <c r="AJ56" s="11">
        <v>0.23719605272539701</v>
      </c>
      <c r="AK56" s="11">
        <v>0.25267656463239241</v>
      </c>
      <c r="AL56" s="11">
        <v>0.26916740637476694</v>
      </c>
      <c r="AM56" s="11">
        <v>0.28673451675237366</v>
      </c>
      <c r="AN56" s="11">
        <v>0.30544813803624254</v>
      </c>
      <c r="AO56" s="39">
        <f t="shared" si="16"/>
        <v>0.32538309683302236</v>
      </c>
      <c r="AP56" s="39">
        <f t="shared" si="16"/>
        <v>0.34661910327993439</v>
      </c>
      <c r="AQ56" s="39">
        <f t="shared" si="16"/>
        <v>0.36924106976657373</v>
      </c>
      <c r="AR56" s="39">
        <f t="shared" si="16"/>
        <v>0.39333945045797009</v>
      </c>
      <c r="AS56" s="39">
        <f t="shared" si="16"/>
        <v>0.4190106029764944</v>
      </c>
      <c r="AT56" s="39">
        <f t="shared" si="16"/>
        <v>0.44635717368880029</v>
      </c>
      <c r="AU56" s="39">
        <f t="shared" si="16"/>
        <v>0.47548850813837396</v>
      </c>
      <c r="AV56" s="39">
        <f t="shared" si="16"/>
        <v>0.50652108826481135</v>
      </c>
      <c r="AW56" s="39">
        <f t="shared" si="16"/>
        <v>0.53957899815804822</v>
      </c>
      <c r="AX56" s="39">
        <f t="shared" si="16"/>
        <v>0.57479442020986682</v>
      </c>
    </row>
    <row r="57" spans="1:50" x14ac:dyDescent="0.2">
      <c r="A57" s="6" t="s">
        <v>9</v>
      </c>
      <c r="B57" s="11">
        <v>0.28336564685053234</v>
      </c>
      <c r="C57" s="11">
        <v>0.30185940009684603</v>
      </c>
      <c r="D57" s="11">
        <v>0.32156014125061055</v>
      </c>
      <c r="E57" s="11">
        <v>0.34254664392739903</v>
      </c>
      <c r="F57" s="11">
        <v>0.36490282287342263</v>
      </c>
      <c r="G57" s="11">
        <v>0.38871806949950355</v>
      </c>
      <c r="H57" s="11">
        <v>0.41408760931354888</v>
      </c>
      <c r="I57" s="11">
        <v>0.44111288268071935</v>
      </c>
      <c r="J57" s="11">
        <v>0.46990195043377148</v>
      </c>
      <c r="K57" s="11">
        <v>0.50056992595540417</v>
      </c>
      <c r="L57" s="11">
        <v>0.53323943546030128</v>
      </c>
      <c r="M57" s="11">
        <v>0.56804110831730859</v>
      </c>
      <c r="N57" s="11">
        <v>0.60511409937230431</v>
      </c>
      <c r="O57" s="11">
        <v>0.6446066453602789</v>
      </c>
      <c r="P57" s="11">
        <v>0.68667665763143915</v>
      </c>
      <c r="Q57" s="11">
        <v>0.73149235356136166</v>
      </c>
      <c r="R57" s="11">
        <v>0.77923292916989639</v>
      </c>
      <c r="S57" s="11">
        <v>0.83008927563828716</v>
      </c>
      <c r="T57" s="11">
        <v>0.88426474258952026</v>
      </c>
      <c r="U57" s="11">
        <v>0.94197595118387656</v>
      </c>
      <c r="V57" s="11">
        <v>1.0034536602808628</v>
      </c>
      <c r="W57" s="11">
        <v>1.0689436891308783</v>
      </c>
      <c r="X57" s="11">
        <v>1.1387079002860092</v>
      </c>
      <c r="Y57" s="11">
        <v>1.213025246660129</v>
      </c>
      <c r="Z57" s="11">
        <v>1.2921928869249852</v>
      </c>
      <c r="AA57" s="11">
        <v>1.3765273737021986</v>
      </c>
      <c r="AB57" s="11">
        <v>1.4663659193021625</v>
      </c>
      <c r="AC57" s="11">
        <v>1.5620677440709307</v>
      </c>
      <c r="AD57" s="11">
        <v>1.6640155127364513</v>
      </c>
      <c r="AE57" s="11">
        <v>1.7726168644974096</v>
      </c>
      <c r="AF57" s="11">
        <v>1.8883060429727434</v>
      </c>
      <c r="AG57" s="11">
        <v>2.0115456325292067</v>
      </c>
      <c r="AH57" s="11">
        <v>2.1428284079297031</v>
      </c>
      <c r="AI57" s="11">
        <v>2.2826793046982403</v>
      </c>
      <c r="AJ57" s="11">
        <v>2.4316575180799904</v>
      </c>
      <c r="AK57" s="11">
        <v>2.5903587389892277</v>
      </c>
      <c r="AL57" s="11">
        <v>2.7594175358855511</v>
      </c>
      <c r="AM57" s="11">
        <v>2.939509892102381</v>
      </c>
      <c r="AN57" s="11">
        <v>3.1313559087732532</v>
      </c>
      <c r="AO57" s="39">
        <f t="shared" si="16"/>
        <v>3.335722684163585</v>
      </c>
      <c r="AP57" s="39">
        <f t="shared" si="16"/>
        <v>3.5534273809209593</v>
      </c>
      <c r="AQ57" s="39">
        <f t="shared" si="16"/>
        <v>3.7853404935083521</v>
      </c>
      <c r="AR57" s="39">
        <f t="shared" si="16"/>
        <v>4.03238932888517</v>
      </c>
      <c r="AS57" s="39">
        <f t="shared" si="16"/>
        <v>4.2955617143536404</v>
      </c>
      <c r="AT57" s="39">
        <f t="shared" si="16"/>
        <v>4.5759099473964104</v>
      </c>
      <c r="AU57" s="39">
        <f t="shared" si="16"/>
        <v>4.8745550032988261</v>
      </c>
      <c r="AV57" s="39">
        <f t="shared" si="16"/>
        <v>5.1926910173801071</v>
      </c>
      <c r="AW57" s="39">
        <f t="shared" si="16"/>
        <v>5.5315900597556693</v>
      </c>
      <c r="AX57" s="39">
        <f t="shared" si="16"/>
        <v>5.89260722172253</v>
      </c>
    </row>
    <row r="58" spans="1:50" x14ac:dyDescent="0.2">
      <c r="A58" s="6" t="s">
        <v>10</v>
      </c>
      <c r="B58" s="11">
        <v>2.4611516263808468E-4</v>
      </c>
      <c r="C58" s="11">
        <v>2.6217777692670363E-4</v>
      </c>
      <c r="D58" s="11">
        <v>2.7928871174551418E-4</v>
      </c>
      <c r="E58" s="11">
        <v>2.9751638534289578E-4</v>
      </c>
      <c r="F58" s="11">
        <v>3.1693368125868823E-4</v>
      </c>
      <c r="G58" s="11">
        <v>3.3761823974977345E-4</v>
      </c>
      <c r="H58" s="11">
        <v>3.5965276823543904E-4</v>
      </c>
      <c r="I58" s="11">
        <v>3.8312537200384245E-4</v>
      </c>
      <c r="J58" s="11">
        <v>4.0812990650190953E-4</v>
      </c>
      <c r="K58" s="11">
        <v>4.3476635261730174E-4</v>
      </c>
      <c r="L58" s="11">
        <v>4.6314121645302047E-4</v>
      </c>
      <c r="M58" s="11">
        <v>4.9336795519315329E-4</v>
      </c>
      <c r="N58" s="11">
        <v>5.2556743076258706E-4</v>
      </c>
      <c r="O58" s="11">
        <v>5.5986839309465583E-4</v>
      </c>
      <c r="P58" s="11">
        <v>5.9640799493906828E-4</v>
      </c>
      <c r="Q58" s="11">
        <v>6.3533234026858442E-4</v>
      </c>
      <c r="R58" s="11">
        <v>6.7679706847725092E-4</v>
      </c>
      <c r="S58" s="11">
        <v>7.2096797670611213E-4</v>
      </c>
      <c r="T58" s="11">
        <v>7.6802168278478132E-4</v>
      </c>
      <c r="U58" s="11">
        <v>8.1814633143964272E-4</v>
      </c>
      <c r="V58" s="11">
        <v>8.7154234659246946E-4</v>
      </c>
      <c r="W58" s="11">
        <v>9.2842323275753194E-4</v>
      </c>
      <c r="X58" s="11">
        <v>9.8901642874158683E-4</v>
      </c>
      <c r="Y58" s="11">
        <v>1.0535642170602787E-3</v>
      </c>
      <c r="Z58" s="11">
        <v>1.1223246927072647E-3</v>
      </c>
      <c r="AA58" s="11">
        <v>1.195572795149695E-3</v>
      </c>
      <c r="AB58" s="11">
        <v>1.273601407676487E-3</v>
      </c>
      <c r="AC58" s="11">
        <v>1.3567225284951685E-3</v>
      </c>
      <c r="AD58" s="11">
        <v>1.4452685182599024E-3</v>
      </c>
      <c r="AE58" s="11">
        <v>1.539593429018978E-3</v>
      </c>
      <c r="AF58" s="11">
        <v>1.6400744198955531E-3</v>
      </c>
      <c r="AG58" s="11">
        <v>1.7471132651622789E-3</v>
      </c>
      <c r="AH58" s="11">
        <v>1.8611379607398463E-3</v>
      </c>
      <c r="AI58" s="11">
        <v>1.9826044355430741E-3</v>
      </c>
      <c r="AJ58" s="11">
        <v>2.1119983745173381E-3</v>
      </c>
      <c r="AK58" s="11">
        <v>2.2498371606548191E-3</v>
      </c>
      <c r="AL58" s="11">
        <v>2.3966719437556959E-3</v>
      </c>
      <c r="AM58" s="11">
        <v>2.5530898442062771E-3</v>
      </c>
      <c r="AN58" s="11">
        <v>2.7197163005858878E-3</v>
      </c>
      <c r="AO58" s="39">
        <f t="shared" si="16"/>
        <v>2.8972175704894453E-3</v>
      </c>
      <c r="AP58" s="39">
        <f t="shared" si="16"/>
        <v>3.0863033945652844E-3</v>
      </c>
      <c r="AQ58" s="39">
        <f t="shared" si="16"/>
        <v>3.2877298344204209E-3</v>
      </c>
      <c r="AR58" s="39">
        <f t="shared" si="16"/>
        <v>3.5023022957406409E-3</v>
      </c>
      <c r="AS58" s="39">
        <f t="shared" si="16"/>
        <v>3.7308787487133968E-3</v>
      </c>
      <c r="AT58" s="39">
        <f t="shared" si="16"/>
        <v>3.9743731586304029E-3</v>
      </c>
      <c r="AU58" s="39">
        <f t="shared" si="16"/>
        <v>4.2337591403872272E-3</v>
      </c>
      <c r="AV58" s="39">
        <f t="shared" si="16"/>
        <v>4.5100738514924389E-3</v>
      </c>
      <c r="AW58" s="39">
        <f t="shared" si="16"/>
        <v>4.8044221391525454E-3</v>
      </c>
      <c r="AX58" s="39">
        <f t="shared" si="16"/>
        <v>5.1179809580148778E-3</v>
      </c>
    </row>
    <row r="59" spans="1:50" x14ac:dyDescent="0.2">
      <c r="A59" s="6" t="s">
        <v>44</v>
      </c>
      <c r="B59" s="11">
        <v>0.4493886036115714</v>
      </c>
      <c r="C59" s="11">
        <v>0.4787177832043315</v>
      </c>
      <c r="D59" s="11">
        <v>0.50996112076342925</v>
      </c>
      <c r="E59" s="11">
        <v>0.54324354309455647</v>
      </c>
      <c r="F59" s="11">
        <v>0.57869813030478123</v>
      </c>
      <c r="G59" s="11">
        <v>0.61646664792472028</v>
      </c>
      <c r="H59" s="11">
        <v>0.65670011375946757</v>
      </c>
      <c r="I59" s="11">
        <v>0.69955940173483688</v>
      </c>
      <c r="J59" s="11">
        <v>0.74521588515340431</v>
      </c>
      <c r="K59" s="11">
        <v>0.79385212193241639</v>
      </c>
      <c r="L59" s="11">
        <v>0.84566258456349419</v>
      </c>
      <c r="M59" s="11">
        <v>0.90085443771288687</v>
      </c>
      <c r="N59" s="11">
        <v>0.95964836657151309</v>
      </c>
      <c r="O59" s="11">
        <v>1.0222794592669624</v>
      </c>
      <c r="P59" s="11">
        <v>1.088998146865783</v>
      </c>
      <c r="Q59" s="11">
        <v>1.1600712047246695</v>
      </c>
      <c r="R59" s="11">
        <v>1.2357828191944662</v>
      </c>
      <c r="S59" s="11">
        <v>1.3164357239422013</v>
      </c>
      <c r="T59" s="11">
        <v>1.4023524104347644</v>
      </c>
      <c r="U59" s="11">
        <v>1.4938764174243406</v>
      </c>
      <c r="V59" s="11">
        <v>1.5913737045916367</v>
      </c>
      <c r="W59" s="11">
        <v>1.6952341158394184</v>
      </c>
      <c r="X59" s="11">
        <v>1.8058729380873539</v>
      </c>
      <c r="Y59" s="11">
        <v>1.9237325618010193</v>
      </c>
      <c r="Z59" s="11">
        <v>2.0492842498947166</v>
      </c>
      <c r="AA59" s="11">
        <v>2.1830300220810726</v>
      </c>
      <c r="AB59" s="11">
        <v>2.325504662201995</v>
      </c>
      <c r="AC59" s="11">
        <v>2.4772778565673703</v>
      </c>
      <c r="AD59" s="11">
        <v>2.6389564718515994</v>
      </c>
      <c r="AE59" s="11">
        <v>2.8111869816562303</v>
      </c>
      <c r="AF59" s="11">
        <v>2.9946580514412808</v>
      </c>
      <c r="AG59" s="11">
        <v>3.1901032921611443</v>
      </c>
      <c r="AH59" s="11">
        <v>3.3983041936155125</v>
      </c>
      <c r="AI59" s="11">
        <v>3.6200932492443667</v>
      </c>
      <c r="AJ59" s="11">
        <v>3.856357284861518</v>
      </c>
      <c r="AK59" s="11">
        <v>4.108041004636739</v>
      </c>
      <c r="AL59" s="11">
        <v>4.3761507685050622</v>
      </c>
      <c r="AM59" s="11">
        <v>4.6617586161073099</v>
      </c>
      <c r="AN59" s="11">
        <v>4.9660065533515887</v>
      </c>
      <c r="AO59" s="39">
        <f t="shared" si="16"/>
        <v>5.2901111187356351</v>
      </c>
      <c r="AP59" s="39">
        <f t="shared" si="16"/>
        <v>5.6353682476884677</v>
      </c>
      <c r="AQ59" s="39">
        <f t="shared" si="16"/>
        <v>6.0031584543814978</v>
      </c>
      <c r="AR59" s="39">
        <f t="shared" si="16"/>
        <v>6.3949523517286018</v>
      </c>
      <c r="AS59" s="39">
        <f t="shared" si="16"/>
        <v>6.8123165316469407</v>
      </c>
      <c r="AT59" s="39">
        <f t="shared" si="16"/>
        <v>7.256919829090811</v>
      </c>
      <c r="AU59" s="39">
        <f t="shared" si="16"/>
        <v>7.7305399949053255</v>
      </c>
      <c r="AV59" s="39">
        <f t="shared" si="16"/>
        <v>8.2350708041814027</v>
      </c>
      <c r="AW59" s="39">
        <f t="shared" si="16"/>
        <v>8.7725296285348904</v>
      </c>
      <c r="AX59" s="39">
        <f t="shared" si="16"/>
        <v>9.3450655025876674</v>
      </c>
    </row>
    <row r="60" spans="1:50" x14ac:dyDescent="0.2">
      <c r="AM60" s="13" t="s">
        <v>187</v>
      </c>
      <c r="AN60" s="13">
        <f>(AN52-AM52)/AM52</f>
        <v>6.5264626999999811E-2</v>
      </c>
    </row>
    <row r="61" spans="1:50" x14ac:dyDescent="0.2">
      <c r="A61" s="5" t="s">
        <v>46</v>
      </c>
      <c r="AM61" s="13" t="s">
        <v>187</v>
      </c>
      <c r="AN61" s="13">
        <f t="shared" ref="AN61:AN64" si="17">(AN53-AM53)/AM53</f>
        <v>6.5264626999999825E-2</v>
      </c>
    </row>
    <row r="62" spans="1:50" x14ac:dyDescent="0.2">
      <c r="A62" s="5" t="s">
        <v>4</v>
      </c>
      <c r="AM62" s="13" t="s">
        <v>187</v>
      </c>
      <c r="AN62" s="13">
        <f t="shared" si="17"/>
        <v>6.5264626999999936E-2</v>
      </c>
    </row>
    <row r="63" spans="1:50" x14ac:dyDescent="0.2">
      <c r="A63" s="5" t="s">
        <v>51</v>
      </c>
      <c r="AM63" s="13" t="s">
        <v>187</v>
      </c>
      <c r="AN63" s="13">
        <f t="shared" si="17"/>
        <v>6.5264626999999728E-2</v>
      </c>
    </row>
    <row r="64" spans="1:50" x14ac:dyDescent="0.2">
      <c r="A64" s="5" t="s">
        <v>6</v>
      </c>
      <c r="AM64" s="13" t="s">
        <v>187</v>
      </c>
      <c r="AN64" s="13">
        <f t="shared" si="17"/>
        <v>6.5264626999999895E-2</v>
      </c>
    </row>
    <row r="65" spans="1:50" x14ac:dyDescent="0.2">
      <c r="A65" s="5"/>
    </row>
    <row r="66" spans="1:50" x14ac:dyDescent="0.2">
      <c r="A66" s="6" t="s">
        <v>7</v>
      </c>
      <c r="B66" s="6">
        <v>2022</v>
      </c>
      <c r="C66" s="6">
        <v>2023</v>
      </c>
      <c r="D66" s="6">
        <v>2024</v>
      </c>
      <c r="E66" s="6">
        <v>2025</v>
      </c>
      <c r="F66" s="6">
        <v>2026</v>
      </c>
      <c r="G66" s="6">
        <v>2027</v>
      </c>
      <c r="H66" s="6">
        <v>2028</v>
      </c>
      <c r="I66" s="6">
        <v>2029</v>
      </c>
      <c r="J66" s="6">
        <v>2030</v>
      </c>
      <c r="K66" s="6">
        <v>2031</v>
      </c>
      <c r="L66" s="6">
        <v>2032</v>
      </c>
      <c r="M66" s="6">
        <v>2033</v>
      </c>
      <c r="N66" s="6">
        <v>2034</v>
      </c>
      <c r="O66" s="6">
        <v>2035</v>
      </c>
      <c r="P66" s="6">
        <v>2036</v>
      </c>
      <c r="Q66" s="6">
        <v>2037</v>
      </c>
      <c r="R66" s="6">
        <v>2038</v>
      </c>
      <c r="S66" s="6">
        <v>2039</v>
      </c>
      <c r="T66" s="6">
        <v>2040</v>
      </c>
      <c r="U66" s="6">
        <v>2041</v>
      </c>
      <c r="V66" s="6">
        <v>2042</v>
      </c>
      <c r="W66" s="6">
        <v>2043</v>
      </c>
      <c r="X66" s="6">
        <v>2044</v>
      </c>
      <c r="Y66" s="6">
        <v>2045</v>
      </c>
      <c r="Z66" s="6">
        <v>2046</v>
      </c>
      <c r="AA66" s="6">
        <v>2047</v>
      </c>
      <c r="AB66" s="6">
        <v>2048</v>
      </c>
      <c r="AC66" s="6">
        <v>2049</v>
      </c>
      <c r="AD66" s="6">
        <v>2050</v>
      </c>
      <c r="AE66" s="6">
        <v>2051</v>
      </c>
      <c r="AF66" s="6">
        <v>2052</v>
      </c>
      <c r="AG66" s="6">
        <v>2053</v>
      </c>
      <c r="AH66" s="6">
        <v>2054</v>
      </c>
      <c r="AI66" s="6">
        <v>2055</v>
      </c>
      <c r="AJ66" s="6">
        <v>2056</v>
      </c>
      <c r="AK66" s="6">
        <v>2057</v>
      </c>
      <c r="AL66" s="6">
        <v>2058</v>
      </c>
      <c r="AM66" s="6">
        <v>2059</v>
      </c>
      <c r="AN66" s="6">
        <v>2060</v>
      </c>
      <c r="AO66" s="39">
        <f>AN66+1</f>
        <v>2061</v>
      </c>
      <c r="AP66" s="39">
        <f t="shared" ref="AP66:AX66" si="18">AO66+1</f>
        <v>2062</v>
      </c>
      <c r="AQ66" s="39">
        <f t="shared" si="18"/>
        <v>2063</v>
      </c>
      <c r="AR66" s="39">
        <f t="shared" si="18"/>
        <v>2064</v>
      </c>
      <c r="AS66" s="39">
        <f t="shared" si="18"/>
        <v>2065</v>
      </c>
      <c r="AT66" s="39">
        <f t="shared" si="18"/>
        <v>2066</v>
      </c>
      <c r="AU66" s="39">
        <f t="shared" si="18"/>
        <v>2067</v>
      </c>
      <c r="AV66" s="39">
        <f t="shared" si="18"/>
        <v>2068</v>
      </c>
      <c r="AW66" s="39">
        <f>AV66+1</f>
        <v>2069</v>
      </c>
      <c r="AX66" s="39">
        <f t="shared" si="18"/>
        <v>2070</v>
      </c>
    </row>
    <row r="67" spans="1:50" x14ac:dyDescent="0.2">
      <c r="A67" s="6" t="s">
        <v>40</v>
      </c>
      <c r="B67" s="11">
        <v>1.8172679576636606</v>
      </c>
      <c r="C67" s="11">
        <v>1.935871273079631</v>
      </c>
      <c r="D67" s="11">
        <v>2.0622151896371888</v>
      </c>
      <c r="E67" s="11">
        <v>2.1968048947825944</v>
      </c>
      <c r="F67" s="11">
        <v>2.3401785468323562</v>
      </c>
      <c r="G67" s="11">
        <v>2.4929094268047716</v>
      </c>
      <c r="H67" s="11">
        <v>2.6556082306899693</v>
      </c>
      <c r="I67" s="11">
        <v>2.8289255113240812</v>
      </c>
      <c r="J67" s="11">
        <v>3.0135542796314332</v>
      </c>
      <c r="K67" s="11">
        <v>3.2102327756358311</v>
      </c>
      <c r="L67" s="11">
        <v>3.4197474203208791</v>
      </c>
      <c r="M67" s="11">
        <v>3.642935960142335</v>
      </c>
      <c r="N67" s="11">
        <v>3.8806908167659118</v>
      </c>
      <c r="O67" s="11">
        <v>4.1339626554244662</v>
      </c>
      <c r="P67" s="11">
        <v>4.4037641861626735</v>
      </c>
      <c r="Q67" s="11">
        <v>4.6911742131685408</v>
      </c>
      <c r="R67" s="11">
        <v>4.9973419483830055</v>
      </c>
      <c r="S67" s="11">
        <v>5.3234916066356748</v>
      </c>
      <c r="T67" s="11">
        <v>5.6709273006803844</v>
      </c>
      <c r="U67" s="11">
        <v>6.041038255703409</v>
      </c>
      <c r="V67" s="11">
        <v>6.4353043641546233</v>
      </c>
      <c r="W67" s="11">
        <v>6.8553021031126482</v>
      </c>
      <c r="X67" s="11">
        <v>7.3027108378446117</v>
      </c>
      <c r="Y67" s="11">
        <v>7.7793195367654002</v>
      </c>
      <c r="Z67" s="11">
        <v>8.2870339246462059</v>
      </c>
      <c r="AA67" s="11">
        <v>8.827884102674588</v>
      </c>
      <c r="AB67" s="11">
        <v>9.4040326658348796</v>
      </c>
      <c r="AC67" s="11">
        <v>10.017783350066413</v>
      </c>
      <c r="AD67" s="11">
        <v>10.671590243775306</v>
      </c>
      <c r="AE67" s="11">
        <v>11.368067600532147</v>
      </c>
      <c r="AF67" s="11">
        <v>12.110000292191666</v>
      </c>
      <c r="AG67" s="11">
        <v>12.900354944231449</v>
      </c>
      <c r="AH67" s="11">
        <v>13.742291797834319</v>
      </c>
      <c r="AI67" s="11">
        <v>14.639177346145141</v>
      </c>
      <c r="AJ67" s="11">
        <v>15.594597795228154</v>
      </c>
      <c r="AK67" s="11">
        <v>16.612373403548752</v>
      </c>
      <c r="AL67" s="11">
        <v>17.696573757316077</v>
      </c>
      <c r="AM67" s="11">
        <v>18.851534042765309</v>
      </c>
      <c r="AN67" s="11">
        <v>20.081872380444196</v>
      </c>
      <c r="AO67" s="39">
        <f>(AN67+AN67*$AN$75)</f>
        <v>21.392508290815496</v>
      </c>
      <c r="AP67" s="39">
        <f t="shared" ref="AP67:AX67" si="19">(AO67+AO67*$AN$75)</f>
        <v>22.788682365009986</v>
      </c>
      <c r="AQ67" s="39">
        <f t="shared" si="19"/>
        <v>24.275977219383851</v>
      </c>
      <c r="AR67" s="39">
        <f t="shared" si="19"/>
        <v>25.860339817667445</v>
      </c>
      <c r="AS67" s="39">
        <f t="shared" si="19"/>
        <v>27.54810524996077</v>
      </c>
      <c r="AT67" s="39">
        <f t="shared" si="19"/>
        <v>29.346022063656211</v>
      </c>
      <c r="AU67" s="39">
        <f t="shared" si="19"/>
        <v>31.261279247574514</v>
      </c>
      <c r="AV67" s="39">
        <f t="shared" si="19"/>
        <v>33.301534977210316</v>
      </c>
      <c r="AW67" s="39">
        <f t="shared" si="19"/>
        <v>35.474947236025415</v>
      </c>
      <c r="AX67" s="39">
        <f t="shared" si="19"/>
        <v>37.790206435229308</v>
      </c>
    </row>
    <row r="68" spans="1:50" x14ac:dyDescent="0.2">
      <c r="A68" s="6" t="s">
        <v>41</v>
      </c>
      <c r="B68" s="11">
        <v>1.1101023578387994</v>
      </c>
      <c r="C68" s="11">
        <v>1.1825527741549691</v>
      </c>
      <c r="D68" s="11">
        <v>1.2597316398680087</v>
      </c>
      <c r="E68" s="11">
        <v>1.3419475554640929</v>
      </c>
      <c r="F68" s="11">
        <v>1.4295292621250195</v>
      </c>
      <c r="G68" s="11">
        <v>1.522826956203194</v>
      </c>
      <c r="H68" s="11">
        <v>1.6222136894853412</v>
      </c>
      <c r="I68" s="11">
        <v>1.7280868608438962</v>
      </c>
      <c r="J68" s="11">
        <v>1.8408698052404748</v>
      </c>
      <c r="K68" s="11">
        <v>1.9610134864350566</v>
      </c>
      <c r="L68" s="11">
        <v>2.088998300169211</v>
      </c>
      <c r="M68" s="11">
        <v>2.2253359950333889</v>
      </c>
      <c r="N68" s="11">
        <v>2.3705717186989177</v>
      </c>
      <c r="O68" s="11">
        <v>2.5252861976965519</v>
      </c>
      <c r="P68" s="11">
        <v>2.6900980594574659</v>
      </c>
      <c r="Q68" s="11">
        <v>2.8656663059013816</v>
      </c>
      <c r="R68" s="11">
        <v>3.0526929484625049</v>
      </c>
      <c r="S68" s="11">
        <v>3.2519258150894403</v>
      </c>
      <c r="T68" s="11">
        <v>3.464161540442924</v>
      </c>
      <c r="U68" s="11">
        <v>3.6902487512476783</v>
      </c>
      <c r="V68" s="11">
        <v>3.9310914595350739</v>
      </c>
      <c r="W68" s="11">
        <v>4.1876526773445173</v>
      </c>
      <c r="X68" s="11">
        <v>4.4609582673369603</v>
      </c>
      <c r="Y68" s="11">
        <v>4.752101044717274</v>
      </c>
      <c r="Z68" s="11">
        <v>5.0622451468670571</v>
      </c>
      <c r="AA68" s="11">
        <v>5.3926306881598975</v>
      </c>
      <c r="AB68" s="11">
        <v>5.7445787185714083</v>
      </c>
      <c r="AC68" s="11">
        <v>6.1194965059111119</v>
      </c>
      <c r="AD68" s="11">
        <v>6.518883162797203</v>
      </c>
      <c r="AE68" s="11">
        <v>6.9443356408737449</v>
      </c>
      <c r="AF68" s="11">
        <v>7.3975551162381779</v>
      </c>
      <c r="AG68" s="11">
        <v>7.8803537916114061</v>
      </c>
      <c r="AH68" s="11">
        <v>8.3946621424489596</v>
      </c>
      <c r="AI68" s="11">
        <v>8.9425366359669152</v>
      </c>
      <c r="AJ68" s="11">
        <v>9.526167953947132</v>
      </c>
      <c r="AK68" s="11">
        <v>10.14788975220085</v>
      </c>
      <c r="AL68" s="11">
        <v>10.81018799171536</v>
      </c>
      <c r="AM68" s="11">
        <v>11.515710878794549</v>
      </c>
      <c r="AN68" s="11">
        <v>12.26727945393892</v>
      </c>
      <c r="AO68" s="39">
        <f t="shared" ref="AO68:AX74" si="20">(AN68+AN68*$AN$75)</f>
        <v>13.067898871805014</v>
      </c>
      <c r="AP68" s="39">
        <f t="shared" si="20"/>
        <v>13.920770417347093</v>
      </c>
      <c r="AQ68" s="39">
        <f t="shared" si="20"/>
        <v>14.829304306187892</v>
      </c>
      <c r="AR68" s="39">
        <f t="shared" si="20"/>
        <v>15.797133320400745</v>
      </c>
      <c r="AS68" s="39">
        <f t="shared" si="20"/>
        <v>16.828127334225975</v>
      </c>
      <c r="AT68" s="39">
        <f t="shared" si="20"/>
        <v>17.926408787802746</v>
      </c>
      <c r="AU68" s="39">
        <f t="shared" si="20"/>
        <v>19.096369170788222</v>
      </c>
      <c r="AV68" s="39">
        <f t="shared" si="20"/>
        <v>20.342686581774021</v>
      </c>
      <c r="AW68" s="39">
        <f t="shared" si="20"/>
        <v>21.670344433711417</v>
      </c>
      <c r="AX68" s="39">
        <f t="shared" si="20"/>
        <v>23.084651380139128</v>
      </c>
    </row>
    <row r="69" spans="1:50" x14ac:dyDescent="0.2">
      <c r="A69" s="6" t="s">
        <v>42</v>
      </c>
      <c r="B69" s="11">
        <v>0.86199994825379866</v>
      </c>
      <c r="C69" s="11">
        <v>0.91825805335060218</v>
      </c>
      <c r="D69" s="11">
        <v>0.97818782269227555</v>
      </c>
      <c r="E69" s="11">
        <v>1.042028886076229</v>
      </c>
      <c r="F69" s="11">
        <v>1.1100365126492204</v>
      </c>
      <c r="G69" s="11">
        <v>1.1824826316036523</v>
      </c>
      <c r="H69" s="11">
        <v>1.2596569194892433</v>
      </c>
      <c r="I69" s="11">
        <v>1.3418679584876783</v>
      </c>
      <c r="J69" s="11">
        <v>1.4294444702816291</v>
      </c>
      <c r="K69" s="11">
        <v>1.5227366304517713</v>
      </c>
      <c r="L69" s="11">
        <v>1.6221174686574436</v>
      </c>
      <c r="M69" s="11">
        <v>1.7279843601995564</v>
      </c>
      <c r="N69" s="11">
        <v>1.8407606149298144</v>
      </c>
      <c r="O69" s="11">
        <v>1.9608971698595001</v>
      </c>
      <c r="P69" s="11">
        <v>2.0888743922357365</v>
      </c>
      <c r="Q69" s="11">
        <v>2.2252040002948537</v>
      </c>
      <c r="R69" s="11">
        <v>2.3704311093730066</v>
      </c>
      <c r="S69" s="11">
        <v>2.5251364115554318</v>
      </c>
      <c r="T69" s="11">
        <v>2.6899384975797158</v>
      </c>
      <c r="U69" s="11">
        <v>2.8654963302771974</v>
      </c>
      <c r="V69" s="11">
        <v>3.0525118794426076</v>
      </c>
      <c r="W69" s="11">
        <v>3.251732928667499</v>
      </c>
      <c r="X69" s="11">
        <v>3.4639560653606019</v>
      </c>
      <c r="Y69" s="11">
        <v>3.6900298659107502</v>
      </c>
      <c r="Z69" s="11">
        <v>3.9308582887282753</v>
      </c>
      <c r="AA69" s="11">
        <v>4.1874042887319849</v>
      </c>
      <c r="AB69" s="11">
        <v>4.4606936677342821</v>
      </c>
      <c r="AC69" s="11">
        <v>4.7518191761202226</v>
      </c>
      <c r="AD69" s="11">
        <v>5.0619448822211561</v>
      </c>
      <c r="AE69" s="11">
        <v>5.3923108268538806</v>
      </c>
      <c r="AF69" s="11">
        <v>5.7442379816365614</v>
      </c>
      <c r="AG69" s="11">
        <v>6.1191335309073063</v>
      </c>
      <c r="AH69" s="11">
        <v>6.5184964983651641</v>
      </c>
      <c r="AI69" s="11">
        <v>6.9439237409317753</v>
      </c>
      <c r="AJ69" s="11">
        <v>7.3971163338001329</v>
      </c>
      <c r="AK69" s="11">
        <v>7.8798863722012102</v>
      </c>
      <c r="AL69" s="11">
        <v>8.3941642170853061</v>
      </c>
      <c r="AM69" s="11">
        <v>8.9420062136901279</v>
      </c>
      <c r="AN69" s="11">
        <v>9.5256029138582985</v>
      </c>
      <c r="AO69" s="39">
        <f t="shared" si="20"/>
        <v>10.147287834981377</v>
      </c>
      <c r="AP69" s="39">
        <f t="shared" si="20"/>
        <v>10.809546790593078</v>
      </c>
      <c r="AQ69" s="39">
        <f t="shared" si="20"/>
        <v>11.515027829920188</v>
      </c>
      <c r="AR69" s="39">
        <f t="shared" si="20"/>
        <v>12.266551826134553</v>
      </c>
      <c r="AS69" s="39">
        <f t="shared" si="20"/>
        <v>13.067123755643397</v>
      </c>
      <c r="AT69" s="39">
        <f t="shared" si="20"/>
        <v>13.919944713518309</v>
      </c>
      <c r="AU69" s="39">
        <f t="shared" si="20"/>
        <v>14.828424713106708</v>
      </c>
      <c r="AV69" s="39">
        <f t="shared" si="20"/>
        <v>15.796196321005205</v>
      </c>
      <c r="AW69" s="39">
        <f t="shared" si="20"/>
        <v>16.827129181914387</v>
      </c>
      <c r="AX69" s="39">
        <f t="shared" si="20"/>
        <v>17.925345491452852</v>
      </c>
    </row>
    <row r="70" spans="1:50" x14ac:dyDescent="0.2">
      <c r="A70" s="6" t="s">
        <v>43</v>
      </c>
      <c r="B70" s="11">
        <v>6.0451779913740365E-2</v>
      </c>
      <c r="C70" s="11">
        <v>6.4397142781296712E-2</v>
      </c>
      <c r="D70" s="11">
        <v>6.8599998284783817E-2</v>
      </c>
      <c r="E70" s="11">
        <v>7.3077151585040856E-2</v>
      </c>
      <c r="F70" s="11">
        <v>7.7846504625461069E-2</v>
      </c>
      <c r="G70" s="11">
        <v>8.292712771309553E-2</v>
      </c>
      <c r="H70" s="11">
        <v>8.8339335771472086E-2</v>
      </c>
      <c r="I70" s="11">
        <v>9.4104769570025018E-2</v>
      </c>
      <c r="J70" s="11">
        <v>0.1002464822549337</v>
      </c>
      <c r="K70" s="11">
        <v>0.10678903152736403</v>
      </c>
      <c r="L70" s="11">
        <v>0.11375857783768874</v>
      </c>
      <c r="M70" s="11">
        <v>0.12118298898831598</v>
      </c>
      <c r="N70" s="11">
        <v>0.12909195156338354</v>
      </c>
      <c r="O70" s="11">
        <v>0.13751708963086989</v>
      </c>
      <c r="P70" s="11">
        <v>0.14649209119175421</v>
      </c>
      <c r="Q70" s="11">
        <v>0.15605284288183408</v>
      </c>
      <c r="R70" s="11">
        <v>0.16623757346480666</v>
      </c>
      <c r="S70" s="11">
        <v>0.17708700669037231</v>
      </c>
      <c r="T70" s="11">
        <v>0.18864452412856603</v>
      </c>
      <c r="U70" s="11">
        <v>0.20095633863140944</v>
      </c>
      <c r="V70" s="11">
        <v>0.21407167911547412</v>
      </c>
      <c r="W70" s="11">
        <v>0.22804298740420925</v>
      </c>
      <c r="X70" s="11">
        <v>0.24292612791711074</v>
      </c>
      <c r="Y70" s="11">
        <v>0.25878061104417532</v>
      </c>
      <c r="Z70" s="11">
        <v>0.27566983109880555</v>
      </c>
      <c r="AA70" s="11">
        <v>0.2936613198006221</v>
      </c>
      <c r="AB70" s="11">
        <v>0.31282701630173765</v>
      </c>
      <c r="AC70" s="11">
        <v>0.33324355483619356</v>
      </c>
      <c r="AD70" s="11">
        <v>0.35499257114273169</v>
      </c>
      <c r="AE70" s="11">
        <v>0.37816102888613318</v>
      </c>
      <c r="AF70" s="11">
        <v>0.40284156738232296</v>
      </c>
      <c r="AG70" s="11">
        <v>0.42913287201762573</v>
      </c>
      <c r="AH70" s="11">
        <v>0.45714006884329489</v>
      </c>
      <c r="AI70" s="11">
        <v>0.48697514492310695</v>
      </c>
      <c r="AJ70" s="11">
        <v>0.51875739611478455</v>
      </c>
      <c r="AK70" s="11">
        <v>0.55261390407570743</v>
      </c>
      <c r="AL70" s="11">
        <v>0.58868004440022226</v>
      </c>
      <c r="AM70" s="11">
        <v>0.62710002792034647</v>
      </c>
      <c r="AN70" s="11">
        <v>0.66802747733425771</v>
      </c>
      <c r="AO70" s="39">
        <f t="shared" si="20"/>
        <v>0.71162604146822928</v>
      </c>
      <c r="AP70" s="39">
        <f t="shared" si="20"/>
        <v>0.75807004962814006</v>
      </c>
      <c r="AQ70" s="39">
        <f t="shared" si="20"/>
        <v>0.80754520865699242</v>
      </c>
      <c r="AR70" s="39">
        <f t="shared" si="20"/>
        <v>0.86024934548562848</v>
      </c>
      <c r="AS70" s="39">
        <f t="shared" si="20"/>
        <v>0.91639319814574249</v>
      </c>
      <c r="AT70" s="39">
        <f t="shared" si="20"/>
        <v>0.97620125840806182</v>
      </c>
      <c r="AU70" s="39">
        <f t="shared" si="20"/>
        <v>1.0399126694149949</v>
      </c>
      <c r="AV70" s="39">
        <f t="shared" si="20"/>
        <v>1.1077821818969393</v>
      </c>
      <c r="AW70" s="39">
        <f t="shared" si="20"/>
        <v>1.1800811727956897</v>
      </c>
      <c r="AX70" s="39">
        <f t="shared" si="20"/>
        <v>1.2570987303679233</v>
      </c>
    </row>
    <row r="71" spans="1:50" x14ac:dyDescent="0.2">
      <c r="A71" s="6" t="s">
        <v>8</v>
      </c>
      <c r="B71" s="11">
        <v>4.6233033290382128E-2</v>
      </c>
      <c r="C71" s="11">
        <v>4.9250414963157491E-2</v>
      </c>
      <c r="D71" s="11">
        <v>5.246472492532319E-2</v>
      </c>
      <c r="E71" s="11">
        <v>5.588881562823203E-2</v>
      </c>
      <c r="F71" s="11">
        <v>5.953637833368039E-2</v>
      </c>
      <c r="G71" s="11">
        <v>6.3421997858558926E-2</v>
      </c>
      <c r="H71" s="11">
        <v>6.7561210892392587E-2</v>
      </c>
      <c r="I71" s="11">
        <v>7.1970568120952927E-2</v>
      </c>
      <c r="J71" s="11">
        <v>7.6667700404345077E-2</v>
      </c>
      <c r="K71" s="11">
        <v>8.1671389274182368E-2</v>
      </c>
      <c r="L71" s="11">
        <v>8.7001642031733703E-2</v>
      </c>
      <c r="M71" s="11">
        <v>9.2679771747322365E-2</v>
      </c>
      <c r="N71" s="11">
        <v>9.8728482480856514E-2</v>
      </c>
      <c r="O71" s="11">
        <v>0.10517196006424569</v>
      </c>
      <c r="P71" s="11">
        <v>0.11203596880869759</v>
      </c>
      <c r="Q71" s="11">
        <v>0.11934795452358088</v>
      </c>
      <c r="R71" s="11">
        <v>0.12713715425877542</v>
      </c>
      <c r="S71" s="11">
        <v>0.13543471320931585</v>
      </c>
      <c r="T71" s="11">
        <v>0.14427380924977384</v>
      </c>
      <c r="U71" s="11">
        <v>0.15368978559632951</v>
      </c>
      <c r="V71" s="11">
        <v>0.16372029212698397</v>
      </c>
      <c r="W71" s="11">
        <v>0.17440543592498267</v>
      </c>
      <c r="X71" s="11">
        <v>0.18578794164739909</v>
      </c>
      <c r="Y71" s="11">
        <v>0.19791332236011439</v>
      </c>
      <c r="Z71" s="11">
        <v>0.21083006152227804</v>
      </c>
      <c r="AA71" s="11">
        <v>0.22458980684791657</v>
      </c>
      <c r="AB71" s="11">
        <v>0.23924757681984807</v>
      </c>
      <c r="AC71" s="11">
        <v>0.25486198068164939</v>
      </c>
      <c r="AD71" s="11">
        <v>0.27149545278731846</v>
      </c>
      <c r="AE71" s="11">
        <v>0.28921450224567891</v>
      </c>
      <c r="AF71" s="11">
        <v>0.30808997885773393</v>
      </c>
      <c r="AG71" s="11">
        <v>0.32819735641032188</v>
      </c>
      <c r="AH71" s="11">
        <v>0.34961703445882764</v>
      </c>
      <c r="AI71" s="11">
        <v>0.37243465980562929</v>
      </c>
      <c r="AJ71" s="11">
        <v>0.39674146895971557</v>
      </c>
      <c r="AK71" s="11">
        <v>0.42263465294680364</v>
      </c>
      <c r="AL71" s="11">
        <v>0.45021774592865133</v>
      </c>
      <c r="AM71" s="11">
        <v>0.47960103918546565</v>
      </c>
      <c r="AN71" s="11">
        <v>0.51090202211671765</v>
      </c>
      <c r="AO71" s="39">
        <f t="shared" si="20"/>
        <v>0.54424585202371123</v>
      </c>
      <c r="AP71" s="39">
        <f t="shared" si="20"/>
        <v>0.5797658545523362</v>
      </c>
      <c r="AQ71" s="39">
        <f t="shared" si="20"/>
        <v>0.6176040567970309</v>
      </c>
      <c r="AR71" s="39">
        <f t="shared" si="20"/>
        <v>0.65791175519757616</v>
      </c>
      <c r="AS71" s="39">
        <f t="shared" si="20"/>
        <v>0.70085012049946149</v>
      </c>
      <c r="AT71" s="39">
        <f t="shared" si="20"/>
        <v>0.74659084219676419</v>
      </c>
      <c r="AU71" s="39">
        <f t="shared" si="20"/>
        <v>0.79531681503435214</v>
      </c>
      <c r="AV71" s="39">
        <f t="shared" si="20"/>
        <v>0.84722287031439747</v>
      </c>
      <c r="AW71" s="39">
        <f t="shared" si="20"/>
        <v>0.90251655493133631</v>
      </c>
      <c r="AX71" s="39">
        <f t="shared" si="20"/>
        <v>0.96141896125025539</v>
      </c>
    </row>
    <row r="72" spans="1:50" x14ac:dyDescent="0.2">
      <c r="A72" s="6" t="s">
        <v>9</v>
      </c>
      <c r="B72" s="11">
        <v>0.47396616293688987</v>
      </c>
      <c r="C72" s="11">
        <v>0.50489938777158716</v>
      </c>
      <c r="D72" s="11">
        <v>0.53785145798702827</v>
      </c>
      <c r="E72" s="11">
        <v>0.57295413277395801</v>
      </c>
      <c r="F72" s="11">
        <v>0.61034777053755906</v>
      </c>
      <c r="G72" s="11">
        <v>0.65018189012197436</v>
      </c>
      <c r="H72" s="11">
        <v>0.69261576866294028</v>
      </c>
      <c r="I72" s="11">
        <v>0.73781907845904549</v>
      </c>
      <c r="J72" s="11">
        <v>0.78597256540815941</v>
      </c>
      <c r="K72" s="11">
        <v>0.83726877172175573</v>
      </c>
      <c r="L72" s="11">
        <v>0.89191280580692456</v>
      </c>
      <c r="M72" s="11">
        <v>0.95012316239443717</v>
      </c>
      <c r="N72" s="11">
        <v>1.0121325961921708</v>
      </c>
      <c r="O72" s="11">
        <v>1.0781890525571949</v>
      </c>
      <c r="P72" s="11">
        <v>1.1485566589078235</v>
      </c>
      <c r="Q72" s="11">
        <v>1.2235167808398093</v>
      </c>
      <c r="R72" s="11">
        <v>1.3033691471695608</v>
      </c>
      <c r="S72" s="11">
        <v>1.3884330484028899</v>
      </c>
      <c r="T72" s="11">
        <v>1.4790486134213778</v>
      </c>
      <c r="U72" s="11">
        <v>1.5755781694911919</v>
      </c>
      <c r="V72" s="11">
        <v>1.6784076910323775</v>
      </c>
      <c r="W72" s="11">
        <v>1.7879483429415373</v>
      </c>
      <c r="X72" s="11">
        <v>1.9046381246388848</v>
      </c>
      <c r="Y72" s="11">
        <v>2.028943621413422</v>
      </c>
      <c r="Z72" s="11">
        <v>2.161361870068998</v>
      </c>
      <c r="AA72" s="11">
        <v>2.302422346331074</v>
      </c>
      <c r="AB72" s="11">
        <v>2.452689081960838</v>
      </c>
      <c r="AC72" s="11">
        <v>2.6127629200419848</v>
      </c>
      <c r="AD72" s="11">
        <v>2.7832839174579558</v>
      </c>
      <c r="AE72" s="11">
        <v>2.9649339041659495</v>
      </c>
      <c r="AF72" s="11">
        <v>3.1584392095009952</v>
      </c>
      <c r="AG72" s="11">
        <v>3.3645735664112526</v>
      </c>
      <c r="AH72" s="11">
        <v>3.5841612052371423</v>
      </c>
      <c r="AI72" s="11">
        <v>3.8180801494048162</v>
      </c>
      <c r="AJ72" s="11">
        <v>4.0672657262118266</v>
      </c>
      <c r="AK72" s="11">
        <v>4.3327143067429281</v>
      </c>
      <c r="AL72" s="11">
        <v>4.6154872898700683</v>
      </c>
      <c r="AM72" s="11">
        <v>4.9167153462666819</v>
      </c>
      <c r="AN72" s="11">
        <v>5.2376029394059538</v>
      </c>
      <c r="AO72" s="39">
        <f t="shared" si="20"/>
        <v>5.5794331416203891</v>
      </c>
      <c r="AP72" s="39">
        <f t="shared" si="20"/>
        <v>5.9435727644796845</v>
      </c>
      <c r="AQ72" s="39">
        <f t="shared" si="20"/>
        <v>6.331477824000812</v>
      </c>
      <c r="AR72" s="39">
        <f t="shared" si="20"/>
        <v>6.744699362542999</v>
      </c>
      <c r="AS72" s="39">
        <f t="shared" si="20"/>
        <v>7.1848896506665083</v>
      </c>
      <c r="AT72" s="39">
        <f t="shared" si="20"/>
        <v>7.6538087937534209</v>
      </c>
      <c r="AU72" s="39">
        <f t="shared" si="20"/>
        <v>8.1533317698070604</v>
      </c>
      <c r="AV72" s="39">
        <f t="shared" si="20"/>
        <v>8.6854559265707714</v>
      </c>
      <c r="AW72" s="39">
        <f t="shared" si="20"/>
        <v>9.252308967943355</v>
      </c>
      <c r="AX72" s="39">
        <f t="shared" si="20"/>
        <v>9.856157461624937</v>
      </c>
    </row>
    <row r="73" spans="1:50" x14ac:dyDescent="0.2">
      <c r="A73" s="6" t="s">
        <v>10</v>
      </c>
      <c r="B73" s="11">
        <v>4.1165984857394731E-4</v>
      </c>
      <c r="C73" s="11">
        <v>4.3852667504200239E-4</v>
      </c>
      <c r="D73" s="11">
        <v>4.6714695491816905E-4</v>
      </c>
      <c r="E73" s="11">
        <v>4.9763512668508925E-4</v>
      </c>
      <c r="F73" s="11">
        <v>5.3011309761028978E-4</v>
      </c>
      <c r="G73" s="11">
        <v>5.6471073119363977E-4</v>
      </c>
      <c r="H73" s="11">
        <v>6.0156636642788998E-4</v>
      </c>
      <c r="I73" s="11">
        <v>6.4082737094855178E-4</v>
      </c>
      <c r="J73" s="11">
        <v>6.8265073028489997E-4</v>
      </c>
      <c r="K73" s="11">
        <v>7.2720367556822132E-4</v>
      </c>
      <c r="L73" s="11">
        <v>7.7466435220721055E-4</v>
      </c>
      <c r="M73" s="11">
        <v>8.2522253220421095E-4</v>
      </c>
      <c r="N73" s="11">
        <v>8.7908037296051454E-4</v>
      </c>
      <c r="O73" s="11">
        <v>9.3645322560480379E-4</v>
      </c>
      <c r="P73" s="11">
        <v>9.9757049607684836E-4</v>
      </c>
      <c r="Q73" s="11">
        <v>1.062676562409509E-3</v>
      </c>
      <c r="R73" s="11">
        <v>1.1320317518768081E-3</v>
      </c>
      <c r="S73" s="11">
        <v>1.2059133819152044E-3</v>
      </c>
      <c r="T73" s="11">
        <v>1.2846168689802091E-3</v>
      </c>
      <c r="U73" s="11">
        <v>1.368456909772111E-3</v>
      </c>
      <c r="V73" s="11">
        <v>1.4577687395539603E-3</v>
      </c>
      <c r="W73" s="11">
        <v>1.5529094725932101E-3</v>
      </c>
      <c r="X73" s="11">
        <v>1.654259530086773E-3</v>
      </c>
      <c r="Y73" s="11">
        <v>1.7622241612790823E-3</v>
      </c>
      <c r="Z73" s="11">
        <v>1.8772350638553491E-3</v>
      </c>
      <c r="AA73" s="11">
        <v>1.99975211008919E-3</v>
      </c>
      <c r="AB73" s="11">
        <v>2.1302651856466254E-3</v>
      </c>
      <c r="AC73" s="11">
        <v>2.269296148398939E-3</v>
      </c>
      <c r="AD73" s="11">
        <v>2.4174009150767319E-3</v>
      </c>
      <c r="AE73" s="11">
        <v>2.575171684108674E-3</v>
      </c>
      <c r="AF73" s="11">
        <v>2.7432393035329897E-3</v>
      </c>
      <c r="AG73" s="11">
        <v>2.9222757934498108E-3</v>
      </c>
      <c r="AH73" s="11">
        <v>3.1129970331004414E-3</v>
      </c>
      <c r="AI73" s="11">
        <v>3.3161656233178494E-3</v>
      </c>
      <c r="AJ73" s="11">
        <v>3.5325939357939121E-3</v>
      </c>
      <c r="AK73" s="11">
        <v>3.7631473613559652E-3</v>
      </c>
      <c r="AL73" s="11">
        <v>4.0087477702408971E-3</v>
      </c>
      <c r="AM73" s="11">
        <v>4.2703771982027525E-3</v>
      </c>
      <c r="AN73" s="11">
        <v>4.5490817731927606E-3</v>
      </c>
      <c r="AO73" s="39">
        <f t="shared" si="20"/>
        <v>4.845975898312687E-3</v>
      </c>
      <c r="AP73" s="39">
        <f t="shared" si="20"/>
        <v>5.1622467077670564E-3</v>
      </c>
      <c r="AQ73" s="39">
        <f t="shared" si="20"/>
        <v>5.4991588136314535E-3</v>
      </c>
      <c r="AR73" s="39">
        <f t="shared" si="20"/>
        <v>5.8580593624168748E-3</v>
      </c>
      <c r="AS73" s="39">
        <f t="shared" si="20"/>
        <v>6.2403834216488725E-3</v>
      </c>
      <c r="AT73" s="39">
        <f t="shared" si="20"/>
        <v>6.6476597179997727E-3</v>
      </c>
      <c r="AU73" s="39">
        <f t="shared" si="20"/>
        <v>7.0815167499179554E-3</v>
      </c>
      <c r="AV73" s="39">
        <f t="shared" si="20"/>
        <v>7.5436892991956059E-3</v>
      </c>
      <c r="AW73" s="39">
        <f t="shared" si="20"/>
        <v>8.0360253675115009E-3</v>
      </c>
      <c r="AX73" s="39">
        <f t="shared" si="20"/>
        <v>8.5604935656846803E-3</v>
      </c>
    </row>
    <row r="74" spans="1:50" x14ac:dyDescent="0.2">
      <c r="A74" s="6" t="s">
        <v>44</v>
      </c>
      <c r="B74" s="11">
        <v>0.75166130592060987</v>
      </c>
      <c r="C74" s="11">
        <v>0.8007182006818514</v>
      </c>
      <c r="D74" s="11">
        <v>0.85297677538146377</v>
      </c>
      <c r="E74" s="11">
        <v>0.90864598646639783</v>
      </c>
      <c r="F74" s="11">
        <v>0.96794842784817481</v>
      </c>
      <c r="G74" s="11">
        <v>1.0311212209469225</v>
      </c>
      <c r="H74" s="11">
        <v>1.0984169628238079</v>
      </c>
      <c r="I74" s="11">
        <v>1.1701047361929771</v>
      </c>
      <c r="J74" s="11">
        <v>1.2464711853515458</v>
      </c>
      <c r="K74" s="11">
        <v>1.3278216623297621</v>
      </c>
      <c r="L74" s="11">
        <v>1.414481447844234</v>
      </c>
      <c r="M74" s="11">
        <v>1.5067970519362086</v>
      </c>
      <c r="N74" s="11">
        <v>1.6051375994955253</v>
      </c>
      <c r="O74" s="11">
        <v>1.7098963062102768</v>
      </c>
      <c r="P74" s="11">
        <v>1.8214920508437682</v>
      </c>
      <c r="Q74" s="11">
        <v>1.9403710501255518</v>
      </c>
      <c r="R74" s="11">
        <v>2.0670086429535957</v>
      </c>
      <c r="S74" s="11">
        <v>2.2019111910417379</v>
      </c>
      <c r="T74" s="11">
        <v>2.3456181036122032</v>
      </c>
      <c r="U74" s="11">
        <v>2.4987039942289018</v>
      </c>
      <c r="V74" s="11">
        <v>2.6617809783956616</v>
      </c>
      <c r="W74" s="11">
        <v>2.8355011211063497</v>
      </c>
      <c r="X74" s="11">
        <v>3.0205590441334382</v>
      </c>
      <c r="Y74" s="11">
        <v>3.2176947034802845</v>
      </c>
      <c r="Z74" s="11">
        <v>3.4276963481028013</v>
      </c>
      <c r="AA74" s="11">
        <v>3.6514036717309932</v>
      </c>
      <c r="AB74" s="11">
        <v>3.8897111703929492</v>
      </c>
      <c r="AC74" s="11">
        <v>4.1435717190663803</v>
      </c>
      <c r="AD74" s="11">
        <v>4.4140003817589966</v>
      </c>
      <c r="AE74" s="11">
        <v>4.7020784702523555</v>
      </c>
      <c r="AF74" s="11">
        <v>5.0089578677381068</v>
      </c>
      <c r="AG74" s="11">
        <v>5.3358656346347519</v>
      </c>
      <c r="AH74" s="11">
        <v>5.6841089150013069</v>
      </c>
      <c r="AI74" s="11">
        <v>6.0550801631662434</v>
      </c>
      <c r="AJ74" s="11">
        <v>6.450262711470387</v>
      </c>
      <c r="AK74" s="11">
        <v>6.8712367013865157</v>
      </c>
      <c r="AL74" s="11">
        <v>7.319685401731217</v>
      </c>
      <c r="AM74" s="11">
        <v>7.797401939232552</v>
      </c>
      <c r="AN74" s="11">
        <v>8.3062964683656428</v>
      </c>
      <c r="AO74" s="39">
        <f t="shared" si="20"/>
        <v>8.8484038091249477</v>
      </c>
      <c r="AP74" s="39">
        <f t="shared" si="20"/>
        <v>9.42589158327287</v>
      </c>
      <c r="AQ74" s="39">
        <f t="shared" si="20"/>
        <v>10.041068881597617</v>
      </c>
      <c r="AR74" s="39">
        <f t="shared" si="20"/>
        <v>10.696395496836397</v>
      </c>
      <c r="AS74" s="39">
        <f t="shared" si="20"/>
        <v>11.394491759181909</v>
      </c>
      <c r="AT74" s="39">
        <f t="shared" si="20"/>
        <v>12.138149013699495</v>
      </c>
      <c r="AU74" s="39">
        <f t="shared" si="20"/>
        <v>12.930340781549015</v>
      </c>
      <c r="AV74" s="39">
        <f t="shared" si="20"/>
        <v>13.774234649639705</v>
      </c>
      <c r="AW74" s="39">
        <f t="shared" si="20"/>
        <v>14.673204936258921</v>
      </c>
      <c r="AX74" s="39">
        <f t="shared" si="20"/>
        <v>15.630846183318424</v>
      </c>
    </row>
    <row r="75" spans="1:50" x14ac:dyDescent="0.2">
      <c r="AM75" s="13" t="s">
        <v>187</v>
      </c>
      <c r="AN75" s="13">
        <f>(AN67-AM67)/AM67</f>
        <v>6.5264627000000394E-2</v>
      </c>
    </row>
    <row r="76" spans="1:50" x14ac:dyDescent="0.2">
      <c r="A76" s="5" t="s">
        <v>3</v>
      </c>
      <c r="AM76" s="13" t="s">
        <v>187</v>
      </c>
      <c r="AN76" s="13">
        <f t="shared" ref="AN76:AN78" si="21">(AN68-AM68)/AM68</f>
        <v>6.5264627000000297E-2</v>
      </c>
    </row>
    <row r="77" spans="1:50" x14ac:dyDescent="0.2">
      <c r="A77" s="5" t="s">
        <v>4</v>
      </c>
      <c r="AM77" s="13" t="s">
        <v>187</v>
      </c>
      <c r="AN77" s="13">
        <f t="shared" si="21"/>
        <v>6.5264627000000228E-2</v>
      </c>
    </row>
    <row r="78" spans="1:50" x14ac:dyDescent="0.2">
      <c r="A78" s="5" t="s">
        <v>54</v>
      </c>
      <c r="AM78" s="13" t="s">
        <v>187</v>
      </c>
      <c r="AN78" s="13">
        <f t="shared" si="21"/>
        <v>6.5264627000000394E-2</v>
      </c>
    </row>
    <row r="79" spans="1:50" x14ac:dyDescent="0.2">
      <c r="A79" s="5" t="s">
        <v>6</v>
      </c>
    </row>
    <row r="80" spans="1:50" x14ac:dyDescent="0.2">
      <c r="A80" s="5"/>
    </row>
    <row r="81" spans="1:50" x14ac:dyDescent="0.2">
      <c r="A81" s="6" t="s">
        <v>7</v>
      </c>
      <c r="B81" s="6">
        <v>2022</v>
      </c>
      <c r="C81" s="6">
        <v>2023</v>
      </c>
      <c r="D81" s="6">
        <v>2024</v>
      </c>
      <c r="E81" s="6">
        <v>2025</v>
      </c>
      <c r="F81" s="6">
        <v>2026</v>
      </c>
      <c r="G81" s="6">
        <v>2027</v>
      </c>
      <c r="H81" s="6">
        <v>2028</v>
      </c>
      <c r="I81" s="6">
        <v>2029</v>
      </c>
      <c r="J81" s="6">
        <v>2030</v>
      </c>
      <c r="K81" s="6">
        <v>2031</v>
      </c>
      <c r="L81" s="6">
        <v>2032</v>
      </c>
      <c r="M81" s="6">
        <v>2033</v>
      </c>
      <c r="N81" s="6">
        <v>2034</v>
      </c>
      <c r="O81" s="6">
        <v>2035</v>
      </c>
      <c r="P81" s="6">
        <v>2036</v>
      </c>
      <c r="Q81" s="6">
        <v>2037</v>
      </c>
      <c r="R81" s="6">
        <v>2038</v>
      </c>
      <c r="S81" s="6">
        <v>2039</v>
      </c>
      <c r="T81" s="6">
        <v>2040</v>
      </c>
      <c r="U81" s="6">
        <v>2041</v>
      </c>
      <c r="V81" s="6">
        <v>2042</v>
      </c>
      <c r="W81" s="6">
        <v>2043</v>
      </c>
      <c r="X81" s="6">
        <v>2044</v>
      </c>
      <c r="Y81" s="6">
        <v>2045</v>
      </c>
      <c r="Z81" s="6">
        <v>2046</v>
      </c>
      <c r="AA81" s="6">
        <v>2047</v>
      </c>
      <c r="AB81" s="6">
        <v>2048</v>
      </c>
      <c r="AC81" s="6">
        <v>2049</v>
      </c>
      <c r="AD81" s="6">
        <v>2050</v>
      </c>
      <c r="AE81" s="6">
        <v>2051</v>
      </c>
      <c r="AF81" s="6">
        <v>2052</v>
      </c>
      <c r="AG81" s="6">
        <v>2053</v>
      </c>
      <c r="AH81" s="6">
        <v>2054</v>
      </c>
      <c r="AI81" s="6">
        <v>2055</v>
      </c>
      <c r="AJ81" s="6">
        <v>2056</v>
      </c>
      <c r="AK81" s="6">
        <v>2057</v>
      </c>
      <c r="AL81" s="6">
        <v>2058</v>
      </c>
      <c r="AM81" s="6">
        <v>2059</v>
      </c>
      <c r="AN81" s="6">
        <v>2060</v>
      </c>
      <c r="AO81" s="39">
        <f>AN81+1</f>
        <v>2061</v>
      </c>
      <c r="AP81" s="39">
        <f t="shared" ref="AP81:AX81" si="22">AO81+1</f>
        <v>2062</v>
      </c>
      <c r="AQ81" s="39">
        <f t="shared" si="22"/>
        <v>2063</v>
      </c>
      <c r="AR81" s="39">
        <f t="shared" si="22"/>
        <v>2064</v>
      </c>
      <c r="AS81" s="39">
        <f t="shared" si="22"/>
        <v>2065</v>
      </c>
      <c r="AT81" s="39">
        <f t="shared" si="22"/>
        <v>2066</v>
      </c>
      <c r="AU81" s="39">
        <f t="shared" si="22"/>
        <v>2067</v>
      </c>
      <c r="AV81" s="39">
        <f t="shared" si="22"/>
        <v>2068</v>
      </c>
      <c r="AW81" s="39">
        <f>AV81+1</f>
        <v>2069</v>
      </c>
      <c r="AX81" s="39">
        <f t="shared" si="22"/>
        <v>2070</v>
      </c>
    </row>
    <row r="82" spans="1:50" x14ac:dyDescent="0.2">
      <c r="A82" s="6" t="s">
        <v>40</v>
      </c>
      <c r="B82" s="11">
        <v>203.44651283227503</v>
      </c>
      <c r="C82" s="11">
        <v>204.1421864827669</v>
      </c>
      <c r="D82" s="11">
        <v>204.83786013325877</v>
      </c>
      <c r="E82" s="11">
        <v>205.53353378375067</v>
      </c>
      <c r="F82" s="11">
        <v>207.39445108538297</v>
      </c>
      <c r="G82" s="11">
        <v>209.25536838701518</v>
      </c>
      <c r="H82" s="11">
        <v>211.11628568864748</v>
      </c>
      <c r="I82" s="11">
        <v>212.97720299027975</v>
      </c>
      <c r="J82" s="11">
        <v>214.83812029191202</v>
      </c>
      <c r="K82" s="11">
        <v>216.40114699761213</v>
      </c>
      <c r="L82" s="11">
        <v>217.96417370331227</v>
      </c>
      <c r="M82" s="11">
        <v>219.52720040901232</v>
      </c>
      <c r="N82" s="11">
        <v>221.09022711471241</v>
      </c>
      <c r="O82" s="11">
        <v>222.6532538204126</v>
      </c>
      <c r="P82" s="11">
        <v>223.91494621060613</v>
      </c>
      <c r="Q82" s="11">
        <v>225.17663860079969</v>
      </c>
      <c r="R82" s="11">
        <v>226.43833099099331</v>
      </c>
      <c r="S82" s="11">
        <v>227.70002338118681</v>
      </c>
      <c r="T82" s="11">
        <v>228.96171577138045</v>
      </c>
      <c r="U82" s="11">
        <v>229.92868832543849</v>
      </c>
      <c r="V82" s="11">
        <v>230.89566087949655</v>
      </c>
      <c r="W82" s="11">
        <v>231.86263343355455</v>
      </c>
      <c r="X82" s="11">
        <v>232.82960598761264</v>
      </c>
      <c r="Y82" s="11">
        <v>233.79657854167061</v>
      </c>
      <c r="Z82" s="11">
        <v>234.48077804510882</v>
      </c>
      <c r="AA82" s="11">
        <v>235.16497754854703</v>
      </c>
      <c r="AB82" s="11">
        <v>235.84917705198521</v>
      </c>
      <c r="AC82" s="11">
        <v>236.53337655542339</v>
      </c>
      <c r="AD82" s="11">
        <v>237.2175760588616</v>
      </c>
      <c r="AE82" s="11">
        <v>237.2175760588616</v>
      </c>
      <c r="AF82" s="11">
        <v>237.2175760588616</v>
      </c>
      <c r="AG82" s="11">
        <v>237.2175760588616</v>
      </c>
      <c r="AH82" s="11">
        <v>237.2175760588616</v>
      </c>
      <c r="AI82" s="11">
        <v>237.2175760588616</v>
      </c>
      <c r="AJ82" s="11">
        <v>237.2175760588616</v>
      </c>
      <c r="AK82" s="11">
        <v>237.2175760588616</v>
      </c>
      <c r="AL82" s="11">
        <v>237.2175760588616</v>
      </c>
      <c r="AM82" s="11">
        <v>237.2175760588616</v>
      </c>
      <c r="AN82" s="11">
        <v>237.2175760588616</v>
      </c>
      <c r="AO82" s="39">
        <f>(AN82+AN82*$AN$90)</f>
        <v>237.2175760588616</v>
      </c>
      <c r="AP82" s="39">
        <f t="shared" ref="AP82:AX82" si="23">(AO82+AO82*$AN$90)</f>
        <v>237.2175760588616</v>
      </c>
      <c r="AQ82" s="39">
        <f t="shared" si="23"/>
        <v>237.2175760588616</v>
      </c>
      <c r="AR82" s="39">
        <f t="shared" si="23"/>
        <v>237.2175760588616</v>
      </c>
      <c r="AS82" s="39">
        <f t="shared" si="23"/>
        <v>237.2175760588616</v>
      </c>
      <c r="AT82" s="39">
        <f t="shared" si="23"/>
        <v>237.2175760588616</v>
      </c>
      <c r="AU82" s="39">
        <f t="shared" si="23"/>
        <v>237.2175760588616</v>
      </c>
      <c r="AV82" s="39">
        <f t="shared" si="23"/>
        <v>237.2175760588616</v>
      </c>
      <c r="AW82" s="39">
        <f t="shared" si="23"/>
        <v>237.2175760588616</v>
      </c>
      <c r="AX82" s="39">
        <f t="shared" si="23"/>
        <v>237.2175760588616</v>
      </c>
    </row>
    <row r="83" spans="1:50" x14ac:dyDescent="0.2">
      <c r="A83" s="6" t="s">
        <v>41</v>
      </c>
      <c r="B83" s="11">
        <v>124.27801447660651</v>
      </c>
      <c r="C83" s="11">
        <v>124.70297599992396</v>
      </c>
      <c r="D83" s="11">
        <v>125.1279375232414</v>
      </c>
      <c r="E83" s="11">
        <v>125.55289904655885</v>
      </c>
      <c r="F83" s="11">
        <v>126.68966518785263</v>
      </c>
      <c r="G83" s="11">
        <v>127.82643132914639</v>
      </c>
      <c r="H83" s="11">
        <v>128.96319747044021</v>
      </c>
      <c r="I83" s="11">
        <v>130.09996361173398</v>
      </c>
      <c r="J83" s="11">
        <v>131.23672975302779</v>
      </c>
      <c r="K83" s="11">
        <v>132.19152545266437</v>
      </c>
      <c r="L83" s="11">
        <v>133.14632115230103</v>
      </c>
      <c r="M83" s="11">
        <v>134.1011168519376</v>
      </c>
      <c r="N83" s="11">
        <v>135.05591255157421</v>
      </c>
      <c r="O83" s="11">
        <v>136.01070825121084</v>
      </c>
      <c r="P83" s="11">
        <v>136.78142986718058</v>
      </c>
      <c r="Q83" s="11">
        <v>137.55215148315031</v>
      </c>
      <c r="R83" s="11">
        <v>138.32287309912007</v>
      </c>
      <c r="S83" s="11">
        <v>139.09359471508984</v>
      </c>
      <c r="T83" s="11">
        <v>139.8643163310596</v>
      </c>
      <c r="U83" s="11">
        <v>140.45500440626282</v>
      </c>
      <c r="V83" s="11">
        <v>141.04569248146606</v>
      </c>
      <c r="W83" s="11">
        <v>141.63638055666928</v>
      </c>
      <c r="X83" s="11">
        <v>142.2270686318725</v>
      </c>
      <c r="Y83" s="11">
        <v>142.81775670707574</v>
      </c>
      <c r="Z83" s="11">
        <v>143.23570909470541</v>
      </c>
      <c r="AA83" s="11">
        <v>143.65366148233508</v>
      </c>
      <c r="AB83" s="11">
        <v>144.07161386996475</v>
      </c>
      <c r="AC83" s="11">
        <v>144.48956625759439</v>
      </c>
      <c r="AD83" s="11">
        <v>144.90751864522406</v>
      </c>
      <c r="AE83" s="11">
        <v>144.90751864522406</v>
      </c>
      <c r="AF83" s="11">
        <v>144.90751864522406</v>
      </c>
      <c r="AG83" s="11">
        <v>144.90751864522406</v>
      </c>
      <c r="AH83" s="11">
        <v>144.90751864522406</v>
      </c>
      <c r="AI83" s="11">
        <v>144.90751864522406</v>
      </c>
      <c r="AJ83" s="11">
        <v>144.90751864522406</v>
      </c>
      <c r="AK83" s="11">
        <v>144.90751864522406</v>
      </c>
      <c r="AL83" s="11">
        <v>144.90751864522406</v>
      </c>
      <c r="AM83" s="11">
        <v>144.90751864522406</v>
      </c>
      <c r="AN83" s="11">
        <v>144.90751864522406</v>
      </c>
      <c r="AO83" s="39">
        <f t="shared" ref="AO83:AX89" si="24">(AN83+AN83*$AN$90)</f>
        <v>144.90751864522406</v>
      </c>
      <c r="AP83" s="39">
        <f t="shared" si="24"/>
        <v>144.90751864522406</v>
      </c>
      <c r="AQ83" s="39">
        <f t="shared" si="24"/>
        <v>144.90751864522406</v>
      </c>
      <c r="AR83" s="39">
        <f t="shared" si="24"/>
        <v>144.90751864522406</v>
      </c>
      <c r="AS83" s="39">
        <f t="shared" si="24"/>
        <v>144.90751864522406</v>
      </c>
      <c r="AT83" s="39">
        <f t="shared" si="24"/>
        <v>144.90751864522406</v>
      </c>
      <c r="AU83" s="39">
        <f t="shared" si="24"/>
        <v>144.90751864522406</v>
      </c>
      <c r="AV83" s="39">
        <f t="shared" si="24"/>
        <v>144.90751864522406</v>
      </c>
      <c r="AW83" s="39">
        <f t="shared" si="24"/>
        <v>144.90751864522406</v>
      </c>
      <c r="AX83" s="39">
        <f t="shared" si="24"/>
        <v>144.90751864522406</v>
      </c>
    </row>
    <row r="84" spans="1:50" x14ac:dyDescent="0.2">
      <c r="A84" s="6" t="s">
        <v>42</v>
      </c>
      <c r="B84" s="11">
        <v>96.50249035533021</v>
      </c>
      <c r="C84" s="11">
        <v>96.832475071275681</v>
      </c>
      <c r="D84" s="11">
        <v>97.162459787221124</v>
      </c>
      <c r="E84" s="11">
        <v>97.492444503166581</v>
      </c>
      <c r="F84" s="11">
        <v>98.375149010866281</v>
      </c>
      <c r="G84" s="11">
        <v>99.257853518565966</v>
      </c>
      <c r="H84" s="11">
        <v>100.14055802626569</v>
      </c>
      <c r="I84" s="11">
        <v>101.02326253396541</v>
      </c>
      <c r="J84" s="11">
        <v>101.90596704166511</v>
      </c>
      <c r="K84" s="11">
        <v>102.64737060514766</v>
      </c>
      <c r="L84" s="11">
        <v>103.38877416863023</v>
      </c>
      <c r="M84" s="11">
        <v>104.13017773211276</v>
      </c>
      <c r="N84" s="11">
        <v>104.87158129559532</v>
      </c>
      <c r="O84" s="11">
        <v>105.6129848590779</v>
      </c>
      <c r="P84" s="11">
        <v>106.21145398996158</v>
      </c>
      <c r="Q84" s="11">
        <v>106.80992312084527</v>
      </c>
      <c r="R84" s="11">
        <v>107.40839225172894</v>
      </c>
      <c r="S84" s="11">
        <v>108.00686138261264</v>
      </c>
      <c r="T84" s="11">
        <v>108.60533051349636</v>
      </c>
      <c r="U84" s="11">
        <v>109.06400271324441</v>
      </c>
      <c r="V84" s="11">
        <v>109.52267491299251</v>
      </c>
      <c r="W84" s="11">
        <v>109.98134711274056</v>
      </c>
      <c r="X84" s="11">
        <v>110.44001931248864</v>
      </c>
      <c r="Y84" s="11">
        <v>110.89869151223672</v>
      </c>
      <c r="Z84" s="11">
        <v>111.22323359979808</v>
      </c>
      <c r="AA84" s="11">
        <v>111.54777568735945</v>
      </c>
      <c r="AB84" s="11">
        <v>111.87231777492082</v>
      </c>
      <c r="AC84" s="11">
        <v>112.19685986248216</v>
      </c>
      <c r="AD84" s="11">
        <v>112.52140195004353</v>
      </c>
      <c r="AE84" s="11">
        <v>112.52140195004353</v>
      </c>
      <c r="AF84" s="11">
        <v>112.52140195004353</v>
      </c>
      <c r="AG84" s="11">
        <v>112.52140195004353</v>
      </c>
      <c r="AH84" s="11">
        <v>112.52140195004353</v>
      </c>
      <c r="AI84" s="11">
        <v>112.52140195004353</v>
      </c>
      <c r="AJ84" s="11">
        <v>112.52140195004353</v>
      </c>
      <c r="AK84" s="11">
        <v>112.52140195004353</v>
      </c>
      <c r="AL84" s="11">
        <v>112.52140195004353</v>
      </c>
      <c r="AM84" s="11">
        <v>112.52140195004353</v>
      </c>
      <c r="AN84" s="11">
        <v>112.52140195004353</v>
      </c>
      <c r="AO84" s="39">
        <f t="shared" si="24"/>
        <v>112.52140195004353</v>
      </c>
      <c r="AP84" s="39">
        <f t="shared" si="24"/>
        <v>112.52140195004353</v>
      </c>
      <c r="AQ84" s="39">
        <f t="shared" si="24"/>
        <v>112.52140195004353</v>
      </c>
      <c r="AR84" s="39">
        <f t="shared" si="24"/>
        <v>112.52140195004353</v>
      </c>
      <c r="AS84" s="39">
        <f t="shared" si="24"/>
        <v>112.52140195004353</v>
      </c>
      <c r="AT84" s="39">
        <f t="shared" si="24"/>
        <v>112.52140195004353</v>
      </c>
      <c r="AU84" s="39">
        <f t="shared" si="24"/>
        <v>112.52140195004353</v>
      </c>
      <c r="AV84" s="39">
        <f t="shared" si="24"/>
        <v>112.52140195004353</v>
      </c>
      <c r="AW84" s="39">
        <f t="shared" si="24"/>
        <v>112.52140195004353</v>
      </c>
      <c r="AX84" s="39">
        <f t="shared" si="24"/>
        <v>112.52140195004353</v>
      </c>
    </row>
    <row r="85" spans="1:50" x14ac:dyDescent="0.2">
      <c r="A85" s="6" t="s">
        <v>43</v>
      </c>
      <c r="B85" s="11">
        <v>6.7676886961040745</v>
      </c>
      <c r="C85" s="11">
        <v>6.790830418392984</v>
      </c>
      <c r="D85" s="11">
        <v>6.8139721406818934</v>
      </c>
      <c r="E85" s="11">
        <v>6.8371138629708019</v>
      </c>
      <c r="F85" s="11">
        <v>6.8990176469743352</v>
      </c>
      <c r="G85" s="11">
        <v>6.9609214309778666</v>
      </c>
      <c r="H85" s="11">
        <v>7.0228252149814008</v>
      </c>
      <c r="I85" s="11">
        <v>7.0847289989849349</v>
      </c>
      <c r="J85" s="11">
        <v>7.1466327829884682</v>
      </c>
      <c r="K85" s="11">
        <v>7.1986271770953651</v>
      </c>
      <c r="L85" s="11">
        <v>7.2506215712022648</v>
      </c>
      <c r="M85" s="11">
        <v>7.3026159653091618</v>
      </c>
      <c r="N85" s="11">
        <v>7.3546103594160588</v>
      </c>
      <c r="O85" s="11">
        <v>7.4066047535229593</v>
      </c>
      <c r="P85" s="11">
        <v>7.4485752017169427</v>
      </c>
      <c r="Q85" s="11">
        <v>7.4905456499109242</v>
      </c>
      <c r="R85" s="11">
        <v>7.5325160981049084</v>
      </c>
      <c r="S85" s="11">
        <v>7.5744865462988917</v>
      </c>
      <c r="T85" s="11">
        <v>7.6164569944928768</v>
      </c>
      <c r="U85" s="11">
        <v>7.6486235287452295</v>
      </c>
      <c r="V85" s="11">
        <v>7.6807900629975858</v>
      </c>
      <c r="W85" s="11">
        <v>7.7129565972499385</v>
      </c>
      <c r="X85" s="11">
        <v>7.7451231315022939</v>
      </c>
      <c r="Y85" s="11">
        <v>7.7772896657546493</v>
      </c>
      <c r="Z85" s="11">
        <v>7.8000496982606666</v>
      </c>
      <c r="AA85" s="11">
        <v>7.8228097307666857</v>
      </c>
      <c r="AB85" s="11">
        <v>7.8455697632727039</v>
      </c>
      <c r="AC85" s="11">
        <v>7.8683297957787222</v>
      </c>
      <c r="AD85" s="11">
        <v>7.8910898282847413</v>
      </c>
      <c r="AE85" s="11">
        <v>7.8910898282847413</v>
      </c>
      <c r="AF85" s="11">
        <v>7.8910898282847413</v>
      </c>
      <c r="AG85" s="11">
        <v>7.8910898282847413</v>
      </c>
      <c r="AH85" s="11">
        <v>7.8910898282847413</v>
      </c>
      <c r="AI85" s="11">
        <v>7.8910898282847413</v>
      </c>
      <c r="AJ85" s="11">
        <v>7.8910898282847413</v>
      </c>
      <c r="AK85" s="11">
        <v>7.8910898282847413</v>
      </c>
      <c r="AL85" s="11">
        <v>7.8910898282847413</v>
      </c>
      <c r="AM85" s="11">
        <v>7.8910898282847413</v>
      </c>
      <c r="AN85" s="11">
        <v>7.8910898282847413</v>
      </c>
      <c r="AO85" s="39">
        <f t="shared" si="24"/>
        <v>7.8910898282847413</v>
      </c>
      <c r="AP85" s="39">
        <f t="shared" si="24"/>
        <v>7.8910898282847413</v>
      </c>
      <c r="AQ85" s="39">
        <f t="shared" si="24"/>
        <v>7.8910898282847413</v>
      </c>
      <c r="AR85" s="39">
        <f t="shared" si="24"/>
        <v>7.8910898282847413</v>
      </c>
      <c r="AS85" s="39">
        <f t="shared" si="24"/>
        <v>7.8910898282847413</v>
      </c>
      <c r="AT85" s="39">
        <f t="shared" si="24"/>
        <v>7.8910898282847413</v>
      </c>
      <c r="AU85" s="39">
        <f t="shared" si="24"/>
        <v>7.8910898282847413</v>
      </c>
      <c r="AV85" s="39">
        <f t="shared" si="24"/>
        <v>7.8910898282847413</v>
      </c>
      <c r="AW85" s="39">
        <f t="shared" si="24"/>
        <v>7.8910898282847413</v>
      </c>
      <c r="AX85" s="39">
        <f t="shared" si="24"/>
        <v>7.8910898282847413</v>
      </c>
    </row>
    <row r="86" spans="1:50" x14ac:dyDescent="0.2">
      <c r="A86" s="6" t="s">
        <v>8</v>
      </c>
      <c r="B86" s="11">
        <v>5.1758736849001394</v>
      </c>
      <c r="C86" s="11">
        <v>5.1935722873029642</v>
      </c>
      <c r="D86" s="11">
        <v>5.2112708897057871</v>
      </c>
      <c r="E86" s="11">
        <v>5.228969492108611</v>
      </c>
      <c r="F86" s="11">
        <v>5.2763130064171335</v>
      </c>
      <c r="G86" s="11">
        <v>5.3236565207256543</v>
      </c>
      <c r="H86" s="11">
        <v>5.3710000350341778</v>
      </c>
      <c r="I86" s="11">
        <v>5.4183435493427003</v>
      </c>
      <c r="J86" s="11">
        <v>5.4656870636512229</v>
      </c>
      <c r="K86" s="11">
        <v>5.5054519565570006</v>
      </c>
      <c r="L86" s="11">
        <v>5.54521684946278</v>
      </c>
      <c r="M86" s="11">
        <v>5.5849817423685559</v>
      </c>
      <c r="N86" s="11">
        <v>5.6247466352743336</v>
      </c>
      <c r="O86" s="11">
        <v>5.6645115281801122</v>
      </c>
      <c r="P86" s="11">
        <v>5.6966101881666091</v>
      </c>
      <c r="Q86" s="11">
        <v>5.7287088481531061</v>
      </c>
      <c r="R86" s="11">
        <v>5.7608075081396022</v>
      </c>
      <c r="S86" s="11">
        <v>5.7929061681261</v>
      </c>
      <c r="T86" s="11">
        <v>5.8250048281125979</v>
      </c>
      <c r="U86" s="11">
        <v>5.8496055338553186</v>
      </c>
      <c r="V86" s="11">
        <v>5.8742062395980419</v>
      </c>
      <c r="W86" s="11">
        <v>5.8988069453407617</v>
      </c>
      <c r="X86" s="11">
        <v>5.9234076510834832</v>
      </c>
      <c r="Y86" s="11">
        <v>5.9480083568262057</v>
      </c>
      <c r="Z86" s="11">
        <v>5.9654150459641366</v>
      </c>
      <c r="AA86" s="11">
        <v>5.9828217351020676</v>
      </c>
      <c r="AB86" s="11">
        <v>6.0002284242399995</v>
      </c>
      <c r="AC86" s="11">
        <v>6.0176351133779287</v>
      </c>
      <c r="AD86" s="11">
        <v>6.0350418025158614</v>
      </c>
      <c r="AE86" s="11">
        <v>6.0350418025158614</v>
      </c>
      <c r="AF86" s="11">
        <v>6.0350418025158614</v>
      </c>
      <c r="AG86" s="11">
        <v>6.0350418025158614</v>
      </c>
      <c r="AH86" s="11">
        <v>6.0350418025158614</v>
      </c>
      <c r="AI86" s="11">
        <v>6.0350418025158614</v>
      </c>
      <c r="AJ86" s="11">
        <v>6.0350418025158614</v>
      </c>
      <c r="AK86" s="11">
        <v>6.0350418025158614</v>
      </c>
      <c r="AL86" s="11">
        <v>6.0350418025158614</v>
      </c>
      <c r="AM86" s="11">
        <v>6.0350418025158614</v>
      </c>
      <c r="AN86" s="11">
        <v>6.0350418025158614</v>
      </c>
      <c r="AO86" s="39">
        <f t="shared" si="24"/>
        <v>6.0350418025158614</v>
      </c>
      <c r="AP86" s="39">
        <f t="shared" si="24"/>
        <v>6.0350418025158614</v>
      </c>
      <c r="AQ86" s="39">
        <f t="shared" si="24"/>
        <v>6.0350418025158614</v>
      </c>
      <c r="AR86" s="39">
        <f t="shared" si="24"/>
        <v>6.0350418025158614</v>
      </c>
      <c r="AS86" s="39">
        <f t="shared" si="24"/>
        <v>6.0350418025158614</v>
      </c>
      <c r="AT86" s="39">
        <f t="shared" si="24"/>
        <v>6.0350418025158614</v>
      </c>
      <c r="AU86" s="39">
        <f t="shared" si="24"/>
        <v>6.0350418025158614</v>
      </c>
      <c r="AV86" s="39">
        <f t="shared" si="24"/>
        <v>6.0350418025158614</v>
      </c>
      <c r="AW86" s="39">
        <f t="shared" si="24"/>
        <v>6.0350418025158614</v>
      </c>
      <c r="AX86" s="39">
        <f t="shared" si="24"/>
        <v>6.0350418025158614</v>
      </c>
    </row>
    <row r="87" spans="1:50" x14ac:dyDescent="0.2">
      <c r="A87" s="6" t="s">
        <v>9</v>
      </c>
      <c r="B87" s="11">
        <v>53.061389567524955</v>
      </c>
      <c r="C87" s="11">
        <v>53.242829937609081</v>
      </c>
      <c r="D87" s="11">
        <v>53.424270307693206</v>
      </c>
      <c r="E87" s="11">
        <v>53.605710677777331</v>
      </c>
      <c r="F87" s="11">
        <v>54.091061134367671</v>
      </c>
      <c r="G87" s="11">
        <v>54.576411590958003</v>
      </c>
      <c r="H87" s="11">
        <v>55.061762047548349</v>
      </c>
      <c r="I87" s="11">
        <v>55.547112504138688</v>
      </c>
      <c r="J87" s="11">
        <v>56.032462960729028</v>
      </c>
      <c r="K87" s="11">
        <v>56.440119832213341</v>
      </c>
      <c r="L87" s="11">
        <v>56.847776703697662</v>
      </c>
      <c r="M87" s="11">
        <v>57.255433575181968</v>
      </c>
      <c r="N87" s="11">
        <v>57.663090446666281</v>
      </c>
      <c r="O87" s="11">
        <v>58.070747318150609</v>
      </c>
      <c r="P87" s="11">
        <v>58.399812439486134</v>
      </c>
      <c r="Q87" s="11">
        <v>58.728877560821651</v>
      </c>
      <c r="R87" s="11">
        <v>59.05794268215719</v>
      </c>
      <c r="S87" s="11">
        <v>59.387007803492722</v>
      </c>
      <c r="T87" s="11">
        <v>59.716072924828261</v>
      </c>
      <c r="U87" s="11">
        <v>59.968271434783922</v>
      </c>
      <c r="V87" s="11">
        <v>60.220469944739612</v>
      </c>
      <c r="W87" s="11">
        <v>60.472668454695267</v>
      </c>
      <c r="X87" s="11">
        <v>60.724866964650957</v>
      </c>
      <c r="Y87" s="11">
        <v>60.977065474606633</v>
      </c>
      <c r="Z87" s="11">
        <v>61.155513243941321</v>
      </c>
      <c r="AA87" s="11">
        <v>61.33396101327601</v>
      </c>
      <c r="AB87" s="11">
        <v>61.512408782610706</v>
      </c>
      <c r="AC87" s="11">
        <v>61.690856551945394</v>
      </c>
      <c r="AD87" s="11">
        <v>61.86930432128009</v>
      </c>
      <c r="AE87" s="11">
        <v>61.86930432128009</v>
      </c>
      <c r="AF87" s="11">
        <v>61.86930432128009</v>
      </c>
      <c r="AG87" s="11">
        <v>61.86930432128009</v>
      </c>
      <c r="AH87" s="11">
        <v>61.86930432128009</v>
      </c>
      <c r="AI87" s="11">
        <v>61.86930432128009</v>
      </c>
      <c r="AJ87" s="11">
        <v>61.86930432128009</v>
      </c>
      <c r="AK87" s="11">
        <v>61.86930432128009</v>
      </c>
      <c r="AL87" s="11">
        <v>61.86930432128009</v>
      </c>
      <c r="AM87" s="11">
        <v>61.86930432128009</v>
      </c>
      <c r="AN87" s="11">
        <v>61.86930432128009</v>
      </c>
      <c r="AO87" s="39">
        <f t="shared" si="24"/>
        <v>61.86930432128009</v>
      </c>
      <c r="AP87" s="39">
        <f t="shared" si="24"/>
        <v>61.86930432128009</v>
      </c>
      <c r="AQ87" s="39">
        <f t="shared" si="24"/>
        <v>61.86930432128009</v>
      </c>
      <c r="AR87" s="39">
        <f t="shared" si="24"/>
        <v>61.86930432128009</v>
      </c>
      <c r="AS87" s="39">
        <f t="shared" si="24"/>
        <v>61.86930432128009</v>
      </c>
      <c r="AT87" s="39">
        <f t="shared" si="24"/>
        <v>61.86930432128009</v>
      </c>
      <c r="AU87" s="39">
        <f t="shared" si="24"/>
        <v>61.86930432128009</v>
      </c>
      <c r="AV87" s="39">
        <f t="shared" si="24"/>
        <v>61.86930432128009</v>
      </c>
      <c r="AW87" s="39">
        <f t="shared" si="24"/>
        <v>61.86930432128009</v>
      </c>
      <c r="AX87" s="39">
        <f t="shared" si="24"/>
        <v>61.86930432128009</v>
      </c>
    </row>
    <row r="88" spans="1:50" x14ac:dyDescent="0.2">
      <c r="A88" s="6" t="s">
        <v>10</v>
      </c>
      <c r="B88" s="11">
        <v>4.6086082307208905E-2</v>
      </c>
      <c r="C88" s="11">
        <v>4.6243671015263867E-2</v>
      </c>
      <c r="D88" s="11">
        <v>4.6401259723318829E-2</v>
      </c>
      <c r="E88" s="11">
        <v>4.6558848431373798E-2</v>
      </c>
      <c r="F88" s="11">
        <v>4.6980396025068052E-2</v>
      </c>
      <c r="G88" s="11">
        <v>4.74019436187623E-2</v>
      </c>
      <c r="H88" s="11">
        <v>4.7823491212456562E-2</v>
      </c>
      <c r="I88" s="11">
        <v>4.8245038806150831E-2</v>
      </c>
      <c r="J88" s="11">
        <v>4.8666586399845085E-2</v>
      </c>
      <c r="K88" s="11">
        <v>4.9020653797729893E-2</v>
      </c>
      <c r="L88" s="11">
        <v>4.9374721195614701E-2</v>
      </c>
      <c r="M88" s="11">
        <v>4.9728788593499496E-2</v>
      </c>
      <c r="N88" s="11">
        <v>5.0082855991384297E-2</v>
      </c>
      <c r="O88" s="11">
        <v>5.0436923389269112E-2</v>
      </c>
      <c r="P88" s="11">
        <v>5.0722730496657459E-2</v>
      </c>
      <c r="Q88" s="11">
        <v>5.1008537604045813E-2</v>
      </c>
      <c r="R88" s="11">
        <v>5.1294344711434174E-2</v>
      </c>
      <c r="S88" s="11">
        <v>5.1580151818822521E-2</v>
      </c>
      <c r="T88" s="11">
        <v>5.1865958926210882E-2</v>
      </c>
      <c r="U88" s="11">
        <v>5.2085004099778787E-2</v>
      </c>
      <c r="V88" s="11">
        <v>5.2304049273346698E-2</v>
      </c>
      <c r="W88" s="11">
        <v>5.2523094446914588E-2</v>
      </c>
      <c r="X88" s="11">
        <v>5.2742139620482499E-2</v>
      </c>
      <c r="Y88" s="11">
        <v>5.2961184794050403E-2</v>
      </c>
      <c r="Z88" s="11">
        <v>5.3116174300584733E-2</v>
      </c>
      <c r="AA88" s="11">
        <v>5.3271163807119062E-2</v>
      </c>
      <c r="AB88" s="11">
        <v>5.3426153313653392E-2</v>
      </c>
      <c r="AC88" s="11">
        <v>5.3581142820187708E-2</v>
      </c>
      <c r="AD88" s="11">
        <v>5.3736132326722044E-2</v>
      </c>
      <c r="AE88" s="11">
        <v>5.3736132326722044E-2</v>
      </c>
      <c r="AF88" s="11">
        <v>5.3736132326722044E-2</v>
      </c>
      <c r="AG88" s="11">
        <v>5.3736132326722044E-2</v>
      </c>
      <c r="AH88" s="11">
        <v>5.3736132326722044E-2</v>
      </c>
      <c r="AI88" s="11">
        <v>5.3736132326722044E-2</v>
      </c>
      <c r="AJ88" s="11">
        <v>5.3736132326722044E-2</v>
      </c>
      <c r="AK88" s="11">
        <v>5.3736132326722044E-2</v>
      </c>
      <c r="AL88" s="11">
        <v>5.3736132326722044E-2</v>
      </c>
      <c r="AM88" s="11">
        <v>5.3736132326722044E-2</v>
      </c>
      <c r="AN88" s="11">
        <v>5.3736132326722044E-2</v>
      </c>
      <c r="AO88" s="39">
        <f t="shared" si="24"/>
        <v>5.3736132326722044E-2</v>
      </c>
      <c r="AP88" s="39">
        <f t="shared" si="24"/>
        <v>5.3736132326722044E-2</v>
      </c>
      <c r="AQ88" s="39">
        <f t="shared" si="24"/>
        <v>5.3736132326722044E-2</v>
      </c>
      <c r="AR88" s="39">
        <f t="shared" si="24"/>
        <v>5.3736132326722044E-2</v>
      </c>
      <c r="AS88" s="39">
        <f t="shared" si="24"/>
        <v>5.3736132326722044E-2</v>
      </c>
      <c r="AT88" s="39">
        <f t="shared" si="24"/>
        <v>5.3736132326722044E-2</v>
      </c>
      <c r="AU88" s="39">
        <f t="shared" si="24"/>
        <v>5.3736132326722044E-2</v>
      </c>
      <c r="AV88" s="39">
        <f t="shared" si="24"/>
        <v>5.3736132326722044E-2</v>
      </c>
      <c r="AW88" s="39">
        <f t="shared" si="24"/>
        <v>5.3736132326722044E-2</v>
      </c>
      <c r="AX88" s="39">
        <f t="shared" si="24"/>
        <v>5.3736132326722044E-2</v>
      </c>
    </row>
    <row r="89" spans="1:50" x14ac:dyDescent="0.2">
      <c r="A89" s="6" t="s">
        <v>44</v>
      </c>
      <c r="B89" s="11">
        <v>84.149875013724014</v>
      </c>
      <c r="C89" s="11">
        <v>84.437620671903446</v>
      </c>
      <c r="D89" s="11">
        <v>84.725366330082878</v>
      </c>
      <c r="E89" s="11">
        <v>85.013111988262295</v>
      </c>
      <c r="F89" s="11">
        <v>85.78282760620624</v>
      </c>
      <c r="G89" s="11">
        <v>86.552543224150156</v>
      </c>
      <c r="H89" s="11">
        <v>87.322258842094087</v>
      </c>
      <c r="I89" s="11">
        <v>88.091974460038017</v>
      </c>
      <c r="J89" s="11">
        <v>88.861690077981947</v>
      </c>
      <c r="K89" s="11">
        <v>89.508191706821421</v>
      </c>
      <c r="L89" s="11">
        <v>90.154693335660909</v>
      </c>
      <c r="M89" s="11">
        <v>90.801194964500368</v>
      </c>
      <c r="N89" s="11">
        <v>91.447696593339842</v>
      </c>
      <c r="O89" s="11">
        <v>92.09419822217933</v>
      </c>
      <c r="P89" s="11">
        <v>92.616061465065613</v>
      </c>
      <c r="Q89" s="11">
        <v>93.137924707951882</v>
      </c>
      <c r="R89" s="11">
        <v>93.659787950838165</v>
      </c>
      <c r="S89" s="11">
        <v>94.181651193724448</v>
      </c>
      <c r="T89" s="11">
        <v>94.703514436610732</v>
      </c>
      <c r="U89" s="11">
        <v>95.103475185177444</v>
      </c>
      <c r="V89" s="11">
        <v>95.503435933744186</v>
      </c>
      <c r="W89" s="11">
        <v>95.90339668231087</v>
      </c>
      <c r="X89" s="11">
        <v>96.303357430877611</v>
      </c>
      <c r="Y89" s="11">
        <v>96.703318179444324</v>
      </c>
      <c r="Z89" s="11">
        <v>96.986317882399391</v>
      </c>
      <c r="AA89" s="11">
        <v>97.269317585354429</v>
      </c>
      <c r="AB89" s="11">
        <v>97.552317288309496</v>
      </c>
      <c r="AC89" s="11">
        <v>97.835316991264548</v>
      </c>
      <c r="AD89" s="11">
        <v>98.118316694219615</v>
      </c>
      <c r="AE89" s="11">
        <v>98.118316694219615</v>
      </c>
      <c r="AF89" s="11">
        <v>98.118316694219615</v>
      </c>
      <c r="AG89" s="11">
        <v>98.118316694219615</v>
      </c>
      <c r="AH89" s="11">
        <v>98.118316694219615</v>
      </c>
      <c r="AI89" s="11">
        <v>98.118316694219615</v>
      </c>
      <c r="AJ89" s="11">
        <v>98.118316694219615</v>
      </c>
      <c r="AK89" s="11">
        <v>98.118316694219615</v>
      </c>
      <c r="AL89" s="11">
        <v>98.118316694219615</v>
      </c>
      <c r="AM89" s="11">
        <v>98.118316694219615</v>
      </c>
      <c r="AN89" s="11">
        <v>98.118316694219615</v>
      </c>
      <c r="AO89" s="39">
        <f t="shared" si="24"/>
        <v>98.118316694219615</v>
      </c>
      <c r="AP89" s="39">
        <f t="shared" si="24"/>
        <v>98.118316694219615</v>
      </c>
      <c r="AQ89" s="39">
        <f t="shared" si="24"/>
        <v>98.118316694219615</v>
      </c>
      <c r="AR89" s="39">
        <f t="shared" si="24"/>
        <v>98.118316694219615</v>
      </c>
      <c r="AS89" s="39">
        <f t="shared" si="24"/>
        <v>98.118316694219615</v>
      </c>
      <c r="AT89" s="39">
        <f t="shared" si="24"/>
        <v>98.118316694219615</v>
      </c>
      <c r="AU89" s="39">
        <f t="shared" si="24"/>
        <v>98.118316694219615</v>
      </c>
      <c r="AV89" s="39">
        <f t="shared" si="24"/>
        <v>98.118316694219615</v>
      </c>
      <c r="AW89" s="39">
        <f t="shared" si="24"/>
        <v>98.118316694219615</v>
      </c>
      <c r="AX89" s="39">
        <f t="shared" si="24"/>
        <v>98.118316694219615</v>
      </c>
    </row>
    <row r="90" spans="1:50" x14ac:dyDescent="0.2">
      <c r="AM90" s="13" t="s">
        <v>187</v>
      </c>
      <c r="AN90" s="13">
        <f>(AN82-AM82)/AM82</f>
        <v>0</v>
      </c>
    </row>
    <row r="91" spans="1:50" x14ac:dyDescent="0.2">
      <c r="A91" s="5" t="s">
        <v>3</v>
      </c>
      <c r="AM91" s="13" t="s">
        <v>187</v>
      </c>
      <c r="AN91" s="13">
        <f t="shared" ref="AN91:AN93" si="25">(AN83-AM83)/AM83</f>
        <v>0</v>
      </c>
    </row>
    <row r="92" spans="1:50" x14ac:dyDescent="0.2">
      <c r="A92" s="5" t="s">
        <v>4</v>
      </c>
      <c r="AM92" s="13" t="s">
        <v>187</v>
      </c>
      <c r="AN92" s="13">
        <f t="shared" si="25"/>
        <v>0</v>
      </c>
    </row>
    <row r="93" spans="1:50" x14ac:dyDescent="0.2">
      <c r="A93" s="5" t="s">
        <v>56</v>
      </c>
      <c r="AM93" s="13" t="s">
        <v>187</v>
      </c>
      <c r="AN93" s="13">
        <f t="shared" si="25"/>
        <v>0</v>
      </c>
    </row>
    <row r="94" spans="1:50" x14ac:dyDescent="0.2">
      <c r="A94" s="5" t="s">
        <v>6</v>
      </c>
    </row>
    <row r="95" spans="1:50" x14ac:dyDescent="0.2">
      <c r="A95" s="5"/>
    </row>
    <row r="96" spans="1:50" x14ac:dyDescent="0.2">
      <c r="A96" s="6" t="s">
        <v>7</v>
      </c>
      <c r="B96" s="6">
        <v>2022</v>
      </c>
      <c r="C96" s="6">
        <v>2023</v>
      </c>
      <c r="D96" s="6">
        <v>2024</v>
      </c>
      <c r="E96" s="6">
        <v>2025</v>
      </c>
      <c r="F96" s="6">
        <v>2026</v>
      </c>
      <c r="G96" s="6">
        <v>2027</v>
      </c>
      <c r="H96" s="6">
        <v>2028</v>
      </c>
      <c r="I96" s="6">
        <v>2029</v>
      </c>
      <c r="J96" s="6">
        <v>2030</v>
      </c>
      <c r="K96" s="6">
        <v>2031</v>
      </c>
      <c r="L96" s="6">
        <v>2032</v>
      </c>
      <c r="M96" s="6">
        <v>2033</v>
      </c>
      <c r="N96" s="6">
        <v>2034</v>
      </c>
      <c r="O96" s="6">
        <v>2035</v>
      </c>
      <c r="P96" s="6">
        <v>2036</v>
      </c>
      <c r="Q96" s="6">
        <v>2037</v>
      </c>
      <c r="R96" s="6">
        <v>2038</v>
      </c>
      <c r="S96" s="6">
        <v>2039</v>
      </c>
      <c r="T96" s="6">
        <v>2040</v>
      </c>
      <c r="U96" s="6">
        <v>2041</v>
      </c>
      <c r="V96" s="6">
        <v>2042</v>
      </c>
      <c r="W96" s="6">
        <v>2043</v>
      </c>
      <c r="X96" s="6">
        <v>2044</v>
      </c>
      <c r="Y96" s="6">
        <v>2045</v>
      </c>
      <c r="Z96" s="6">
        <v>2046</v>
      </c>
      <c r="AA96" s="6">
        <v>2047</v>
      </c>
      <c r="AB96" s="6">
        <v>2048</v>
      </c>
      <c r="AC96" s="6">
        <v>2049</v>
      </c>
      <c r="AD96" s="6">
        <v>2050</v>
      </c>
      <c r="AE96" s="6">
        <v>2051</v>
      </c>
      <c r="AF96" s="6">
        <v>2052</v>
      </c>
      <c r="AG96" s="6">
        <v>2053</v>
      </c>
      <c r="AH96" s="6">
        <v>2054</v>
      </c>
      <c r="AI96" s="6">
        <v>2055</v>
      </c>
      <c r="AJ96" s="6">
        <v>2056</v>
      </c>
      <c r="AK96" s="6">
        <v>2057</v>
      </c>
      <c r="AL96" s="6">
        <v>2058</v>
      </c>
      <c r="AM96" s="6">
        <v>2059</v>
      </c>
      <c r="AN96" s="6">
        <v>2060</v>
      </c>
      <c r="AO96" s="39">
        <f>AN96+1</f>
        <v>2061</v>
      </c>
      <c r="AP96" s="39">
        <f t="shared" ref="AP96:AX96" si="26">AO96+1</f>
        <v>2062</v>
      </c>
      <c r="AQ96" s="39">
        <f t="shared" si="26"/>
        <v>2063</v>
      </c>
      <c r="AR96" s="39">
        <f t="shared" si="26"/>
        <v>2064</v>
      </c>
      <c r="AS96" s="39">
        <f t="shared" si="26"/>
        <v>2065</v>
      </c>
      <c r="AT96" s="39">
        <f t="shared" si="26"/>
        <v>2066</v>
      </c>
      <c r="AU96" s="39">
        <f t="shared" si="26"/>
        <v>2067</v>
      </c>
      <c r="AV96" s="39">
        <f t="shared" si="26"/>
        <v>2068</v>
      </c>
      <c r="AW96" s="39">
        <f>AV96+1</f>
        <v>2069</v>
      </c>
      <c r="AX96" s="39">
        <f t="shared" si="26"/>
        <v>2070</v>
      </c>
    </row>
    <row r="97" spans="1:50" x14ac:dyDescent="0.2">
      <c r="A97" s="6" t="s">
        <v>40</v>
      </c>
      <c r="B97" s="11">
        <v>1031.2611174344561</v>
      </c>
      <c r="C97" s="11">
        <v>1034.7874555180556</v>
      </c>
      <c r="D97" s="11">
        <v>1038.3137936016549</v>
      </c>
      <c r="E97" s="11">
        <v>1041.8401316852546</v>
      </c>
      <c r="F97" s="11">
        <v>1051.2730368219304</v>
      </c>
      <c r="G97" s="11">
        <v>1060.7059419586067</v>
      </c>
      <c r="H97" s="11">
        <v>1070.1388470952829</v>
      </c>
      <c r="I97" s="11">
        <v>1079.571752231959</v>
      </c>
      <c r="J97" s="11">
        <v>1089.004657368635</v>
      </c>
      <c r="K97" s="11">
        <v>1096.9275686275223</v>
      </c>
      <c r="L97" s="11">
        <v>1104.8504798864096</v>
      </c>
      <c r="M97" s="11">
        <v>1112.7733911452967</v>
      </c>
      <c r="N97" s="11">
        <v>1120.6963024041841</v>
      </c>
      <c r="O97" s="11">
        <v>1128.6192136630712</v>
      </c>
      <c r="P97" s="11">
        <v>1135.0146749863247</v>
      </c>
      <c r="Q97" s="11">
        <v>1141.4101363095781</v>
      </c>
      <c r="R97" s="11">
        <v>1147.8055976328315</v>
      </c>
      <c r="S97" s="11">
        <v>1154.2010589560848</v>
      </c>
      <c r="T97" s="11">
        <v>1160.5965202793382</v>
      </c>
      <c r="U97" s="11">
        <v>1165.4980601619529</v>
      </c>
      <c r="V97" s="11">
        <v>1170.3996000445682</v>
      </c>
      <c r="W97" s="11">
        <v>1175.3011399271832</v>
      </c>
      <c r="X97" s="11">
        <v>1180.2026798097984</v>
      </c>
      <c r="Y97" s="11">
        <v>1185.1042196924132</v>
      </c>
      <c r="Z97" s="11">
        <v>1188.5723958466315</v>
      </c>
      <c r="AA97" s="11">
        <v>1192.0405720008498</v>
      </c>
      <c r="AB97" s="11">
        <v>1195.5087481550681</v>
      </c>
      <c r="AC97" s="11">
        <v>1198.9769243092865</v>
      </c>
      <c r="AD97" s="11">
        <v>1202.445100463505</v>
      </c>
      <c r="AE97" s="11">
        <v>1202.445100463505</v>
      </c>
      <c r="AF97" s="11">
        <v>1202.445100463505</v>
      </c>
      <c r="AG97" s="11">
        <v>1202.445100463505</v>
      </c>
      <c r="AH97" s="11">
        <v>1202.445100463505</v>
      </c>
      <c r="AI97" s="11">
        <v>1202.445100463505</v>
      </c>
      <c r="AJ97" s="11">
        <v>1202.445100463505</v>
      </c>
      <c r="AK97" s="11">
        <v>1202.445100463505</v>
      </c>
      <c r="AL97" s="11">
        <v>1202.445100463505</v>
      </c>
      <c r="AM97" s="11">
        <v>1202.445100463505</v>
      </c>
      <c r="AN97" s="11">
        <v>1202.445100463505</v>
      </c>
      <c r="AO97" s="39">
        <f>(AN97+AN97*$AN$105)</f>
        <v>1202.445100463505</v>
      </c>
      <c r="AP97" s="39">
        <f t="shared" ref="AP97:AX97" si="27">(AO97+AO97*$AN$105)</f>
        <v>1202.445100463505</v>
      </c>
      <c r="AQ97" s="39">
        <f t="shared" si="27"/>
        <v>1202.445100463505</v>
      </c>
      <c r="AR97" s="39">
        <f t="shared" si="27"/>
        <v>1202.445100463505</v>
      </c>
      <c r="AS97" s="39">
        <f t="shared" si="27"/>
        <v>1202.445100463505</v>
      </c>
      <c r="AT97" s="39">
        <f t="shared" si="27"/>
        <v>1202.445100463505</v>
      </c>
      <c r="AU97" s="39">
        <f t="shared" si="27"/>
        <v>1202.445100463505</v>
      </c>
      <c r="AV97" s="39">
        <f t="shared" si="27"/>
        <v>1202.445100463505</v>
      </c>
      <c r="AW97" s="39">
        <f t="shared" si="27"/>
        <v>1202.445100463505</v>
      </c>
      <c r="AX97" s="39">
        <f t="shared" si="27"/>
        <v>1202.445100463505</v>
      </c>
    </row>
    <row r="98" spans="1:50" x14ac:dyDescent="0.2">
      <c r="A98" s="6" t="s">
        <v>41</v>
      </c>
      <c r="B98" s="11">
        <v>629.95960102099855</v>
      </c>
      <c r="C98" s="11">
        <v>632.11371164793263</v>
      </c>
      <c r="D98" s="11">
        <v>634.26782227486672</v>
      </c>
      <c r="E98" s="11">
        <v>636.4219329018008</v>
      </c>
      <c r="F98" s="11">
        <v>642.18414875180065</v>
      </c>
      <c r="G98" s="11">
        <v>647.94636460180061</v>
      </c>
      <c r="H98" s="11">
        <v>653.70858045180034</v>
      </c>
      <c r="I98" s="11">
        <v>659.47079630180042</v>
      </c>
      <c r="J98" s="11">
        <v>665.23301215180004</v>
      </c>
      <c r="K98" s="11">
        <v>670.07282811227208</v>
      </c>
      <c r="L98" s="11">
        <v>674.91264407274411</v>
      </c>
      <c r="M98" s="11">
        <v>679.75246003321604</v>
      </c>
      <c r="N98" s="11">
        <v>684.59227599368796</v>
      </c>
      <c r="O98" s="11">
        <v>689.43209195415989</v>
      </c>
      <c r="P98" s="11">
        <v>693.33884475946775</v>
      </c>
      <c r="Q98" s="11">
        <v>697.24559756477561</v>
      </c>
      <c r="R98" s="11">
        <v>701.15235037008324</v>
      </c>
      <c r="S98" s="11">
        <v>705.0591031753911</v>
      </c>
      <c r="T98" s="11">
        <v>708.96585598069885</v>
      </c>
      <c r="U98" s="11">
        <v>711.96002695896891</v>
      </c>
      <c r="V98" s="11">
        <v>714.95419793723909</v>
      </c>
      <c r="W98" s="11">
        <v>717.94836891550904</v>
      </c>
      <c r="X98" s="11">
        <v>720.94253989377933</v>
      </c>
      <c r="Y98" s="11">
        <v>723.93671087204939</v>
      </c>
      <c r="Z98" s="11">
        <v>726.0552925090816</v>
      </c>
      <c r="AA98" s="11">
        <v>728.1738741461138</v>
      </c>
      <c r="AB98" s="11">
        <v>730.29245578314601</v>
      </c>
      <c r="AC98" s="11">
        <v>732.41103742017822</v>
      </c>
      <c r="AD98" s="11">
        <v>734.52961905721031</v>
      </c>
      <c r="AE98" s="11">
        <v>734.52961905721031</v>
      </c>
      <c r="AF98" s="11">
        <v>734.52961905721031</v>
      </c>
      <c r="AG98" s="11">
        <v>734.52961905721031</v>
      </c>
      <c r="AH98" s="11">
        <v>734.52961905721031</v>
      </c>
      <c r="AI98" s="11">
        <v>734.52961905721031</v>
      </c>
      <c r="AJ98" s="11">
        <v>734.52961905721031</v>
      </c>
      <c r="AK98" s="11">
        <v>734.52961905721031</v>
      </c>
      <c r="AL98" s="11">
        <v>734.52961905721031</v>
      </c>
      <c r="AM98" s="11">
        <v>734.52961905721031</v>
      </c>
      <c r="AN98" s="11">
        <v>734.52961905721031</v>
      </c>
      <c r="AO98" s="39">
        <f t="shared" ref="AO98:AX104" si="28">(AN98+AN98*$AN$105)</f>
        <v>734.52961905721031</v>
      </c>
      <c r="AP98" s="39">
        <f t="shared" si="28"/>
        <v>734.52961905721031</v>
      </c>
      <c r="AQ98" s="39">
        <f t="shared" si="28"/>
        <v>734.52961905721031</v>
      </c>
      <c r="AR98" s="39">
        <f t="shared" si="28"/>
        <v>734.52961905721031</v>
      </c>
      <c r="AS98" s="39">
        <f t="shared" si="28"/>
        <v>734.52961905721031</v>
      </c>
      <c r="AT98" s="39">
        <f t="shared" si="28"/>
        <v>734.52961905721031</v>
      </c>
      <c r="AU98" s="39">
        <f t="shared" si="28"/>
        <v>734.52961905721031</v>
      </c>
      <c r="AV98" s="39">
        <f t="shared" si="28"/>
        <v>734.52961905721031</v>
      </c>
      <c r="AW98" s="39">
        <f t="shared" si="28"/>
        <v>734.52961905721031</v>
      </c>
      <c r="AX98" s="39">
        <f t="shared" si="28"/>
        <v>734.52961905721031</v>
      </c>
    </row>
    <row r="99" spans="1:50" x14ac:dyDescent="0.2">
      <c r="A99" s="6" t="s">
        <v>42</v>
      </c>
      <c r="B99" s="11">
        <v>489.16673304591927</v>
      </c>
      <c r="C99" s="11">
        <v>490.83941055776143</v>
      </c>
      <c r="D99" s="11">
        <v>492.51208806960341</v>
      </c>
      <c r="E99" s="11">
        <v>494.18476558144556</v>
      </c>
      <c r="F99" s="11">
        <v>498.65915457064659</v>
      </c>
      <c r="G99" s="11">
        <v>503.13354355984774</v>
      </c>
      <c r="H99" s="11">
        <v>507.60793254904866</v>
      </c>
      <c r="I99" s="11">
        <v>512.08232153824986</v>
      </c>
      <c r="J99" s="11">
        <v>516.55671052745095</v>
      </c>
      <c r="K99" s="11">
        <v>520.31485145917179</v>
      </c>
      <c r="L99" s="11">
        <v>524.07299239089264</v>
      </c>
      <c r="M99" s="11">
        <v>527.8311333226136</v>
      </c>
      <c r="N99" s="11">
        <v>531.58927425433433</v>
      </c>
      <c r="O99" s="11">
        <v>535.34741518605529</v>
      </c>
      <c r="P99" s="11">
        <v>538.38102798200771</v>
      </c>
      <c r="Q99" s="11">
        <v>541.41464077796013</v>
      </c>
      <c r="R99" s="11">
        <v>544.44825357391255</v>
      </c>
      <c r="S99" s="11">
        <v>547.48186636986486</v>
      </c>
      <c r="T99" s="11">
        <v>550.5154791658174</v>
      </c>
      <c r="U99" s="11">
        <v>552.84046767817188</v>
      </c>
      <c r="V99" s="11">
        <v>555.16545619052658</v>
      </c>
      <c r="W99" s="11">
        <v>557.49044470288106</v>
      </c>
      <c r="X99" s="11">
        <v>559.81543321523566</v>
      </c>
      <c r="Y99" s="11">
        <v>562.14042172759025</v>
      </c>
      <c r="Z99" s="11">
        <v>563.78551080377622</v>
      </c>
      <c r="AA99" s="11">
        <v>565.43059987996219</v>
      </c>
      <c r="AB99" s="11">
        <v>567.07568895614827</v>
      </c>
      <c r="AC99" s="11">
        <v>568.72077803233412</v>
      </c>
      <c r="AD99" s="11">
        <v>570.36586710852009</v>
      </c>
      <c r="AE99" s="11">
        <v>570.36586710852009</v>
      </c>
      <c r="AF99" s="11">
        <v>570.36586710852009</v>
      </c>
      <c r="AG99" s="11">
        <v>570.36586710852009</v>
      </c>
      <c r="AH99" s="11">
        <v>570.36586710852009</v>
      </c>
      <c r="AI99" s="11">
        <v>570.36586710852009</v>
      </c>
      <c r="AJ99" s="11">
        <v>570.36586710852009</v>
      </c>
      <c r="AK99" s="11">
        <v>570.36586710852009</v>
      </c>
      <c r="AL99" s="11">
        <v>570.36586710852009</v>
      </c>
      <c r="AM99" s="11">
        <v>570.36586710852009</v>
      </c>
      <c r="AN99" s="11">
        <v>570.36586710852009</v>
      </c>
      <c r="AO99" s="39">
        <f t="shared" si="28"/>
        <v>570.36586710852009</v>
      </c>
      <c r="AP99" s="39">
        <f t="shared" si="28"/>
        <v>570.36586710852009</v>
      </c>
      <c r="AQ99" s="39">
        <f t="shared" si="28"/>
        <v>570.36586710852009</v>
      </c>
      <c r="AR99" s="39">
        <f t="shared" si="28"/>
        <v>570.36586710852009</v>
      </c>
      <c r="AS99" s="39">
        <f t="shared" si="28"/>
        <v>570.36586710852009</v>
      </c>
      <c r="AT99" s="39">
        <f t="shared" si="28"/>
        <v>570.36586710852009</v>
      </c>
      <c r="AU99" s="39">
        <f t="shared" si="28"/>
        <v>570.36586710852009</v>
      </c>
      <c r="AV99" s="39">
        <f t="shared" si="28"/>
        <v>570.36586710852009</v>
      </c>
      <c r="AW99" s="39">
        <f t="shared" si="28"/>
        <v>570.36586710852009</v>
      </c>
      <c r="AX99" s="39">
        <f t="shared" si="28"/>
        <v>570.36586710852009</v>
      </c>
    </row>
    <row r="100" spans="1:50" x14ac:dyDescent="0.2">
      <c r="A100" s="6" t="s">
        <v>43</v>
      </c>
      <c r="B100" s="11">
        <v>34.305106093975411</v>
      </c>
      <c r="C100" s="11">
        <v>34.422410431389061</v>
      </c>
      <c r="D100" s="11">
        <v>34.539714768802703</v>
      </c>
      <c r="E100" s="11">
        <v>34.657019106216346</v>
      </c>
      <c r="F100" s="11">
        <v>34.970806570920843</v>
      </c>
      <c r="G100" s="11">
        <v>35.284594035625339</v>
      </c>
      <c r="H100" s="11">
        <v>35.598381500329829</v>
      </c>
      <c r="I100" s="11">
        <v>35.912168965034326</v>
      </c>
      <c r="J100" s="11">
        <v>36.225956429738808</v>
      </c>
      <c r="K100" s="11">
        <v>36.489513647900438</v>
      </c>
      <c r="L100" s="11">
        <v>36.753070866062075</v>
      </c>
      <c r="M100" s="11">
        <v>37.016628084223704</v>
      </c>
      <c r="N100" s="11">
        <v>37.280185302385327</v>
      </c>
      <c r="O100" s="11">
        <v>37.543742520546964</v>
      </c>
      <c r="P100" s="11">
        <v>37.756488812931124</v>
      </c>
      <c r="Q100" s="11">
        <v>37.969235105315285</v>
      </c>
      <c r="R100" s="11">
        <v>38.181981397699431</v>
      </c>
      <c r="S100" s="11">
        <v>38.394727690083592</v>
      </c>
      <c r="T100" s="11">
        <v>38.607473982467745</v>
      </c>
      <c r="U100" s="11">
        <v>38.770524681126176</v>
      </c>
      <c r="V100" s="11">
        <v>38.933575379784607</v>
      </c>
      <c r="W100" s="11">
        <v>39.096626078443016</v>
      </c>
      <c r="X100" s="11">
        <v>39.259676777101461</v>
      </c>
      <c r="Y100" s="11">
        <v>39.422727475759885</v>
      </c>
      <c r="Z100" s="11">
        <v>39.538097045029637</v>
      </c>
      <c r="AA100" s="11">
        <v>39.65346661429939</v>
      </c>
      <c r="AB100" s="11">
        <v>39.76883618356915</v>
      </c>
      <c r="AC100" s="11">
        <v>39.884205752838895</v>
      </c>
      <c r="AD100" s="11">
        <v>39.999575322108647</v>
      </c>
      <c r="AE100" s="11">
        <v>39.999575322108647</v>
      </c>
      <c r="AF100" s="11">
        <v>39.999575322108647</v>
      </c>
      <c r="AG100" s="11">
        <v>39.999575322108647</v>
      </c>
      <c r="AH100" s="11">
        <v>39.999575322108647</v>
      </c>
      <c r="AI100" s="11">
        <v>39.999575322108647</v>
      </c>
      <c r="AJ100" s="11">
        <v>39.999575322108647</v>
      </c>
      <c r="AK100" s="11">
        <v>39.999575322108647</v>
      </c>
      <c r="AL100" s="11">
        <v>39.999575322108647</v>
      </c>
      <c r="AM100" s="11">
        <v>39.999575322108647</v>
      </c>
      <c r="AN100" s="11">
        <v>39.999575322108647</v>
      </c>
      <c r="AO100" s="39">
        <f t="shared" si="28"/>
        <v>39.999575322108647</v>
      </c>
      <c r="AP100" s="39">
        <f t="shared" si="28"/>
        <v>39.999575322108647</v>
      </c>
      <c r="AQ100" s="39">
        <f t="shared" si="28"/>
        <v>39.999575322108647</v>
      </c>
      <c r="AR100" s="39">
        <f t="shared" si="28"/>
        <v>39.999575322108647</v>
      </c>
      <c r="AS100" s="39">
        <f t="shared" si="28"/>
        <v>39.999575322108647</v>
      </c>
      <c r="AT100" s="39">
        <f t="shared" si="28"/>
        <v>39.999575322108647</v>
      </c>
      <c r="AU100" s="39">
        <f t="shared" si="28"/>
        <v>39.999575322108647</v>
      </c>
      <c r="AV100" s="39">
        <f t="shared" si="28"/>
        <v>39.999575322108647</v>
      </c>
      <c r="AW100" s="39">
        <f t="shared" si="28"/>
        <v>39.999575322108647</v>
      </c>
      <c r="AX100" s="39">
        <f t="shared" si="28"/>
        <v>39.999575322108647</v>
      </c>
    </row>
    <row r="101" spans="1:50" x14ac:dyDescent="0.2">
      <c r="A101" s="6" t="s">
        <v>8</v>
      </c>
      <c r="B101" s="11">
        <v>26.236268235154636</v>
      </c>
      <c r="C101" s="11">
        <v>26.325981645546104</v>
      </c>
      <c r="D101" s="11">
        <v>26.415695055937562</v>
      </c>
      <c r="E101" s="11">
        <v>26.505408466329026</v>
      </c>
      <c r="F101" s="11">
        <v>26.745390586491077</v>
      </c>
      <c r="G101" s="11">
        <v>26.985372706653123</v>
      </c>
      <c r="H101" s="11">
        <v>27.225354826815167</v>
      </c>
      <c r="I101" s="11">
        <v>27.465336946977217</v>
      </c>
      <c r="J101" s="11">
        <v>27.705319067139264</v>
      </c>
      <c r="K101" s="11">
        <v>27.906885500196122</v>
      </c>
      <c r="L101" s="11">
        <v>28.108451933252979</v>
      </c>
      <c r="M101" s="11">
        <v>28.310018366309841</v>
      </c>
      <c r="N101" s="11">
        <v>28.511584799366695</v>
      </c>
      <c r="O101" s="11">
        <v>28.713151232423556</v>
      </c>
      <c r="P101" s="11">
        <v>28.875857879583748</v>
      </c>
      <c r="Q101" s="11">
        <v>29.038564526743937</v>
      </c>
      <c r="R101" s="11">
        <v>29.201271173904129</v>
      </c>
      <c r="S101" s="11">
        <v>29.363977821064321</v>
      </c>
      <c r="T101" s="11">
        <v>29.526684468224509</v>
      </c>
      <c r="U101" s="11">
        <v>29.651384326438418</v>
      </c>
      <c r="V101" s="11">
        <v>29.77608418465233</v>
      </c>
      <c r="W101" s="11">
        <v>29.900784042866238</v>
      </c>
      <c r="X101" s="11">
        <v>30.02548390108015</v>
      </c>
      <c r="Y101" s="11">
        <v>30.150183759294059</v>
      </c>
      <c r="Z101" s="11">
        <v>30.238417474626225</v>
      </c>
      <c r="AA101" s="11">
        <v>30.326651189958383</v>
      </c>
      <c r="AB101" s="11">
        <v>30.414884905290549</v>
      </c>
      <c r="AC101" s="11">
        <v>30.503118620622711</v>
      </c>
      <c r="AD101" s="11">
        <v>30.591352335954873</v>
      </c>
      <c r="AE101" s="11">
        <v>30.591352335954873</v>
      </c>
      <c r="AF101" s="11">
        <v>30.591352335954873</v>
      </c>
      <c r="AG101" s="11">
        <v>30.591352335954873</v>
      </c>
      <c r="AH101" s="11">
        <v>30.591352335954873</v>
      </c>
      <c r="AI101" s="11">
        <v>30.591352335954873</v>
      </c>
      <c r="AJ101" s="11">
        <v>30.591352335954873</v>
      </c>
      <c r="AK101" s="11">
        <v>30.591352335954873</v>
      </c>
      <c r="AL101" s="11">
        <v>30.591352335954873</v>
      </c>
      <c r="AM101" s="11">
        <v>30.591352335954873</v>
      </c>
      <c r="AN101" s="11">
        <v>30.591352335954873</v>
      </c>
      <c r="AO101" s="39">
        <f t="shared" si="28"/>
        <v>30.591352335954873</v>
      </c>
      <c r="AP101" s="39">
        <f t="shared" si="28"/>
        <v>30.591352335954873</v>
      </c>
      <c r="AQ101" s="39">
        <f t="shared" si="28"/>
        <v>30.591352335954873</v>
      </c>
      <c r="AR101" s="39">
        <f t="shared" si="28"/>
        <v>30.591352335954873</v>
      </c>
      <c r="AS101" s="39">
        <f t="shared" si="28"/>
        <v>30.591352335954873</v>
      </c>
      <c r="AT101" s="39">
        <f t="shared" si="28"/>
        <v>30.591352335954873</v>
      </c>
      <c r="AU101" s="39">
        <f t="shared" si="28"/>
        <v>30.591352335954873</v>
      </c>
      <c r="AV101" s="39">
        <f t="shared" si="28"/>
        <v>30.591352335954873</v>
      </c>
      <c r="AW101" s="39">
        <f t="shared" si="28"/>
        <v>30.591352335954873</v>
      </c>
      <c r="AX101" s="39">
        <f t="shared" si="28"/>
        <v>30.591352335954873</v>
      </c>
    </row>
    <row r="102" spans="1:50" x14ac:dyDescent="0.2">
      <c r="A102" s="6" t="s">
        <v>9</v>
      </c>
      <c r="B102" s="11">
        <v>268.96576961192767</v>
      </c>
      <c r="C102" s="11">
        <v>269.8854825929879</v>
      </c>
      <c r="D102" s="11">
        <v>270.80519557404818</v>
      </c>
      <c r="E102" s="11">
        <v>271.72490855510841</v>
      </c>
      <c r="F102" s="11">
        <v>274.18512793783293</v>
      </c>
      <c r="G102" s="11">
        <v>276.64534732055751</v>
      </c>
      <c r="H102" s="11">
        <v>279.10556670328202</v>
      </c>
      <c r="I102" s="11">
        <v>281.56578608600654</v>
      </c>
      <c r="J102" s="11">
        <v>284.02600546873106</v>
      </c>
      <c r="K102" s="11">
        <v>286.0923996033369</v>
      </c>
      <c r="L102" s="11">
        <v>288.15879373794274</v>
      </c>
      <c r="M102" s="11">
        <v>290.22518787254853</v>
      </c>
      <c r="N102" s="11">
        <v>292.29158200715437</v>
      </c>
      <c r="O102" s="11">
        <v>294.35797614176022</v>
      </c>
      <c r="P102" s="11">
        <v>296.02599227050905</v>
      </c>
      <c r="Q102" s="11">
        <v>297.69400839925783</v>
      </c>
      <c r="R102" s="11">
        <v>299.36202452800654</v>
      </c>
      <c r="S102" s="11">
        <v>301.03004065675538</v>
      </c>
      <c r="T102" s="11">
        <v>302.69805678550409</v>
      </c>
      <c r="U102" s="11">
        <v>303.9764395583278</v>
      </c>
      <c r="V102" s="11">
        <v>305.2548223311515</v>
      </c>
      <c r="W102" s="11">
        <v>306.53320510397509</v>
      </c>
      <c r="X102" s="11">
        <v>307.81158787679885</v>
      </c>
      <c r="Y102" s="11">
        <v>309.0899706496225</v>
      </c>
      <c r="Z102" s="11">
        <v>309.99451427363664</v>
      </c>
      <c r="AA102" s="11">
        <v>310.89905789765083</v>
      </c>
      <c r="AB102" s="11">
        <v>311.80360152166497</v>
      </c>
      <c r="AC102" s="11">
        <v>312.70814514567923</v>
      </c>
      <c r="AD102" s="11">
        <v>313.61268876969336</v>
      </c>
      <c r="AE102" s="11">
        <v>313.61268876969336</v>
      </c>
      <c r="AF102" s="11">
        <v>313.61268876969336</v>
      </c>
      <c r="AG102" s="11">
        <v>313.61268876969336</v>
      </c>
      <c r="AH102" s="11">
        <v>313.61268876969336</v>
      </c>
      <c r="AI102" s="11">
        <v>313.61268876969336</v>
      </c>
      <c r="AJ102" s="11">
        <v>313.61268876969336</v>
      </c>
      <c r="AK102" s="11">
        <v>313.61268876969336</v>
      </c>
      <c r="AL102" s="11">
        <v>313.61268876969336</v>
      </c>
      <c r="AM102" s="11">
        <v>313.61268876969336</v>
      </c>
      <c r="AN102" s="11">
        <v>313.61268876969336</v>
      </c>
      <c r="AO102" s="39">
        <f t="shared" si="28"/>
        <v>313.61268876969336</v>
      </c>
      <c r="AP102" s="39">
        <f t="shared" si="28"/>
        <v>313.61268876969336</v>
      </c>
      <c r="AQ102" s="39">
        <f t="shared" si="28"/>
        <v>313.61268876969336</v>
      </c>
      <c r="AR102" s="39">
        <f t="shared" si="28"/>
        <v>313.61268876969336</v>
      </c>
      <c r="AS102" s="39">
        <f t="shared" si="28"/>
        <v>313.61268876969336</v>
      </c>
      <c r="AT102" s="39">
        <f t="shared" si="28"/>
        <v>313.61268876969336</v>
      </c>
      <c r="AU102" s="39">
        <f t="shared" si="28"/>
        <v>313.61268876969336</v>
      </c>
      <c r="AV102" s="39">
        <f t="shared" si="28"/>
        <v>313.61268876969336</v>
      </c>
      <c r="AW102" s="39">
        <f t="shared" si="28"/>
        <v>313.61268876969336</v>
      </c>
      <c r="AX102" s="39">
        <f t="shared" si="28"/>
        <v>313.61268876969336</v>
      </c>
    </row>
    <row r="103" spans="1:50" x14ac:dyDescent="0.2">
      <c r="A103" s="6" t="s">
        <v>10</v>
      </c>
      <c r="B103" s="11">
        <v>0.23360825442626704</v>
      </c>
      <c r="C103" s="11">
        <v>0.23440706441754836</v>
      </c>
      <c r="D103" s="11">
        <v>0.23520587440882962</v>
      </c>
      <c r="E103" s="11">
        <v>0.23600468440011088</v>
      </c>
      <c r="F103" s="11">
        <v>0.23814148997330026</v>
      </c>
      <c r="G103" s="11">
        <v>0.24027829554648969</v>
      </c>
      <c r="H103" s="11">
        <v>0.24241510111967907</v>
      </c>
      <c r="I103" s="11">
        <v>0.24455190669286853</v>
      </c>
      <c r="J103" s="11">
        <v>0.24668871226605787</v>
      </c>
      <c r="K103" s="11">
        <v>0.24848346379685096</v>
      </c>
      <c r="L103" s="11">
        <v>0.25027821532764405</v>
      </c>
      <c r="M103" s="11">
        <v>0.25207296685843711</v>
      </c>
      <c r="N103" s="11">
        <v>0.25386771838923022</v>
      </c>
      <c r="O103" s="11">
        <v>0.25566246992002328</v>
      </c>
      <c r="P103" s="11">
        <v>0.25711121314394392</v>
      </c>
      <c r="Q103" s="11">
        <v>0.25855995636786444</v>
      </c>
      <c r="R103" s="11">
        <v>0.26000869959178496</v>
      </c>
      <c r="S103" s="11">
        <v>0.2614574428157056</v>
      </c>
      <c r="T103" s="11">
        <v>0.26290618603962612</v>
      </c>
      <c r="U103" s="11">
        <v>0.26401651605849374</v>
      </c>
      <c r="V103" s="11">
        <v>0.26512684607736137</v>
      </c>
      <c r="W103" s="11">
        <v>0.26623717609622888</v>
      </c>
      <c r="X103" s="11">
        <v>0.26734750611509656</v>
      </c>
      <c r="Y103" s="11">
        <v>0.26845783613396412</v>
      </c>
      <c r="Z103" s="11">
        <v>0.26924347089099376</v>
      </c>
      <c r="AA103" s="11">
        <v>0.27002910564802346</v>
      </c>
      <c r="AB103" s="11">
        <v>0.2708147404050531</v>
      </c>
      <c r="AC103" s="11">
        <v>0.27160037516208274</v>
      </c>
      <c r="AD103" s="11">
        <v>0.27238600991911244</v>
      </c>
      <c r="AE103" s="11">
        <v>0.27238600991911244</v>
      </c>
      <c r="AF103" s="11">
        <v>0.27238600991911244</v>
      </c>
      <c r="AG103" s="11">
        <v>0.27238600991911244</v>
      </c>
      <c r="AH103" s="11">
        <v>0.27238600991911244</v>
      </c>
      <c r="AI103" s="11">
        <v>0.27238600991911244</v>
      </c>
      <c r="AJ103" s="11">
        <v>0.27238600991911244</v>
      </c>
      <c r="AK103" s="11">
        <v>0.27238600991911244</v>
      </c>
      <c r="AL103" s="11">
        <v>0.27238600991911244</v>
      </c>
      <c r="AM103" s="11">
        <v>0.27238600991911244</v>
      </c>
      <c r="AN103" s="11">
        <v>0.27238600991911244</v>
      </c>
      <c r="AO103" s="39">
        <f t="shared" si="28"/>
        <v>0.27238600991911244</v>
      </c>
      <c r="AP103" s="39">
        <f t="shared" si="28"/>
        <v>0.27238600991911244</v>
      </c>
      <c r="AQ103" s="39">
        <f t="shared" si="28"/>
        <v>0.27238600991911244</v>
      </c>
      <c r="AR103" s="39">
        <f t="shared" si="28"/>
        <v>0.27238600991911244</v>
      </c>
      <c r="AS103" s="39">
        <f t="shared" si="28"/>
        <v>0.27238600991911244</v>
      </c>
      <c r="AT103" s="39">
        <f t="shared" si="28"/>
        <v>0.27238600991911244</v>
      </c>
      <c r="AU103" s="39">
        <f t="shared" si="28"/>
        <v>0.27238600991911244</v>
      </c>
      <c r="AV103" s="39">
        <f t="shared" si="28"/>
        <v>0.27238600991911244</v>
      </c>
      <c r="AW103" s="39">
        <f t="shared" si="28"/>
        <v>0.27238600991911244</v>
      </c>
      <c r="AX103" s="39">
        <f t="shared" si="28"/>
        <v>0.27238600991911244</v>
      </c>
    </row>
    <row r="104" spans="1:50" x14ac:dyDescent="0.2">
      <c r="A104" s="6" t="s">
        <v>44</v>
      </c>
      <c r="B104" s="11">
        <v>426.55188783079495</v>
      </c>
      <c r="C104" s="11">
        <v>428.01045748038194</v>
      </c>
      <c r="D104" s="11">
        <v>429.46902712996888</v>
      </c>
      <c r="E104" s="11">
        <v>430.92759677955576</v>
      </c>
      <c r="F104" s="11">
        <v>434.82925022673294</v>
      </c>
      <c r="G104" s="11">
        <v>438.73090367391023</v>
      </c>
      <c r="H104" s="11">
        <v>442.63255712108747</v>
      </c>
      <c r="I104" s="11">
        <v>446.53421056826471</v>
      </c>
      <c r="J104" s="11">
        <v>450.43586401544195</v>
      </c>
      <c r="K104" s="11">
        <v>453.71295135778422</v>
      </c>
      <c r="L104" s="11">
        <v>456.99003870012655</v>
      </c>
      <c r="M104" s="11">
        <v>460.26712604246887</v>
      </c>
      <c r="N104" s="11">
        <v>463.54421338481114</v>
      </c>
      <c r="O104" s="11">
        <v>466.82130072715341</v>
      </c>
      <c r="P104" s="11">
        <v>469.46660176184116</v>
      </c>
      <c r="Q104" s="11">
        <v>472.1119027965288</v>
      </c>
      <c r="R104" s="11">
        <v>474.75720383121649</v>
      </c>
      <c r="S104" s="11">
        <v>477.40250486590418</v>
      </c>
      <c r="T104" s="11">
        <v>480.04780590059187</v>
      </c>
      <c r="U104" s="11">
        <v>482.07518873783943</v>
      </c>
      <c r="V104" s="11">
        <v>484.1025715750871</v>
      </c>
      <c r="W104" s="11">
        <v>486.12995441233454</v>
      </c>
      <c r="X104" s="11">
        <v>488.15733724958221</v>
      </c>
      <c r="Y104" s="11">
        <v>490.18472008682966</v>
      </c>
      <c r="Z104" s="11">
        <v>491.61923270531361</v>
      </c>
      <c r="AA104" s="11">
        <v>493.05374532379761</v>
      </c>
      <c r="AB104" s="11">
        <v>494.48825794228151</v>
      </c>
      <c r="AC104" s="11">
        <v>495.92277056076551</v>
      </c>
      <c r="AD104" s="11">
        <v>497.35728317924941</v>
      </c>
      <c r="AE104" s="11">
        <v>497.35728317924941</v>
      </c>
      <c r="AF104" s="11">
        <v>497.35728317924941</v>
      </c>
      <c r="AG104" s="11">
        <v>497.35728317924941</v>
      </c>
      <c r="AH104" s="11">
        <v>497.35728317924941</v>
      </c>
      <c r="AI104" s="11">
        <v>497.35728317924941</v>
      </c>
      <c r="AJ104" s="11">
        <v>497.35728317924941</v>
      </c>
      <c r="AK104" s="11">
        <v>497.35728317924941</v>
      </c>
      <c r="AL104" s="11">
        <v>497.35728317924941</v>
      </c>
      <c r="AM104" s="11">
        <v>497.35728317924941</v>
      </c>
      <c r="AN104" s="11">
        <v>497.35728317924941</v>
      </c>
      <c r="AO104" s="39">
        <f t="shared" si="28"/>
        <v>497.35728317924941</v>
      </c>
      <c r="AP104" s="39">
        <f t="shared" si="28"/>
        <v>497.35728317924941</v>
      </c>
      <c r="AQ104" s="39">
        <f t="shared" si="28"/>
        <v>497.35728317924941</v>
      </c>
      <c r="AR104" s="39">
        <f t="shared" si="28"/>
        <v>497.35728317924941</v>
      </c>
      <c r="AS104" s="39">
        <f t="shared" si="28"/>
        <v>497.35728317924941</v>
      </c>
      <c r="AT104" s="39">
        <f t="shared" si="28"/>
        <v>497.35728317924941</v>
      </c>
      <c r="AU104" s="39">
        <f t="shared" si="28"/>
        <v>497.35728317924941</v>
      </c>
      <c r="AV104" s="39">
        <f t="shared" si="28"/>
        <v>497.35728317924941</v>
      </c>
      <c r="AW104" s="39">
        <f t="shared" si="28"/>
        <v>497.35728317924941</v>
      </c>
      <c r="AX104" s="39">
        <f t="shared" si="28"/>
        <v>497.35728317924941</v>
      </c>
    </row>
    <row r="105" spans="1:50" x14ac:dyDescent="0.2">
      <c r="AM105" s="13" t="s">
        <v>187</v>
      </c>
      <c r="AN105" s="13">
        <f>(AN97-AM97)/AM97</f>
        <v>0</v>
      </c>
    </row>
    <row r="106" spans="1:50" x14ac:dyDescent="0.2">
      <c r="A106" s="5" t="s">
        <v>3</v>
      </c>
      <c r="AM106" s="13" t="s">
        <v>187</v>
      </c>
      <c r="AN106" s="13">
        <f t="shared" ref="AN106:AN108" si="29">(AN98-AM98)/AM98</f>
        <v>0</v>
      </c>
    </row>
    <row r="107" spans="1:50" x14ac:dyDescent="0.2">
      <c r="A107" s="5" t="s">
        <v>4</v>
      </c>
      <c r="AM107" s="13" t="s">
        <v>187</v>
      </c>
      <c r="AN107" s="13">
        <f t="shared" si="29"/>
        <v>0</v>
      </c>
    </row>
    <row r="108" spans="1:50" x14ac:dyDescent="0.2">
      <c r="A108" s="5" t="s">
        <v>58</v>
      </c>
      <c r="AM108" s="13" t="s">
        <v>187</v>
      </c>
      <c r="AN108" s="13">
        <f t="shared" si="29"/>
        <v>0</v>
      </c>
    </row>
    <row r="109" spans="1:50" x14ac:dyDescent="0.2">
      <c r="A109" s="5" t="s">
        <v>6</v>
      </c>
    </row>
    <row r="110" spans="1:50" x14ac:dyDescent="0.2">
      <c r="A110" s="5"/>
    </row>
    <row r="111" spans="1:50" x14ac:dyDescent="0.2">
      <c r="A111" s="6" t="s">
        <v>7</v>
      </c>
      <c r="B111" s="6">
        <v>2022</v>
      </c>
      <c r="C111" s="6">
        <v>2023</v>
      </c>
      <c r="D111" s="6">
        <v>2024</v>
      </c>
      <c r="E111" s="6">
        <v>2025</v>
      </c>
      <c r="F111" s="6">
        <v>2026</v>
      </c>
      <c r="G111" s="6">
        <v>2027</v>
      </c>
      <c r="H111" s="6">
        <v>2028</v>
      </c>
      <c r="I111" s="6">
        <v>2029</v>
      </c>
      <c r="J111" s="6">
        <v>2030</v>
      </c>
      <c r="K111" s="6">
        <v>2031</v>
      </c>
      <c r="L111" s="6">
        <v>2032</v>
      </c>
      <c r="M111" s="6">
        <v>2033</v>
      </c>
      <c r="N111" s="6">
        <v>2034</v>
      </c>
      <c r="O111" s="6">
        <v>2035</v>
      </c>
      <c r="P111" s="6">
        <v>2036</v>
      </c>
      <c r="Q111" s="6">
        <v>2037</v>
      </c>
      <c r="R111" s="6">
        <v>2038</v>
      </c>
      <c r="S111" s="6">
        <v>2039</v>
      </c>
      <c r="T111" s="6">
        <v>2040</v>
      </c>
      <c r="U111" s="6">
        <v>2041</v>
      </c>
      <c r="V111" s="6">
        <v>2042</v>
      </c>
      <c r="W111" s="6">
        <v>2043</v>
      </c>
      <c r="X111" s="6">
        <v>2044</v>
      </c>
      <c r="Y111" s="6">
        <v>2045</v>
      </c>
      <c r="Z111" s="6">
        <v>2046</v>
      </c>
      <c r="AA111" s="6">
        <v>2047</v>
      </c>
      <c r="AB111" s="6">
        <v>2048</v>
      </c>
      <c r="AC111" s="6">
        <v>2049</v>
      </c>
      <c r="AD111" s="6">
        <v>2050</v>
      </c>
      <c r="AE111" s="6">
        <v>2051</v>
      </c>
      <c r="AF111" s="6">
        <v>2052</v>
      </c>
      <c r="AG111" s="6">
        <v>2053</v>
      </c>
      <c r="AH111" s="6">
        <v>2054</v>
      </c>
      <c r="AI111" s="6">
        <v>2055</v>
      </c>
      <c r="AJ111" s="6">
        <v>2056</v>
      </c>
      <c r="AK111" s="6">
        <v>2057</v>
      </c>
      <c r="AL111" s="6">
        <v>2058</v>
      </c>
      <c r="AM111" s="6">
        <v>2059</v>
      </c>
      <c r="AN111" s="6">
        <v>2060</v>
      </c>
      <c r="AO111" s="39">
        <f>AN111+1</f>
        <v>2061</v>
      </c>
      <c r="AP111" s="39">
        <f t="shared" ref="AP111:AX111" si="30">AO111+1</f>
        <v>2062</v>
      </c>
      <c r="AQ111" s="39">
        <f t="shared" si="30"/>
        <v>2063</v>
      </c>
      <c r="AR111" s="39">
        <f t="shared" si="30"/>
        <v>2064</v>
      </c>
      <c r="AS111" s="39">
        <f t="shared" si="30"/>
        <v>2065</v>
      </c>
      <c r="AT111" s="39">
        <f t="shared" si="30"/>
        <v>2066</v>
      </c>
      <c r="AU111" s="39">
        <f t="shared" si="30"/>
        <v>2067</v>
      </c>
      <c r="AV111" s="39">
        <f t="shared" si="30"/>
        <v>2068</v>
      </c>
      <c r="AW111" s="39">
        <f>AV111+1</f>
        <v>2069</v>
      </c>
      <c r="AX111" s="39">
        <f t="shared" si="30"/>
        <v>2070</v>
      </c>
    </row>
    <row r="112" spans="1:50" x14ac:dyDescent="0.2">
      <c r="A112" s="6" t="s">
        <v>40</v>
      </c>
      <c r="B112" s="11">
        <v>664.47218850441902</v>
      </c>
      <c r="C112" s="11">
        <v>666.74431293944588</v>
      </c>
      <c r="D112" s="11">
        <v>669.0164373744725</v>
      </c>
      <c r="E112" s="11">
        <v>671.28856180949936</v>
      </c>
      <c r="F112" s="11">
        <v>677.36646294836407</v>
      </c>
      <c r="G112" s="11">
        <v>683.44436408722868</v>
      </c>
      <c r="H112" s="11">
        <v>689.52226522609351</v>
      </c>
      <c r="I112" s="11">
        <v>695.60016636495811</v>
      </c>
      <c r="J112" s="11">
        <v>701.67806750382272</v>
      </c>
      <c r="K112" s="11">
        <v>706.783034708071</v>
      </c>
      <c r="L112" s="11">
        <v>711.88800191231906</v>
      </c>
      <c r="M112" s="11">
        <v>716.992969116567</v>
      </c>
      <c r="N112" s="11">
        <v>722.09793632081505</v>
      </c>
      <c r="O112" s="11">
        <v>727.20290352506322</v>
      </c>
      <c r="P112" s="11">
        <v>731.3236893378064</v>
      </c>
      <c r="Q112" s="11">
        <v>735.44447515054958</v>
      </c>
      <c r="R112" s="11">
        <v>739.56526096329253</v>
      </c>
      <c r="S112" s="11">
        <v>743.68604677603571</v>
      </c>
      <c r="T112" s="11">
        <v>747.80683258877878</v>
      </c>
      <c r="U112" s="11">
        <v>750.96504041585683</v>
      </c>
      <c r="V112" s="11">
        <v>754.12324824293512</v>
      </c>
      <c r="W112" s="11">
        <v>757.28145607001341</v>
      </c>
      <c r="X112" s="11">
        <v>760.43966389709158</v>
      </c>
      <c r="Y112" s="11">
        <v>763.59787172416964</v>
      </c>
      <c r="Z112" s="11">
        <v>765.83252069944115</v>
      </c>
      <c r="AA112" s="11">
        <v>768.06716967471277</v>
      </c>
      <c r="AB112" s="11">
        <v>770.30181864998428</v>
      </c>
      <c r="AC112" s="11">
        <v>772.53646762525591</v>
      </c>
      <c r="AD112" s="11">
        <v>774.77111660052753</v>
      </c>
      <c r="AE112" s="11">
        <v>774.77111660052753</v>
      </c>
      <c r="AF112" s="11">
        <v>774.77111660052753</v>
      </c>
      <c r="AG112" s="11">
        <v>774.77111660052753</v>
      </c>
      <c r="AH112" s="11">
        <v>774.77111660052753</v>
      </c>
      <c r="AI112" s="11">
        <v>774.77111660052753</v>
      </c>
      <c r="AJ112" s="11">
        <v>774.77111660052753</v>
      </c>
      <c r="AK112" s="11">
        <v>774.77111660052753</v>
      </c>
      <c r="AL112" s="11">
        <v>774.77111660052753</v>
      </c>
      <c r="AM112" s="11">
        <v>774.77111660052753</v>
      </c>
      <c r="AN112" s="11">
        <v>774.77111660052753</v>
      </c>
      <c r="AO112" s="39">
        <f>(AN112+AN112*$AN$120)</f>
        <v>774.77111660052753</v>
      </c>
      <c r="AP112" s="39">
        <f t="shared" ref="AP112:AX112" si="31">(AO112+AO112*$AN$120)</f>
        <v>774.77111660052753</v>
      </c>
      <c r="AQ112" s="39">
        <f t="shared" si="31"/>
        <v>774.77111660052753</v>
      </c>
      <c r="AR112" s="39">
        <f t="shared" si="31"/>
        <v>774.77111660052753</v>
      </c>
      <c r="AS112" s="39">
        <f t="shared" si="31"/>
        <v>774.77111660052753</v>
      </c>
      <c r="AT112" s="39">
        <f t="shared" si="31"/>
        <v>774.77111660052753</v>
      </c>
      <c r="AU112" s="39">
        <f t="shared" si="31"/>
        <v>774.77111660052753</v>
      </c>
      <c r="AV112" s="39">
        <f t="shared" si="31"/>
        <v>774.77111660052753</v>
      </c>
      <c r="AW112" s="39">
        <f t="shared" si="31"/>
        <v>774.77111660052753</v>
      </c>
      <c r="AX112" s="39">
        <f t="shared" si="31"/>
        <v>774.77111660052753</v>
      </c>
    </row>
    <row r="113" spans="1:50" x14ac:dyDescent="0.2">
      <c r="A113" s="6" t="s">
        <v>41</v>
      </c>
      <c r="B113" s="11">
        <v>405.90169418834961</v>
      </c>
      <c r="C113" s="11">
        <v>407.28965168836157</v>
      </c>
      <c r="D113" s="11">
        <v>408.67760918837354</v>
      </c>
      <c r="E113" s="11">
        <v>410.06556668838556</v>
      </c>
      <c r="F113" s="11">
        <v>413.77833362138136</v>
      </c>
      <c r="G113" s="11">
        <v>417.491100554377</v>
      </c>
      <c r="H113" s="11">
        <v>421.20386748737269</v>
      </c>
      <c r="I113" s="11">
        <v>424.91663442036827</v>
      </c>
      <c r="J113" s="11">
        <v>428.62940135336402</v>
      </c>
      <c r="K113" s="11">
        <v>431.74783862256584</v>
      </c>
      <c r="L113" s="11">
        <v>434.8662758917676</v>
      </c>
      <c r="M113" s="11">
        <v>437.98471316096936</v>
      </c>
      <c r="N113" s="11">
        <v>441.10315043017118</v>
      </c>
      <c r="O113" s="11">
        <v>444.221587699373</v>
      </c>
      <c r="P113" s="11">
        <v>446.73882464580481</v>
      </c>
      <c r="Q113" s="11">
        <v>449.25606159223679</v>
      </c>
      <c r="R113" s="11">
        <v>451.77329853866854</v>
      </c>
      <c r="S113" s="11">
        <v>454.29053548510035</v>
      </c>
      <c r="T113" s="11">
        <v>456.80777243153216</v>
      </c>
      <c r="U113" s="11">
        <v>458.73700578363866</v>
      </c>
      <c r="V113" s="11">
        <v>460.66623913574523</v>
      </c>
      <c r="W113" s="11">
        <v>462.59547248785174</v>
      </c>
      <c r="X113" s="11">
        <v>464.5247058399583</v>
      </c>
      <c r="Y113" s="11">
        <v>466.45393919206481</v>
      </c>
      <c r="Z113" s="11">
        <v>467.81900430791347</v>
      </c>
      <c r="AA113" s="11">
        <v>469.18406942376208</v>
      </c>
      <c r="AB113" s="11">
        <v>470.54913453961075</v>
      </c>
      <c r="AC113" s="11">
        <v>471.91419965545941</v>
      </c>
      <c r="AD113" s="11">
        <v>473.27926477130808</v>
      </c>
      <c r="AE113" s="11">
        <v>473.27926477130808</v>
      </c>
      <c r="AF113" s="11">
        <v>473.27926477130808</v>
      </c>
      <c r="AG113" s="11">
        <v>473.27926477130808</v>
      </c>
      <c r="AH113" s="11">
        <v>473.27926477130808</v>
      </c>
      <c r="AI113" s="11">
        <v>473.27926477130808</v>
      </c>
      <c r="AJ113" s="11">
        <v>473.27926477130808</v>
      </c>
      <c r="AK113" s="11">
        <v>473.27926477130808</v>
      </c>
      <c r="AL113" s="11">
        <v>473.27926477130808</v>
      </c>
      <c r="AM113" s="11">
        <v>473.27926477130808</v>
      </c>
      <c r="AN113" s="11">
        <v>473.27926477130808</v>
      </c>
      <c r="AO113" s="39">
        <f t="shared" ref="AO113:AX119" si="32">(AN113+AN113*$AN$120)</f>
        <v>473.27926477130808</v>
      </c>
      <c r="AP113" s="39">
        <f t="shared" si="32"/>
        <v>473.27926477130808</v>
      </c>
      <c r="AQ113" s="39">
        <f t="shared" si="32"/>
        <v>473.27926477130808</v>
      </c>
      <c r="AR113" s="39">
        <f t="shared" si="32"/>
        <v>473.27926477130808</v>
      </c>
      <c r="AS113" s="39">
        <f t="shared" si="32"/>
        <v>473.27926477130808</v>
      </c>
      <c r="AT113" s="39">
        <f t="shared" si="32"/>
        <v>473.27926477130808</v>
      </c>
      <c r="AU113" s="39">
        <f t="shared" si="32"/>
        <v>473.27926477130808</v>
      </c>
      <c r="AV113" s="39">
        <f t="shared" si="32"/>
        <v>473.27926477130808</v>
      </c>
      <c r="AW113" s="39">
        <f t="shared" si="32"/>
        <v>473.27926477130808</v>
      </c>
      <c r="AX113" s="39">
        <f t="shared" si="32"/>
        <v>473.27926477130808</v>
      </c>
    </row>
    <row r="114" spans="1:50" x14ac:dyDescent="0.2">
      <c r="A114" s="6" t="s">
        <v>42</v>
      </c>
      <c r="B114" s="11">
        <v>315.18466483012747</v>
      </c>
      <c r="C114" s="11">
        <v>316.26242066535383</v>
      </c>
      <c r="D114" s="11">
        <v>317.34017650058001</v>
      </c>
      <c r="E114" s="11">
        <v>318.41793233580637</v>
      </c>
      <c r="F114" s="11">
        <v>321.30091414673132</v>
      </c>
      <c r="G114" s="11">
        <v>324.18389595765626</v>
      </c>
      <c r="H114" s="11">
        <v>327.06687776858121</v>
      </c>
      <c r="I114" s="11">
        <v>329.94985957950615</v>
      </c>
      <c r="J114" s="11">
        <v>332.83284139043104</v>
      </c>
      <c r="K114" s="11">
        <v>335.25432329001404</v>
      </c>
      <c r="L114" s="11">
        <v>337.6758051895971</v>
      </c>
      <c r="M114" s="11">
        <v>340.09728708917993</v>
      </c>
      <c r="N114" s="11">
        <v>342.51876898876287</v>
      </c>
      <c r="O114" s="11">
        <v>344.94025088834582</v>
      </c>
      <c r="P114" s="11">
        <v>346.89489777605007</v>
      </c>
      <c r="Q114" s="11">
        <v>348.84954466375439</v>
      </c>
      <c r="R114" s="11">
        <v>350.80419155145853</v>
      </c>
      <c r="S114" s="11">
        <v>352.75883843916273</v>
      </c>
      <c r="T114" s="11">
        <v>354.71348532686704</v>
      </c>
      <c r="U114" s="11">
        <v>356.211544527331</v>
      </c>
      <c r="V114" s="11">
        <v>357.70960372779507</v>
      </c>
      <c r="W114" s="11">
        <v>359.20766292825914</v>
      </c>
      <c r="X114" s="11">
        <v>360.70572212872315</v>
      </c>
      <c r="Y114" s="11">
        <v>362.20378132918717</v>
      </c>
      <c r="Z114" s="11">
        <v>363.26376111535285</v>
      </c>
      <c r="AA114" s="11">
        <v>364.32374090151859</v>
      </c>
      <c r="AB114" s="11">
        <v>365.38372068768427</v>
      </c>
      <c r="AC114" s="11">
        <v>366.44370047384996</v>
      </c>
      <c r="AD114" s="11">
        <v>367.50368026001559</v>
      </c>
      <c r="AE114" s="11">
        <v>367.50368026001559</v>
      </c>
      <c r="AF114" s="11">
        <v>367.50368026001559</v>
      </c>
      <c r="AG114" s="11">
        <v>367.50368026001559</v>
      </c>
      <c r="AH114" s="11">
        <v>367.50368026001559</v>
      </c>
      <c r="AI114" s="11">
        <v>367.50368026001559</v>
      </c>
      <c r="AJ114" s="11">
        <v>367.50368026001559</v>
      </c>
      <c r="AK114" s="11">
        <v>367.50368026001559</v>
      </c>
      <c r="AL114" s="11">
        <v>367.50368026001559</v>
      </c>
      <c r="AM114" s="11">
        <v>367.50368026001559</v>
      </c>
      <c r="AN114" s="11">
        <v>367.50368026001559</v>
      </c>
      <c r="AO114" s="39">
        <f t="shared" si="32"/>
        <v>367.50368026001559</v>
      </c>
      <c r="AP114" s="39">
        <f t="shared" si="32"/>
        <v>367.50368026001559</v>
      </c>
      <c r="AQ114" s="39">
        <f t="shared" si="32"/>
        <v>367.50368026001559</v>
      </c>
      <c r="AR114" s="39">
        <f t="shared" si="32"/>
        <v>367.50368026001559</v>
      </c>
      <c r="AS114" s="39">
        <f t="shared" si="32"/>
        <v>367.50368026001559</v>
      </c>
      <c r="AT114" s="39">
        <f t="shared" si="32"/>
        <v>367.50368026001559</v>
      </c>
      <c r="AU114" s="39">
        <f t="shared" si="32"/>
        <v>367.50368026001559</v>
      </c>
      <c r="AV114" s="39">
        <f t="shared" si="32"/>
        <v>367.50368026001559</v>
      </c>
      <c r="AW114" s="39">
        <f t="shared" si="32"/>
        <v>367.50368026001559</v>
      </c>
      <c r="AX114" s="39">
        <f t="shared" si="32"/>
        <v>367.50368026001559</v>
      </c>
    </row>
    <row r="115" spans="1:50" x14ac:dyDescent="0.2">
      <c r="A115" s="6" t="s">
        <v>43</v>
      </c>
      <c r="B115" s="11">
        <v>22.103799454880861</v>
      </c>
      <c r="C115" s="11">
        <v>22.179382125935021</v>
      </c>
      <c r="D115" s="11">
        <v>22.254964796989174</v>
      </c>
      <c r="E115" s="11">
        <v>22.330547468043335</v>
      </c>
      <c r="F115" s="11">
        <v>22.532730057780366</v>
      </c>
      <c r="G115" s="11">
        <v>22.734912647517401</v>
      </c>
      <c r="H115" s="11">
        <v>22.937095237254432</v>
      </c>
      <c r="I115" s="11">
        <v>23.139277826991467</v>
      </c>
      <c r="J115" s="11">
        <v>23.341460416728498</v>
      </c>
      <c r="K115" s="11">
        <v>23.511278165700688</v>
      </c>
      <c r="L115" s="11">
        <v>23.681095914672877</v>
      </c>
      <c r="M115" s="11">
        <v>23.850913663645059</v>
      </c>
      <c r="N115" s="11">
        <v>24.020731412617245</v>
      </c>
      <c r="O115" s="11">
        <v>24.190549161589438</v>
      </c>
      <c r="P115" s="11">
        <v>24.327627920907268</v>
      </c>
      <c r="Q115" s="11">
        <v>24.46470668022511</v>
      </c>
      <c r="R115" s="11">
        <v>24.60178543954294</v>
      </c>
      <c r="S115" s="11">
        <v>24.738864198860774</v>
      </c>
      <c r="T115" s="11">
        <v>24.875942958178609</v>
      </c>
      <c r="U115" s="11">
        <v>24.981001369432345</v>
      </c>
      <c r="V115" s="11">
        <v>25.086059780686092</v>
      </c>
      <c r="W115" s="11">
        <v>25.191118191939836</v>
      </c>
      <c r="X115" s="11">
        <v>25.296176603193576</v>
      </c>
      <c r="Y115" s="11">
        <v>25.401235014447316</v>
      </c>
      <c r="Z115" s="11">
        <v>25.475571056882192</v>
      </c>
      <c r="AA115" s="11">
        <v>25.549907099317064</v>
      </c>
      <c r="AB115" s="11">
        <v>25.62424314175194</v>
      </c>
      <c r="AC115" s="11">
        <v>25.698579184186812</v>
      </c>
      <c r="AD115" s="11">
        <v>25.772915226621688</v>
      </c>
      <c r="AE115" s="11">
        <v>25.772915226621688</v>
      </c>
      <c r="AF115" s="11">
        <v>25.772915226621688</v>
      </c>
      <c r="AG115" s="11">
        <v>25.772915226621688</v>
      </c>
      <c r="AH115" s="11">
        <v>25.772915226621688</v>
      </c>
      <c r="AI115" s="11">
        <v>25.772915226621688</v>
      </c>
      <c r="AJ115" s="11">
        <v>25.772915226621688</v>
      </c>
      <c r="AK115" s="11">
        <v>25.772915226621688</v>
      </c>
      <c r="AL115" s="11">
        <v>25.772915226621688</v>
      </c>
      <c r="AM115" s="11">
        <v>25.772915226621688</v>
      </c>
      <c r="AN115" s="11">
        <v>25.772915226621688</v>
      </c>
      <c r="AO115" s="39">
        <f t="shared" si="32"/>
        <v>25.772915226621688</v>
      </c>
      <c r="AP115" s="39">
        <f t="shared" si="32"/>
        <v>25.772915226621688</v>
      </c>
      <c r="AQ115" s="39">
        <f t="shared" si="32"/>
        <v>25.772915226621688</v>
      </c>
      <c r="AR115" s="39">
        <f t="shared" si="32"/>
        <v>25.772915226621688</v>
      </c>
      <c r="AS115" s="39">
        <f t="shared" si="32"/>
        <v>25.772915226621688</v>
      </c>
      <c r="AT115" s="39">
        <f t="shared" si="32"/>
        <v>25.772915226621688</v>
      </c>
      <c r="AU115" s="39">
        <f t="shared" si="32"/>
        <v>25.772915226621688</v>
      </c>
      <c r="AV115" s="39">
        <f t="shared" si="32"/>
        <v>25.772915226621688</v>
      </c>
      <c r="AW115" s="39">
        <f t="shared" si="32"/>
        <v>25.772915226621688</v>
      </c>
      <c r="AX115" s="39">
        <f t="shared" si="32"/>
        <v>25.772915226621688</v>
      </c>
    </row>
    <row r="116" spans="1:50" x14ac:dyDescent="0.2">
      <c r="A116" s="6" t="s">
        <v>8</v>
      </c>
      <c r="B116" s="11">
        <v>16.90480739400757</v>
      </c>
      <c r="C116" s="11">
        <v>16.962612410701794</v>
      </c>
      <c r="D116" s="11">
        <v>17.020417427396016</v>
      </c>
      <c r="E116" s="11">
        <v>17.07822244409024</v>
      </c>
      <c r="F116" s="11">
        <v>17.232850056637254</v>
      </c>
      <c r="G116" s="11">
        <v>17.387477669184268</v>
      </c>
      <c r="H116" s="11">
        <v>17.542105281731281</v>
      </c>
      <c r="I116" s="11">
        <v>17.696732894278291</v>
      </c>
      <c r="J116" s="11">
        <v>17.851360506825305</v>
      </c>
      <c r="K116" s="11">
        <v>17.981235750414925</v>
      </c>
      <c r="L116" s="11">
        <v>18.111110994004552</v>
      </c>
      <c r="M116" s="11">
        <v>18.240986237594164</v>
      </c>
      <c r="N116" s="11">
        <v>18.370861481183784</v>
      </c>
      <c r="O116" s="11">
        <v>18.500736724773404</v>
      </c>
      <c r="P116" s="11">
        <v>18.605573453355188</v>
      </c>
      <c r="Q116" s="11">
        <v>18.710410181936975</v>
      </c>
      <c r="R116" s="11">
        <v>18.815246910518756</v>
      </c>
      <c r="S116" s="11">
        <v>18.920083639100536</v>
      </c>
      <c r="T116" s="11">
        <v>19.02492036768232</v>
      </c>
      <c r="U116" s="11">
        <v>19.105268192543384</v>
      </c>
      <c r="V116" s="11">
        <v>19.185616017404456</v>
      </c>
      <c r="W116" s="11">
        <v>19.265963842265524</v>
      </c>
      <c r="X116" s="11">
        <v>19.346311667126596</v>
      </c>
      <c r="Y116" s="11">
        <v>19.42665949198766</v>
      </c>
      <c r="Z116" s="11">
        <v>19.48351109717705</v>
      </c>
      <c r="AA116" s="11">
        <v>19.540362702366437</v>
      </c>
      <c r="AB116" s="11">
        <v>19.597214307555827</v>
      </c>
      <c r="AC116" s="11">
        <v>19.654065912745214</v>
      </c>
      <c r="AD116" s="11">
        <v>19.710917517934607</v>
      </c>
      <c r="AE116" s="11">
        <v>19.710917517934607</v>
      </c>
      <c r="AF116" s="11">
        <v>19.710917517934607</v>
      </c>
      <c r="AG116" s="11">
        <v>19.710917517934607</v>
      </c>
      <c r="AH116" s="11">
        <v>19.710917517934607</v>
      </c>
      <c r="AI116" s="11">
        <v>19.710917517934607</v>
      </c>
      <c r="AJ116" s="11">
        <v>19.710917517934607</v>
      </c>
      <c r="AK116" s="11">
        <v>19.710917517934607</v>
      </c>
      <c r="AL116" s="11">
        <v>19.710917517934607</v>
      </c>
      <c r="AM116" s="11">
        <v>19.710917517934607</v>
      </c>
      <c r="AN116" s="11">
        <v>19.710917517934607</v>
      </c>
      <c r="AO116" s="39">
        <f t="shared" si="32"/>
        <v>19.710917517934607</v>
      </c>
      <c r="AP116" s="39">
        <f t="shared" si="32"/>
        <v>19.710917517934607</v>
      </c>
      <c r="AQ116" s="39">
        <f t="shared" si="32"/>
        <v>19.710917517934607</v>
      </c>
      <c r="AR116" s="39">
        <f t="shared" si="32"/>
        <v>19.710917517934607</v>
      </c>
      <c r="AS116" s="39">
        <f t="shared" si="32"/>
        <v>19.710917517934607</v>
      </c>
      <c r="AT116" s="39">
        <f t="shared" si="32"/>
        <v>19.710917517934607</v>
      </c>
      <c r="AU116" s="39">
        <f t="shared" si="32"/>
        <v>19.710917517934607</v>
      </c>
      <c r="AV116" s="39">
        <f t="shared" si="32"/>
        <v>19.710917517934607</v>
      </c>
      <c r="AW116" s="39">
        <f t="shared" si="32"/>
        <v>19.710917517934607</v>
      </c>
      <c r="AX116" s="39">
        <f t="shared" si="32"/>
        <v>19.710917517934607</v>
      </c>
    </row>
    <row r="117" spans="1:50" x14ac:dyDescent="0.2">
      <c r="A117" s="6" t="s">
        <v>9</v>
      </c>
      <c r="B117" s="11">
        <v>173.30263937080937</v>
      </c>
      <c r="C117" s="11">
        <v>173.89523777956344</v>
      </c>
      <c r="D117" s="11">
        <v>174.48783618831746</v>
      </c>
      <c r="E117" s="11">
        <v>175.08043459707153</v>
      </c>
      <c r="F117" s="11">
        <v>176.66562706625658</v>
      </c>
      <c r="G117" s="11">
        <v>178.25081953544159</v>
      </c>
      <c r="H117" s="11">
        <v>179.83601200462664</v>
      </c>
      <c r="I117" s="11">
        <v>181.42120447381163</v>
      </c>
      <c r="J117" s="11">
        <v>183.00639694299667</v>
      </c>
      <c r="K117" s="11">
        <v>184.33783609982416</v>
      </c>
      <c r="L117" s="11">
        <v>185.66927525665162</v>
      </c>
      <c r="M117" s="11">
        <v>187.00071441347902</v>
      </c>
      <c r="N117" s="11">
        <v>188.3321535703065</v>
      </c>
      <c r="O117" s="11">
        <v>189.6635927271339</v>
      </c>
      <c r="P117" s="11">
        <v>190.73834509447914</v>
      </c>
      <c r="Q117" s="11">
        <v>191.81309746182436</v>
      </c>
      <c r="R117" s="11">
        <v>192.88784982916954</v>
      </c>
      <c r="S117" s="11">
        <v>193.96260219651472</v>
      </c>
      <c r="T117" s="11">
        <v>195.03735456385991</v>
      </c>
      <c r="U117" s="11">
        <v>195.86105457957629</v>
      </c>
      <c r="V117" s="11">
        <v>196.6847545952927</v>
      </c>
      <c r="W117" s="11">
        <v>197.50845461100911</v>
      </c>
      <c r="X117" s="11">
        <v>198.3321546267255</v>
      </c>
      <c r="Y117" s="11">
        <v>199.15585464244188</v>
      </c>
      <c r="Z117" s="11">
        <v>199.73867898359831</v>
      </c>
      <c r="AA117" s="11">
        <v>200.32150332475467</v>
      </c>
      <c r="AB117" s="11">
        <v>200.9043276659111</v>
      </c>
      <c r="AC117" s="11">
        <v>201.48715200706749</v>
      </c>
      <c r="AD117" s="11">
        <v>202.06997634822389</v>
      </c>
      <c r="AE117" s="11">
        <v>202.06997634822389</v>
      </c>
      <c r="AF117" s="11">
        <v>202.06997634822389</v>
      </c>
      <c r="AG117" s="11">
        <v>202.06997634822389</v>
      </c>
      <c r="AH117" s="11">
        <v>202.06997634822389</v>
      </c>
      <c r="AI117" s="11">
        <v>202.06997634822389</v>
      </c>
      <c r="AJ117" s="11">
        <v>202.06997634822389</v>
      </c>
      <c r="AK117" s="11">
        <v>202.06997634822389</v>
      </c>
      <c r="AL117" s="11">
        <v>202.06997634822389</v>
      </c>
      <c r="AM117" s="11">
        <v>202.06997634822389</v>
      </c>
      <c r="AN117" s="11">
        <v>202.06997634822389</v>
      </c>
      <c r="AO117" s="39">
        <f t="shared" si="32"/>
        <v>202.06997634822389</v>
      </c>
      <c r="AP117" s="39">
        <f t="shared" si="32"/>
        <v>202.06997634822389</v>
      </c>
      <c r="AQ117" s="39">
        <f t="shared" si="32"/>
        <v>202.06997634822389</v>
      </c>
      <c r="AR117" s="39">
        <f t="shared" si="32"/>
        <v>202.06997634822389</v>
      </c>
      <c r="AS117" s="39">
        <f t="shared" si="32"/>
        <v>202.06997634822389</v>
      </c>
      <c r="AT117" s="39">
        <f t="shared" si="32"/>
        <v>202.06997634822389</v>
      </c>
      <c r="AU117" s="39">
        <f t="shared" si="32"/>
        <v>202.06997634822389</v>
      </c>
      <c r="AV117" s="39">
        <f t="shared" si="32"/>
        <v>202.06997634822389</v>
      </c>
      <c r="AW117" s="39">
        <f t="shared" si="32"/>
        <v>202.06997634822389</v>
      </c>
      <c r="AX117" s="39">
        <f t="shared" si="32"/>
        <v>202.06997634822389</v>
      </c>
    </row>
    <row r="118" spans="1:50" x14ac:dyDescent="0.2">
      <c r="A118" s="6" t="s">
        <v>10</v>
      </c>
      <c r="B118" s="11">
        <v>0.15052074149159378</v>
      </c>
      <c r="C118" s="11">
        <v>0.1510354385107289</v>
      </c>
      <c r="D118" s="11">
        <v>0.15155013552986399</v>
      </c>
      <c r="E118" s="11">
        <v>0.15206483254899908</v>
      </c>
      <c r="F118" s="11">
        <v>0.15344163988866161</v>
      </c>
      <c r="G118" s="11">
        <v>0.15481844722832416</v>
      </c>
      <c r="H118" s="11">
        <v>0.15619525456798672</v>
      </c>
      <c r="I118" s="11">
        <v>0.15757206190764922</v>
      </c>
      <c r="J118" s="11">
        <v>0.15894886924731177</v>
      </c>
      <c r="K118" s="11">
        <v>0.16010528100113283</v>
      </c>
      <c r="L118" s="11">
        <v>0.16126169275495383</v>
      </c>
      <c r="M118" s="11">
        <v>0.16241810450877486</v>
      </c>
      <c r="N118" s="11">
        <v>0.16357451626259589</v>
      </c>
      <c r="O118" s="11">
        <v>0.16473092801641692</v>
      </c>
      <c r="P118" s="11">
        <v>0.16566439633426813</v>
      </c>
      <c r="Q118" s="11">
        <v>0.16659786465211937</v>
      </c>
      <c r="R118" s="11">
        <v>0.16753133296997055</v>
      </c>
      <c r="S118" s="11">
        <v>0.16846480128782176</v>
      </c>
      <c r="T118" s="11">
        <v>0.16939826960567297</v>
      </c>
      <c r="U118" s="11">
        <v>0.17011368823739378</v>
      </c>
      <c r="V118" s="11">
        <v>0.17082910686911459</v>
      </c>
      <c r="W118" s="11">
        <v>0.1715445255008354</v>
      </c>
      <c r="X118" s="11">
        <v>0.17225994413255624</v>
      </c>
      <c r="Y118" s="11">
        <v>0.17297536276427702</v>
      </c>
      <c r="Z118" s="11">
        <v>0.17348157058839736</v>
      </c>
      <c r="AA118" s="11">
        <v>0.1739877784125177</v>
      </c>
      <c r="AB118" s="11">
        <v>0.17449398623663803</v>
      </c>
      <c r="AC118" s="11">
        <v>0.1750001940607584</v>
      </c>
      <c r="AD118" s="11">
        <v>0.17550640188487876</v>
      </c>
      <c r="AE118" s="11">
        <v>0.17550640188487876</v>
      </c>
      <c r="AF118" s="11">
        <v>0.17550640188487876</v>
      </c>
      <c r="AG118" s="11">
        <v>0.17550640188487876</v>
      </c>
      <c r="AH118" s="11">
        <v>0.17550640188487876</v>
      </c>
      <c r="AI118" s="11">
        <v>0.17550640188487876</v>
      </c>
      <c r="AJ118" s="11">
        <v>0.17550640188487876</v>
      </c>
      <c r="AK118" s="11">
        <v>0.17550640188487876</v>
      </c>
      <c r="AL118" s="11">
        <v>0.17550640188487876</v>
      </c>
      <c r="AM118" s="11">
        <v>0.17550640188487876</v>
      </c>
      <c r="AN118" s="11">
        <v>0.17550640188487876</v>
      </c>
      <c r="AO118" s="39">
        <f t="shared" si="32"/>
        <v>0.17550640188487876</v>
      </c>
      <c r="AP118" s="39">
        <f t="shared" si="32"/>
        <v>0.17550640188487876</v>
      </c>
      <c r="AQ118" s="39">
        <f t="shared" si="32"/>
        <v>0.17550640188487876</v>
      </c>
      <c r="AR118" s="39">
        <f t="shared" si="32"/>
        <v>0.17550640188487876</v>
      </c>
      <c r="AS118" s="39">
        <f t="shared" si="32"/>
        <v>0.17550640188487876</v>
      </c>
      <c r="AT118" s="39">
        <f t="shared" si="32"/>
        <v>0.17550640188487876</v>
      </c>
      <c r="AU118" s="39">
        <f t="shared" si="32"/>
        <v>0.17550640188487876</v>
      </c>
      <c r="AV118" s="39">
        <f t="shared" si="32"/>
        <v>0.17550640188487876</v>
      </c>
      <c r="AW118" s="39">
        <f t="shared" si="32"/>
        <v>0.17550640188487876</v>
      </c>
      <c r="AX118" s="39">
        <f t="shared" si="32"/>
        <v>0.17550640188487876</v>
      </c>
    </row>
    <row r="119" spans="1:50" x14ac:dyDescent="0.2">
      <c r="A119" s="6" t="s">
        <v>44</v>
      </c>
      <c r="B119" s="11">
        <v>274.84005915483135</v>
      </c>
      <c r="C119" s="11">
        <v>275.77985893115522</v>
      </c>
      <c r="D119" s="11">
        <v>276.71965870747908</v>
      </c>
      <c r="E119" s="11">
        <v>277.65945848380295</v>
      </c>
      <c r="F119" s="11">
        <v>280.17340976339318</v>
      </c>
      <c r="G119" s="11">
        <v>282.68736104298341</v>
      </c>
      <c r="H119" s="11">
        <v>285.20131232257364</v>
      </c>
      <c r="I119" s="11">
        <v>287.71526360216382</v>
      </c>
      <c r="J119" s="11">
        <v>290.22921488175399</v>
      </c>
      <c r="K119" s="11">
        <v>292.34073965686457</v>
      </c>
      <c r="L119" s="11">
        <v>294.45226443197515</v>
      </c>
      <c r="M119" s="11">
        <v>296.56378920708573</v>
      </c>
      <c r="N119" s="11">
        <v>298.67531398219626</v>
      </c>
      <c r="O119" s="11">
        <v>300.78683875730684</v>
      </c>
      <c r="P119" s="11">
        <v>302.49128483666476</v>
      </c>
      <c r="Q119" s="11">
        <v>304.19573091602263</v>
      </c>
      <c r="R119" s="11">
        <v>305.90017699538049</v>
      </c>
      <c r="S119" s="11">
        <v>307.60462307473836</v>
      </c>
      <c r="T119" s="11">
        <v>309.30906915409622</v>
      </c>
      <c r="U119" s="11">
        <v>310.61537217329567</v>
      </c>
      <c r="V119" s="11">
        <v>311.92167519249517</v>
      </c>
      <c r="W119" s="11">
        <v>313.22797821169468</v>
      </c>
      <c r="X119" s="11">
        <v>314.53428123089418</v>
      </c>
      <c r="Y119" s="11">
        <v>315.84058425009368</v>
      </c>
      <c r="Z119" s="11">
        <v>316.76488336626329</v>
      </c>
      <c r="AA119" s="11">
        <v>317.6891824824329</v>
      </c>
      <c r="AB119" s="11">
        <v>318.6134815986025</v>
      </c>
      <c r="AC119" s="11">
        <v>319.53778071477217</v>
      </c>
      <c r="AD119" s="11">
        <v>320.46207983094178</v>
      </c>
      <c r="AE119" s="11">
        <v>320.46207983094178</v>
      </c>
      <c r="AF119" s="11">
        <v>320.46207983094178</v>
      </c>
      <c r="AG119" s="11">
        <v>320.46207983094178</v>
      </c>
      <c r="AH119" s="11">
        <v>320.46207983094178</v>
      </c>
      <c r="AI119" s="11">
        <v>320.46207983094178</v>
      </c>
      <c r="AJ119" s="11">
        <v>320.46207983094178</v>
      </c>
      <c r="AK119" s="11">
        <v>320.46207983094178</v>
      </c>
      <c r="AL119" s="11">
        <v>320.46207983094178</v>
      </c>
      <c r="AM119" s="11">
        <v>320.46207983094178</v>
      </c>
      <c r="AN119" s="11">
        <v>320.46207983094178</v>
      </c>
      <c r="AO119" s="39">
        <f t="shared" si="32"/>
        <v>320.46207983094178</v>
      </c>
      <c r="AP119" s="39">
        <f t="shared" si="32"/>
        <v>320.46207983094178</v>
      </c>
      <c r="AQ119" s="39">
        <f t="shared" si="32"/>
        <v>320.46207983094178</v>
      </c>
      <c r="AR119" s="39">
        <f t="shared" si="32"/>
        <v>320.46207983094178</v>
      </c>
      <c r="AS119" s="39">
        <f t="shared" si="32"/>
        <v>320.46207983094178</v>
      </c>
      <c r="AT119" s="39">
        <f t="shared" si="32"/>
        <v>320.46207983094178</v>
      </c>
      <c r="AU119" s="39">
        <f t="shared" si="32"/>
        <v>320.46207983094178</v>
      </c>
      <c r="AV119" s="39">
        <f t="shared" si="32"/>
        <v>320.46207983094178</v>
      </c>
      <c r="AW119" s="39">
        <f t="shared" si="32"/>
        <v>320.46207983094178</v>
      </c>
      <c r="AX119" s="39">
        <f t="shared" si="32"/>
        <v>320.46207983094178</v>
      </c>
    </row>
    <row r="120" spans="1:50" x14ac:dyDescent="0.2">
      <c r="AM120" s="13" t="s">
        <v>187</v>
      </c>
      <c r="AN120" s="13">
        <f>(AN112-AM112)/AM112</f>
        <v>0</v>
      </c>
    </row>
    <row r="121" spans="1:50" x14ac:dyDescent="0.2">
      <c r="A121" s="5" t="s">
        <v>3</v>
      </c>
      <c r="AM121" s="13" t="s">
        <v>187</v>
      </c>
      <c r="AN121" s="13">
        <f t="shared" ref="AN121:AN123" si="33">(AN113-AM113)/AM113</f>
        <v>0</v>
      </c>
    </row>
    <row r="122" spans="1:50" x14ac:dyDescent="0.2">
      <c r="A122" s="5" t="s">
        <v>4</v>
      </c>
      <c r="AM122" s="13" t="s">
        <v>187</v>
      </c>
      <c r="AN122" s="13">
        <f t="shared" si="33"/>
        <v>0</v>
      </c>
    </row>
    <row r="123" spans="1:50" x14ac:dyDescent="0.2">
      <c r="A123" s="5" t="s">
        <v>60</v>
      </c>
      <c r="AM123" s="13" t="s">
        <v>187</v>
      </c>
      <c r="AN123" s="13">
        <f t="shared" si="33"/>
        <v>0</v>
      </c>
    </row>
    <row r="124" spans="1:50" x14ac:dyDescent="0.2">
      <c r="A124" s="5" t="s">
        <v>6</v>
      </c>
    </row>
    <row r="125" spans="1:50" x14ac:dyDescent="0.2">
      <c r="A125" s="5"/>
    </row>
    <row r="126" spans="1:50" x14ac:dyDescent="0.2">
      <c r="A126" s="6" t="s">
        <v>7</v>
      </c>
      <c r="B126" s="6">
        <v>2022</v>
      </c>
      <c r="C126" s="6">
        <v>2023</v>
      </c>
      <c r="D126" s="6">
        <v>2024</v>
      </c>
      <c r="E126" s="6">
        <v>2025</v>
      </c>
      <c r="F126" s="6">
        <v>2026</v>
      </c>
      <c r="G126" s="6">
        <v>2027</v>
      </c>
      <c r="H126" s="6">
        <v>2028</v>
      </c>
      <c r="I126" s="6">
        <v>2029</v>
      </c>
      <c r="J126" s="6">
        <v>2030</v>
      </c>
      <c r="K126" s="6">
        <v>2031</v>
      </c>
      <c r="L126" s="6">
        <v>2032</v>
      </c>
      <c r="M126" s="6">
        <v>2033</v>
      </c>
      <c r="N126" s="6">
        <v>2034</v>
      </c>
      <c r="O126" s="6">
        <v>2035</v>
      </c>
      <c r="P126" s="6">
        <v>2036</v>
      </c>
      <c r="Q126" s="6">
        <v>2037</v>
      </c>
      <c r="R126" s="6">
        <v>2038</v>
      </c>
      <c r="S126" s="6">
        <v>2039</v>
      </c>
      <c r="T126" s="6">
        <v>2040</v>
      </c>
      <c r="U126" s="6">
        <v>2041</v>
      </c>
      <c r="V126" s="6">
        <v>2042</v>
      </c>
      <c r="W126" s="6">
        <v>2043</v>
      </c>
      <c r="X126" s="6">
        <v>2044</v>
      </c>
      <c r="Y126" s="6">
        <v>2045</v>
      </c>
      <c r="Z126" s="6">
        <v>2046</v>
      </c>
      <c r="AA126" s="6">
        <v>2047</v>
      </c>
      <c r="AB126" s="6">
        <v>2048</v>
      </c>
      <c r="AC126" s="6">
        <v>2049</v>
      </c>
      <c r="AD126" s="6">
        <v>2050</v>
      </c>
      <c r="AE126" s="6">
        <v>2051</v>
      </c>
      <c r="AF126" s="6">
        <v>2052</v>
      </c>
      <c r="AG126" s="6">
        <v>2053</v>
      </c>
      <c r="AH126" s="6">
        <v>2054</v>
      </c>
      <c r="AI126" s="6">
        <v>2055</v>
      </c>
      <c r="AJ126" s="6">
        <v>2056</v>
      </c>
      <c r="AK126" s="6">
        <v>2057</v>
      </c>
      <c r="AL126" s="6">
        <v>2058</v>
      </c>
      <c r="AM126" s="6">
        <v>2059</v>
      </c>
      <c r="AN126" s="6">
        <v>2060</v>
      </c>
      <c r="AO126" s="39">
        <f>AN126+1</f>
        <v>2061</v>
      </c>
      <c r="AP126" s="39">
        <f t="shared" ref="AP126:AX126" si="34">AO126+1</f>
        <v>2062</v>
      </c>
      <c r="AQ126" s="39">
        <f t="shared" si="34"/>
        <v>2063</v>
      </c>
      <c r="AR126" s="39">
        <f t="shared" si="34"/>
        <v>2064</v>
      </c>
      <c r="AS126" s="39">
        <f t="shared" si="34"/>
        <v>2065</v>
      </c>
      <c r="AT126" s="39">
        <f t="shared" si="34"/>
        <v>2066</v>
      </c>
      <c r="AU126" s="39">
        <f t="shared" si="34"/>
        <v>2067</v>
      </c>
      <c r="AV126" s="39">
        <f t="shared" si="34"/>
        <v>2068</v>
      </c>
      <c r="AW126" s="39">
        <f>AV126+1</f>
        <v>2069</v>
      </c>
      <c r="AX126" s="39">
        <f t="shared" si="34"/>
        <v>2070</v>
      </c>
    </row>
    <row r="127" spans="1:50" x14ac:dyDescent="0.2">
      <c r="A127" s="6" t="s">
        <v>40</v>
      </c>
      <c r="B127" s="11">
        <v>157.89735921763128</v>
      </c>
      <c r="C127" s="11">
        <v>158.43728015685386</v>
      </c>
      <c r="D127" s="11">
        <v>158.97720109607639</v>
      </c>
      <c r="E127" s="11">
        <v>159.51712203529894</v>
      </c>
      <c r="F127" s="11">
        <v>160.96140300900322</v>
      </c>
      <c r="G127" s="11">
        <v>162.4056839827075</v>
      </c>
      <c r="H127" s="11">
        <v>163.84996495641178</v>
      </c>
      <c r="I127" s="11">
        <v>165.29424593011606</v>
      </c>
      <c r="J127" s="11">
        <v>166.73852690382031</v>
      </c>
      <c r="K127" s="11">
        <v>167.95161129529447</v>
      </c>
      <c r="L127" s="11">
        <v>169.16469568676862</v>
      </c>
      <c r="M127" s="11">
        <v>170.37778007824281</v>
      </c>
      <c r="N127" s="11">
        <v>171.59086446971691</v>
      </c>
      <c r="O127" s="11">
        <v>172.80394886119112</v>
      </c>
      <c r="P127" s="11">
        <v>173.78316395700739</v>
      </c>
      <c r="Q127" s="11">
        <v>174.76237905282369</v>
      </c>
      <c r="R127" s="11">
        <v>175.74159414864002</v>
      </c>
      <c r="S127" s="11">
        <v>176.72080924445632</v>
      </c>
      <c r="T127" s="11">
        <v>177.70002434027259</v>
      </c>
      <c r="U127" s="11">
        <v>178.4505037198212</v>
      </c>
      <c r="V127" s="11">
        <v>179.20098309936978</v>
      </c>
      <c r="W127" s="11">
        <v>179.95146247891836</v>
      </c>
      <c r="X127" s="11">
        <v>180.70194185846699</v>
      </c>
      <c r="Y127" s="11">
        <v>181.4524212380156</v>
      </c>
      <c r="Z127" s="11">
        <v>181.98343694955042</v>
      </c>
      <c r="AA127" s="11">
        <v>182.51445266108522</v>
      </c>
      <c r="AB127" s="11">
        <v>183.04546837262001</v>
      </c>
      <c r="AC127" s="11">
        <v>183.57648408415483</v>
      </c>
      <c r="AD127" s="11">
        <v>184.10749979568965</v>
      </c>
      <c r="AE127" s="11">
        <v>184.10749979568965</v>
      </c>
      <c r="AF127" s="11">
        <v>184.10749979568965</v>
      </c>
      <c r="AG127" s="11">
        <v>184.10749979568965</v>
      </c>
      <c r="AH127" s="11">
        <v>184.10749979568965</v>
      </c>
      <c r="AI127" s="11">
        <v>184.10749979568965</v>
      </c>
      <c r="AJ127" s="11">
        <v>184.10749979568965</v>
      </c>
      <c r="AK127" s="11">
        <v>184.10749979568965</v>
      </c>
      <c r="AL127" s="11">
        <v>184.10749979568965</v>
      </c>
      <c r="AM127" s="11">
        <v>184.10749979568965</v>
      </c>
      <c r="AN127" s="11">
        <v>184.10749979568965</v>
      </c>
      <c r="AO127" s="39">
        <f>(AN127+AN127*$AN$135)</f>
        <v>184.10749979568965</v>
      </c>
      <c r="AP127" s="39">
        <f t="shared" ref="AP127:AX127" si="35">(AO127+AO127*$AN$135)</f>
        <v>184.10749979568965</v>
      </c>
      <c r="AQ127" s="39">
        <f t="shared" si="35"/>
        <v>184.10749979568965</v>
      </c>
      <c r="AR127" s="39">
        <f t="shared" si="35"/>
        <v>184.10749979568965</v>
      </c>
      <c r="AS127" s="39">
        <f t="shared" si="35"/>
        <v>184.10749979568965</v>
      </c>
      <c r="AT127" s="39">
        <f t="shared" si="35"/>
        <v>184.10749979568965</v>
      </c>
      <c r="AU127" s="39">
        <f t="shared" si="35"/>
        <v>184.10749979568965</v>
      </c>
      <c r="AV127" s="39">
        <f t="shared" si="35"/>
        <v>184.10749979568965</v>
      </c>
      <c r="AW127" s="39">
        <f t="shared" si="35"/>
        <v>184.10749979568965</v>
      </c>
      <c r="AX127" s="39">
        <f t="shared" si="35"/>
        <v>184.10749979568965</v>
      </c>
    </row>
    <row r="128" spans="1:50" x14ac:dyDescent="0.2">
      <c r="A128" s="6" t="s">
        <v>41</v>
      </c>
      <c r="B128" s="11">
        <v>96.453706751154286</v>
      </c>
      <c r="C128" s="11">
        <v>96.783524654370794</v>
      </c>
      <c r="D128" s="11">
        <v>97.113342557587274</v>
      </c>
      <c r="E128" s="11">
        <v>97.443160460803767</v>
      </c>
      <c r="F128" s="11">
        <v>98.325418746782674</v>
      </c>
      <c r="G128" s="11">
        <v>99.20767703276158</v>
      </c>
      <c r="H128" s="11">
        <v>100.08993531874049</v>
      </c>
      <c r="I128" s="11">
        <v>100.97219360471939</v>
      </c>
      <c r="J128" s="11">
        <v>101.85445189069831</v>
      </c>
      <c r="K128" s="11">
        <v>102.59548066242324</v>
      </c>
      <c r="L128" s="11">
        <v>103.33650943414817</v>
      </c>
      <c r="M128" s="11">
        <v>104.0775382058731</v>
      </c>
      <c r="N128" s="11">
        <v>104.81856697759801</v>
      </c>
      <c r="O128" s="11">
        <v>105.55959574932295</v>
      </c>
      <c r="P128" s="11">
        <v>106.15776234416755</v>
      </c>
      <c r="Q128" s="11">
        <v>106.75592893901219</v>
      </c>
      <c r="R128" s="11">
        <v>107.35409553385682</v>
      </c>
      <c r="S128" s="11">
        <v>107.95226212870146</v>
      </c>
      <c r="T128" s="11">
        <v>108.55042872354606</v>
      </c>
      <c r="U128" s="11">
        <v>109.00886905691478</v>
      </c>
      <c r="V128" s="11">
        <v>109.46730939028348</v>
      </c>
      <c r="W128" s="11">
        <v>109.92574972365215</v>
      </c>
      <c r="X128" s="11">
        <v>110.38419005702087</v>
      </c>
      <c r="Y128" s="11">
        <v>110.84263039038957</v>
      </c>
      <c r="Z128" s="11">
        <v>111.16700841656062</v>
      </c>
      <c r="AA128" s="11">
        <v>111.49138644273165</v>
      </c>
      <c r="AB128" s="11">
        <v>111.81576446890269</v>
      </c>
      <c r="AC128" s="11">
        <v>112.14014249507372</v>
      </c>
      <c r="AD128" s="11">
        <v>112.46452052124475</v>
      </c>
      <c r="AE128" s="11">
        <v>112.46452052124475</v>
      </c>
      <c r="AF128" s="11">
        <v>112.46452052124475</v>
      </c>
      <c r="AG128" s="11">
        <v>112.46452052124475</v>
      </c>
      <c r="AH128" s="11">
        <v>112.46452052124475</v>
      </c>
      <c r="AI128" s="11">
        <v>112.46452052124475</v>
      </c>
      <c r="AJ128" s="11">
        <v>112.46452052124475</v>
      </c>
      <c r="AK128" s="11">
        <v>112.46452052124475</v>
      </c>
      <c r="AL128" s="11">
        <v>112.46452052124475</v>
      </c>
      <c r="AM128" s="11">
        <v>112.46452052124475</v>
      </c>
      <c r="AN128" s="11">
        <v>112.46452052124475</v>
      </c>
      <c r="AO128" s="39">
        <f t="shared" ref="AO128:AX134" si="36">(AN128+AN128*$AN$135)</f>
        <v>112.46452052124475</v>
      </c>
      <c r="AP128" s="39">
        <f t="shared" si="36"/>
        <v>112.46452052124475</v>
      </c>
      <c r="AQ128" s="39">
        <f t="shared" si="36"/>
        <v>112.46452052124475</v>
      </c>
      <c r="AR128" s="39">
        <f t="shared" si="36"/>
        <v>112.46452052124475</v>
      </c>
      <c r="AS128" s="39">
        <f t="shared" si="36"/>
        <v>112.46452052124475</v>
      </c>
      <c r="AT128" s="39">
        <f t="shared" si="36"/>
        <v>112.46452052124475</v>
      </c>
      <c r="AU128" s="39">
        <f t="shared" si="36"/>
        <v>112.46452052124475</v>
      </c>
      <c r="AV128" s="39">
        <f t="shared" si="36"/>
        <v>112.46452052124475</v>
      </c>
      <c r="AW128" s="39">
        <f t="shared" si="36"/>
        <v>112.46452052124475</v>
      </c>
      <c r="AX128" s="39">
        <f t="shared" si="36"/>
        <v>112.46452052124475</v>
      </c>
    </row>
    <row r="129" spans="1:50" x14ac:dyDescent="0.2">
      <c r="A129" s="6" t="s">
        <v>42</v>
      </c>
      <c r="B129" s="11">
        <v>74.896778380725806</v>
      </c>
      <c r="C129" s="11">
        <v>75.152883607111079</v>
      </c>
      <c r="D129" s="11">
        <v>75.408988833496338</v>
      </c>
      <c r="E129" s="11">
        <v>75.665094059881596</v>
      </c>
      <c r="F129" s="11">
        <v>76.350171964559749</v>
      </c>
      <c r="G129" s="11">
        <v>77.035249869237887</v>
      </c>
      <c r="H129" s="11">
        <v>77.72032777391604</v>
      </c>
      <c r="I129" s="11">
        <v>78.405405678594192</v>
      </c>
      <c r="J129" s="11">
        <v>79.090483583272331</v>
      </c>
      <c r="K129" s="11">
        <v>79.665896074497908</v>
      </c>
      <c r="L129" s="11">
        <v>80.241308565723486</v>
      </c>
      <c r="M129" s="11">
        <v>80.816721056949092</v>
      </c>
      <c r="N129" s="11">
        <v>81.392133548174641</v>
      </c>
      <c r="O129" s="11">
        <v>81.967546039400233</v>
      </c>
      <c r="P129" s="11">
        <v>82.432025346602117</v>
      </c>
      <c r="Q129" s="11">
        <v>82.896504653804016</v>
      </c>
      <c r="R129" s="11">
        <v>83.360983961005928</v>
      </c>
      <c r="S129" s="11">
        <v>83.825463268207827</v>
      </c>
      <c r="T129" s="11">
        <v>84.289942575409725</v>
      </c>
      <c r="U129" s="11">
        <v>84.645923752345581</v>
      </c>
      <c r="V129" s="11">
        <v>85.001904929281437</v>
      </c>
      <c r="W129" s="11">
        <v>85.357886106217279</v>
      </c>
      <c r="X129" s="11">
        <v>85.713867283153164</v>
      </c>
      <c r="Y129" s="11">
        <v>86.069848460088991</v>
      </c>
      <c r="Z129" s="11">
        <v>86.321729595154025</v>
      </c>
      <c r="AA129" s="11">
        <v>86.573610730219045</v>
      </c>
      <c r="AB129" s="11">
        <v>86.82549186528405</v>
      </c>
      <c r="AC129" s="11">
        <v>87.07737300034907</v>
      </c>
      <c r="AD129" s="11">
        <v>87.329254135414104</v>
      </c>
      <c r="AE129" s="11">
        <v>87.329254135414104</v>
      </c>
      <c r="AF129" s="11">
        <v>87.329254135414104</v>
      </c>
      <c r="AG129" s="11">
        <v>87.329254135414104</v>
      </c>
      <c r="AH129" s="11">
        <v>87.329254135414104</v>
      </c>
      <c r="AI129" s="11">
        <v>87.329254135414104</v>
      </c>
      <c r="AJ129" s="11">
        <v>87.329254135414104</v>
      </c>
      <c r="AK129" s="11">
        <v>87.329254135414104</v>
      </c>
      <c r="AL129" s="11">
        <v>87.329254135414104</v>
      </c>
      <c r="AM129" s="11">
        <v>87.329254135414104</v>
      </c>
      <c r="AN129" s="11">
        <v>87.329254135414104</v>
      </c>
      <c r="AO129" s="39">
        <f t="shared" si="36"/>
        <v>87.329254135414104</v>
      </c>
      <c r="AP129" s="39">
        <f t="shared" si="36"/>
        <v>87.329254135414104</v>
      </c>
      <c r="AQ129" s="39">
        <f t="shared" si="36"/>
        <v>87.329254135414104</v>
      </c>
      <c r="AR129" s="39">
        <f t="shared" si="36"/>
        <v>87.329254135414104</v>
      </c>
      <c r="AS129" s="39">
        <f t="shared" si="36"/>
        <v>87.329254135414104</v>
      </c>
      <c r="AT129" s="39">
        <f t="shared" si="36"/>
        <v>87.329254135414104</v>
      </c>
      <c r="AU129" s="39">
        <f t="shared" si="36"/>
        <v>87.329254135414104</v>
      </c>
      <c r="AV129" s="39">
        <f t="shared" si="36"/>
        <v>87.329254135414104</v>
      </c>
      <c r="AW129" s="39">
        <f t="shared" si="36"/>
        <v>87.329254135414104</v>
      </c>
      <c r="AX129" s="39">
        <f t="shared" si="36"/>
        <v>87.329254135414104</v>
      </c>
    </row>
    <row r="130" spans="1:50" x14ac:dyDescent="0.2">
      <c r="A130" s="6" t="s">
        <v>43</v>
      </c>
      <c r="B130" s="11">
        <v>5.2524870460828845</v>
      </c>
      <c r="C130" s="11">
        <v>5.2704476234682653</v>
      </c>
      <c r="D130" s="11">
        <v>5.2884082008536444</v>
      </c>
      <c r="E130" s="11">
        <v>5.3063687782390243</v>
      </c>
      <c r="F130" s="11">
        <v>5.3544130719680263</v>
      </c>
      <c r="G130" s="11">
        <v>5.4024573656970283</v>
      </c>
      <c r="H130" s="11">
        <v>5.450501659426032</v>
      </c>
      <c r="I130" s="11">
        <v>5.498545953155034</v>
      </c>
      <c r="J130" s="11">
        <v>5.546590246884036</v>
      </c>
      <c r="K130" s="11">
        <v>5.5869437403407636</v>
      </c>
      <c r="L130" s="11">
        <v>5.6272972337974911</v>
      </c>
      <c r="M130" s="11">
        <v>5.6676507272542205</v>
      </c>
      <c r="N130" s="11">
        <v>5.708004220710948</v>
      </c>
      <c r="O130" s="11">
        <v>5.7483577141676765</v>
      </c>
      <c r="P130" s="11">
        <v>5.7809314990085925</v>
      </c>
      <c r="Q130" s="11">
        <v>5.8135052838495085</v>
      </c>
      <c r="R130" s="11">
        <v>5.8460790686904254</v>
      </c>
      <c r="S130" s="11">
        <v>5.8786528535313405</v>
      </c>
      <c r="T130" s="11">
        <v>5.9112266383722565</v>
      </c>
      <c r="U130" s="11">
        <v>5.9361914841363843</v>
      </c>
      <c r="V130" s="11">
        <v>5.9611563299005121</v>
      </c>
      <c r="W130" s="11">
        <v>5.9861211756646409</v>
      </c>
      <c r="X130" s="11">
        <v>6.0110860214287696</v>
      </c>
      <c r="Y130" s="11">
        <v>6.0360508671928983</v>
      </c>
      <c r="Z130" s="11">
        <v>6.0537152104087895</v>
      </c>
      <c r="AA130" s="11">
        <v>6.0713795536246806</v>
      </c>
      <c r="AB130" s="11">
        <v>6.0890438968405709</v>
      </c>
      <c r="AC130" s="11">
        <v>6.106708240056463</v>
      </c>
      <c r="AD130" s="11">
        <v>6.1243725832723532</v>
      </c>
      <c r="AE130" s="11">
        <v>6.1243725832723532</v>
      </c>
      <c r="AF130" s="11">
        <v>6.1243725832723532</v>
      </c>
      <c r="AG130" s="11">
        <v>6.1243725832723532</v>
      </c>
      <c r="AH130" s="11">
        <v>6.1243725832723532</v>
      </c>
      <c r="AI130" s="11">
        <v>6.1243725832723532</v>
      </c>
      <c r="AJ130" s="11">
        <v>6.1243725832723532</v>
      </c>
      <c r="AK130" s="11">
        <v>6.1243725832723532</v>
      </c>
      <c r="AL130" s="11">
        <v>6.1243725832723532</v>
      </c>
      <c r="AM130" s="11">
        <v>6.1243725832723532</v>
      </c>
      <c r="AN130" s="11">
        <v>6.1243725832723532</v>
      </c>
      <c r="AO130" s="39">
        <f t="shared" si="36"/>
        <v>6.1243725832723532</v>
      </c>
      <c r="AP130" s="39">
        <f t="shared" si="36"/>
        <v>6.1243725832723532</v>
      </c>
      <c r="AQ130" s="39">
        <f t="shared" si="36"/>
        <v>6.1243725832723532</v>
      </c>
      <c r="AR130" s="39">
        <f t="shared" si="36"/>
        <v>6.1243725832723532</v>
      </c>
      <c r="AS130" s="39">
        <f t="shared" si="36"/>
        <v>6.1243725832723532</v>
      </c>
      <c r="AT130" s="39">
        <f t="shared" si="36"/>
        <v>6.1243725832723532</v>
      </c>
      <c r="AU130" s="39">
        <f t="shared" si="36"/>
        <v>6.1243725832723532</v>
      </c>
      <c r="AV130" s="39">
        <f t="shared" si="36"/>
        <v>6.1243725832723532</v>
      </c>
      <c r="AW130" s="39">
        <f t="shared" si="36"/>
        <v>6.1243725832723532</v>
      </c>
      <c r="AX130" s="39">
        <f t="shared" si="36"/>
        <v>6.1243725832723532</v>
      </c>
    </row>
    <row r="131" spans="1:50" x14ac:dyDescent="0.2">
      <c r="A131" s="6" t="s">
        <v>8</v>
      </c>
      <c r="B131" s="11">
        <v>4.0170596930540015</v>
      </c>
      <c r="C131" s="11">
        <v>4.0307957976546964</v>
      </c>
      <c r="D131" s="11">
        <v>4.0445319022553905</v>
      </c>
      <c r="E131" s="11">
        <v>4.0582680068560855</v>
      </c>
      <c r="F131" s="11">
        <v>4.0950118948708027</v>
      </c>
      <c r="G131" s="11">
        <v>4.13175578288552</v>
      </c>
      <c r="H131" s="11">
        <v>4.1684996709002364</v>
      </c>
      <c r="I131" s="11">
        <v>4.2052435589149537</v>
      </c>
      <c r="J131" s="11">
        <v>4.241987446929671</v>
      </c>
      <c r="K131" s="11">
        <v>4.2728494729788036</v>
      </c>
      <c r="L131" s="11">
        <v>4.3037114990279361</v>
      </c>
      <c r="M131" s="11">
        <v>4.3345735250770687</v>
      </c>
      <c r="N131" s="11">
        <v>4.3654355511262004</v>
      </c>
      <c r="O131" s="11">
        <v>4.3962975771753339</v>
      </c>
      <c r="P131" s="11">
        <v>4.4212097448754406</v>
      </c>
      <c r="Q131" s="11">
        <v>4.4461219125755473</v>
      </c>
      <c r="R131" s="11">
        <v>4.471034080275655</v>
      </c>
      <c r="S131" s="11">
        <v>4.4959462479757626</v>
      </c>
      <c r="T131" s="11">
        <v>4.5208584156758684</v>
      </c>
      <c r="U131" s="11">
        <v>4.5399513281918891</v>
      </c>
      <c r="V131" s="11">
        <v>4.5590442407079088</v>
      </c>
      <c r="W131" s="11">
        <v>4.5781371532239286</v>
      </c>
      <c r="X131" s="11">
        <v>4.5972300657399501</v>
      </c>
      <c r="Y131" s="11">
        <v>4.6163229782559698</v>
      </c>
      <c r="Z131" s="11">
        <v>4.6298325253551385</v>
      </c>
      <c r="AA131" s="11">
        <v>4.643342072454308</v>
      </c>
      <c r="AB131" s="11">
        <v>4.6568516195534748</v>
      </c>
      <c r="AC131" s="11">
        <v>4.6703611666526434</v>
      </c>
      <c r="AD131" s="11">
        <v>4.6838707137518112</v>
      </c>
      <c r="AE131" s="11">
        <v>4.6838707137518112</v>
      </c>
      <c r="AF131" s="11">
        <v>4.6838707137518112</v>
      </c>
      <c r="AG131" s="11">
        <v>4.6838707137518112</v>
      </c>
      <c r="AH131" s="11">
        <v>4.6838707137518112</v>
      </c>
      <c r="AI131" s="11">
        <v>4.6838707137518112</v>
      </c>
      <c r="AJ131" s="11">
        <v>4.6838707137518112</v>
      </c>
      <c r="AK131" s="11">
        <v>4.6838707137518112</v>
      </c>
      <c r="AL131" s="11">
        <v>4.6838707137518112</v>
      </c>
      <c r="AM131" s="11">
        <v>4.6838707137518112</v>
      </c>
      <c r="AN131" s="11">
        <v>4.6838707137518112</v>
      </c>
      <c r="AO131" s="39">
        <f t="shared" si="36"/>
        <v>4.6838707137518112</v>
      </c>
      <c r="AP131" s="39">
        <f t="shared" si="36"/>
        <v>4.6838707137518112</v>
      </c>
      <c r="AQ131" s="39">
        <f t="shared" si="36"/>
        <v>4.6838707137518112</v>
      </c>
      <c r="AR131" s="39">
        <f t="shared" si="36"/>
        <v>4.6838707137518112</v>
      </c>
      <c r="AS131" s="39">
        <f t="shared" si="36"/>
        <v>4.6838707137518112</v>
      </c>
      <c r="AT131" s="39">
        <f t="shared" si="36"/>
        <v>4.6838707137518112</v>
      </c>
      <c r="AU131" s="39">
        <f t="shared" si="36"/>
        <v>4.6838707137518112</v>
      </c>
      <c r="AV131" s="39">
        <f t="shared" si="36"/>
        <v>4.6838707137518112</v>
      </c>
      <c r="AW131" s="39">
        <f t="shared" si="36"/>
        <v>4.6838707137518112</v>
      </c>
      <c r="AX131" s="39">
        <f t="shared" si="36"/>
        <v>4.6838707137518112</v>
      </c>
    </row>
    <row r="132" spans="1:50" x14ac:dyDescent="0.2">
      <c r="A132" s="6" t="s">
        <v>9</v>
      </c>
      <c r="B132" s="11">
        <v>41.18160184203753</v>
      </c>
      <c r="C132" s="11">
        <v>41.322419961196807</v>
      </c>
      <c r="D132" s="11">
        <v>41.463238080356071</v>
      </c>
      <c r="E132" s="11">
        <v>41.604056199515341</v>
      </c>
      <c r="F132" s="11">
        <v>41.980742702075155</v>
      </c>
      <c r="G132" s="11">
        <v>42.357429204634961</v>
      </c>
      <c r="H132" s="11">
        <v>42.734115707194782</v>
      </c>
      <c r="I132" s="11">
        <v>43.110802209754588</v>
      </c>
      <c r="J132" s="11">
        <v>43.487488712314402</v>
      </c>
      <c r="K132" s="11">
        <v>43.803876260896665</v>
      </c>
      <c r="L132" s="11">
        <v>44.120263809478928</v>
      </c>
      <c r="M132" s="11">
        <v>44.436651358061184</v>
      </c>
      <c r="N132" s="11">
        <v>44.75303890664344</v>
      </c>
      <c r="O132" s="11">
        <v>45.06942645522571</v>
      </c>
      <c r="P132" s="11">
        <v>45.324817972813015</v>
      </c>
      <c r="Q132" s="11">
        <v>45.580209490400328</v>
      </c>
      <c r="R132" s="11">
        <v>45.835601007987641</v>
      </c>
      <c r="S132" s="11">
        <v>46.090992525574954</v>
      </c>
      <c r="T132" s="11">
        <v>46.346384043162253</v>
      </c>
      <c r="U132" s="11">
        <v>46.5421184313266</v>
      </c>
      <c r="V132" s="11">
        <v>46.737852819490953</v>
      </c>
      <c r="W132" s="11">
        <v>46.933587207655293</v>
      </c>
      <c r="X132" s="11">
        <v>47.129321595819661</v>
      </c>
      <c r="Y132" s="11">
        <v>47.325055983984008</v>
      </c>
      <c r="Z132" s="11">
        <v>47.46355150862513</v>
      </c>
      <c r="AA132" s="11">
        <v>47.602047033266253</v>
      </c>
      <c r="AB132" s="11">
        <v>47.740542557907361</v>
      </c>
      <c r="AC132" s="11">
        <v>47.879038082548476</v>
      </c>
      <c r="AD132" s="11">
        <v>48.017533607189598</v>
      </c>
      <c r="AE132" s="11">
        <v>48.017533607189598</v>
      </c>
      <c r="AF132" s="11">
        <v>48.017533607189598</v>
      </c>
      <c r="AG132" s="11">
        <v>48.017533607189598</v>
      </c>
      <c r="AH132" s="11">
        <v>48.017533607189598</v>
      </c>
      <c r="AI132" s="11">
        <v>48.017533607189598</v>
      </c>
      <c r="AJ132" s="11">
        <v>48.017533607189598</v>
      </c>
      <c r="AK132" s="11">
        <v>48.017533607189598</v>
      </c>
      <c r="AL132" s="11">
        <v>48.017533607189598</v>
      </c>
      <c r="AM132" s="11">
        <v>48.017533607189598</v>
      </c>
      <c r="AN132" s="11">
        <v>48.017533607189598</v>
      </c>
      <c r="AO132" s="39">
        <f t="shared" si="36"/>
        <v>48.017533607189598</v>
      </c>
      <c r="AP132" s="39">
        <f t="shared" si="36"/>
        <v>48.017533607189598</v>
      </c>
      <c r="AQ132" s="39">
        <f t="shared" si="36"/>
        <v>48.017533607189598</v>
      </c>
      <c r="AR132" s="39">
        <f t="shared" si="36"/>
        <v>48.017533607189598</v>
      </c>
      <c r="AS132" s="39">
        <f t="shared" si="36"/>
        <v>48.017533607189598</v>
      </c>
      <c r="AT132" s="39">
        <f t="shared" si="36"/>
        <v>48.017533607189598</v>
      </c>
      <c r="AU132" s="39">
        <f t="shared" si="36"/>
        <v>48.017533607189598</v>
      </c>
      <c r="AV132" s="39">
        <f t="shared" si="36"/>
        <v>48.017533607189598</v>
      </c>
      <c r="AW132" s="39">
        <f t="shared" si="36"/>
        <v>48.017533607189598</v>
      </c>
      <c r="AX132" s="39">
        <f t="shared" si="36"/>
        <v>48.017533607189598</v>
      </c>
    </row>
    <row r="133" spans="1:50" x14ac:dyDescent="0.2">
      <c r="A133" s="6" t="s">
        <v>10</v>
      </c>
      <c r="B133" s="11">
        <v>3.5767979458246869E-2</v>
      </c>
      <c r="C133" s="11">
        <v>3.589028600700031E-2</v>
      </c>
      <c r="D133" s="11">
        <v>3.6012592555753738E-2</v>
      </c>
      <c r="E133" s="11">
        <v>3.6134899104507179E-2</v>
      </c>
      <c r="F133" s="11">
        <v>3.6462067414701579E-2</v>
      </c>
      <c r="G133" s="11">
        <v>3.678923572489598E-2</v>
      </c>
      <c r="H133" s="11">
        <v>3.7116404035090388E-2</v>
      </c>
      <c r="I133" s="11">
        <v>3.7443572345284788E-2</v>
      </c>
      <c r="J133" s="11">
        <v>3.7770740655479196E-2</v>
      </c>
      <c r="K133" s="11">
        <v>3.8045536749665688E-2</v>
      </c>
      <c r="L133" s="11">
        <v>3.8320332843852195E-2</v>
      </c>
      <c r="M133" s="11">
        <v>3.8595128938038688E-2</v>
      </c>
      <c r="N133" s="11">
        <v>3.886992503222518E-2</v>
      </c>
      <c r="O133" s="11">
        <v>3.9144721126411687E-2</v>
      </c>
      <c r="P133" s="11">
        <v>3.9366539563438788E-2</v>
      </c>
      <c r="Q133" s="11">
        <v>3.9588358000465895E-2</v>
      </c>
      <c r="R133" s="11">
        <v>3.981017643749301E-2</v>
      </c>
      <c r="S133" s="11">
        <v>4.0031994874520117E-2</v>
      </c>
      <c r="T133" s="11">
        <v>4.0253813311547218E-2</v>
      </c>
      <c r="U133" s="11">
        <v>4.0423816984594935E-2</v>
      </c>
      <c r="V133" s="11">
        <v>4.0593820657642658E-2</v>
      </c>
      <c r="W133" s="11">
        <v>4.0763824330690368E-2</v>
      </c>
      <c r="X133" s="11">
        <v>4.0933828003738092E-2</v>
      </c>
      <c r="Y133" s="11">
        <v>4.1103831676785801E-2</v>
      </c>
      <c r="Z133" s="11">
        <v>4.1224120953036493E-2</v>
      </c>
      <c r="AA133" s="11">
        <v>4.1344410229287178E-2</v>
      </c>
      <c r="AB133" s="11">
        <v>4.1464699505537862E-2</v>
      </c>
      <c r="AC133" s="11">
        <v>4.1584988781788554E-2</v>
      </c>
      <c r="AD133" s="11">
        <v>4.1705278058039232E-2</v>
      </c>
      <c r="AE133" s="11">
        <v>4.1705278058039232E-2</v>
      </c>
      <c r="AF133" s="11">
        <v>4.1705278058039232E-2</v>
      </c>
      <c r="AG133" s="11">
        <v>4.1705278058039232E-2</v>
      </c>
      <c r="AH133" s="11">
        <v>4.1705278058039232E-2</v>
      </c>
      <c r="AI133" s="11">
        <v>4.1705278058039232E-2</v>
      </c>
      <c r="AJ133" s="11">
        <v>4.1705278058039232E-2</v>
      </c>
      <c r="AK133" s="11">
        <v>4.1705278058039232E-2</v>
      </c>
      <c r="AL133" s="11">
        <v>4.1705278058039232E-2</v>
      </c>
      <c r="AM133" s="11">
        <v>4.1705278058039232E-2</v>
      </c>
      <c r="AN133" s="11">
        <v>4.1705278058039232E-2</v>
      </c>
      <c r="AO133" s="39">
        <f t="shared" si="36"/>
        <v>4.1705278058039232E-2</v>
      </c>
      <c r="AP133" s="39">
        <f t="shared" si="36"/>
        <v>4.1705278058039232E-2</v>
      </c>
      <c r="AQ133" s="39">
        <f t="shared" si="36"/>
        <v>4.1705278058039232E-2</v>
      </c>
      <c r="AR133" s="39">
        <f t="shared" si="36"/>
        <v>4.1705278058039232E-2</v>
      </c>
      <c r="AS133" s="39">
        <f t="shared" si="36"/>
        <v>4.1705278058039232E-2</v>
      </c>
      <c r="AT133" s="39">
        <f t="shared" si="36"/>
        <v>4.1705278058039232E-2</v>
      </c>
      <c r="AU133" s="39">
        <f t="shared" si="36"/>
        <v>4.1705278058039232E-2</v>
      </c>
      <c r="AV133" s="39">
        <f t="shared" si="36"/>
        <v>4.1705278058039232E-2</v>
      </c>
      <c r="AW133" s="39">
        <f t="shared" si="36"/>
        <v>4.1705278058039232E-2</v>
      </c>
      <c r="AX133" s="39">
        <f t="shared" si="36"/>
        <v>4.1705278058039232E-2</v>
      </c>
    </row>
    <row r="134" spans="1:50" x14ac:dyDescent="0.2">
      <c r="A134" s="6" t="s">
        <v>44</v>
      </c>
      <c r="B134" s="11">
        <v>65.309760586731954</v>
      </c>
      <c r="C134" s="11">
        <v>65.533083557116711</v>
      </c>
      <c r="D134" s="11">
        <v>65.756406527501454</v>
      </c>
      <c r="E134" s="11">
        <v>65.979729497886197</v>
      </c>
      <c r="F134" s="11">
        <v>66.577115325489487</v>
      </c>
      <c r="G134" s="11">
        <v>67.174501153092777</v>
      </c>
      <c r="H134" s="11">
        <v>67.771886980696053</v>
      </c>
      <c r="I134" s="11">
        <v>68.369272808299343</v>
      </c>
      <c r="J134" s="11">
        <v>68.966658635902633</v>
      </c>
      <c r="K134" s="11">
        <v>69.46841655998216</v>
      </c>
      <c r="L134" s="11">
        <v>69.970174484061701</v>
      </c>
      <c r="M134" s="11">
        <v>70.471932408141228</v>
      </c>
      <c r="N134" s="11">
        <v>70.973690332220741</v>
      </c>
      <c r="O134" s="11">
        <v>71.475448256300282</v>
      </c>
      <c r="P134" s="11">
        <v>71.880472784813961</v>
      </c>
      <c r="Q134" s="11">
        <v>72.285497313327653</v>
      </c>
      <c r="R134" s="11">
        <v>72.690521841841331</v>
      </c>
      <c r="S134" s="11">
        <v>73.095546370355009</v>
      </c>
      <c r="T134" s="11">
        <v>73.500570898868688</v>
      </c>
      <c r="U134" s="11">
        <v>73.810985391210139</v>
      </c>
      <c r="V134" s="11">
        <v>74.121399883551604</v>
      </c>
      <c r="W134" s="11">
        <v>74.431814375893055</v>
      </c>
      <c r="X134" s="11">
        <v>74.74222886823452</v>
      </c>
      <c r="Y134" s="11">
        <v>75.052643360575985</v>
      </c>
      <c r="Z134" s="11">
        <v>75.272282936310319</v>
      </c>
      <c r="AA134" s="11">
        <v>75.491922512044653</v>
      </c>
      <c r="AB134" s="11">
        <v>75.711562087778972</v>
      </c>
      <c r="AC134" s="11">
        <v>75.931201663513306</v>
      </c>
      <c r="AD134" s="11">
        <v>76.15084123924764</v>
      </c>
      <c r="AE134" s="11">
        <v>76.15084123924764</v>
      </c>
      <c r="AF134" s="11">
        <v>76.15084123924764</v>
      </c>
      <c r="AG134" s="11">
        <v>76.15084123924764</v>
      </c>
      <c r="AH134" s="11">
        <v>76.15084123924764</v>
      </c>
      <c r="AI134" s="11">
        <v>76.15084123924764</v>
      </c>
      <c r="AJ134" s="11">
        <v>76.15084123924764</v>
      </c>
      <c r="AK134" s="11">
        <v>76.15084123924764</v>
      </c>
      <c r="AL134" s="11">
        <v>76.15084123924764</v>
      </c>
      <c r="AM134" s="11">
        <v>76.15084123924764</v>
      </c>
      <c r="AN134" s="11">
        <v>76.15084123924764</v>
      </c>
      <c r="AO134" s="39">
        <f t="shared" si="36"/>
        <v>76.15084123924764</v>
      </c>
      <c r="AP134" s="39">
        <f t="shared" si="36"/>
        <v>76.15084123924764</v>
      </c>
      <c r="AQ134" s="39">
        <f t="shared" si="36"/>
        <v>76.15084123924764</v>
      </c>
      <c r="AR134" s="39">
        <f t="shared" si="36"/>
        <v>76.15084123924764</v>
      </c>
      <c r="AS134" s="39">
        <f t="shared" si="36"/>
        <v>76.15084123924764</v>
      </c>
      <c r="AT134" s="39">
        <f t="shared" si="36"/>
        <v>76.15084123924764</v>
      </c>
      <c r="AU134" s="39">
        <f t="shared" si="36"/>
        <v>76.15084123924764</v>
      </c>
      <c r="AV134" s="39">
        <f t="shared" si="36"/>
        <v>76.15084123924764</v>
      </c>
      <c r="AW134" s="39">
        <f t="shared" si="36"/>
        <v>76.15084123924764</v>
      </c>
      <c r="AX134" s="39">
        <f t="shared" si="36"/>
        <v>76.15084123924764</v>
      </c>
    </row>
    <row r="135" spans="1:50" x14ac:dyDescent="0.2">
      <c r="AM135" s="13" t="s">
        <v>187</v>
      </c>
      <c r="AN135" s="13">
        <f>(AN127-AM127)/AM127</f>
        <v>0</v>
      </c>
    </row>
    <row r="136" spans="1:50" x14ac:dyDescent="0.2">
      <c r="A136" s="5" t="s">
        <v>3</v>
      </c>
      <c r="AM136" s="13" t="s">
        <v>187</v>
      </c>
      <c r="AN136" s="13">
        <f t="shared" ref="AN136:AN138" si="37">(AN128-AM128)/AM128</f>
        <v>0</v>
      </c>
    </row>
    <row r="137" spans="1:50" x14ac:dyDescent="0.2">
      <c r="A137" s="5" t="s">
        <v>4</v>
      </c>
      <c r="AM137" s="13" t="s">
        <v>187</v>
      </c>
      <c r="AN137" s="13">
        <f t="shared" si="37"/>
        <v>0</v>
      </c>
    </row>
    <row r="138" spans="1:50" x14ac:dyDescent="0.2">
      <c r="A138" s="5" t="s">
        <v>62</v>
      </c>
      <c r="AM138" s="13" t="s">
        <v>187</v>
      </c>
      <c r="AN138" s="13">
        <f t="shared" si="37"/>
        <v>0</v>
      </c>
    </row>
    <row r="139" spans="1:50" x14ac:dyDescent="0.2">
      <c r="A139" s="5" t="s">
        <v>6</v>
      </c>
    </row>
    <row r="140" spans="1:50" x14ac:dyDescent="0.2">
      <c r="A140" s="5"/>
    </row>
    <row r="141" spans="1:50" x14ac:dyDescent="0.2">
      <c r="A141" s="6" t="s">
        <v>7</v>
      </c>
      <c r="B141" s="6">
        <v>2022</v>
      </c>
      <c r="C141" s="6">
        <v>2023</v>
      </c>
      <c r="D141" s="6">
        <v>2024</v>
      </c>
      <c r="E141" s="6">
        <v>2025</v>
      </c>
      <c r="F141" s="6">
        <v>2026</v>
      </c>
      <c r="G141" s="6">
        <v>2027</v>
      </c>
      <c r="H141" s="6">
        <v>2028</v>
      </c>
      <c r="I141" s="6">
        <v>2029</v>
      </c>
      <c r="J141" s="6">
        <v>2030</v>
      </c>
      <c r="K141" s="6">
        <v>2031</v>
      </c>
      <c r="L141" s="6">
        <v>2032</v>
      </c>
      <c r="M141" s="6">
        <v>2033</v>
      </c>
      <c r="N141" s="6">
        <v>2034</v>
      </c>
      <c r="O141" s="6">
        <v>2035</v>
      </c>
      <c r="P141" s="6">
        <v>2036</v>
      </c>
      <c r="Q141" s="6">
        <v>2037</v>
      </c>
      <c r="R141" s="6">
        <v>2038</v>
      </c>
      <c r="S141" s="6">
        <v>2039</v>
      </c>
      <c r="T141" s="6">
        <v>2040</v>
      </c>
      <c r="U141" s="6">
        <v>2041</v>
      </c>
      <c r="V141" s="6">
        <v>2042</v>
      </c>
      <c r="W141" s="6">
        <v>2043</v>
      </c>
      <c r="X141" s="6">
        <v>2044</v>
      </c>
      <c r="Y141" s="6">
        <v>2045</v>
      </c>
      <c r="Z141" s="6">
        <v>2046</v>
      </c>
      <c r="AA141" s="6">
        <v>2047</v>
      </c>
      <c r="AB141" s="6">
        <v>2048</v>
      </c>
      <c r="AC141" s="6">
        <v>2049</v>
      </c>
      <c r="AD141" s="6">
        <v>2050</v>
      </c>
      <c r="AE141" s="6">
        <v>2051</v>
      </c>
      <c r="AF141" s="6">
        <v>2052</v>
      </c>
      <c r="AG141" s="6">
        <v>2053</v>
      </c>
      <c r="AH141" s="6">
        <v>2054</v>
      </c>
      <c r="AI141" s="6">
        <v>2055</v>
      </c>
      <c r="AJ141" s="6">
        <v>2056</v>
      </c>
      <c r="AK141" s="6">
        <v>2057</v>
      </c>
      <c r="AL141" s="6">
        <v>2058</v>
      </c>
      <c r="AM141" s="6">
        <v>2059</v>
      </c>
      <c r="AN141" s="6">
        <v>2060</v>
      </c>
      <c r="AO141" s="39">
        <f>AN141+1</f>
        <v>2061</v>
      </c>
      <c r="AP141" s="39">
        <f t="shared" ref="AP141:AX141" si="38">AO141+1</f>
        <v>2062</v>
      </c>
      <c r="AQ141" s="39">
        <f t="shared" si="38"/>
        <v>2063</v>
      </c>
      <c r="AR141" s="39">
        <f t="shared" si="38"/>
        <v>2064</v>
      </c>
      <c r="AS141" s="39">
        <f t="shared" si="38"/>
        <v>2065</v>
      </c>
      <c r="AT141" s="39">
        <f t="shared" si="38"/>
        <v>2066</v>
      </c>
      <c r="AU141" s="39">
        <f t="shared" si="38"/>
        <v>2067</v>
      </c>
      <c r="AV141" s="39">
        <f t="shared" si="38"/>
        <v>2068</v>
      </c>
      <c r="AW141" s="39">
        <f>AV141+1</f>
        <v>2069</v>
      </c>
      <c r="AX141" s="39">
        <f t="shared" si="38"/>
        <v>2070</v>
      </c>
    </row>
    <row r="142" spans="1:50" x14ac:dyDescent="0.2">
      <c r="A142" s="6" t="s">
        <v>40</v>
      </c>
      <c r="B142" s="11">
        <v>688.23198160573872</v>
      </c>
      <c r="C142" s="11">
        <v>690.58535128685821</v>
      </c>
      <c r="D142" s="11">
        <v>692.93872096797736</v>
      </c>
      <c r="E142" s="11">
        <v>695.29209064909674</v>
      </c>
      <c r="F142" s="11">
        <v>701.58732168686174</v>
      </c>
      <c r="G142" s="11">
        <v>707.88255272462663</v>
      </c>
      <c r="H142" s="11">
        <v>714.17778376239153</v>
      </c>
      <c r="I142" s="11">
        <v>720.47301480015665</v>
      </c>
      <c r="J142" s="11">
        <v>726.76824583792154</v>
      </c>
      <c r="K142" s="11">
        <v>732.05575336012487</v>
      </c>
      <c r="L142" s="11">
        <v>737.34326088232808</v>
      </c>
      <c r="M142" s="11">
        <v>742.63076840453118</v>
      </c>
      <c r="N142" s="11">
        <v>747.9182759267344</v>
      </c>
      <c r="O142" s="11">
        <v>753.20578344893772</v>
      </c>
      <c r="P142" s="11">
        <v>757.47391781895601</v>
      </c>
      <c r="Q142" s="11">
        <v>761.74205218897453</v>
      </c>
      <c r="R142" s="11">
        <v>766.01018655899281</v>
      </c>
      <c r="S142" s="11">
        <v>770.2783209290111</v>
      </c>
      <c r="T142" s="11">
        <v>774.54645529902939</v>
      </c>
      <c r="U142" s="11">
        <v>777.81759240417296</v>
      </c>
      <c r="V142" s="11">
        <v>781.08872950931652</v>
      </c>
      <c r="W142" s="11">
        <v>784.35986661445997</v>
      </c>
      <c r="X142" s="11">
        <v>787.63100371960388</v>
      </c>
      <c r="Y142" s="11">
        <v>790.90214082474745</v>
      </c>
      <c r="Z142" s="11">
        <v>793.21669502137365</v>
      </c>
      <c r="AA142" s="11">
        <v>795.53124921799997</v>
      </c>
      <c r="AB142" s="11">
        <v>797.84580341462618</v>
      </c>
      <c r="AC142" s="11">
        <v>800.16035761125249</v>
      </c>
      <c r="AD142" s="11">
        <v>802.47491180787893</v>
      </c>
      <c r="AE142" s="11">
        <v>802.47491180787893</v>
      </c>
      <c r="AF142" s="11">
        <v>802.47491180787893</v>
      </c>
      <c r="AG142" s="11">
        <v>802.47491180787893</v>
      </c>
      <c r="AH142" s="11">
        <v>802.47491180787893</v>
      </c>
      <c r="AI142" s="11">
        <v>802.47491180787893</v>
      </c>
      <c r="AJ142" s="11">
        <v>802.47491180787893</v>
      </c>
      <c r="AK142" s="11">
        <v>802.47491180787893</v>
      </c>
      <c r="AL142" s="11">
        <v>802.47491180787893</v>
      </c>
      <c r="AM142" s="11">
        <v>802.47491180787893</v>
      </c>
      <c r="AN142" s="11">
        <v>802.47491180787893</v>
      </c>
      <c r="AO142" s="39">
        <f>(AN142+AN142*$AN$150)</f>
        <v>802.47491180787893</v>
      </c>
      <c r="AP142" s="39">
        <f t="shared" ref="AP142:AX142" si="39">(AO142+AO142*$AN$150)</f>
        <v>802.47491180787893</v>
      </c>
      <c r="AQ142" s="39">
        <f t="shared" si="39"/>
        <v>802.47491180787893</v>
      </c>
      <c r="AR142" s="39">
        <f t="shared" si="39"/>
        <v>802.47491180787893</v>
      </c>
      <c r="AS142" s="39">
        <f t="shared" si="39"/>
        <v>802.47491180787893</v>
      </c>
      <c r="AT142" s="39">
        <f t="shared" si="39"/>
        <v>802.47491180787893</v>
      </c>
      <c r="AU142" s="39">
        <f t="shared" si="39"/>
        <v>802.47491180787893</v>
      </c>
      <c r="AV142" s="39">
        <f t="shared" si="39"/>
        <v>802.47491180787893</v>
      </c>
      <c r="AW142" s="39">
        <f t="shared" si="39"/>
        <v>802.47491180787893</v>
      </c>
      <c r="AX142" s="39">
        <f t="shared" si="39"/>
        <v>802.47491180787893</v>
      </c>
    </row>
    <row r="143" spans="1:50" x14ac:dyDescent="0.2">
      <c r="A143" s="6" t="s">
        <v>41</v>
      </c>
      <c r="B143" s="11">
        <v>420.41568053757089</v>
      </c>
      <c r="C143" s="11">
        <v>421.85326777920983</v>
      </c>
      <c r="D143" s="11">
        <v>423.2908550208486</v>
      </c>
      <c r="E143" s="11">
        <v>424.72844226248753</v>
      </c>
      <c r="F143" s="11">
        <v>428.57396806137342</v>
      </c>
      <c r="G143" s="11">
        <v>432.41949386025919</v>
      </c>
      <c r="H143" s="11">
        <v>436.26501965914503</v>
      </c>
      <c r="I143" s="11">
        <v>440.11054545803097</v>
      </c>
      <c r="J143" s="11">
        <v>443.95607125691686</v>
      </c>
      <c r="K143" s="11">
        <v>447.18601571272097</v>
      </c>
      <c r="L143" s="11">
        <v>450.41596016852515</v>
      </c>
      <c r="M143" s="11">
        <v>453.64590462432938</v>
      </c>
      <c r="N143" s="11">
        <v>456.87584908013349</v>
      </c>
      <c r="O143" s="11">
        <v>460.10579353593778</v>
      </c>
      <c r="P143" s="11">
        <v>462.71304031283194</v>
      </c>
      <c r="Q143" s="11">
        <v>465.32028708972621</v>
      </c>
      <c r="R143" s="11">
        <v>467.92753386662037</v>
      </c>
      <c r="S143" s="11">
        <v>470.53478064351447</v>
      </c>
      <c r="T143" s="11">
        <v>473.14202742040868</v>
      </c>
      <c r="U143" s="11">
        <v>475.14024512744112</v>
      </c>
      <c r="V143" s="11">
        <v>477.13846283447367</v>
      </c>
      <c r="W143" s="11">
        <v>479.136680541506</v>
      </c>
      <c r="X143" s="11">
        <v>481.13489824853866</v>
      </c>
      <c r="Y143" s="11">
        <v>483.13311595557116</v>
      </c>
      <c r="Z143" s="11">
        <v>484.54699224107213</v>
      </c>
      <c r="AA143" s="11">
        <v>485.96086852657322</v>
      </c>
      <c r="AB143" s="11">
        <v>487.3747448120742</v>
      </c>
      <c r="AC143" s="11">
        <v>488.78862109757529</v>
      </c>
      <c r="AD143" s="11">
        <v>490.20249738307626</v>
      </c>
      <c r="AE143" s="11">
        <v>490.20249738307626</v>
      </c>
      <c r="AF143" s="11">
        <v>490.20249738307626</v>
      </c>
      <c r="AG143" s="11">
        <v>490.20249738307626</v>
      </c>
      <c r="AH143" s="11">
        <v>490.20249738307626</v>
      </c>
      <c r="AI143" s="11">
        <v>490.20249738307626</v>
      </c>
      <c r="AJ143" s="11">
        <v>490.20249738307626</v>
      </c>
      <c r="AK143" s="11">
        <v>490.20249738307626</v>
      </c>
      <c r="AL143" s="11">
        <v>490.20249738307626</v>
      </c>
      <c r="AM143" s="11">
        <v>490.20249738307626</v>
      </c>
      <c r="AN143" s="11">
        <v>490.20249738307626</v>
      </c>
      <c r="AO143" s="39">
        <f t="shared" ref="AO143:AX149" si="40">(AN143+AN143*$AN$150)</f>
        <v>490.20249738307626</v>
      </c>
      <c r="AP143" s="39">
        <f t="shared" si="40"/>
        <v>490.20249738307626</v>
      </c>
      <c r="AQ143" s="39">
        <f t="shared" si="40"/>
        <v>490.20249738307626</v>
      </c>
      <c r="AR143" s="39">
        <f t="shared" si="40"/>
        <v>490.20249738307626</v>
      </c>
      <c r="AS143" s="39">
        <f t="shared" si="40"/>
        <v>490.20249738307626</v>
      </c>
      <c r="AT143" s="39">
        <f t="shared" si="40"/>
        <v>490.20249738307626</v>
      </c>
      <c r="AU143" s="39">
        <f t="shared" si="40"/>
        <v>490.20249738307626</v>
      </c>
      <c r="AV143" s="39">
        <f t="shared" si="40"/>
        <v>490.20249738307626</v>
      </c>
      <c r="AW143" s="39">
        <f t="shared" si="40"/>
        <v>490.20249738307626</v>
      </c>
      <c r="AX143" s="39">
        <f t="shared" si="40"/>
        <v>490.20249738307626</v>
      </c>
    </row>
    <row r="144" spans="1:50" x14ac:dyDescent="0.2">
      <c r="A144" s="6" t="s">
        <v>42</v>
      </c>
      <c r="B144" s="11">
        <v>326.45484671979852</v>
      </c>
      <c r="C144" s="11">
        <v>327.57114029385241</v>
      </c>
      <c r="D144" s="11">
        <v>328.68743386790624</v>
      </c>
      <c r="E144" s="11">
        <v>329.80372744196006</v>
      </c>
      <c r="F144" s="11">
        <v>332.78979716616038</v>
      </c>
      <c r="G144" s="11">
        <v>335.77586689036065</v>
      </c>
      <c r="H144" s="11">
        <v>338.76193661456102</v>
      </c>
      <c r="I144" s="11">
        <v>341.74800633876134</v>
      </c>
      <c r="J144" s="11">
        <v>344.73407606296166</v>
      </c>
      <c r="K144" s="11">
        <v>347.24214384217657</v>
      </c>
      <c r="L144" s="11">
        <v>349.75021162139166</v>
      </c>
      <c r="M144" s="11">
        <v>352.25827940060657</v>
      </c>
      <c r="N144" s="11">
        <v>354.76634717982148</v>
      </c>
      <c r="O144" s="11">
        <v>357.27441495903656</v>
      </c>
      <c r="P144" s="11">
        <v>359.29895492344355</v>
      </c>
      <c r="Q144" s="11">
        <v>361.32349488785059</v>
      </c>
      <c r="R144" s="11">
        <v>363.34803485225757</v>
      </c>
      <c r="S144" s="11">
        <v>365.3725748166645</v>
      </c>
      <c r="T144" s="11">
        <v>367.39711478107154</v>
      </c>
      <c r="U144" s="11">
        <v>368.94874067292204</v>
      </c>
      <c r="V144" s="11">
        <v>370.50036656477272</v>
      </c>
      <c r="W144" s="11">
        <v>372.05199245662322</v>
      </c>
      <c r="X144" s="11">
        <v>373.6036183484739</v>
      </c>
      <c r="Y144" s="11">
        <v>375.15524424032446</v>
      </c>
      <c r="Z144" s="11">
        <v>376.25312614014757</v>
      </c>
      <c r="AA144" s="11">
        <v>377.35100803997057</v>
      </c>
      <c r="AB144" s="11">
        <v>378.44888993979362</v>
      </c>
      <c r="AC144" s="11">
        <v>379.54677183961678</v>
      </c>
      <c r="AD144" s="11">
        <v>380.64465373943978</v>
      </c>
      <c r="AE144" s="11">
        <v>380.64465373943978</v>
      </c>
      <c r="AF144" s="11">
        <v>380.64465373943978</v>
      </c>
      <c r="AG144" s="11">
        <v>380.64465373943978</v>
      </c>
      <c r="AH144" s="11">
        <v>380.64465373943978</v>
      </c>
      <c r="AI144" s="11">
        <v>380.64465373943978</v>
      </c>
      <c r="AJ144" s="11">
        <v>380.64465373943978</v>
      </c>
      <c r="AK144" s="11">
        <v>380.64465373943978</v>
      </c>
      <c r="AL144" s="11">
        <v>380.64465373943978</v>
      </c>
      <c r="AM144" s="11">
        <v>380.64465373943978</v>
      </c>
      <c r="AN144" s="11">
        <v>380.64465373943978</v>
      </c>
      <c r="AO144" s="39">
        <f t="shared" si="40"/>
        <v>380.64465373943978</v>
      </c>
      <c r="AP144" s="39">
        <f t="shared" si="40"/>
        <v>380.64465373943978</v>
      </c>
      <c r="AQ144" s="39">
        <f t="shared" si="40"/>
        <v>380.64465373943978</v>
      </c>
      <c r="AR144" s="39">
        <f t="shared" si="40"/>
        <v>380.64465373943978</v>
      </c>
      <c r="AS144" s="39">
        <f t="shared" si="40"/>
        <v>380.64465373943978</v>
      </c>
      <c r="AT144" s="39">
        <f t="shared" si="40"/>
        <v>380.64465373943978</v>
      </c>
      <c r="AU144" s="39">
        <f t="shared" si="40"/>
        <v>380.64465373943978</v>
      </c>
      <c r="AV144" s="39">
        <f t="shared" si="40"/>
        <v>380.64465373943978</v>
      </c>
      <c r="AW144" s="39">
        <f t="shared" si="40"/>
        <v>380.64465373943978</v>
      </c>
      <c r="AX144" s="39">
        <f t="shared" si="40"/>
        <v>380.64465373943978</v>
      </c>
    </row>
    <row r="145" spans="1:50" x14ac:dyDescent="0.2">
      <c r="A145" s="6" t="s">
        <v>43</v>
      </c>
      <c r="B145" s="11">
        <v>22.894173696100953</v>
      </c>
      <c r="C145" s="11">
        <v>22.972459006418816</v>
      </c>
      <c r="D145" s="11">
        <v>23.050744316736676</v>
      </c>
      <c r="E145" s="11">
        <v>23.129029627054539</v>
      </c>
      <c r="F145" s="11">
        <v>23.338441739086036</v>
      </c>
      <c r="G145" s="11">
        <v>23.54785385111753</v>
      </c>
      <c r="H145" s="11">
        <v>23.75726596314902</v>
      </c>
      <c r="I145" s="11">
        <v>23.966678075180514</v>
      </c>
      <c r="J145" s="11">
        <v>24.176090187212008</v>
      </c>
      <c r="K145" s="11">
        <v>24.351980176151965</v>
      </c>
      <c r="L145" s="11">
        <v>24.52787016509193</v>
      </c>
      <c r="M145" s="11">
        <v>24.703760154031887</v>
      </c>
      <c r="N145" s="11">
        <v>24.879650142971848</v>
      </c>
      <c r="O145" s="11">
        <v>25.055540131911808</v>
      </c>
      <c r="P145" s="11">
        <v>25.197520470281898</v>
      </c>
      <c r="Q145" s="11">
        <v>25.339500808651987</v>
      </c>
      <c r="R145" s="11">
        <v>25.481481147022077</v>
      </c>
      <c r="S145" s="11">
        <v>25.623461485392159</v>
      </c>
      <c r="T145" s="11">
        <v>25.765441823762245</v>
      </c>
      <c r="U145" s="11">
        <v>25.874256849902395</v>
      </c>
      <c r="V145" s="11">
        <v>25.983071876042551</v>
      </c>
      <c r="W145" s="11">
        <v>26.091886902182701</v>
      </c>
      <c r="X145" s="11">
        <v>26.200701928322861</v>
      </c>
      <c r="Y145" s="11">
        <v>26.309516954463014</v>
      </c>
      <c r="Z145" s="11">
        <v>26.386511059972278</v>
      </c>
      <c r="AA145" s="11">
        <v>26.463505165481543</v>
      </c>
      <c r="AB145" s="11">
        <v>26.540499270990804</v>
      </c>
      <c r="AC145" s="11">
        <v>26.617493376500068</v>
      </c>
      <c r="AD145" s="11">
        <v>26.694487482009333</v>
      </c>
      <c r="AE145" s="11">
        <v>26.694487482009333</v>
      </c>
      <c r="AF145" s="11">
        <v>26.694487482009333</v>
      </c>
      <c r="AG145" s="11">
        <v>26.694487482009333</v>
      </c>
      <c r="AH145" s="11">
        <v>26.694487482009333</v>
      </c>
      <c r="AI145" s="11">
        <v>26.694487482009333</v>
      </c>
      <c r="AJ145" s="11">
        <v>26.694487482009333</v>
      </c>
      <c r="AK145" s="11">
        <v>26.694487482009333</v>
      </c>
      <c r="AL145" s="11">
        <v>26.694487482009333</v>
      </c>
      <c r="AM145" s="11">
        <v>26.694487482009333</v>
      </c>
      <c r="AN145" s="11">
        <v>26.694487482009333</v>
      </c>
      <c r="AO145" s="39">
        <f t="shared" si="40"/>
        <v>26.694487482009333</v>
      </c>
      <c r="AP145" s="39">
        <f t="shared" si="40"/>
        <v>26.694487482009333</v>
      </c>
      <c r="AQ145" s="39">
        <f t="shared" si="40"/>
        <v>26.694487482009333</v>
      </c>
      <c r="AR145" s="39">
        <f t="shared" si="40"/>
        <v>26.694487482009333</v>
      </c>
      <c r="AS145" s="39">
        <f t="shared" si="40"/>
        <v>26.694487482009333</v>
      </c>
      <c r="AT145" s="39">
        <f t="shared" si="40"/>
        <v>26.694487482009333</v>
      </c>
      <c r="AU145" s="39">
        <f t="shared" si="40"/>
        <v>26.694487482009333</v>
      </c>
      <c r="AV145" s="39">
        <f t="shared" si="40"/>
        <v>26.694487482009333</v>
      </c>
      <c r="AW145" s="39">
        <f t="shared" si="40"/>
        <v>26.694487482009333</v>
      </c>
      <c r="AX145" s="39">
        <f t="shared" si="40"/>
        <v>26.694487482009333</v>
      </c>
    </row>
    <row r="146" spans="1:50" x14ac:dyDescent="0.2">
      <c r="A146" s="6" t="s">
        <v>8</v>
      </c>
      <c r="B146" s="11">
        <v>17.509279233533785</v>
      </c>
      <c r="C146" s="11">
        <v>17.569151206920314</v>
      </c>
      <c r="D146" s="11">
        <v>17.629023180306827</v>
      </c>
      <c r="E146" s="11">
        <v>17.688895153693348</v>
      </c>
      <c r="F146" s="11">
        <v>17.849051846532099</v>
      </c>
      <c r="G146" s="11">
        <v>18.009208539370853</v>
      </c>
      <c r="H146" s="11">
        <v>18.169365232209604</v>
      </c>
      <c r="I146" s="11">
        <v>18.329521925048354</v>
      </c>
      <c r="J146" s="11">
        <v>18.489678617887108</v>
      </c>
      <c r="K146" s="11">
        <v>18.624197861586975</v>
      </c>
      <c r="L146" s="11">
        <v>18.758717105286845</v>
      </c>
      <c r="M146" s="11">
        <v>18.893236348986715</v>
      </c>
      <c r="N146" s="11">
        <v>19.027755592686582</v>
      </c>
      <c r="O146" s="11">
        <v>19.162274836386455</v>
      </c>
      <c r="P146" s="11">
        <v>19.270860253060253</v>
      </c>
      <c r="Q146" s="11">
        <v>19.379445669734061</v>
      </c>
      <c r="R146" s="11">
        <v>19.488031086407858</v>
      </c>
      <c r="S146" s="11">
        <v>19.596616503081655</v>
      </c>
      <c r="T146" s="11">
        <v>19.705201919755453</v>
      </c>
      <c r="U146" s="11">
        <v>19.788422773357023</v>
      </c>
      <c r="V146" s="11">
        <v>19.871643626958601</v>
      </c>
      <c r="W146" s="11">
        <v>19.954864480560172</v>
      </c>
      <c r="X146" s="11">
        <v>20.038085334161757</v>
      </c>
      <c r="Y146" s="11">
        <v>20.121306187763324</v>
      </c>
      <c r="Z146" s="11">
        <v>20.180190658135253</v>
      </c>
      <c r="AA146" s="11">
        <v>20.239075128507181</v>
      </c>
      <c r="AB146" s="11">
        <v>20.29795959887911</v>
      </c>
      <c r="AC146" s="11">
        <v>20.356844069251043</v>
      </c>
      <c r="AD146" s="11">
        <v>20.415728539622972</v>
      </c>
      <c r="AE146" s="11">
        <v>20.415728539622972</v>
      </c>
      <c r="AF146" s="11">
        <v>20.415728539622972</v>
      </c>
      <c r="AG146" s="11">
        <v>20.415728539622972</v>
      </c>
      <c r="AH146" s="11">
        <v>20.415728539622972</v>
      </c>
      <c r="AI146" s="11">
        <v>20.415728539622972</v>
      </c>
      <c r="AJ146" s="11">
        <v>20.415728539622972</v>
      </c>
      <c r="AK146" s="11">
        <v>20.415728539622972</v>
      </c>
      <c r="AL146" s="11">
        <v>20.415728539622972</v>
      </c>
      <c r="AM146" s="11">
        <v>20.415728539622972</v>
      </c>
      <c r="AN146" s="11">
        <v>20.415728539622972</v>
      </c>
      <c r="AO146" s="39">
        <f t="shared" si="40"/>
        <v>20.415728539622972</v>
      </c>
      <c r="AP146" s="39">
        <f t="shared" si="40"/>
        <v>20.415728539622972</v>
      </c>
      <c r="AQ146" s="39">
        <f t="shared" si="40"/>
        <v>20.415728539622972</v>
      </c>
      <c r="AR146" s="39">
        <f t="shared" si="40"/>
        <v>20.415728539622972</v>
      </c>
      <c r="AS146" s="39">
        <f t="shared" si="40"/>
        <v>20.415728539622972</v>
      </c>
      <c r="AT146" s="39">
        <f t="shared" si="40"/>
        <v>20.415728539622972</v>
      </c>
      <c r="AU146" s="39">
        <f t="shared" si="40"/>
        <v>20.415728539622972</v>
      </c>
      <c r="AV146" s="39">
        <f t="shared" si="40"/>
        <v>20.415728539622972</v>
      </c>
      <c r="AW146" s="39">
        <f t="shared" si="40"/>
        <v>20.415728539622972</v>
      </c>
      <c r="AX146" s="39">
        <f t="shared" si="40"/>
        <v>20.415728539622972</v>
      </c>
    </row>
    <row r="147" spans="1:50" x14ac:dyDescent="0.2">
      <c r="A147" s="6" t="s">
        <v>9</v>
      </c>
      <c r="B147" s="11">
        <v>179.49948993370646</v>
      </c>
      <c r="C147" s="11">
        <v>180.11327811658165</v>
      </c>
      <c r="D147" s="11">
        <v>180.72706629945677</v>
      </c>
      <c r="E147" s="11">
        <v>181.34085448233196</v>
      </c>
      <c r="F147" s="11">
        <v>182.98272930142599</v>
      </c>
      <c r="G147" s="11">
        <v>184.62460412052002</v>
      </c>
      <c r="H147" s="11">
        <v>186.26647893961407</v>
      </c>
      <c r="I147" s="11">
        <v>187.90835375870807</v>
      </c>
      <c r="J147" s="11">
        <v>189.55022857780213</v>
      </c>
      <c r="K147" s="11">
        <v>190.92927652765431</v>
      </c>
      <c r="L147" s="11">
        <v>192.30832447750655</v>
      </c>
      <c r="M147" s="11">
        <v>193.68737242735872</v>
      </c>
      <c r="N147" s="11">
        <v>195.06642037721093</v>
      </c>
      <c r="O147" s="11">
        <v>196.44546832706317</v>
      </c>
      <c r="P147" s="11">
        <v>197.55865103705483</v>
      </c>
      <c r="Q147" s="11">
        <v>198.67183374704652</v>
      </c>
      <c r="R147" s="11">
        <v>199.78501645703815</v>
      </c>
      <c r="S147" s="11">
        <v>200.89819916702982</v>
      </c>
      <c r="T147" s="11">
        <v>202.01138187702151</v>
      </c>
      <c r="U147" s="11">
        <v>202.86453525781403</v>
      </c>
      <c r="V147" s="11">
        <v>203.7176886386066</v>
      </c>
      <c r="W147" s="11">
        <v>204.57084201939909</v>
      </c>
      <c r="X147" s="11">
        <v>205.42399540019173</v>
      </c>
      <c r="Y147" s="11">
        <v>206.27714878098428</v>
      </c>
      <c r="Z147" s="11">
        <v>206.88081340108664</v>
      </c>
      <c r="AA147" s="11">
        <v>207.48447802118906</v>
      </c>
      <c r="AB147" s="11">
        <v>208.08814264129143</v>
      </c>
      <c r="AC147" s="11">
        <v>208.69180726139382</v>
      </c>
      <c r="AD147" s="11">
        <v>209.29547188149618</v>
      </c>
      <c r="AE147" s="11">
        <v>209.29547188149618</v>
      </c>
      <c r="AF147" s="11">
        <v>209.29547188149618</v>
      </c>
      <c r="AG147" s="11">
        <v>209.29547188149618</v>
      </c>
      <c r="AH147" s="11">
        <v>209.29547188149618</v>
      </c>
      <c r="AI147" s="11">
        <v>209.29547188149618</v>
      </c>
      <c r="AJ147" s="11">
        <v>209.29547188149618</v>
      </c>
      <c r="AK147" s="11">
        <v>209.29547188149618</v>
      </c>
      <c r="AL147" s="11">
        <v>209.29547188149618</v>
      </c>
      <c r="AM147" s="11">
        <v>209.29547188149618</v>
      </c>
      <c r="AN147" s="11">
        <v>209.29547188149618</v>
      </c>
      <c r="AO147" s="39">
        <f t="shared" si="40"/>
        <v>209.29547188149618</v>
      </c>
      <c r="AP147" s="39">
        <f t="shared" si="40"/>
        <v>209.29547188149618</v>
      </c>
      <c r="AQ147" s="39">
        <f t="shared" si="40"/>
        <v>209.29547188149618</v>
      </c>
      <c r="AR147" s="39">
        <f t="shared" si="40"/>
        <v>209.29547188149618</v>
      </c>
      <c r="AS147" s="39">
        <f t="shared" si="40"/>
        <v>209.29547188149618</v>
      </c>
      <c r="AT147" s="39">
        <f t="shared" si="40"/>
        <v>209.29547188149618</v>
      </c>
      <c r="AU147" s="39">
        <f t="shared" si="40"/>
        <v>209.29547188149618</v>
      </c>
      <c r="AV147" s="39">
        <f t="shared" si="40"/>
        <v>209.29547188149618</v>
      </c>
      <c r="AW147" s="39">
        <f t="shared" si="40"/>
        <v>209.29547188149618</v>
      </c>
      <c r="AX147" s="39">
        <f t="shared" si="40"/>
        <v>209.29547188149618</v>
      </c>
    </row>
    <row r="148" spans="1:50" x14ac:dyDescent="0.2">
      <c r="A148" s="6" t="s">
        <v>10</v>
      </c>
      <c r="B148" s="11">
        <v>0.15590297078150142</v>
      </c>
      <c r="C148" s="11">
        <v>0.15643607202416326</v>
      </c>
      <c r="D148" s="11">
        <v>0.156969173266825</v>
      </c>
      <c r="E148" s="11">
        <v>0.15750227450948684</v>
      </c>
      <c r="F148" s="11">
        <v>0.15892831289011197</v>
      </c>
      <c r="G148" s="11">
        <v>0.16035435127073708</v>
      </c>
      <c r="H148" s="11">
        <v>0.16178038965136221</v>
      </c>
      <c r="I148" s="11">
        <v>0.16320642803198737</v>
      </c>
      <c r="J148" s="11">
        <v>0.1646324664126125</v>
      </c>
      <c r="K148" s="11">
        <v>0.16583022843584441</v>
      </c>
      <c r="L148" s="11">
        <v>0.1670279904590764</v>
      </c>
      <c r="M148" s="11">
        <v>0.16822575248230831</v>
      </c>
      <c r="N148" s="11">
        <v>0.16942351450554022</v>
      </c>
      <c r="O148" s="11">
        <v>0.17062127652877221</v>
      </c>
      <c r="P148" s="11">
        <v>0.17158812324000464</v>
      </c>
      <c r="Q148" s="11">
        <v>0.17255496995123712</v>
      </c>
      <c r="R148" s="11">
        <v>0.17352181666246952</v>
      </c>
      <c r="S148" s="11">
        <v>0.17448866337370195</v>
      </c>
      <c r="T148" s="11">
        <v>0.17545551008493437</v>
      </c>
      <c r="U148" s="11">
        <v>0.17619651022174235</v>
      </c>
      <c r="V148" s="11">
        <v>0.17693751035855038</v>
      </c>
      <c r="W148" s="11">
        <v>0.17767851049535832</v>
      </c>
      <c r="X148" s="11">
        <v>0.17841951063216635</v>
      </c>
      <c r="Y148" s="11">
        <v>0.17916051076897432</v>
      </c>
      <c r="Z148" s="11">
        <v>0.17968481926514002</v>
      </c>
      <c r="AA148" s="11">
        <v>0.18020912776130568</v>
      </c>
      <c r="AB148" s="11">
        <v>0.18073343625747137</v>
      </c>
      <c r="AC148" s="11">
        <v>0.18125774475363707</v>
      </c>
      <c r="AD148" s="11">
        <v>0.18178205324980271</v>
      </c>
      <c r="AE148" s="11">
        <v>0.18178205324980271</v>
      </c>
      <c r="AF148" s="11">
        <v>0.18178205324980271</v>
      </c>
      <c r="AG148" s="11">
        <v>0.18178205324980271</v>
      </c>
      <c r="AH148" s="11">
        <v>0.18178205324980271</v>
      </c>
      <c r="AI148" s="11">
        <v>0.18178205324980271</v>
      </c>
      <c r="AJ148" s="11">
        <v>0.18178205324980271</v>
      </c>
      <c r="AK148" s="11">
        <v>0.18178205324980271</v>
      </c>
      <c r="AL148" s="11">
        <v>0.18178205324980271</v>
      </c>
      <c r="AM148" s="11">
        <v>0.18178205324980271</v>
      </c>
      <c r="AN148" s="11">
        <v>0.18178205324980271</v>
      </c>
      <c r="AO148" s="39">
        <f t="shared" si="40"/>
        <v>0.18178205324980271</v>
      </c>
      <c r="AP148" s="39">
        <f t="shared" si="40"/>
        <v>0.18178205324980271</v>
      </c>
      <c r="AQ148" s="39">
        <f t="shared" si="40"/>
        <v>0.18178205324980271</v>
      </c>
      <c r="AR148" s="39">
        <f t="shared" si="40"/>
        <v>0.18178205324980271</v>
      </c>
      <c r="AS148" s="39">
        <f t="shared" si="40"/>
        <v>0.18178205324980271</v>
      </c>
      <c r="AT148" s="39">
        <f t="shared" si="40"/>
        <v>0.18178205324980271</v>
      </c>
      <c r="AU148" s="39">
        <f t="shared" si="40"/>
        <v>0.18178205324980271</v>
      </c>
      <c r="AV148" s="39">
        <f t="shared" si="40"/>
        <v>0.18178205324980271</v>
      </c>
      <c r="AW148" s="39">
        <f t="shared" si="40"/>
        <v>0.18178205324980271</v>
      </c>
      <c r="AX148" s="39">
        <f t="shared" si="40"/>
        <v>0.18178205324980271</v>
      </c>
    </row>
    <row r="149" spans="1:50" x14ac:dyDescent="0.2">
      <c r="A149" s="6" t="s">
        <v>44</v>
      </c>
      <c r="B149" s="11">
        <v>284.66762312883486</v>
      </c>
      <c r="C149" s="11">
        <v>285.64102769498805</v>
      </c>
      <c r="D149" s="11">
        <v>286.61443226114119</v>
      </c>
      <c r="E149" s="11">
        <v>287.58783682729444</v>
      </c>
      <c r="F149" s="11">
        <v>290.19168045046689</v>
      </c>
      <c r="G149" s="11">
        <v>292.79552407363923</v>
      </c>
      <c r="H149" s="11">
        <v>295.39936769681168</v>
      </c>
      <c r="I149" s="11">
        <v>298.00321131998413</v>
      </c>
      <c r="J149" s="11">
        <v>300.60705494315658</v>
      </c>
      <c r="K149" s="11">
        <v>302.79408233922385</v>
      </c>
      <c r="L149" s="11">
        <v>304.98110973529111</v>
      </c>
      <c r="M149" s="11">
        <v>307.16813713135838</v>
      </c>
      <c r="N149" s="11">
        <v>309.35516452742564</v>
      </c>
      <c r="O149" s="11">
        <v>311.54219192349302</v>
      </c>
      <c r="P149" s="11">
        <v>313.30758455095099</v>
      </c>
      <c r="Q149" s="11">
        <v>315.07297717840908</v>
      </c>
      <c r="R149" s="11">
        <v>316.8383698058671</v>
      </c>
      <c r="S149" s="11">
        <v>318.60376243332513</v>
      </c>
      <c r="T149" s="11">
        <v>320.36915506078316</v>
      </c>
      <c r="U149" s="11">
        <v>321.72216807025876</v>
      </c>
      <c r="V149" s="11">
        <v>323.07518107973448</v>
      </c>
      <c r="W149" s="11">
        <v>324.42819408921002</v>
      </c>
      <c r="X149" s="11">
        <v>325.78120709868574</v>
      </c>
      <c r="Y149" s="11">
        <v>327.1342201081614</v>
      </c>
      <c r="Z149" s="11">
        <v>328.09156975096528</v>
      </c>
      <c r="AA149" s="11">
        <v>329.04891939376921</v>
      </c>
      <c r="AB149" s="11">
        <v>330.00626903657309</v>
      </c>
      <c r="AC149" s="11">
        <v>330.96361867937702</v>
      </c>
      <c r="AD149" s="11">
        <v>331.9209683221809</v>
      </c>
      <c r="AE149" s="11">
        <v>331.9209683221809</v>
      </c>
      <c r="AF149" s="11">
        <v>331.9209683221809</v>
      </c>
      <c r="AG149" s="11">
        <v>331.9209683221809</v>
      </c>
      <c r="AH149" s="11">
        <v>331.9209683221809</v>
      </c>
      <c r="AI149" s="11">
        <v>331.9209683221809</v>
      </c>
      <c r="AJ149" s="11">
        <v>331.9209683221809</v>
      </c>
      <c r="AK149" s="11">
        <v>331.9209683221809</v>
      </c>
      <c r="AL149" s="11">
        <v>331.9209683221809</v>
      </c>
      <c r="AM149" s="11">
        <v>331.9209683221809</v>
      </c>
      <c r="AN149" s="11">
        <v>331.9209683221809</v>
      </c>
      <c r="AO149" s="39">
        <f t="shared" si="40"/>
        <v>331.9209683221809</v>
      </c>
      <c r="AP149" s="39">
        <f t="shared" si="40"/>
        <v>331.9209683221809</v>
      </c>
      <c r="AQ149" s="39">
        <f t="shared" si="40"/>
        <v>331.9209683221809</v>
      </c>
      <c r="AR149" s="39">
        <f t="shared" si="40"/>
        <v>331.9209683221809</v>
      </c>
      <c r="AS149" s="39">
        <f t="shared" si="40"/>
        <v>331.9209683221809</v>
      </c>
      <c r="AT149" s="39">
        <f t="shared" si="40"/>
        <v>331.9209683221809</v>
      </c>
      <c r="AU149" s="39">
        <f t="shared" si="40"/>
        <v>331.9209683221809</v>
      </c>
      <c r="AV149" s="39">
        <f t="shared" si="40"/>
        <v>331.9209683221809</v>
      </c>
      <c r="AW149" s="39">
        <f t="shared" si="40"/>
        <v>331.9209683221809</v>
      </c>
      <c r="AX149" s="39">
        <f t="shared" si="40"/>
        <v>331.9209683221809</v>
      </c>
    </row>
    <row r="150" spans="1:50" x14ac:dyDescent="0.2">
      <c r="AM150" s="13" t="s">
        <v>187</v>
      </c>
      <c r="AN150" s="13">
        <f>(AN142-AM142)/AM142</f>
        <v>0</v>
      </c>
    </row>
    <row r="151" spans="1:50" x14ac:dyDescent="0.2">
      <c r="A151" s="5" t="s">
        <v>3</v>
      </c>
      <c r="AM151" s="13" t="s">
        <v>187</v>
      </c>
      <c r="AN151" s="13">
        <f t="shared" ref="AN151:AN153" si="41">(AN143-AM143)/AM143</f>
        <v>0</v>
      </c>
    </row>
    <row r="152" spans="1:50" x14ac:dyDescent="0.2">
      <c r="A152" s="5" t="s">
        <v>4</v>
      </c>
      <c r="AM152" s="13" t="s">
        <v>187</v>
      </c>
      <c r="AN152" s="13">
        <f t="shared" si="41"/>
        <v>0</v>
      </c>
    </row>
    <row r="153" spans="1:50" x14ac:dyDescent="0.2">
      <c r="A153" s="5" t="s">
        <v>64</v>
      </c>
      <c r="AM153" s="13" t="s">
        <v>187</v>
      </c>
      <c r="AN153" s="13">
        <f t="shared" si="41"/>
        <v>0</v>
      </c>
    </row>
    <row r="154" spans="1:50" x14ac:dyDescent="0.2">
      <c r="A154" s="5" t="s">
        <v>6</v>
      </c>
    </row>
    <row r="155" spans="1:50" x14ac:dyDescent="0.2">
      <c r="A155" s="5"/>
    </row>
    <row r="156" spans="1:50" x14ac:dyDescent="0.2">
      <c r="A156" s="6" t="s">
        <v>7</v>
      </c>
      <c r="B156" s="6">
        <v>2022</v>
      </c>
      <c r="C156" s="6">
        <v>2023</v>
      </c>
      <c r="D156" s="6">
        <v>2024</v>
      </c>
      <c r="E156" s="6">
        <v>2025</v>
      </c>
      <c r="F156" s="6">
        <v>2026</v>
      </c>
      <c r="G156" s="6">
        <v>2027</v>
      </c>
      <c r="H156" s="6">
        <v>2028</v>
      </c>
      <c r="I156" s="6">
        <v>2029</v>
      </c>
      <c r="J156" s="6">
        <v>2030</v>
      </c>
      <c r="K156" s="6">
        <v>2031</v>
      </c>
      <c r="L156" s="6">
        <v>2032</v>
      </c>
      <c r="M156" s="6">
        <v>2033</v>
      </c>
      <c r="N156" s="6">
        <v>2034</v>
      </c>
      <c r="O156" s="6">
        <v>2035</v>
      </c>
      <c r="P156" s="6">
        <v>2036</v>
      </c>
      <c r="Q156" s="6">
        <v>2037</v>
      </c>
      <c r="R156" s="6">
        <v>2038</v>
      </c>
      <c r="S156" s="6">
        <v>2039</v>
      </c>
      <c r="T156" s="6">
        <v>2040</v>
      </c>
      <c r="U156" s="6">
        <v>2041</v>
      </c>
      <c r="V156" s="6">
        <v>2042</v>
      </c>
      <c r="W156" s="6">
        <v>2043</v>
      </c>
      <c r="X156" s="6">
        <v>2044</v>
      </c>
      <c r="Y156" s="6">
        <v>2045</v>
      </c>
      <c r="Z156" s="6">
        <v>2046</v>
      </c>
      <c r="AA156" s="6">
        <v>2047</v>
      </c>
      <c r="AB156" s="6">
        <v>2048</v>
      </c>
      <c r="AC156" s="6">
        <v>2049</v>
      </c>
      <c r="AD156" s="6">
        <v>2050</v>
      </c>
      <c r="AE156" s="6">
        <v>2051</v>
      </c>
      <c r="AF156" s="6">
        <v>2052</v>
      </c>
      <c r="AG156" s="6">
        <v>2053</v>
      </c>
      <c r="AH156" s="6">
        <v>2054</v>
      </c>
      <c r="AI156" s="6">
        <v>2055</v>
      </c>
      <c r="AJ156" s="6">
        <v>2056</v>
      </c>
      <c r="AK156" s="6">
        <v>2057</v>
      </c>
      <c r="AL156" s="6">
        <v>2058</v>
      </c>
      <c r="AM156" s="6">
        <v>2059</v>
      </c>
      <c r="AN156" s="6">
        <v>2060</v>
      </c>
      <c r="AO156" s="39">
        <f>AN156+1</f>
        <v>2061</v>
      </c>
      <c r="AP156" s="39">
        <f t="shared" ref="AP156:AX156" si="42">AO156+1</f>
        <v>2062</v>
      </c>
      <c r="AQ156" s="39">
        <f t="shared" si="42"/>
        <v>2063</v>
      </c>
      <c r="AR156" s="39">
        <f t="shared" si="42"/>
        <v>2064</v>
      </c>
      <c r="AS156" s="39">
        <f t="shared" si="42"/>
        <v>2065</v>
      </c>
      <c r="AT156" s="39">
        <f t="shared" si="42"/>
        <v>2066</v>
      </c>
      <c r="AU156" s="39">
        <f t="shared" si="42"/>
        <v>2067</v>
      </c>
      <c r="AV156" s="39">
        <f t="shared" si="42"/>
        <v>2068</v>
      </c>
      <c r="AW156" s="39">
        <f>AV156+1</f>
        <v>2069</v>
      </c>
      <c r="AX156" s="39">
        <f t="shared" si="42"/>
        <v>2070</v>
      </c>
    </row>
    <row r="157" spans="1:50" x14ac:dyDescent="0.2">
      <c r="A157" s="6" t="s">
        <v>40</v>
      </c>
      <c r="B157" s="11">
        <v>1016.8924107920675</v>
      </c>
      <c r="C157" s="11">
        <v>1020.3696159096429</v>
      </c>
      <c r="D157" s="11">
        <v>1023.8468210272177</v>
      </c>
      <c r="E157" s="11">
        <v>1027.3240261447932</v>
      </c>
      <c r="F157" s="11">
        <v>1036.6255012833794</v>
      </c>
      <c r="G157" s="11">
        <v>1045.9269764219659</v>
      </c>
      <c r="H157" s="11">
        <v>1055.2284515605525</v>
      </c>
      <c r="I157" s="11">
        <v>1064.5299266991387</v>
      </c>
      <c r="J157" s="11">
        <v>1073.831401837725</v>
      </c>
      <c r="K157" s="11">
        <v>1081.6439220562561</v>
      </c>
      <c r="L157" s="11">
        <v>1089.4564422747872</v>
      </c>
      <c r="M157" s="11">
        <v>1097.268962493318</v>
      </c>
      <c r="N157" s="11">
        <v>1105.081482711849</v>
      </c>
      <c r="O157" s="11">
        <v>1112.8940029303799</v>
      </c>
      <c r="P157" s="11">
        <v>1119.2003553887271</v>
      </c>
      <c r="Q157" s="11">
        <v>1125.5067078470743</v>
      </c>
      <c r="R157" s="11">
        <v>1131.813060305421</v>
      </c>
      <c r="S157" s="11">
        <v>1138.1194127637682</v>
      </c>
      <c r="T157" s="11">
        <v>1144.4257652221154</v>
      </c>
      <c r="U157" s="11">
        <v>1149.2590112580228</v>
      </c>
      <c r="V157" s="11">
        <v>1154.0922572939307</v>
      </c>
      <c r="W157" s="11">
        <v>1158.9255033298384</v>
      </c>
      <c r="X157" s="11">
        <v>1163.7587493657461</v>
      </c>
      <c r="Y157" s="11">
        <v>1168.5919954016535</v>
      </c>
      <c r="Z157" s="11">
        <v>1172.0118489682156</v>
      </c>
      <c r="AA157" s="11">
        <v>1175.4317025347771</v>
      </c>
      <c r="AB157" s="11">
        <v>1178.8515561013389</v>
      </c>
      <c r="AC157" s="11">
        <v>1182.2714096679008</v>
      </c>
      <c r="AD157" s="11">
        <v>1185.6912632344624</v>
      </c>
      <c r="AE157" s="11">
        <v>1185.6912632344624</v>
      </c>
      <c r="AF157" s="11">
        <v>1185.6912632344624</v>
      </c>
      <c r="AG157" s="11">
        <v>1185.6912632344624</v>
      </c>
      <c r="AH157" s="11">
        <v>1185.6912632344624</v>
      </c>
      <c r="AI157" s="11">
        <v>1185.6912632344624</v>
      </c>
      <c r="AJ157" s="11">
        <v>1185.6912632344624</v>
      </c>
      <c r="AK157" s="11">
        <v>1185.6912632344624</v>
      </c>
      <c r="AL157" s="11">
        <v>1185.6912632344624</v>
      </c>
      <c r="AM157" s="11">
        <v>1185.6912632344624</v>
      </c>
      <c r="AN157" s="11">
        <v>1185.6912632344624</v>
      </c>
      <c r="AO157" s="39">
        <f>(AN157+AN157*$AN$165)</f>
        <v>1185.6912632344624</v>
      </c>
      <c r="AP157" s="39">
        <f t="shared" ref="AP157:AX157" si="43">(AO157+AO157*$AN$165)</f>
        <v>1185.6912632344624</v>
      </c>
      <c r="AQ157" s="39">
        <f t="shared" si="43"/>
        <v>1185.6912632344624</v>
      </c>
      <c r="AR157" s="39">
        <f t="shared" si="43"/>
        <v>1185.6912632344624</v>
      </c>
      <c r="AS157" s="39">
        <f t="shared" si="43"/>
        <v>1185.6912632344624</v>
      </c>
      <c r="AT157" s="39">
        <f t="shared" si="43"/>
        <v>1185.6912632344624</v>
      </c>
      <c r="AU157" s="39">
        <f t="shared" si="43"/>
        <v>1185.6912632344624</v>
      </c>
      <c r="AV157" s="39">
        <f t="shared" si="43"/>
        <v>1185.6912632344624</v>
      </c>
      <c r="AW157" s="39">
        <f t="shared" si="43"/>
        <v>1185.6912632344624</v>
      </c>
      <c r="AX157" s="39">
        <f t="shared" si="43"/>
        <v>1185.6912632344624</v>
      </c>
    </row>
    <row r="158" spans="1:50" x14ac:dyDescent="0.2">
      <c r="A158" s="6" t="s">
        <v>41</v>
      </c>
      <c r="B158" s="11">
        <v>621.18228496034385</v>
      </c>
      <c r="C158" s="11">
        <v>623.30638205978892</v>
      </c>
      <c r="D158" s="11">
        <v>625.43047915923398</v>
      </c>
      <c r="E158" s="11">
        <v>627.55457625867916</v>
      </c>
      <c r="F158" s="11">
        <v>633.23650634171372</v>
      </c>
      <c r="G158" s="11">
        <v>638.91843642474817</v>
      </c>
      <c r="H158" s="11">
        <v>644.60036650778272</v>
      </c>
      <c r="I158" s="11">
        <v>650.28229659081728</v>
      </c>
      <c r="J158" s="11">
        <v>655.96422667385173</v>
      </c>
      <c r="K158" s="11">
        <v>660.73660879524641</v>
      </c>
      <c r="L158" s="11">
        <v>665.50899091664098</v>
      </c>
      <c r="M158" s="11">
        <v>670.28137303803544</v>
      </c>
      <c r="N158" s="11">
        <v>675.05375515943012</v>
      </c>
      <c r="O158" s="11">
        <v>679.8261372808247</v>
      </c>
      <c r="P158" s="11">
        <v>683.67845674772889</v>
      </c>
      <c r="Q158" s="11">
        <v>687.53077621463319</v>
      </c>
      <c r="R158" s="11">
        <v>691.38309568153704</v>
      </c>
      <c r="S158" s="11">
        <v>695.23541514844123</v>
      </c>
      <c r="T158" s="11">
        <v>699.0877346153452</v>
      </c>
      <c r="U158" s="11">
        <v>702.04018738664888</v>
      </c>
      <c r="V158" s="11">
        <v>704.99264015795256</v>
      </c>
      <c r="W158" s="11">
        <v>707.94509292925613</v>
      </c>
      <c r="X158" s="11">
        <v>710.8975457005597</v>
      </c>
      <c r="Y158" s="11">
        <v>713.84999847186327</v>
      </c>
      <c r="Z158" s="11">
        <v>715.93906161183895</v>
      </c>
      <c r="AA158" s="11">
        <v>718.02812475181452</v>
      </c>
      <c r="AB158" s="11">
        <v>720.11718789179031</v>
      </c>
      <c r="AC158" s="11">
        <v>722.20625103176576</v>
      </c>
      <c r="AD158" s="11">
        <v>724.29531417174132</v>
      </c>
      <c r="AE158" s="11">
        <v>724.29531417174132</v>
      </c>
      <c r="AF158" s="11">
        <v>724.29531417174132</v>
      </c>
      <c r="AG158" s="11">
        <v>724.29531417174132</v>
      </c>
      <c r="AH158" s="11">
        <v>724.29531417174132</v>
      </c>
      <c r="AI158" s="11">
        <v>724.29531417174132</v>
      </c>
      <c r="AJ158" s="11">
        <v>724.29531417174132</v>
      </c>
      <c r="AK158" s="11">
        <v>724.29531417174132</v>
      </c>
      <c r="AL158" s="11">
        <v>724.29531417174132</v>
      </c>
      <c r="AM158" s="11">
        <v>724.29531417174132</v>
      </c>
      <c r="AN158" s="11">
        <v>724.29531417174132</v>
      </c>
      <c r="AO158" s="39">
        <f t="shared" ref="AO158:AX164" si="44">(AN158+AN158*$AN$165)</f>
        <v>724.29531417174132</v>
      </c>
      <c r="AP158" s="39">
        <f t="shared" si="44"/>
        <v>724.29531417174132</v>
      </c>
      <c r="AQ158" s="39">
        <f t="shared" si="44"/>
        <v>724.29531417174132</v>
      </c>
      <c r="AR158" s="39">
        <f t="shared" si="44"/>
        <v>724.29531417174132</v>
      </c>
      <c r="AS158" s="39">
        <f t="shared" si="44"/>
        <v>724.29531417174132</v>
      </c>
      <c r="AT158" s="39">
        <f t="shared" si="44"/>
        <v>724.29531417174132</v>
      </c>
      <c r="AU158" s="39">
        <f t="shared" si="44"/>
        <v>724.29531417174132</v>
      </c>
      <c r="AV158" s="39">
        <f t="shared" si="44"/>
        <v>724.29531417174132</v>
      </c>
      <c r="AW158" s="39">
        <f t="shared" si="44"/>
        <v>724.29531417174132</v>
      </c>
      <c r="AX158" s="39">
        <f t="shared" si="44"/>
        <v>724.29531417174132</v>
      </c>
    </row>
    <row r="159" spans="1:50" x14ac:dyDescent="0.2">
      <c r="A159" s="6" t="s">
        <v>42</v>
      </c>
      <c r="B159" s="11">
        <v>482.3511039419019</v>
      </c>
      <c r="C159" s="11">
        <v>484.00047580198731</v>
      </c>
      <c r="D159" s="11">
        <v>485.6498476620726</v>
      </c>
      <c r="E159" s="11">
        <v>487.29921952215801</v>
      </c>
      <c r="F159" s="11">
        <v>491.71126621831814</v>
      </c>
      <c r="G159" s="11">
        <v>496.12331291447794</v>
      </c>
      <c r="H159" s="11">
        <v>500.53535961063812</v>
      </c>
      <c r="I159" s="11">
        <v>504.94740630679803</v>
      </c>
      <c r="J159" s="11">
        <v>509.35945300295805</v>
      </c>
      <c r="K159" s="11">
        <v>513.06523122687224</v>
      </c>
      <c r="L159" s="11">
        <v>516.77100945078644</v>
      </c>
      <c r="M159" s="11">
        <v>520.47678767470052</v>
      </c>
      <c r="N159" s="11">
        <v>524.1825658986146</v>
      </c>
      <c r="O159" s="11">
        <v>527.88834412252879</v>
      </c>
      <c r="P159" s="11">
        <v>530.87968916340799</v>
      </c>
      <c r="Q159" s="11">
        <v>533.87103420428718</v>
      </c>
      <c r="R159" s="11">
        <v>536.86237924516604</v>
      </c>
      <c r="S159" s="11">
        <v>539.85372428604535</v>
      </c>
      <c r="T159" s="11">
        <v>542.84506932692443</v>
      </c>
      <c r="U159" s="11">
        <v>545.1376634463229</v>
      </c>
      <c r="V159" s="11">
        <v>547.43025756572149</v>
      </c>
      <c r="W159" s="11">
        <v>549.72285168511996</v>
      </c>
      <c r="X159" s="11">
        <v>552.01544580451855</v>
      </c>
      <c r="Y159" s="11">
        <v>554.30803992391691</v>
      </c>
      <c r="Z159" s="11">
        <v>555.93020774191245</v>
      </c>
      <c r="AA159" s="11">
        <v>557.55237555990789</v>
      </c>
      <c r="AB159" s="11">
        <v>559.17454337790355</v>
      </c>
      <c r="AC159" s="11">
        <v>560.79671119589898</v>
      </c>
      <c r="AD159" s="11">
        <v>562.41887901389453</v>
      </c>
      <c r="AE159" s="11">
        <v>562.41887901389453</v>
      </c>
      <c r="AF159" s="11">
        <v>562.41887901389453</v>
      </c>
      <c r="AG159" s="11">
        <v>562.41887901389453</v>
      </c>
      <c r="AH159" s="11">
        <v>562.41887901389453</v>
      </c>
      <c r="AI159" s="11">
        <v>562.41887901389453</v>
      </c>
      <c r="AJ159" s="11">
        <v>562.41887901389453</v>
      </c>
      <c r="AK159" s="11">
        <v>562.41887901389453</v>
      </c>
      <c r="AL159" s="11">
        <v>562.41887901389453</v>
      </c>
      <c r="AM159" s="11">
        <v>562.41887901389453</v>
      </c>
      <c r="AN159" s="11">
        <v>562.41887901389453</v>
      </c>
      <c r="AO159" s="39">
        <f t="shared" si="44"/>
        <v>562.41887901389453</v>
      </c>
      <c r="AP159" s="39">
        <f t="shared" si="44"/>
        <v>562.41887901389453</v>
      </c>
      <c r="AQ159" s="39">
        <f t="shared" si="44"/>
        <v>562.41887901389453</v>
      </c>
      <c r="AR159" s="39">
        <f t="shared" si="44"/>
        <v>562.41887901389453</v>
      </c>
      <c r="AS159" s="39">
        <f t="shared" si="44"/>
        <v>562.41887901389453</v>
      </c>
      <c r="AT159" s="39">
        <f t="shared" si="44"/>
        <v>562.41887901389453</v>
      </c>
      <c r="AU159" s="39">
        <f t="shared" si="44"/>
        <v>562.41887901389453</v>
      </c>
      <c r="AV159" s="39">
        <f t="shared" si="44"/>
        <v>562.41887901389453</v>
      </c>
      <c r="AW159" s="39">
        <f t="shared" si="44"/>
        <v>562.41887901389453</v>
      </c>
      <c r="AX159" s="39">
        <f t="shared" si="44"/>
        <v>562.41887901389453</v>
      </c>
    </row>
    <row r="160" spans="1:50" x14ac:dyDescent="0.2">
      <c r="A160" s="6" t="s">
        <v>43</v>
      </c>
      <c r="B160" s="11">
        <v>33.827128214243842</v>
      </c>
      <c r="C160" s="11">
        <v>33.942798133786091</v>
      </c>
      <c r="D160" s="11">
        <v>34.058468053328333</v>
      </c>
      <c r="E160" s="11">
        <v>34.174137972870582</v>
      </c>
      <c r="F160" s="11">
        <v>34.483553392589855</v>
      </c>
      <c r="G160" s="11">
        <v>34.79296881230912</v>
      </c>
      <c r="H160" s="11">
        <v>35.102384232028385</v>
      </c>
      <c r="I160" s="11">
        <v>35.411799651747657</v>
      </c>
      <c r="J160" s="11">
        <v>35.721215071466922</v>
      </c>
      <c r="K160" s="11">
        <v>35.981100109750145</v>
      </c>
      <c r="L160" s="11">
        <v>36.240985148033374</v>
      </c>
      <c r="M160" s="11">
        <v>36.500870186316597</v>
      </c>
      <c r="N160" s="11">
        <v>36.760755224599819</v>
      </c>
      <c r="O160" s="11">
        <v>37.020640262883049</v>
      </c>
      <c r="P160" s="11">
        <v>37.230422331181266</v>
      </c>
      <c r="Q160" s="11">
        <v>37.440204399479484</v>
      </c>
      <c r="R160" s="11">
        <v>37.649986467777687</v>
      </c>
      <c r="S160" s="11">
        <v>37.859768536075912</v>
      </c>
      <c r="T160" s="11">
        <v>38.069550604374122</v>
      </c>
      <c r="U160" s="11">
        <v>38.230329494660353</v>
      </c>
      <c r="V160" s="11">
        <v>38.391108384946584</v>
      </c>
      <c r="W160" s="11">
        <v>38.551887275232808</v>
      </c>
      <c r="X160" s="11">
        <v>38.712666165519039</v>
      </c>
      <c r="Y160" s="11">
        <v>38.873445055805256</v>
      </c>
      <c r="Z160" s="11">
        <v>38.987207164600939</v>
      </c>
      <c r="AA160" s="11">
        <v>39.100969273396615</v>
      </c>
      <c r="AB160" s="11">
        <v>39.214731382192284</v>
      </c>
      <c r="AC160" s="11">
        <v>39.328493490987967</v>
      </c>
      <c r="AD160" s="11">
        <v>39.44225559978365</v>
      </c>
      <c r="AE160" s="11">
        <v>39.44225559978365</v>
      </c>
      <c r="AF160" s="11">
        <v>39.44225559978365</v>
      </c>
      <c r="AG160" s="11">
        <v>39.44225559978365</v>
      </c>
      <c r="AH160" s="11">
        <v>39.44225559978365</v>
      </c>
      <c r="AI160" s="11">
        <v>39.44225559978365</v>
      </c>
      <c r="AJ160" s="11">
        <v>39.44225559978365</v>
      </c>
      <c r="AK160" s="11">
        <v>39.44225559978365</v>
      </c>
      <c r="AL160" s="11">
        <v>39.44225559978365</v>
      </c>
      <c r="AM160" s="11">
        <v>39.44225559978365</v>
      </c>
      <c r="AN160" s="11">
        <v>39.44225559978365</v>
      </c>
      <c r="AO160" s="39">
        <f t="shared" si="44"/>
        <v>39.44225559978365</v>
      </c>
      <c r="AP160" s="39">
        <f t="shared" si="44"/>
        <v>39.44225559978365</v>
      </c>
      <c r="AQ160" s="39">
        <f t="shared" si="44"/>
        <v>39.44225559978365</v>
      </c>
      <c r="AR160" s="39">
        <f t="shared" si="44"/>
        <v>39.44225559978365</v>
      </c>
      <c r="AS160" s="39">
        <f t="shared" si="44"/>
        <v>39.44225559978365</v>
      </c>
      <c r="AT160" s="39">
        <f t="shared" si="44"/>
        <v>39.44225559978365</v>
      </c>
      <c r="AU160" s="39">
        <f t="shared" si="44"/>
        <v>39.44225559978365</v>
      </c>
      <c r="AV160" s="39">
        <f t="shared" si="44"/>
        <v>39.44225559978365</v>
      </c>
      <c r="AW160" s="39">
        <f t="shared" si="44"/>
        <v>39.44225559978365</v>
      </c>
      <c r="AX160" s="39">
        <f t="shared" si="44"/>
        <v>39.44225559978365</v>
      </c>
    </row>
    <row r="161" spans="1:50" x14ac:dyDescent="0.2">
      <c r="A161" s="6" t="s">
        <v>8</v>
      </c>
      <c r="B161" s="11">
        <v>25.87071459463138</v>
      </c>
      <c r="C161" s="11">
        <v>25.959178015371936</v>
      </c>
      <c r="D161" s="11">
        <v>26.047641436112489</v>
      </c>
      <c r="E161" s="11">
        <v>26.136104856853052</v>
      </c>
      <c r="F161" s="11">
        <v>26.372743272152068</v>
      </c>
      <c r="G161" s="11">
        <v>26.60938168745108</v>
      </c>
      <c r="H161" s="11">
        <v>26.846020102750096</v>
      </c>
      <c r="I161" s="11">
        <v>27.082658518049104</v>
      </c>
      <c r="J161" s="11">
        <v>27.31929693334812</v>
      </c>
      <c r="K161" s="11">
        <v>27.518054912750262</v>
      </c>
      <c r="L161" s="11">
        <v>27.716812892152404</v>
      </c>
      <c r="M161" s="11">
        <v>27.915570871554536</v>
      </c>
      <c r="N161" s="11">
        <v>28.114328850956678</v>
      </c>
      <c r="O161" s="11">
        <v>28.313086830358813</v>
      </c>
      <c r="P161" s="11">
        <v>28.473526462763949</v>
      </c>
      <c r="Q161" s="11">
        <v>28.63396609516909</v>
      </c>
      <c r="R161" s="11">
        <v>28.794405727574212</v>
      </c>
      <c r="S161" s="11">
        <v>28.954845359979348</v>
      </c>
      <c r="T161" s="11">
        <v>29.115284992384485</v>
      </c>
      <c r="U161" s="11">
        <v>29.238247389815697</v>
      </c>
      <c r="V161" s="11">
        <v>29.361209787246917</v>
      </c>
      <c r="W161" s="11">
        <v>29.48417218467813</v>
      </c>
      <c r="X161" s="11">
        <v>29.607134582109346</v>
      </c>
      <c r="Y161" s="11">
        <v>29.730096979540559</v>
      </c>
      <c r="Z161" s="11">
        <v>29.817101322022612</v>
      </c>
      <c r="AA161" s="11">
        <v>29.904105664504662</v>
      </c>
      <c r="AB161" s="11">
        <v>29.991110006986716</v>
      </c>
      <c r="AC161" s="11">
        <v>30.078114349468766</v>
      </c>
      <c r="AD161" s="11">
        <v>30.165118691950816</v>
      </c>
      <c r="AE161" s="11">
        <v>30.165118691950816</v>
      </c>
      <c r="AF161" s="11">
        <v>30.165118691950816</v>
      </c>
      <c r="AG161" s="11">
        <v>30.165118691950816</v>
      </c>
      <c r="AH161" s="11">
        <v>30.165118691950816</v>
      </c>
      <c r="AI161" s="11">
        <v>30.165118691950816</v>
      </c>
      <c r="AJ161" s="11">
        <v>30.165118691950816</v>
      </c>
      <c r="AK161" s="11">
        <v>30.165118691950816</v>
      </c>
      <c r="AL161" s="11">
        <v>30.165118691950816</v>
      </c>
      <c r="AM161" s="11">
        <v>30.165118691950816</v>
      </c>
      <c r="AN161" s="11">
        <v>30.165118691950816</v>
      </c>
      <c r="AO161" s="39">
        <f t="shared" si="44"/>
        <v>30.165118691950816</v>
      </c>
      <c r="AP161" s="39">
        <f t="shared" si="44"/>
        <v>30.165118691950816</v>
      </c>
      <c r="AQ161" s="39">
        <f t="shared" si="44"/>
        <v>30.165118691950816</v>
      </c>
      <c r="AR161" s="39">
        <f t="shared" si="44"/>
        <v>30.165118691950816</v>
      </c>
      <c r="AS161" s="39">
        <f t="shared" si="44"/>
        <v>30.165118691950816</v>
      </c>
      <c r="AT161" s="39">
        <f t="shared" si="44"/>
        <v>30.165118691950816</v>
      </c>
      <c r="AU161" s="39">
        <f t="shared" si="44"/>
        <v>30.165118691950816</v>
      </c>
      <c r="AV161" s="39">
        <f t="shared" si="44"/>
        <v>30.165118691950816</v>
      </c>
      <c r="AW161" s="39">
        <f t="shared" si="44"/>
        <v>30.165118691950816</v>
      </c>
      <c r="AX161" s="39">
        <f t="shared" si="44"/>
        <v>30.165118691950816</v>
      </c>
    </row>
    <row r="162" spans="1:50" x14ac:dyDescent="0.2">
      <c r="A162" s="6" t="s">
        <v>9</v>
      </c>
      <c r="B162" s="11">
        <v>265.21823154565124</v>
      </c>
      <c r="C162" s="11">
        <v>266.12513003581347</v>
      </c>
      <c r="D162" s="11">
        <v>267.0320285259757</v>
      </c>
      <c r="E162" s="11">
        <v>267.938927016138</v>
      </c>
      <c r="F162" s="11">
        <v>270.36486781463429</v>
      </c>
      <c r="G162" s="11">
        <v>272.79080861313054</v>
      </c>
      <c r="H162" s="11">
        <v>275.21674941162689</v>
      </c>
      <c r="I162" s="11">
        <v>277.64269021012319</v>
      </c>
      <c r="J162" s="11">
        <v>280.06863100861943</v>
      </c>
      <c r="K162" s="11">
        <v>282.10623378181702</v>
      </c>
      <c r="L162" s="11">
        <v>284.14383655501456</v>
      </c>
      <c r="M162" s="11">
        <v>286.18143932821198</v>
      </c>
      <c r="N162" s="11">
        <v>288.21904210140951</v>
      </c>
      <c r="O162" s="11">
        <v>290.25664487460699</v>
      </c>
      <c r="P162" s="11">
        <v>291.90142029898414</v>
      </c>
      <c r="Q162" s="11">
        <v>293.54619572336128</v>
      </c>
      <c r="R162" s="11">
        <v>295.19097114773825</v>
      </c>
      <c r="S162" s="11">
        <v>296.83574657211545</v>
      </c>
      <c r="T162" s="11">
        <v>298.4805219964926</v>
      </c>
      <c r="U162" s="11">
        <v>299.74109288153829</v>
      </c>
      <c r="V162" s="11">
        <v>301.0016637665841</v>
      </c>
      <c r="W162" s="11">
        <v>302.2622346516298</v>
      </c>
      <c r="X162" s="11">
        <v>303.52280553667561</v>
      </c>
      <c r="Y162" s="11">
        <v>304.7833764217213</v>
      </c>
      <c r="Z162" s="11">
        <v>305.67531691163225</v>
      </c>
      <c r="AA162" s="11">
        <v>306.5672574015432</v>
      </c>
      <c r="AB162" s="11">
        <v>307.45919789145415</v>
      </c>
      <c r="AC162" s="11">
        <v>308.3511383813651</v>
      </c>
      <c r="AD162" s="11">
        <v>309.243078871276</v>
      </c>
      <c r="AE162" s="11">
        <v>309.243078871276</v>
      </c>
      <c r="AF162" s="11">
        <v>309.243078871276</v>
      </c>
      <c r="AG162" s="11">
        <v>309.243078871276</v>
      </c>
      <c r="AH162" s="11">
        <v>309.243078871276</v>
      </c>
      <c r="AI162" s="11">
        <v>309.243078871276</v>
      </c>
      <c r="AJ162" s="11">
        <v>309.243078871276</v>
      </c>
      <c r="AK162" s="11">
        <v>309.243078871276</v>
      </c>
      <c r="AL162" s="11">
        <v>309.243078871276</v>
      </c>
      <c r="AM162" s="11">
        <v>309.243078871276</v>
      </c>
      <c r="AN162" s="11">
        <v>309.243078871276</v>
      </c>
      <c r="AO162" s="39">
        <f t="shared" si="44"/>
        <v>309.243078871276</v>
      </c>
      <c r="AP162" s="39">
        <f t="shared" si="44"/>
        <v>309.243078871276</v>
      </c>
      <c r="AQ162" s="39">
        <f t="shared" si="44"/>
        <v>309.243078871276</v>
      </c>
      <c r="AR162" s="39">
        <f t="shared" si="44"/>
        <v>309.243078871276</v>
      </c>
      <c r="AS162" s="39">
        <f t="shared" si="44"/>
        <v>309.243078871276</v>
      </c>
      <c r="AT162" s="39">
        <f t="shared" si="44"/>
        <v>309.243078871276</v>
      </c>
      <c r="AU162" s="39">
        <f t="shared" si="44"/>
        <v>309.243078871276</v>
      </c>
      <c r="AV162" s="39">
        <f t="shared" si="44"/>
        <v>309.243078871276</v>
      </c>
      <c r="AW162" s="39">
        <f t="shared" si="44"/>
        <v>309.243078871276</v>
      </c>
      <c r="AX162" s="39">
        <f t="shared" si="44"/>
        <v>309.243078871276</v>
      </c>
    </row>
    <row r="163" spans="1:50" x14ac:dyDescent="0.2">
      <c r="A163" s="6" t="s">
        <v>10</v>
      </c>
      <c r="B163" s="11">
        <v>0.23035335765385231</v>
      </c>
      <c r="C163" s="11">
        <v>0.23114103771280831</v>
      </c>
      <c r="D163" s="11">
        <v>0.23192871777176427</v>
      </c>
      <c r="E163" s="11">
        <v>0.23271639783072032</v>
      </c>
      <c r="F163" s="11">
        <v>0.23482343099034267</v>
      </c>
      <c r="G163" s="11">
        <v>0.23693046414996499</v>
      </c>
      <c r="H163" s="11">
        <v>0.2390374973095874</v>
      </c>
      <c r="I163" s="11">
        <v>0.24114453046920975</v>
      </c>
      <c r="J163" s="11">
        <v>0.2432515636288321</v>
      </c>
      <c r="K163" s="11">
        <v>0.24502130863329671</v>
      </c>
      <c r="L163" s="11">
        <v>0.2467910536377613</v>
      </c>
      <c r="M163" s="11">
        <v>0.24856079864222586</v>
      </c>
      <c r="N163" s="11">
        <v>0.25033054364669044</v>
      </c>
      <c r="O163" s="11">
        <v>0.25210028865115502</v>
      </c>
      <c r="P163" s="11">
        <v>0.25352884633131056</v>
      </c>
      <c r="Q163" s="11">
        <v>0.2549574040114661</v>
      </c>
      <c r="R163" s="11">
        <v>0.25638596169162153</v>
      </c>
      <c r="S163" s="11">
        <v>0.25781451937177713</v>
      </c>
      <c r="T163" s="11">
        <v>0.25924307705193267</v>
      </c>
      <c r="U163" s="11">
        <v>0.26033793668597327</v>
      </c>
      <c r="V163" s="11">
        <v>0.26143279632001398</v>
      </c>
      <c r="W163" s="11">
        <v>0.26252765595405458</v>
      </c>
      <c r="X163" s="11">
        <v>0.26362251558809524</v>
      </c>
      <c r="Y163" s="11">
        <v>0.26471737522213584</v>
      </c>
      <c r="Z163" s="11">
        <v>0.26549206361923816</v>
      </c>
      <c r="AA163" s="11">
        <v>0.26626675201634042</v>
      </c>
      <c r="AB163" s="11">
        <v>0.2670414404134428</v>
      </c>
      <c r="AC163" s="11">
        <v>0.26781612881054506</v>
      </c>
      <c r="AD163" s="11">
        <v>0.26859081720764738</v>
      </c>
      <c r="AE163" s="11">
        <v>0.26859081720764738</v>
      </c>
      <c r="AF163" s="11">
        <v>0.26859081720764738</v>
      </c>
      <c r="AG163" s="11">
        <v>0.26859081720764738</v>
      </c>
      <c r="AH163" s="11">
        <v>0.26859081720764738</v>
      </c>
      <c r="AI163" s="11">
        <v>0.26859081720764738</v>
      </c>
      <c r="AJ163" s="11">
        <v>0.26859081720764738</v>
      </c>
      <c r="AK163" s="11">
        <v>0.26859081720764738</v>
      </c>
      <c r="AL163" s="11">
        <v>0.26859081720764738</v>
      </c>
      <c r="AM163" s="11">
        <v>0.26859081720764738</v>
      </c>
      <c r="AN163" s="11">
        <v>0.26859081720764738</v>
      </c>
      <c r="AO163" s="39">
        <f t="shared" si="44"/>
        <v>0.26859081720764738</v>
      </c>
      <c r="AP163" s="39">
        <f t="shared" si="44"/>
        <v>0.26859081720764738</v>
      </c>
      <c r="AQ163" s="39">
        <f t="shared" si="44"/>
        <v>0.26859081720764738</v>
      </c>
      <c r="AR163" s="39">
        <f t="shared" si="44"/>
        <v>0.26859081720764738</v>
      </c>
      <c r="AS163" s="39">
        <f t="shared" si="44"/>
        <v>0.26859081720764738</v>
      </c>
      <c r="AT163" s="39">
        <f t="shared" si="44"/>
        <v>0.26859081720764738</v>
      </c>
      <c r="AU163" s="39">
        <f t="shared" si="44"/>
        <v>0.26859081720764738</v>
      </c>
      <c r="AV163" s="39">
        <f t="shared" si="44"/>
        <v>0.26859081720764738</v>
      </c>
      <c r="AW163" s="39">
        <f t="shared" si="44"/>
        <v>0.26859081720764738</v>
      </c>
      <c r="AX163" s="39">
        <f t="shared" si="44"/>
        <v>0.26859081720764738</v>
      </c>
    </row>
    <row r="164" spans="1:50" x14ac:dyDescent="0.2">
      <c r="A164" s="6" t="s">
        <v>44</v>
      </c>
      <c r="B164" s="11">
        <v>420.60868035010657</v>
      </c>
      <c r="C164" s="11">
        <v>422.04692754350498</v>
      </c>
      <c r="D164" s="11">
        <v>423.4851747369035</v>
      </c>
      <c r="E164" s="11">
        <v>424.92342193030203</v>
      </c>
      <c r="F164" s="11">
        <v>428.7707130909302</v>
      </c>
      <c r="G164" s="11">
        <v>432.61800425155826</v>
      </c>
      <c r="H164" s="11">
        <v>436.46529541218644</v>
      </c>
      <c r="I164" s="11">
        <v>440.31258657281455</v>
      </c>
      <c r="J164" s="11">
        <v>444.15987773344273</v>
      </c>
      <c r="K164" s="11">
        <v>447.39130495666819</v>
      </c>
      <c r="L164" s="11">
        <v>450.6227321798936</v>
      </c>
      <c r="M164" s="11">
        <v>453.85415940311901</v>
      </c>
      <c r="N164" s="11">
        <v>457.08558662634448</v>
      </c>
      <c r="O164" s="11">
        <v>460.31701384956983</v>
      </c>
      <c r="P164" s="11">
        <v>462.92545753267495</v>
      </c>
      <c r="Q164" s="11">
        <v>465.53390121578002</v>
      </c>
      <c r="R164" s="11">
        <v>468.14234489888486</v>
      </c>
      <c r="S164" s="11">
        <v>470.75078858198998</v>
      </c>
      <c r="T164" s="11">
        <v>473.35923226509505</v>
      </c>
      <c r="U164" s="11">
        <v>475.35836729196285</v>
      </c>
      <c r="V164" s="11">
        <v>477.35750231883077</v>
      </c>
      <c r="W164" s="11">
        <v>479.35663734569846</v>
      </c>
      <c r="X164" s="11">
        <v>481.35577237256643</v>
      </c>
      <c r="Y164" s="11">
        <v>483.35490739943424</v>
      </c>
      <c r="Z164" s="11">
        <v>484.76943275172965</v>
      </c>
      <c r="AA164" s="11">
        <v>486.18395810402507</v>
      </c>
      <c r="AB164" s="11">
        <v>487.59848345632048</v>
      </c>
      <c r="AC164" s="11">
        <v>489.01300880861578</v>
      </c>
      <c r="AD164" s="11">
        <v>490.42753416091114</v>
      </c>
      <c r="AE164" s="11">
        <v>490.42753416091114</v>
      </c>
      <c r="AF164" s="11">
        <v>490.42753416091114</v>
      </c>
      <c r="AG164" s="11">
        <v>490.42753416091114</v>
      </c>
      <c r="AH164" s="11">
        <v>490.42753416091114</v>
      </c>
      <c r="AI164" s="11">
        <v>490.42753416091114</v>
      </c>
      <c r="AJ164" s="11">
        <v>490.42753416091114</v>
      </c>
      <c r="AK164" s="11">
        <v>490.42753416091114</v>
      </c>
      <c r="AL164" s="11">
        <v>490.42753416091114</v>
      </c>
      <c r="AM164" s="11">
        <v>490.42753416091114</v>
      </c>
      <c r="AN164" s="11">
        <v>490.42753416091114</v>
      </c>
      <c r="AO164" s="39">
        <f t="shared" si="44"/>
        <v>490.42753416091114</v>
      </c>
      <c r="AP164" s="39">
        <f t="shared" si="44"/>
        <v>490.42753416091114</v>
      </c>
      <c r="AQ164" s="39">
        <f t="shared" si="44"/>
        <v>490.42753416091114</v>
      </c>
      <c r="AR164" s="39">
        <f t="shared" si="44"/>
        <v>490.42753416091114</v>
      </c>
      <c r="AS164" s="39">
        <f t="shared" si="44"/>
        <v>490.42753416091114</v>
      </c>
      <c r="AT164" s="39">
        <f t="shared" si="44"/>
        <v>490.42753416091114</v>
      </c>
      <c r="AU164" s="39">
        <f t="shared" si="44"/>
        <v>490.42753416091114</v>
      </c>
      <c r="AV164" s="39">
        <f t="shared" si="44"/>
        <v>490.42753416091114</v>
      </c>
      <c r="AW164" s="39">
        <f t="shared" si="44"/>
        <v>490.42753416091114</v>
      </c>
      <c r="AX164" s="39">
        <f t="shared" si="44"/>
        <v>490.42753416091114</v>
      </c>
    </row>
    <row r="165" spans="1:50" x14ac:dyDescent="0.2">
      <c r="AM165" s="13" t="s">
        <v>187</v>
      </c>
      <c r="AN165" s="13">
        <f>(AN157-AM157)/AM157</f>
        <v>0</v>
      </c>
    </row>
    <row r="166" spans="1:50" x14ac:dyDescent="0.2">
      <c r="A166" s="5" t="s">
        <v>66</v>
      </c>
      <c r="AM166" s="13" t="s">
        <v>187</v>
      </c>
      <c r="AN166" s="13">
        <f t="shared" ref="AN166:AN168" si="45">(AN158-AM158)/AM158</f>
        <v>0</v>
      </c>
    </row>
    <row r="167" spans="1:50" x14ac:dyDescent="0.2">
      <c r="A167" s="5" t="s">
        <v>4</v>
      </c>
      <c r="AM167" s="13" t="s">
        <v>187</v>
      </c>
      <c r="AN167" s="13">
        <f t="shared" si="45"/>
        <v>0</v>
      </c>
    </row>
    <row r="168" spans="1:50" x14ac:dyDescent="0.2">
      <c r="A168" s="5" t="s">
        <v>67</v>
      </c>
      <c r="AM168" s="13" t="s">
        <v>187</v>
      </c>
      <c r="AN168" s="13">
        <f t="shared" si="45"/>
        <v>0</v>
      </c>
    </row>
    <row r="169" spans="1:50" x14ac:dyDescent="0.2">
      <c r="A169" s="5" t="s">
        <v>6</v>
      </c>
    </row>
    <row r="170" spans="1:50" x14ac:dyDescent="0.2">
      <c r="A170" s="5"/>
    </row>
    <row r="171" spans="1:50" x14ac:dyDescent="0.2">
      <c r="A171" s="6" t="s">
        <v>7</v>
      </c>
      <c r="B171" s="6">
        <v>2022</v>
      </c>
      <c r="C171" s="6">
        <v>2023</v>
      </c>
      <c r="D171" s="6">
        <v>2024</v>
      </c>
      <c r="E171" s="6">
        <v>2025</v>
      </c>
      <c r="F171" s="6">
        <v>2026</v>
      </c>
      <c r="G171" s="6">
        <v>2027</v>
      </c>
      <c r="H171" s="6">
        <v>2028</v>
      </c>
      <c r="I171" s="6">
        <v>2029</v>
      </c>
      <c r="J171" s="6">
        <v>2030</v>
      </c>
      <c r="K171" s="6">
        <v>2031</v>
      </c>
      <c r="L171" s="6">
        <v>2032</v>
      </c>
      <c r="M171" s="6">
        <v>2033</v>
      </c>
      <c r="N171" s="6">
        <v>2034</v>
      </c>
      <c r="O171" s="6">
        <v>2035</v>
      </c>
      <c r="P171" s="6">
        <v>2036</v>
      </c>
      <c r="Q171" s="6">
        <v>2037</v>
      </c>
      <c r="R171" s="6">
        <v>2038</v>
      </c>
      <c r="S171" s="6">
        <v>2039</v>
      </c>
      <c r="T171" s="6">
        <v>2040</v>
      </c>
      <c r="U171" s="6">
        <v>2041</v>
      </c>
      <c r="V171" s="6">
        <v>2042</v>
      </c>
      <c r="W171" s="6">
        <v>2043</v>
      </c>
      <c r="X171" s="6">
        <v>2044</v>
      </c>
      <c r="Y171" s="6">
        <v>2045</v>
      </c>
      <c r="Z171" s="6">
        <v>2046</v>
      </c>
      <c r="AA171" s="6">
        <v>2047</v>
      </c>
      <c r="AB171" s="6">
        <v>2048</v>
      </c>
      <c r="AC171" s="6">
        <v>2049</v>
      </c>
      <c r="AD171" s="6">
        <v>2050</v>
      </c>
      <c r="AE171" s="6">
        <v>2051</v>
      </c>
      <c r="AF171" s="6">
        <v>2052</v>
      </c>
      <c r="AG171" s="6">
        <v>2053</v>
      </c>
      <c r="AH171" s="6">
        <v>2054</v>
      </c>
      <c r="AI171" s="6">
        <v>2055</v>
      </c>
      <c r="AJ171" s="6">
        <v>2056</v>
      </c>
      <c r="AK171" s="6">
        <v>2057</v>
      </c>
      <c r="AL171" s="6">
        <v>2058</v>
      </c>
      <c r="AM171" s="6">
        <v>2059</v>
      </c>
      <c r="AN171" s="6">
        <v>2060</v>
      </c>
      <c r="AO171" s="39">
        <f>AN171+1</f>
        <v>2061</v>
      </c>
      <c r="AP171" s="39">
        <f t="shared" ref="AP171:AX171" si="46">AO171+1</f>
        <v>2062</v>
      </c>
      <c r="AQ171" s="39">
        <f t="shared" si="46"/>
        <v>2063</v>
      </c>
      <c r="AR171" s="39">
        <f t="shared" si="46"/>
        <v>2064</v>
      </c>
      <c r="AS171" s="39">
        <f t="shared" si="46"/>
        <v>2065</v>
      </c>
      <c r="AT171" s="39">
        <f t="shared" si="46"/>
        <v>2066</v>
      </c>
      <c r="AU171" s="39">
        <f t="shared" si="46"/>
        <v>2067</v>
      </c>
      <c r="AV171" s="39">
        <f t="shared" si="46"/>
        <v>2068</v>
      </c>
      <c r="AW171" s="39">
        <f>AV171+1</f>
        <v>2069</v>
      </c>
      <c r="AX171" s="39">
        <f t="shared" si="46"/>
        <v>2070</v>
      </c>
    </row>
    <row r="172" spans="1:50" x14ac:dyDescent="0.2">
      <c r="A172" s="6" t="s">
        <v>8</v>
      </c>
      <c r="B172" s="11">
        <v>134.21016131437409</v>
      </c>
      <c r="C172" s="11">
        <v>134.21016131437409</v>
      </c>
      <c r="D172" s="11">
        <v>134.21016131437409</v>
      </c>
      <c r="E172" s="11">
        <v>134.21016131437409</v>
      </c>
      <c r="F172" s="11">
        <v>134.21016131437409</v>
      </c>
      <c r="G172" s="11">
        <v>134.21016131437409</v>
      </c>
      <c r="H172" s="11">
        <v>134.21016131437409</v>
      </c>
      <c r="I172" s="11">
        <v>134.21016131437409</v>
      </c>
      <c r="J172" s="11">
        <v>134.21016131437409</v>
      </c>
      <c r="K172" s="11">
        <v>134.21016131437409</v>
      </c>
      <c r="L172" s="11">
        <v>134.21016131437409</v>
      </c>
      <c r="M172" s="11">
        <v>134.21016131437409</v>
      </c>
      <c r="N172" s="11">
        <v>134.21016131437409</v>
      </c>
      <c r="O172" s="11">
        <v>134.21016131437409</v>
      </c>
      <c r="P172" s="11">
        <v>134.21016131437409</v>
      </c>
      <c r="Q172" s="11">
        <v>134.21016131437409</v>
      </c>
      <c r="R172" s="11">
        <v>134.21016131437409</v>
      </c>
      <c r="S172" s="11">
        <v>134.21016131437409</v>
      </c>
      <c r="T172" s="11">
        <v>134.21016131437409</v>
      </c>
      <c r="U172" s="11">
        <v>134.21016131437409</v>
      </c>
      <c r="V172" s="11">
        <v>134.21016131437409</v>
      </c>
      <c r="W172" s="11">
        <v>134.21016131437409</v>
      </c>
      <c r="X172" s="11">
        <v>134.21016131437409</v>
      </c>
      <c r="Y172" s="11">
        <v>134.21016131437409</v>
      </c>
      <c r="Z172" s="11">
        <v>134.21016131437409</v>
      </c>
      <c r="AA172" s="11">
        <v>134.21016131437409</v>
      </c>
      <c r="AB172" s="11">
        <v>134.21016131437409</v>
      </c>
      <c r="AC172" s="11">
        <v>134.21016131437409</v>
      </c>
      <c r="AD172" s="11">
        <v>134.21016131437409</v>
      </c>
      <c r="AE172" s="11">
        <v>134.21016131437409</v>
      </c>
      <c r="AF172" s="11">
        <v>134.21016131437409</v>
      </c>
      <c r="AG172" s="11">
        <v>134.21016131437409</v>
      </c>
      <c r="AH172" s="11">
        <v>134.21016131437409</v>
      </c>
      <c r="AI172" s="11">
        <v>134.21016131437409</v>
      </c>
      <c r="AJ172" s="11">
        <v>134.21016131437409</v>
      </c>
      <c r="AK172" s="11">
        <v>134.21016131437409</v>
      </c>
      <c r="AL172" s="11">
        <v>134.21016131437409</v>
      </c>
      <c r="AM172" s="11">
        <v>134.21016131437409</v>
      </c>
      <c r="AN172" s="11">
        <v>134.21016131437409</v>
      </c>
      <c r="AO172" s="39">
        <f>(AN172+AN172*$AN$175)</f>
        <v>134.21016131437409</v>
      </c>
      <c r="AP172" s="39">
        <f t="shared" ref="AP172:AX172" si="47">(AO172+AO172*$AN$175)</f>
        <v>134.21016131437409</v>
      </c>
      <c r="AQ172" s="39">
        <f t="shared" si="47"/>
        <v>134.21016131437409</v>
      </c>
      <c r="AR172" s="39">
        <f t="shared" si="47"/>
        <v>134.21016131437409</v>
      </c>
      <c r="AS172" s="39">
        <f t="shared" si="47"/>
        <v>134.21016131437409</v>
      </c>
      <c r="AT172" s="39">
        <f t="shared" si="47"/>
        <v>134.21016131437409</v>
      </c>
      <c r="AU172" s="39">
        <f t="shared" si="47"/>
        <v>134.21016131437409</v>
      </c>
      <c r="AV172" s="39">
        <f t="shared" si="47"/>
        <v>134.21016131437409</v>
      </c>
      <c r="AW172" s="39">
        <f t="shared" si="47"/>
        <v>134.21016131437409</v>
      </c>
      <c r="AX172" s="39">
        <f t="shared" si="47"/>
        <v>134.21016131437409</v>
      </c>
    </row>
    <row r="173" spans="1:50" x14ac:dyDescent="0.2">
      <c r="A173" s="6" t="s">
        <v>9</v>
      </c>
      <c r="B173" s="11">
        <v>1377.0514991970265</v>
      </c>
      <c r="C173" s="11">
        <v>1377.0514991970265</v>
      </c>
      <c r="D173" s="11">
        <v>1377.0514991970265</v>
      </c>
      <c r="E173" s="11">
        <v>1377.0514991970265</v>
      </c>
      <c r="F173" s="11">
        <v>1377.0514991970265</v>
      </c>
      <c r="G173" s="11">
        <v>1377.0514991970265</v>
      </c>
      <c r="H173" s="11">
        <v>1377.0514991970265</v>
      </c>
      <c r="I173" s="11">
        <v>1377.0514991970265</v>
      </c>
      <c r="J173" s="11">
        <v>1377.0514991970265</v>
      </c>
      <c r="K173" s="11">
        <v>1377.0514991970265</v>
      </c>
      <c r="L173" s="11">
        <v>1377.0514991970265</v>
      </c>
      <c r="M173" s="11">
        <v>1377.0514991970265</v>
      </c>
      <c r="N173" s="11">
        <v>1377.0514991970265</v>
      </c>
      <c r="O173" s="11">
        <v>1377.0514991970265</v>
      </c>
      <c r="P173" s="11">
        <v>1377.0514991970265</v>
      </c>
      <c r="Q173" s="11">
        <v>1377.0514991970265</v>
      </c>
      <c r="R173" s="11">
        <v>1377.0514991970265</v>
      </c>
      <c r="S173" s="11">
        <v>1377.0514991970265</v>
      </c>
      <c r="T173" s="11">
        <v>1377.0514991970265</v>
      </c>
      <c r="U173" s="11">
        <v>1377.0514991970265</v>
      </c>
      <c r="V173" s="11">
        <v>1377.0514991970265</v>
      </c>
      <c r="W173" s="11">
        <v>1377.0514991970265</v>
      </c>
      <c r="X173" s="11">
        <v>1377.0514991970265</v>
      </c>
      <c r="Y173" s="11">
        <v>1377.0514991970265</v>
      </c>
      <c r="Z173" s="11">
        <v>1377.0514991970265</v>
      </c>
      <c r="AA173" s="11">
        <v>1377.0514991970265</v>
      </c>
      <c r="AB173" s="11">
        <v>1377.0514991970265</v>
      </c>
      <c r="AC173" s="11">
        <v>1377.0514991970265</v>
      </c>
      <c r="AD173" s="11">
        <v>1377.0514991970265</v>
      </c>
      <c r="AE173" s="11">
        <v>1377.0514991970265</v>
      </c>
      <c r="AF173" s="11">
        <v>1377.0514991970265</v>
      </c>
      <c r="AG173" s="11">
        <v>1377.0514991970265</v>
      </c>
      <c r="AH173" s="11">
        <v>1377.0514991970265</v>
      </c>
      <c r="AI173" s="11">
        <v>1377.0514991970265</v>
      </c>
      <c r="AJ173" s="11">
        <v>1377.0514991970265</v>
      </c>
      <c r="AK173" s="11">
        <v>1377.0514991970265</v>
      </c>
      <c r="AL173" s="11">
        <v>1377.0514991970265</v>
      </c>
      <c r="AM173" s="11">
        <v>1377.0514991970265</v>
      </c>
      <c r="AN173" s="11">
        <v>1377.0514991970265</v>
      </c>
      <c r="AO173" s="39">
        <f t="shared" ref="AO173:AX174" si="48">(AN173+AN173*$AN$175)</f>
        <v>1377.0514991970265</v>
      </c>
      <c r="AP173" s="39">
        <f t="shared" si="48"/>
        <v>1377.0514991970265</v>
      </c>
      <c r="AQ173" s="39">
        <f t="shared" si="48"/>
        <v>1377.0514991970265</v>
      </c>
      <c r="AR173" s="39">
        <f t="shared" si="48"/>
        <v>1377.0514991970265</v>
      </c>
      <c r="AS173" s="39">
        <f t="shared" si="48"/>
        <v>1377.0514991970265</v>
      </c>
      <c r="AT173" s="39">
        <f t="shared" si="48"/>
        <v>1377.0514991970265</v>
      </c>
      <c r="AU173" s="39">
        <f t="shared" si="48"/>
        <v>1377.0514991970265</v>
      </c>
      <c r="AV173" s="39">
        <f t="shared" si="48"/>
        <v>1377.0514991970265</v>
      </c>
      <c r="AW173" s="39">
        <f t="shared" si="48"/>
        <v>1377.0514991970265</v>
      </c>
      <c r="AX173" s="39">
        <f t="shared" si="48"/>
        <v>1377.0514991970265</v>
      </c>
    </row>
    <row r="174" spans="1:50" x14ac:dyDescent="0.2">
      <c r="A174" s="6" t="s">
        <v>10</v>
      </c>
      <c r="B174" s="11">
        <v>1.3556581952425419</v>
      </c>
      <c r="C174" s="11">
        <v>1.3556581952425419</v>
      </c>
      <c r="D174" s="11">
        <v>1.3556581952425419</v>
      </c>
      <c r="E174" s="11">
        <v>1.3556581952425419</v>
      </c>
      <c r="F174" s="11">
        <v>1.3556581952425419</v>
      </c>
      <c r="G174" s="11">
        <v>1.3556581952425419</v>
      </c>
      <c r="H174" s="11">
        <v>1.3556581952425419</v>
      </c>
      <c r="I174" s="11">
        <v>1.3556581952425419</v>
      </c>
      <c r="J174" s="11">
        <v>1.3556581952425419</v>
      </c>
      <c r="K174" s="11">
        <v>1.3556581952425419</v>
      </c>
      <c r="L174" s="11">
        <v>1.3556581952425419</v>
      </c>
      <c r="M174" s="11">
        <v>1.3556581952425419</v>
      </c>
      <c r="N174" s="11">
        <v>1.3556581952425419</v>
      </c>
      <c r="O174" s="11">
        <v>1.3556581952425419</v>
      </c>
      <c r="P174" s="11">
        <v>1.3556581952425419</v>
      </c>
      <c r="Q174" s="11">
        <v>1.3556581952425419</v>
      </c>
      <c r="R174" s="11">
        <v>1.3556581952425419</v>
      </c>
      <c r="S174" s="11">
        <v>1.3556581952425419</v>
      </c>
      <c r="T174" s="11">
        <v>1.3556581952425419</v>
      </c>
      <c r="U174" s="11">
        <v>1.3556581952425419</v>
      </c>
      <c r="V174" s="11">
        <v>1.3556581952425419</v>
      </c>
      <c r="W174" s="11">
        <v>1.3556581952425419</v>
      </c>
      <c r="X174" s="11">
        <v>1.3556581952425419</v>
      </c>
      <c r="Y174" s="11">
        <v>1.3556581952425419</v>
      </c>
      <c r="Z174" s="11">
        <v>1.3556581952425419</v>
      </c>
      <c r="AA174" s="11">
        <v>1.3556581952425419</v>
      </c>
      <c r="AB174" s="11">
        <v>1.3556581952425419</v>
      </c>
      <c r="AC174" s="11">
        <v>1.3556581952425419</v>
      </c>
      <c r="AD174" s="11">
        <v>1.3556581952425419</v>
      </c>
      <c r="AE174" s="11">
        <v>1.3556581952425419</v>
      </c>
      <c r="AF174" s="11">
        <v>1.3556581952425419</v>
      </c>
      <c r="AG174" s="11">
        <v>1.3556581952425419</v>
      </c>
      <c r="AH174" s="11">
        <v>1.3556581952425419</v>
      </c>
      <c r="AI174" s="11">
        <v>1.3556581952425419</v>
      </c>
      <c r="AJ174" s="11">
        <v>1.3556581952425419</v>
      </c>
      <c r="AK174" s="11">
        <v>1.3556581952425419</v>
      </c>
      <c r="AL174" s="11">
        <v>1.3556581952425419</v>
      </c>
      <c r="AM174" s="11">
        <v>1.3556581952425419</v>
      </c>
      <c r="AN174" s="11">
        <v>1.3556581952425419</v>
      </c>
      <c r="AO174" s="39">
        <f t="shared" si="48"/>
        <v>1.3556581952425419</v>
      </c>
      <c r="AP174" s="39">
        <f t="shared" si="48"/>
        <v>1.3556581952425419</v>
      </c>
      <c r="AQ174" s="39">
        <f t="shared" si="48"/>
        <v>1.3556581952425419</v>
      </c>
      <c r="AR174" s="39">
        <f t="shared" si="48"/>
        <v>1.3556581952425419</v>
      </c>
      <c r="AS174" s="39">
        <f t="shared" si="48"/>
        <v>1.3556581952425419</v>
      </c>
      <c r="AT174" s="39">
        <f t="shared" si="48"/>
        <v>1.3556581952425419</v>
      </c>
      <c r="AU174" s="39">
        <f t="shared" si="48"/>
        <v>1.3556581952425419</v>
      </c>
      <c r="AV174" s="39">
        <f t="shared" si="48"/>
        <v>1.3556581952425419</v>
      </c>
      <c r="AW174" s="39">
        <f t="shared" si="48"/>
        <v>1.3556581952425419</v>
      </c>
      <c r="AX174" s="39">
        <f t="shared" si="48"/>
        <v>1.3556581952425419</v>
      </c>
    </row>
    <row r="175" spans="1:50" x14ac:dyDescent="0.2">
      <c r="AM175" s="13" t="s">
        <v>187</v>
      </c>
      <c r="AN175" s="13">
        <f>(AN172-AM172)/AM172</f>
        <v>0</v>
      </c>
    </row>
    <row r="176" spans="1:50" x14ac:dyDescent="0.2">
      <c r="A176" s="5" t="s">
        <v>3</v>
      </c>
      <c r="AM176" s="13" t="s">
        <v>187</v>
      </c>
      <c r="AN176" s="13">
        <f t="shared" ref="AN176:AN177" si="49">(AN173-AM173)/AM173</f>
        <v>0</v>
      </c>
    </row>
    <row r="177" spans="1:50" x14ac:dyDescent="0.2">
      <c r="A177" s="5" t="s">
        <v>4</v>
      </c>
      <c r="AM177" s="13" t="s">
        <v>187</v>
      </c>
      <c r="AN177" s="13">
        <f t="shared" si="49"/>
        <v>0</v>
      </c>
    </row>
    <row r="178" spans="1:50" x14ac:dyDescent="0.2">
      <c r="A178" s="5" t="s">
        <v>6</v>
      </c>
    </row>
    <row r="179" spans="1:50" x14ac:dyDescent="0.2">
      <c r="A179" s="5"/>
    </row>
    <row r="180" spans="1:50" x14ac:dyDescent="0.2">
      <c r="A180" s="6" t="s">
        <v>7</v>
      </c>
      <c r="B180" s="6">
        <v>2022</v>
      </c>
      <c r="C180" s="6">
        <v>2023</v>
      </c>
      <c r="D180" s="6">
        <v>2024</v>
      </c>
      <c r="E180" s="6">
        <v>2025</v>
      </c>
      <c r="F180" s="6">
        <v>2026</v>
      </c>
      <c r="G180" s="6">
        <v>2027</v>
      </c>
      <c r="H180" s="6">
        <v>2028</v>
      </c>
      <c r="I180" s="6">
        <v>2029</v>
      </c>
      <c r="J180" s="6">
        <v>2030</v>
      </c>
      <c r="K180" s="6">
        <v>2031</v>
      </c>
      <c r="L180" s="6">
        <v>2032</v>
      </c>
      <c r="M180" s="6">
        <v>2033</v>
      </c>
      <c r="N180" s="6">
        <v>2034</v>
      </c>
      <c r="O180" s="6">
        <v>2035</v>
      </c>
      <c r="P180" s="6">
        <v>2036</v>
      </c>
      <c r="Q180" s="6">
        <v>2037</v>
      </c>
      <c r="R180" s="6">
        <v>2038</v>
      </c>
      <c r="S180" s="6">
        <v>2039</v>
      </c>
      <c r="T180" s="6">
        <v>2040</v>
      </c>
      <c r="U180" s="6">
        <v>2041</v>
      </c>
      <c r="V180" s="6">
        <v>2042</v>
      </c>
      <c r="W180" s="6">
        <v>2043</v>
      </c>
      <c r="X180" s="6">
        <v>2044</v>
      </c>
      <c r="Y180" s="6">
        <v>2045</v>
      </c>
      <c r="Z180" s="6">
        <v>2046</v>
      </c>
      <c r="AA180" s="6">
        <v>2047</v>
      </c>
      <c r="AB180" s="6">
        <v>2048</v>
      </c>
      <c r="AC180" s="6">
        <v>2049</v>
      </c>
      <c r="AD180" s="6">
        <v>2050</v>
      </c>
      <c r="AE180" s="6">
        <v>2051</v>
      </c>
      <c r="AF180" s="6">
        <v>2052</v>
      </c>
      <c r="AG180" s="6">
        <v>2053</v>
      </c>
      <c r="AH180" s="6">
        <v>2054</v>
      </c>
      <c r="AI180" s="6">
        <v>2055</v>
      </c>
      <c r="AJ180" s="6">
        <v>2056</v>
      </c>
      <c r="AK180" s="6">
        <v>2057</v>
      </c>
      <c r="AL180" s="6">
        <v>2058</v>
      </c>
      <c r="AM180" s="6">
        <v>2059</v>
      </c>
      <c r="AN180" s="6">
        <v>2060</v>
      </c>
      <c r="AO180" s="39">
        <f>AN180+1</f>
        <v>2061</v>
      </c>
      <c r="AP180" s="39">
        <f t="shared" ref="AP180:AX180" si="50">AO180+1</f>
        <v>2062</v>
      </c>
      <c r="AQ180" s="39">
        <f t="shared" si="50"/>
        <v>2063</v>
      </c>
      <c r="AR180" s="39">
        <f t="shared" si="50"/>
        <v>2064</v>
      </c>
      <c r="AS180" s="39">
        <f t="shared" si="50"/>
        <v>2065</v>
      </c>
      <c r="AT180" s="39">
        <f t="shared" si="50"/>
        <v>2066</v>
      </c>
      <c r="AU180" s="39">
        <f t="shared" si="50"/>
        <v>2067</v>
      </c>
      <c r="AV180" s="39">
        <f t="shared" si="50"/>
        <v>2068</v>
      </c>
      <c r="AW180" s="39">
        <f>AV180+1</f>
        <v>2069</v>
      </c>
      <c r="AX180" s="39">
        <f t="shared" si="50"/>
        <v>2070</v>
      </c>
    </row>
    <row r="181" spans="1:50" x14ac:dyDescent="0.2">
      <c r="A181" s="6" t="s">
        <v>8</v>
      </c>
      <c r="B181" s="11">
        <v>0.19946428015898612</v>
      </c>
      <c r="C181" s="11">
        <v>0.20943749416693544</v>
      </c>
      <c r="D181" s="11">
        <v>0.21990936887528223</v>
      </c>
      <c r="E181" s="11">
        <v>0.23090483731904632</v>
      </c>
      <c r="F181" s="11">
        <v>0.24245007918499867</v>
      </c>
      <c r="G181" s="11">
        <v>0.25457258314424863</v>
      </c>
      <c r="H181" s="11">
        <v>0.26730121230146109</v>
      </c>
      <c r="I181" s="11">
        <v>0.28066627291653418</v>
      </c>
      <c r="J181" s="11">
        <v>0.29469958656236084</v>
      </c>
      <c r="K181" s="11">
        <v>0.30943456589047891</v>
      </c>
      <c r="L181" s="11">
        <v>0.32490629418500283</v>
      </c>
      <c r="M181" s="11">
        <v>0.341151608894253</v>
      </c>
      <c r="N181" s="11">
        <v>0.35820918933896573</v>
      </c>
      <c r="O181" s="11">
        <v>0.37611964880591398</v>
      </c>
      <c r="P181" s="11">
        <v>0.39492563124620966</v>
      </c>
      <c r="Q181" s="11">
        <v>0.41467191280852017</v>
      </c>
      <c r="R181" s="11">
        <v>0.43540550844894627</v>
      </c>
      <c r="S181" s="11">
        <v>0.4571757838713934</v>
      </c>
      <c r="T181" s="11">
        <v>0.48003457306496311</v>
      </c>
      <c r="U181" s="11">
        <v>0.50403630171821134</v>
      </c>
      <c r="V181" s="11">
        <v>0.52923811680412203</v>
      </c>
      <c r="W181" s="11">
        <v>0.55570002264432805</v>
      </c>
      <c r="X181" s="11">
        <v>0.58348502377654443</v>
      </c>
      <c r="Y181" s="11">
        <v>0.61265927496537176</v>
      </c>
      <c r="Z181" s="11">
        <v>0.64329223871364027</v>
      </c>
      <c r="AA181" s="11">
        <v>0.67545685064932226</v>
      </c>
      <c r="AB181" s="11">
        <v>0.70922969318178852</v>
      </c>
      <c r="AC181" s="11">
        <v>0.7446911778408779</v>
      </c>
      <c r="AD181" s="11">
        <v>0.78192573673292165</v>
      </c>
      <c r="AE181" s="11">
        <v>0.82102202356956799</v>
      </c>
      <c r="AF181" s="11">
        <v>0.86207312474804643</v>
      </c>
      <c r="AG181" s="11">
        <v>0.90517678098544885</v>
      </c>
      <c r="AH181" s="11">
        <v>0.95043562003472115</v>
      </c>
      <c r="AI181" s="11">
        <v>0.99795740103645736</v>
      </c>
      <c r="AJ181" s="11">
        <v>1.0478552710882805</v>
      </c>
      <c r="AK181" s="11">
        <v>1.1002480346426944</v>
      </c>
      <c r="AL181" s="11">
        <v>1.1552604363748291</v>
      </c>
      <c r="AM181" s="11">
        <v>1.2130234581935708</v>
      </c>
      <c r="AN181" s="11">
        <v>1.2736746311032496</v>
      </c>
      <c r="AO181" s="39">
        <f>(AN181+AN181*$AN$184)</f>
        <v>1.3373583626584125</v>
      </c>
      <c r="AP181" s="39">
        <f t="shared" ref="AP181:AX181" si="51">(AO181+AO181*$AN$184)</f>
        <v>1.4042262807913333</v>
      </c>
      <c r="AQ181" s="39">
        <f t="shared" si="51"/>
        <v>1.4744375948309003</v>
      </c>
      <c r="AR181" s="39">
        <f t="shared" si="51"/>
        <v>1.5481594745724456</v>
      </c>
      <c r="AS181" s="39">
        <f t="shared" si="51"/>
        <v>1.6255674483010683</v>
      </c>
      <c r="AT181" s="39">
        <f t="shared" si="51"/>
        <v>1.7068458207161221</v>
      </c>
      <c r="AU181" s="39">
        <f t="shared" si="51"/>
        <v>1.7921881117519285</v>
      </c>
      <c r="AV181" s="39">
        <f t="shared" si="51"/>
        <v>1.8817975173395254</v>
      </c>
      <c r="AW181" s="39">
        <f t="shared" si="51"/>
        <v>1.975887393206502</v>
      </c>
      <c r="AX181" s="39">
        <f t="shared" si="51"/>
        <v>2.0746817628668275</v>
      </c>
    </row>
    <row r="182" spans="1:50" x14ac:dyDescent="0.2">
      <c r="A182" s="6" t="s">
        <v>9</v>
      </c>
      <c r="B182" s="11">
        <v>2.0465856187694342</v>
      </c>
      <c r="C182" s="11">
        <v>2.1489148997079059</v>
      </c>
      <c r="D182" s="11">
        <v>2.2563606446933013</v>
      </c>
      <c r="E182" s="11">
        <v>2.3691786769279668</v>
      </c>
      <c r="F182" s="11">
        <v>2.4876376107743656</v>
      </c>
      <c r="G182" s="11">
        <v>2.6120194913130836</v>
      </c>
      <c r="H182" s="11">
        <v>2.7426204658787379</v>
      </c>
      <c r="I182" s="11">
        <v>2.879751489172675</v>
      </c>
      <c r="J182" s="11">
        <v>3.0237390636313086</v>
      </c>
      <c r="K182" s="11">
        <v>3.1749260168128743</v>
      </c>
      <c r="L182" s="11">
        <v>3.3336723176535177</v>
      </c>
      <c r="M182" s="11">
        <v>3.500355933536194</v>
      </c>
      <c r="N182" s="11">
        <v>3.6753737302130043</v>
      </c>
      <c r="O182" s="11">
        <v>3.8591424167236545</v>
      </c>
      <c r="P182" s="11">
        <v>4.0520995375598376</v>
      </c>
      <c r="Q182" s="11">
        <v>4.2547045144378295</v>
      </c>
      <c r="R182" s="11">
        <v>4.4674397401597217</v>
      </c>
      <c r="S182" s="11">
        <v>4.6908117271677066</v>
      </c>
      <c r="T182" s="11">
        <v>4.9253523135260915</v>
      </c>
      <c r="U182" s="11">
        <v>5.1716199292023974</v>
      </c>
      <c r="V182" s="11">
        <v>5.4302009256625174</v>
      </c>
      <c r="W182" s="11">
        <v>5.7017109719456442</v>
      </c>
      <c r="X182" s="11">
        <v>5.9867965205429252</v>
      </c>
      <c r="Y182" s="11">
        <v>6.2861363465700721</v>
      </c>
      <c r="Z182" s="11">
        <v>6.6004431638985759</v>
      </c>
      <c r="AA182" s="11">
        <v>6.9304653220935037</v>
      </c>
      <c r="AB182" s="11">
        <v>7.2769885881981811</v>
      </c>
      <c r="AC182" s="11">
        <v>7.6408380176080897</v>
      </c>
      <c r="AD182" s="11">
        <v>8.022879918488492</v>
      </c>
      <c r="AE182" s="11">
        <v>8.4240239144129188</v>
      </c>
      <c r="AF182" s="11">
        <v>8.8452251101335655</v>
      </c>
      <c r="AG182" s="11">
        <v>9.2874863656402447</v>
      </c>
      <c r="AH182" s="11">
        <v>9.7518606839222564</v>
      </c>
      <c r="AI182" s="11">
        <v>10.239453718118369</v>
      </c>
      <c r="AJ182" s="11">
        <v>10.75142640402429</v>
      </c>
      <c r="AK182" s="11">
        <v>11.288997724225505</v>
      </c>
      <c r="AL182" s="11">
        <v>11.853447610436779</v>
      </c>
      <c r="AM182" s="11">
        <v>12.446119990958621</v>
      </c>
      <c r="AN182" s="11">
        <v>13.068425990506553</v>
      </c>
      <c r="AO182" s="39">
        <f t="shared" ref="AO182:AX183" si="52">(AN182+AN182*$AN$184)</f>
        <v>13.721847290031883</v>
      </c>
      <c r="AP182" s="39">
        <f t="shared" si="52"/>
        <v>14.407939654533481</v>
      </c>
      <c r="AQ182" s="39">
        <f t="shared" si="52"/>
        <v>15.128336637260158</v>
      </c>
      <c r="AR182" s="39">
        <f t="shared" si="52"/>
        <v>15.88475346912317</v>
      </c>
      <c r="AS182" s="39">
        <f t="shared" si="52"/>
        <v>16.678991142579331</v>
      </c>
      <c r="AT182" s="39">
        <f t="shared" si="52"/>
        <v>17.512940699708302</v>
      </c>
      <c r="AU182" s="39">
        <f t="shared" si="52"/>
        <v>18.388587734693722</v>
      </c>
      <c r="AV182" s="39">
        <f t="shared" si="52"/>
        <v>19.308017121428414</v>
      </c>
      <c r="AW182" s="39">
        <f t="shared" si="52"/>
        <v>20.27341797749984</v>
      </c>
      <c r="AX182" s="39">
        <f t="shared" si="52"/>
        <v>21.287088876374835</v>
      </c>
    </row>
    <row r="183" spans="1:50" x14ac:dyDescent="0.2">
      <c r="A183" s="6" t="s">
        <v>10</v>
      </c>
      <c r="B183" s="11">
        <v>2.0147907086716776E-3</v>
      </c>
      <c r="C183" s="11">
        <v>2.1155302441052616E-3</v>
      </c>
      <c r="D183" s="11">
        <v>2.2213067563105248E-3</v>
      </c>
      <c r="E183" s="11">
        <v>2.3323720941260508E-3</v>
      </c>
      <c r="F183" s="11">
        <v>2.4489906988323538E-3</v>
      </c>
      <c r="G183" s="11">
        <v>2.5714402337739719E-3</v>
      </c>
      <c r="H183" s="11">
        <v>2.7000122454626701E-3</v>
      </c>
      <c r="I183" s="11">
        <v>2.8350128577358039E-3</v>
      </c>
      <c r="J183" s="11">
        <v>2.9767635006225945E-3</v>
      </c>
      <c r="K183" s="11">
        <v>3.1256016756537235E-3</v>
      </c>
      <c r="L183" s="11">
        <v>3.28188175943641E-3</v>
      </c>
      <c r="M183" s="11">
        <v>3.4459758474082308E-3</v>
      </c>
      <c r="N183" s="11">
        <v>3.6182746397786427E-3</v>
      </c>
      <c r="O183" s="11">
        <v>3.7991883717675753E-3</v>
      </c>
      <c r="P183" s="11">
        <v>3.9891477903559536E-3</v>
      </c>
      <c r="Q183" s="11">
        <v>4.1886051798737519E-3</v>
      </c>
      <c r="R183" s="11">
        <v>4.3980354388674396E-3</v>
      </c>
      <c r="S183" s="11">
        <v>4.6179372108108106E-3</v>
      </c>
      <c r="T183" s="11">
        <v>4.8488340713513508E-3</v>
      </c>
      <c r="U183" s="11">
        <v>5.09127577491892E-3</v>
      </c>
      <c r="V183" s="11">
        <v>5.3458395636648663E-3</v>
      </c>
      <c r="W183" s="11">
        <v>5.6131315418481093E-3</v>
      </c>
      <c r="X183" s="11">
        <v>5.8937881189405151E-3</v>
      </c>
      <c r="Y183" s="11">
        <v>6.1884775248875401E-3</v>
      </c>
      <c r="Z183" s="11">
        <v>6.497901401131918E-3</v>
      </c>
      <c r="AA183" s="11">
        <v>6.8227964711885126E-3</v>
      </c>
      <c r="AB183" s="11">
        <v>7.1639362947479397E-3</v>
      </c>
      <c r="AC183" s="11">
        <v>7.5221331094853369E-3</v>
      </c>
      <c r="AD183" s="11">
        <v>7.8982397649596022E-3</v>
      </c>
      <c r="AE183" s="11">
        <v>8.2931517532075835E-3</v>
      </c>
      <c r="AF183" s="11">
        <v>8.7078093408679644E-3</v>
      </c>
      <c r="AG183" s="11">
        <v>9.1431998079113622E-3</v>
      </c>
      <c r="AH183" s="11">
        <v>9.600359798306932E-3</v>
      </c>
      <c r="AI183" s="11">
        <v>1.0080377788222279E-2</v>
      </c>
      <c r="AJ183" s="11">
        <v>1.0584396677633393E-2</v>
      </c>
      <c r="AK183" s="11">
        <v>1.1113616511515063E-2</v>
      </c>
      <c r="AL183" s="11">
        <v>1.1669297337090816E-2</v>
      </c>
      <c r="AM183" s="11">
        <v>1.2252762203945359E-2</v>
      </c>
      <c r="AN183" s="11">
        <v>1.2865400314142628E-2</v>
      </c>
      <c r="AO183" s="39">
        <f t="shared" si="52"/>
        <v>1.3508670329849762E-2</v>
      </c>
      <c r="AP183" s="39">
        <f t="shared" si="52"/>
        <v>1.4184103846342253E-2</v>
      </c>
      <c r="AQ183" s="39">
        <f t="shared" si="52"/>
        <v>1.489330903865937E-2</v>
      </c>
      <c r="AR183" s="39">
        <f t="shared" si="52"/>
        <v>1.563797449059234E-2</v>
      </c>
      <c r="AS183" s="39">
        <f t="shared" si="52"/>
        <v>1.641987321512196E-2</v>
      </c>
      <c r="AT183" s="39">
        <f t="shared" si="52"/>
        <v>1.7240866875878062E-2</v>
      </c>
      <c r="AU183" s="39">
        <f t="shared" si="52"/>
        <v>1.8102910219671968E-2</v>
      </c>
      <c r="AV183" s="39">
        <f t="shared" si="52"/>
        <v>1.900805573065557E-2</v>
      </c>
      <c r="AW183" s="39">
        <f t="shared" si="52"/>
        <v>1.9958458517188353E-2</v>
      </c>
      <c r="AX183" s="39">
        <f t="shared" si="52"/>
        <v>2.0956381443047775E-2</v>
      </c>
    </row>
    <row r="184" spans="1:50" x14ac:dyDescent="0.2">
      <c r="AM184" s="13" t="s">
        <v>187</v>
      </c>
      <c r="AN184" s="13">
        <f>(AN181-AM181)/AM181</f>
        <v>5.0000000000000218E-2</v>
      </c>
    </row>
    <row r="185" spans="1:50" x14ac:dyDescent="0.2">
      <c r="A185" s="5" t="s">
        <v>3</v>
      </c>
      <c r="AM185" s="13" t="s">
        <v>187</v>
      </c>
      <c r="AN185" s="13">
        <f t="shared" ref="AN185:AN186" si="53">(AN182-AM182)/AM182</f>
        <v>5.0000000000000031E-2</v>
      </c>
    </row>
    <row r="186" spans="1:50" x14ac:dyDescent="0.2">
      <c r="A186" s="5" t="s">
        <v>4</v>
      </c>
      <c r="AM186" s="13" t="s">
        <v>187</v>
      </c>
      <c r="AN186" s="13">
        <f t="shared" si="53"/>
        <v>5.0000000000000037E-2</v>
      </c>
    </row>
    <row r="187" spans="1:50" x14ac:dyDescent="0.2">
      <c r="A187" s="5" t="s">
        <v>71</v>
      </c>
    </row>
    <row r="188" spans="1:50" x14ac:dyDescent="0.2">
      <c r="A188" s="5" t="s">
        <v>6</v>
      </c>
    </row>
    <row r="189" spans="1:50" x14ac:dyDescent="0.2">
      <c r="A189" s="5"/>
    </row>
    <row r="190" spans="1:50" x14ac:dyDescent="0.2">
      <c r="A190" s="6" t="s">
        <v>7</v>
      </c>
      <c r="B190" s="6">
        <v>2022</v>
      </c>
      <c r="C190" s="6">
        <v>2023</v>
      </c>
      <c r="D190" s="6">
        <v>2024</v>
      </c>
      <c r="E190" s="6">
        <v>2025</v>
      </c>
      <c r="F190" s="6">
        <v>2026</v>
      </c>
      <c r="G190" s="6">
        <v>2027</v>
      </c>
      <c r="H190" s="6">
        <v>2028</v>
      </c>
      <c r="I190" s="6">
        <v>2029</v>
      </c>
      <c r="J190" s="6">
        <v>2030</v>
      </c>
      <c r="K190" s="6">
        <v>2031</v>
      </c>
      <c r="L190" s="6">
        <v>2032</v>
      </c>
      <c r="M190" s="6">
        <v>2033</v>
      </c>
      <c r="N190" s="6">
        <v>2034</v>
      </c>
      <c r="O190" s="6">
        <v>2035</v>
      </c>
      <c r="P190" s="6">
        <v>2036</v>
      </c>
      <c r="Q190" s="6">
        <v>2037</v>
      </c>
      <c r="R190" s="6">
        <v>2038</v>
      </c>
      <c r="S190" s="6">
        <v>2039</v>
      </c>
      <c r="T190" s="6">
        <v>2040</v>
      </c>
      <c r="U190" s="6">
        <v>2041</v>
      </c>
      <c r="V190" s="6">
        <v>2042</v>
      </c>
      <c r="W190" s="6">
        <v>2043</v>
      </c>
      <c r="X190" s="6">
        <v>2044</v>
      </c>
      <c r="Y190" s="6">
        <v>2045</v>
      </c>
      <c r="Z190" s="6">
        <v>2046</v>
      </c>
      <c r="AA190" s="6">
        <v>2047</v>
      </c>
      <c r="AB190" s="6">
        <v>2048</v>
      </c>
      <c r="AC190" s="6">
        <v>2049</v>
      </c>
      <c r="AD190" s="6">
        <v>2050</v>
      </c>
      <c r="AE190" s="6">
        <v>2051</v>
      </c>
      <c r="AF190" s="6">
        <v>2052</v>
      </c>
      <c r="AG190" s="6">
        <v>2053</v>
      </c>
      <c r="AH190" s="6">
        <v>2054</v>
      </c>
      <c r="AI190" s="6">
        <v>2055</v>
      </c>
      <c r="AJ190" s="6">
        <v>2056</v>
      </c>
      <c r="AK190" s="6">
        <v>2057</v>
      </c>
      <c r="AL190" s="6">
        <v>2058</v>
      </c>
      <c r="AM190" s="6">
        <v>2059</v>
      </c>
      <c r="AN190" s="6">
        <v>2060</v>
      </c>
      <c r="AO190" s="39">
        <f>AN190+1</f>
        <v>2061</v>
      </c>
      <c r="AP190" s="39">
        <f t="shared" ref="AP190:AX190" si="54">AO190+1</f>
        <v>2062</v>
      </c>
      <c r="AQ190" s="39">
        <f t="shared" si="54"/>
        <v>2063</v>
      </c>
      <c r="AR190" s="39">
        <f t="shared" si="54"/>
        <v>2064</v>
      </c>
      <c r="AS190" s="39">
        <f t="shared" si="54"/>
        <v>2065</v>
      </c>
      <c r="AT190" s="39">
        <f t="shared" si="54"/>
        <v>2066</v>
      </c>
      <c r="AU190" s="39">
        <f t="shared" si="54"/>
        <v>2067</v>
      </c>
      <c r="AV190" s="39">
        <f t="shared" si="54"/>
        <v>2068</v>
      </c>
      <c r="AW190" s="39">
        <f>AV190+1</f>
        <v>2069</v>
      </c>
      <c r="AX190" s="39">
        <f t="shared" si="54"/>
        <v>2070</v>
      </c>
    </row>
    <row r="191" spans="1:50" x14ac:dyDescent="0.2">
      <c r="A191" s="6" t="s">
        <v>8</v>
      </c>
      <c r="B191" s="11">
        <v>0.21226829653032014</v>
      </c>
      <c r="C191" s="11">
        <v>0.22288171135683618</v>
      </c>
      <c r="D191" s="11">
        <v>0.23402579692467795</v>
      </c>
      <c r="E191" s="11">
        <v>0.2457270867709119</v>
      </c>
      <c r="F191" s="11">
        <v>0.25801344110945756</v>
      </c>
      <c r="G191" s="11">
        <v>0.27091411316493036</v>
      </c>
      <c r="H191" s="11">
        <v>0.28445981882317695</v>
      </c>
      <c r="I191" s="11">
        <v>0.29868280976433581</v>
      </c>
      <c r="J191" s="11">
        <v>0.3136169502525526</v>
      </c>
      <c r="K191" s="11">
        <v>0.32929779776518026</v>
      </c>
      <c r="L191" s="11">
        <v>0.3457626876534392</v>
      </c>
      <c r="M191" s="11">
        <v>0.36305082203611116</v>
      </c>
      <c r="N191" s="11">
        <v>0.38120336313791681</v>
      </c>
      <c r="O191" s="11">
        <v>0.40026353129481274</v>
      </c>
      <c r="P191" s="11">
        <v>0.42027670785955329</v>
      </c>
      <c r="Q191" s="11">
        <v>0.44129054325253103</v>
      </c>
      <c r="R191" s="11">
        <v>0.46335507041515761</v>
      </c>
      <c r="S191" s="11">
        <v>0.48652282393591545</v>
      </c>
      <c r="T191" s="11">
        <v>0.51084896513271116</v>
      </c>
      <c r="U191" s="11">
        <v>0.53639141338934693</v>
      </c>
      <c r="V191" s="11">
        <v>0.5632109840588142</v>
      </c>
      <c r="W191" s="11">
        <v>0.59137153326175496</v>
      </c>
      <c r="X191" s="11">
        <v>0.62094010992484272</v>
      </c>
      <c r="Y191" s="11">
        <v>0.65198711542108467</v>
      </c>
      <c r="Z191" s="11">
        <v>0.684586471192139</v>
      </c>
      <c r="AA191" s="11">
        <v>0.71881579475174617</v>
      </c>
      <c r="AB191" s="11">
        <v>0.75475658448933336</v>
      </c>
      <c r="AC191" s="11">
        <v>0.79249441371380003</v>
      </c>
      <c r="AD191" s="11">
        <v>0.83211913439948992</v>
      </c>
      <c r="AE191" s="11">
        <v>0.8737250911194645</v>
      </c>
      <c r="AF191" s="11">
        <v>0.91741134567543792</v>
      </c>
      <c r="AG191" s="11">
        <v>0.96328191295920973</v>
      </c>
      <c r="AH191" s="11">
        <v>1.0114460086071704</v>
      </c>
      <c r="AI191" s="11">
        <v>1.062018309037529</v>
      </c>
      <c r="AJ191" s="11">
        <v>1.1151192244894055</v>
      </c>
      <c r="AK191" s="11">
        <v>1.1708751857138757</v>
      </c>
      <c r="AL191" s="11">
        <v>1.2294189449995696</v>
      </c>
      <c r="AM191" s="11">
        <v>1.290889892249548</v>
      </c>
      <c r="AN191" s="11">
        <v>1.3554343868620258</v>
      </c>
      <c r="AO191" s="39">
        <f>(AN191+AN191*$AN$194)</f>
        <v>1.4232061062051276</v>
      </c>
      <c r="AP191" s="39">
        <f t="shared" ref="AP191:AX191" si="55">(AO191+AO191*$AN$194)</f>
        <v>1.4943664115153843</v>
      </c>
      <c r="AQ191" s="39">
        <f t="shared" si="55"/>
        <v>1.5690847320911541</v>
      </c>
      <c r="AR191" s="39">
        <f t="shared" si="55"/>
        <v>1.6475389686957123</v>
      </c>
      <c r="AS191" s="39">
        <f t="shared" si="55"/>
        <v>1.7299159171304983</v>
      </c>
      <c r="AT191" s="39">
        <f t="shared" si="55"/>
        <v>1.8164117129870236</v>
      </c>
      <c r="AU191" s="39">
        <f t="shared" si="55"/>
        <v>1.9072322986363754</v>
      </c>
      <c r="AV191" s="39">
        <f t="shared" si="55"/>
        <v>2.0025939135681949</v>
      </c>
      <c r="AW191" s="39">
        <f t="shared" si="55"/>
        <v>2.1027236092466053</v>
      </c>
      <c r="AX191" s="39">
        <f t="shared" si="55"/>
        <v>2.207859789708936</v>
      </c>
    </row>
    <row r="192" spans="1:50" x14ac:dyDescent="0.2">
      <c r="A192" s="6" t="s">
        <v>9</v>
      </c>
      <c r="B192" s="11">
        <v>2.1779600971771669</v>
      </c>
      <c r="C192" s="11">
        <v>2.2868581020360255</v>
      </c>
      <c r="D192" s="11">
        <v>2.4012010071378262</v>
      </c>
      <c r="E192" s="11">
        <v>2.5212610574947183</v>
      </c>
      <c r="F192" s="11">
        <v>2.6473241103694547</v>
      </c>
      <c r="G192" s="11">
        <v>2.7796903158879269</v>
      </c>
      <c r="H192" s="11">
        <v>2.9186748316823241</v>
      </c>
      <c r="I192" s="11">
        <v>3.0646085732664399</v>
      </c>
      <c r="J192" s="11">
        <v>3.2178390019297622</v>
      </c>
      <c r="K192" s="11">
        <v>3.3787309520262503</v>
      </c>
      <c r="L192" s="11">
        <v>3.5476674996275626</v>
      </c>
      <c r="M192" s="11">
        <v>3.7250508746089408</v>
      </c>
      <c r="N192" s="11">
        <v>3.9113034183393882</v>
      </c>
      <c r="O192" s="11">
        <v>4.1068685892563588</v>
      </c>
      <c r="P192" s="11">
        <v>4.3122120187191761</v>
      </c>
      <c r="Q192" s="11">
        <v>4.5278226196551357</v>
      </c>
      <c r="R192" s="11">
        <v>4.7542137506378923</v>
      </c>
      <c r="S192" s="11">
        <v>4.9919244381697867</v>
      </c>
      <c r="T192" s="11">
        <v>5.241520660078276</v>
      </c>
      <c r="U192" s="11">
        <v>5.5035966930821907</v>
      </c>
      <c r="V192" s="11">
        <v>5.7787765277362997</v>
      </c>
      <c r="W192" s="11">
        <v>6.0677153541231155</v>
      </c>
      <c r="X192" s="11">
        <v>6.3711011218292706</v>
      </c>
      <c r="Y192" s="11">
        <v>6.6896561779207344</v>
      </c>
      <c r="Z192" s="11">
        <v>7.0241389868167712</v>
      </c>
      <c r="AA192" s="11">
        <v>7.3753459361576104</v>
      </c>
      <c r="AB192" s="11">
        <v>7.7441132329654909</v>
      </c>
      <c r="AC192" s="11">
        <v>8.1313188946137647</v>
      </c>
      <c r="AD192" s="11">
        <v>8.5378848393444517</v>
      </c>
      <c r="AE192" s="11">
        <v>8.9647790813116757</v>
      </c>
      <c r="AF192" s="11">
        <v>9.413018035377263</v>
      </c>
      <c r="AG192" s="11">
        <v>9.8836689371461244</v>
      </c>
      <c r="AH192" s="11">
        <v>10.377852384003432</v>
      </c>
      <c r="AI192" s="11">
        <v>10.896745003203604</v>
      </c>
      <c r="AJ192" s="11">
        <v>11.441582253363785</v>
      </c>
      <c r="AK192" s="11">
        <v>12.013661366031975</v>
      </c>
      <c r="AL192" s="11">
        <v>12.614344434333574</v>
      </c>
      <c r="AM192" s="11">
        <v>13.245061656050252</v>
      </c>
      <c r="AN192" s="11">
        <v>13.907314738852767</v>
      </c>
      <c r="AO192" s="39">
        <f t="shared" ref="AO192:AX193" si="56">(AN192+AN192*$AN$194)</f>
        <v>14.60268047579541</v>
      </c>
      <c r="AP192" s="39">
        <f t="shared" si="56"/>
        <v>15.332814499585185</v>
      </c>
      <c r="AQ192" s="39">
        <f t="shared" si="56"/>
        <v>16.099455224564448</v>
      </c>
      <c r="AR192" s="39">
        <f t="shared" si="56"/>
        <v>16.904427985792676</v>
      </c>
      <c r="AS192" s="39">
        <f t="shared" si="56"/>
        <v>17.749649385082314</v>
      </c>
      <c r="AT192" s="39">
        <f t="shared" si="56"/>
        <v>18.637131854336435</v>
      </c>
      <c r="AU192" s="39">
        <f t="shared" si="56"/>
        <v>19.568988447053261</v>
      </c>
      <c r="AV192" s="39">
        <f t="shared" si="56"/>
        <v>20.547437869405929</v>
      </c>
      <c r="AW192" s="39">
        <f t="shared" si="56"/>
        <v>21.574809762876232</v>
      </c>
      <c r="AX192" s="39">
        <f t="shared" si="56"/>
        <v>22.65355025102005</v>
      </c>
    </row>
    <row r="193" spans="1:50" x14ac:dyDescent="0.2">
      <c r="A193" s="6" t="s">
        <v>10</v>
      </c>
      <c r="B193" s="11">
        <v>2.144124207467069E-3</v>
      </c>
      <c r="C193" s="11">
        <v>2.251330417840423E-3</v>
      </c>
      <c r="D193" s="11">
        <v>2.3638969387324441E-3</v>
      </c>
      <c r="E193" s="11">
        <v>2.4820917856690659E-3</v>
      </c>
      <c r="F193" s="11">
        <v>2.6061963749525198E-3</v>
      </c>
      <c r="G193" s="11">
        <v>2.7365061937001459E-3</v>
      </c>
      <c r="H193" s="11">
        <v>2.8733315033851532E-3</v>
      </c>
      <c r="I193" s="11">
        <v>3.0169980785544116E-3</v>
      </c>
      <c r="J193" s="11">
        <v>3.1678479824821322E-3</v>
      </c>
      <c r="K193" s="11">
        <v>3.3262403816062386E-3</v>
      </c>
      <c r="L193" s="11">
        <v>3.4925524006865502E-3</v>
      </c>
      <c r="M193" s="11">
        <v>3.6671800207208776E-3</v>
      </c>
      <c r="N193" s="11">
        <v>3.8505390217569223E-3</v>
      </c>
      <c r="O193" s="11">
        <v>4.0430659728447685E-3</v>
      </c>
      <c r="P193" s="11">
        <v>4.2452192714870071E-3</v>
      </c>
      <c r="Q193" s="11">
        <v>4.4574802350613582E-3</v>
      </c>
      <c r="R193" s="11">
        <v>4.680354246814426E-3</v>
      </c>
      <c r="S193" s="11">
        <v>4.9143719591551475E-3</v>
      </c>
      <c r="T193" s="11">
        <v>5.1600905571129035E-3</v>
      </c>
      <c r="U193" s="11">
        <v>5.4180950849685508E-3</v>
      </c>
      <c r="V193" s="11">
        <v>5.6889998392169773E-3</v>
      </c>
      <c r="W193" s="11">
        <v>5.9734498311778267E-3</v>
      </c>
      <c r="X193" s="11">
        <v>6.2721223227367191E-3</v>
      </c>
      <c r="Y193" s="11">
        <v>6.5857284388735537E-3</v>
      </c>
      <c r="Z193" s="11">
        <v>6.9150148608172306E-3</v>
      </c>
      <c r="AA193" s="11">
        <v>7.2607656038580944E-3</v>
      </c>
      <c r="AB193" s="11">
        <v>7.6238038840509992E-3</v>
      </c>
      <c r="AC193" s="11">
        <v>8.0049940782535491E-3</v>
      </c>
      <c r="AD193" s="11">
        <v>8.4052437821662256E-3</v>
      </c>
      <c r="AE193" s="11">
        <v>8.8255059712745373E-3</v>
      </c>
      <c r="AF193" s="11">
        <v>9.2667812698382663E-3</v>
      </c>
      <c r="AG193" s="11">
        <v>9.7301203333301795E-3</v>
      </c>
      <c r="AH193" s="11">
        <v>1.0216626349996689E-2</v>
      </c>
      <c r="AI193" s="11">
        <v>1.0727457667496524E-2</v>
      </c>
      <c r="AJ193" s="11">
        <v>1.1263830550871351E-2</v>
      </c>
      <c r="AK193" s="11">
        <v>1.182702207841492E-2</v>
      </c>
      <c r="AL193" s="11">
        <v>1.2418373182335666E-2</v>
      </c>
      <c r="AM193" s="11">
        <v>1.3039291841452449E-2</v>
      </c>
      <c r="AN193" s="11">
        <v>1.3691256433525072E-2</v>
      </c>
      <c r="AO193" s="39">
        <f t="shared" si="56"/>
        <v>1.437581925520133E-2</v>
      </c>
      <c r="AP193" s="39">
        <f t="shared" si="56"/>
        <v>1.5094610217961402E-2</v>
      </c>
      <c r="AQ193" s="39">
        <f t="shared" si="56"/>
        <v>1.5849340728859476E-2</v>
      </c>
      <c r="AR193" s="39">
        <f t="shared" si="56"/>
        <v>1.6641807765302455E-2</v>
      </c>
      <c r="AS193" s="39">
        <f t="shared" si="56"/>
        <v>1.7473898153567584E-2</v>
      </c>
      <c r="AT193" s="39">
        <f t="shared" si="56"/>
        <v>1.8347593061245969E-2</v>
      </c>
      <c r="AU193" s="39">
        <f t="shared" si="56"/>
        <v>1.9264972714308274E-2</v>
      </c>
      <c r="AV193" s="39">
        <f t="shared" si="56"/>
        <v>2.0228221350023695E-2</v>
      </c>
      <c r="AW193" s="39">
        <f t="shared" si="56"/>
        <v>2.1239632417524888E-2</v>
      </c>
      <c r="AX193" s="39">
        <f t="shared" si="56"/>
        <v>2.2301614038401137E-2</v>
      </c>
    </row>
    <row r="194" spans="1:50" x14ac:dyDescent="0.2">
      <c r="AM194" s="13" t="s">
        <v>187</v>
      </c>
      <c r="AN194" s="13">
        <f>(AN191-AM191)/AM191</f>
        <v>5.0000000000000308E-2</v>
      </c>
    </row>
    <row r="195" spans="1:50" x14ac:dyDescent="0.2">
      <c r="A195" s="5" t="s">
        <v>3</v>
      </c>
      <c r="AM195" s="13" t="s">
        <v>187</v>
      </c>
      <c r="AN195" s="13">
        <f t="shared" ref="AN195:AN196" si="57">(AN192-AM192)/AM192</f>
        <v>5.0000000000000169E-2</v>
      </c>
    </row>
    <row r="196" spans="1:50" x14ac:dyDescent="0.2">
      <c r="A196" s="5" t="s">
        <v>4</v>
      </c>
      <c r="AM196" s="13" t="s">
        <v>187</v>
      </c>
      <c r="AN196" s="13">
        <f t="shared" si="57"/>
        <v>5.0000000000000058E-2</v>
      </c>
    </row>
    <row r="197" spans="1:50" x14ac:dyDescent="0.2">
      <c r="A197" s="5" t="s">
        <v>73</v>
      </c>
    </row>
    <row r="198" spans="1:50" x14ac:dyDescent="0.2">
      <c r="A198" s="5" t="s">
        <v>6</v>
      </c>
    </row>
    <row r="199" spans="1:50" x14ac:dyDescent="0.2">
      <c r="A199" s="5"/>
    </row>
    <row r="200" spans="1:50" x14ac:dyDescent="0.2">
      <c r="A200" s="6" t="s">
        <v>7</v>
      </c>
      <c r="B200" s="6">
        <v>2022</v>
      </c>
      <c r="C200" s="6">
        <v>2023</v>
      </c>
      <c r="D200" s="6">
        <v>2024</v>
      </c>
      <c r="E200" s="6">
        <v>2025</v>
      </c>
      <c r="F200" s="6">
        <v>2026</v>
      </c>
      <c r="G200" s="6">
        <v>2027</v>
      </c>
      <c r="H200" s="6">
        <v>2028</v>
      </c>
      <c r="I200" s="6">
        <v>2029</v>
      </c>
      <c r="J200" s="6">
        <v>2030</v>
      </c>
      <c r="K200" s="6">
        <v>2031</v>
      </c>
      <c r="L200" s="6">
        <v>2032</v>
      </c>
      <c r="M200" s="6">
        <v>2033</v>
      </c>
      <c r="N200" s="6">
        <v>2034</v>
      </c>
      <c r="O200" s="6">
        <v>2035</v>
      </c>
      <c r="P200" s="6">
        <v>2036</v>
      </c>
      <c r="Q200" s="6">
        <v>2037</v>
      </c>
      <c r="R200" s="6">
        <v>2038</v>
      </c>
      <c r="S200" s="6">
        <v>2039</v>
      </c>
      <c r="T200" s="6">
        <v>2040</v>
      </c>
      <c r="U200" s="6">
        <v>2041</v>
      </c>
      <c r="V200" s="6">
        <v>2042</v>
      </c>
      <c r="W200" s="6">
        <v>2043</v>
      </c>
      <c r="X200" s="6">
        <v>2044</v>
      </c>
      <c r="Y200" s="6">
        <v>2045</v>
      </c>
      <c r="Z200" s="6">
        <v>2046</v>
      </c>
      <c r="AA200" s="6">
        <v>2047</v>
      </c>
      <c r="AB200" s="6">
        <v>2048</v>
      </c>
      <c r="AC200" s="6">
        <v>2049</v>
      </c>
      <c r="AD200" s="6">
        <v>2050</v>
      </c>
      <c r="AE200" s="6">
        <v>2051</v>
      </c>
      <c r="AF200" s="6">
        <v>2052</v>
      </c>
      <c r="AG200" s="6">
        <v>2053</v>
      </c>
      <c r="AH200" s="6">
        <v>2054</v>
      </c>
      <c r="AI200" s="6">
        <v>2055</v>
      </c>
      <c r="AJ200" s="6">
        <v>2056</v>
      </c>
      <c r="AK200" s="6">
        <v>2057</v>
      </c>
      <c r="AL200" s="6">
        <v>2058</v>
      </c>
      <c r="AM200" s="6">
        <v>2059</v>
      </c>
      <c r="AN200" s="6">
        <v>2060</v>
      </c>
      <c r="AO200" s="39">
        <f>AN200+1</f>
        <v>2061</v>
      </c>
      <c r="AP200" s="39">
        <f t="shared" ref="AP200:AX200" si="58">AO200+1</f>
        <v>2062</v>
      </c>
      <c r="AQ200" s="39">
        <f t="shared" si="58"/>
        <v>2063</v>
      </c>
      <c r="AR200" s="39">
        <f t="shared" si="58"/>
        <v>2064</v>
      </c>
      <c r="AS200" s="39">
        <f t="shared" si="58"/>
        <v>2065</v>
      </c>
      <c r="AT200" s="39">
        <f t="shared" si="58"/>
        <v>2066</v>
      </c>
      <c r="AU200" s="39">
        <f t="shared" si="58"/>
        <v>2067</v>
      </c>
      <c r="AV200" s="39">
        <f t="shared" si="58"/>
        <v>2068</v>
      </c>
      <c r="AW200" s="39">
        <f>AV200+1</f>
        <v>2069</v>
      </c>
      <c r="AX200" s="39">
        <f t="shared" si="58"/>
        <v>2070</v>
      </c>
    </row>
    <row r="201" spans="1:50" x14ac:dyDescent="0.2">
      <c r="A201" s="6" t="s">
        <v>8</v>
      </c>
      <c r="B201" s="11">
        <v>0.50881988603167849</v>
      </c>
      <c r="C201" s="11">
        <v>0.53426088033326236</v>
      </c>
      <c r="D201" s="11">
        <v>0.56097392434992543</v>
      </c>
      <c r="E201" s="11">
        <v>0.58902262056742183</v>
      </c>
      <c r="F201" s="11">
        <v>0.61847375159579288</v>
      </c>
      <c r="G201" s="11">
        <v>0.64939743917558257</v>
      </c>
      <c r="H201" s="11">
        <v>0.68186731113436183</v>
      </c>
      <c r="I201" s="11">
        <v>0.71596067669107999</v>
      </c>
      <c r="J201" s="11">
        <v>0.75175871052563381</v>
      </c>
      <c r="K201" s="11">
        <v>0.78934664605191562</v>
      </c>
      <c r="L201" s="11">
        <v>0.82881397835451154</v>
      </c>
      <c r="M201" s="11">
        <v>0.87025467727223693</v>
      </c>
      <c r="N201" s="11">
        <v>0.91376741113584903</v>
      </c>
      <c r="O201" s="11">
        <v>0.95945578169264145</v>
      </c>
      <c r="P201" s="11">
        <v>1.0074285707772737</v>
      </c>
      <c r="Q201" s="11">
        <v>1.0577999993161373</v>
      </c>
      <c r="R201" s="11">
        <v>1.1106899992819441</v>
      </c>
      <c r="S201" s="11">
        <v>1.1662244992460413</v>
      </c>
      <c r="T201" s="11">
        <v>1.2245357242083437</v>
      </c>
      <c r="U201" s="11">
        <v>1.2857625104187604</v>
      </c>
      <c r="V201" s="11">
        <v>1.3500506359396987</v>
      </c>
      <c r="W201" s="11">
        <v>1.4175531677366837</v>
      </c>
      <c r="X201" s="11">
        <v>1.488430826123518</v>
      </c>
      <c r="Y201" s="11">
        <v>1.5628523674296939</v>
      </c>
      <c r="Z201" s="11">
        <v>1.6409949858011788</v>
      </c>
      <c r="AA201" s="11">
        <v>1.7230447350912375</v>
      </c>
      <c r="AB201" s="11">
        <v>1.8091969718457996</v>
      </c>
      <c r="AC201" s="11">
        <v>1.8996568204380895</v>
      </c>
      <c r="AD201" s="11">
        <v>1.9946396614599937</v>
      </c>
      <c r="AE201" s="11">
        <v>2.0943716445329938</v>
      </c>
      <c r="AF201" s="11">
        <v>2.1990902267596435</v>
      </c>
      <c r="AG201" s="11">
        <v>2.3090447380976258</v>
      </c>
      <c r="AH201" s="11">
        <v>2.4244969750025076</v>
      </c>
      <c r="AI201" s="11">
        <v>2.5457218237526322</v>
      </c>
      <c r="AJ201" s="11">
        <v>2.6730079149402646</v>
      </c>
      <c r="AK201" s="11">
        <v>2.8066583106872782</v>
      </c>
      <c r="AL201" s="11">
        <v>2.946991226221642</v>
      </c>
      <c r="AM201" s="11">
        <v>3.0943407875327242</v>
      </c>
      <c r="AN201" s="11">
        <v>3.2490578269093606</v>
      </c>
      <c r="AO201" s="39">
        <f>(AN201+AN201*$AN$204)</f>
        <v>3.4115107182548288</v>
      </c>
      <c r="AP201" s="39">
        <f t="shared" ref="AP201:AX201" si="59">(AO201+AO201*$AN$204)</f>
        <v>3.5820862541675704</v>
      </c>
      <c r="AQ201" s="39">
        <f t="shared" si="59"/>
        <v>3.7611905668759493</v>
      </c>
      <c r="AR201" s="39">
        <f t="shared" si="59"/>
        <v>3.9492500952197469</v>
      </c>
      <c r="AS201" s="39">
        <f t="shared" si="59"/>
        <v>4.1467125999807344</v>
      </c>
      <c r="AT201" s="39">
        <f t="shared" si="59"/>
        <v>4.3540482299797709</v>
      </c>
      <c r="AU201" s="39">
        <f t="shared" si="59"/>
        <v>4.5717506414787596</v>
      </c>
      <c r="AV201" s="39">
        <f t="shared" si="59"/>
        <v>4.8003381735526975</v>
      </c>
      <c r="AW201" s="39">
        <f t="shared" si="59"/>
        <v>5.0403550822303327</v>
      </c>
      <c r="AX201" s="39">
        <f t="shared" si="59"/>
        <v>5.2923728363418494</v>
      </c>
    </row>
    <row r="202" spans="1:50" x14ac:dyDescent="0.2">
      <c r="A202" s="6" t="s">
        <v>9</v>
      </c>
      <c r="B202" s="11">
        <v>5.2207014732835386</v>
      </c>
      <c r="C202" s="11">
        <v>5.4817365469477153</v>
      </c>
      <c r="D202" s="11">
        <v>5.755823374295101</v>
      </c>
      <c r="E202" s="11">
        <v>6.0436145430098565</v>
      </c>
      <c r="F202" s="11">
        <v>6.3457952701603499</v>
      </c>
      <c r="G202" s="11">
        <v>6.6630850336683674</v>
      </c>
      <c r="H202" s="11">
        <v>6.9962392853517867</v>
      </c>
      <c r="I202" s="11">
        <v>7.3460512496193759</v>
      </c>
      <c r="J202" s="11">
        <v>7.713353812100344</v>
      </c>
      <c r="K202" s="11">
        <v>8.0990215027053623</v>
      </c>
      <c r="L202" s="11">
        <v>8.5039725778406314</v>
      </c>
      <c r="M202" s="11">
        <v>8.9291712067326614</v>
      </c>
      <c r="N202" s="11">
        <v>9.3756297670692952</v>
      </c>
      <c r="O202" s="11">
        <v>9.8444112554227612</v>
      </c>
      <c r="P202" s="11">
        <v>10.336631818193901</v>
      </c>
      <c r="Q202" s="11">
        <v>10.853463409103597</v>
      </c>
      <c r="R202" s="11">
        <v>11.396136579558775</v>
      </c>
      <c r="S202" s="11">
        <v>11.965943408536713</v>
      </c>
      <c r="T202" s="11">
        <v>12.564240578963551</v>
      </c>
      <c r="U202" s="11">
        <v>13.192452607911727</v>
      </c>
      <c r="V202" s="11">
        <v>13.852075238307314</v>
      </c>
      <c r="W202" s="11">
        <v>14.544679000222681</v>
      </c>
      <c r="X202" s="11">
        <v>15.271912950233819</v>
      </c>
      <c r="Y202" s="11">
        <v>16.035508597745508</v>
      </c>
      <c r="Z202" s="11">
        <v>16.837284027632784</v>
      </c>
      <c r="AA202" s="11">
        <v>17.67914822901442</v>
      </c>
      <c r="AB202" s="11">
        <v>18.563105640465146</v>
      </c>
      <c r="AC202" s="11">
        <v>19.491260922488404</v>
      </c>
      <c r="AD202" s="11">
        <v>20.46582396861282</v>
      </c>
      <c r="AE202" s="11">
        <v>21.489115167043465</v>
      </c>
      <c r="AF202" s="11">
        <v>22.563570925395638</v>
      </c>
      <c r="AG202" s="11">
        <v>23.691749471665421</v>
      </c>
      <c r="AH202" s="11">
        <v>24.876336945248699</v>
      </c>
      <c r="AI202" s="11">
        <v>26.120153792511129</v>
      </c>
      <c r="AJ202" s="11">
        <v>27.426161482136685</v>
      </c>
      <c r="AK202" s="11">
        <v>28.797469556243527</v>
      </c>
      <c r="AL202" s="11">
        <v>30.237343034055698</v>
      </c>
      <c r="AM202" s="11">
        <v>31.749210185758486</v>
      </c>
      <c r="AN202" s="11">
        <v>33.336670695046415</v>
      </c>
      <c r="AO202" s="39">
        <f t="shared" ref="AO202:AX203" si="60">(AN202+AN202*$AN$204)</f>
        <v>35.003504229798736</v>
      </c>
      <c r="AP202" s="39">
        <f t="shared" si="60"/>
        <v>36.753679441288675</v>
      </c>
      <c r="AQ202" s="39">
        <f t="shared" si="60"/>
        <v>38.591363413353108</v>
      </c>
      <c r="AR202" s="39">
        <f t="shared" si="60"/>
        <v>40.520931584020765</v>
      </c>
      <c r="AS202" s="39">
        <f t="shared" si="60"/>
        <v>42.546978163221809</v>
      </c>
      <c r="AT202" s="39">
        <f t="shared" si="60"/>
        <v>44.674327071382905</v>
      </c>
      <c r="AU202" s="39">
        <f t="shared" si="60"/>
        <v>46.908043424952055</v>
      </c>
      <c r="AV202" s="39">
        <f t="shared" si="60"/>
        <v>49.253445596199661</v>
      </c>
      <c r="AW202" s="39">
        <f t="shared" si="60"/>
        <v>51.716117876009648</v>
      </c>
      <c r="AX202" s="39">
        <f t="shared" si="60"/>
        <v>54.301923769810131</v>
      </c>
    </row>
    <row r="203" spans="1:50" x14ac:dyDescent="0.2">
      <c r="A203" s="6" t="s">
        <v>10</v>
      </c>
      <c r="B203" s="11">
        <v>5.1395948086167629E-3</v>
      </c>
      <c r="C203" s="11">
        <v>5.3965745490476003E-3</v>
      </c>
      <c r="D203" s="11">
        <v>5.6664032764999813E-3</v>
      </c>
      <c r="E203" s="11">
        <v>5.949723440324981E-3</v>
      </c>
      <c r="F203" s="11">
        <v>6.247209612341229E-3</v>
      </c>
      <c r="G203" s="11">
        <v>6.559570092958291E-3</v>
      </c>
      <c r="H203" s="11">
        <v>6.8875485976062079E-3</v>
      </c>
      <c r="I203" s="11">
        <v>7.2319260274865179E-3</v>
      </c>
      <c r="J203" s="11">
        <v>7.5935223288608423E-3</v>
      </c>
      <c r="K203" s="11">
        <v>7.9731984453038848E-3</v>
      </c>
      <c r="L203" s="11">
        <v>8.3718583675690805E-3</v>
      </c>
      <c r="M203" s="11">
        <v>8.7904512859475342E-3</v>
      </c>
      <c r="N203" s="11">
        <v>9.2299738502449116E-3</v>
      </c>
      <c r="O203" s="11">
        <v>9.6914725427571582E-3</v>
      </c>
      <c r="P203" s="11">
        <v>1.0176046169895019E-2</v>
      </c>
      <c r="Q203" s="11">
        <v>1.0684848478389769E-2</v>
      </c>
      <c r="R203" s="11">
        <v>1.1219090902309256E-2</v>
      </c>
      <c r="S203" s="11">
        <v>1.1780045447424718E-2</v>
      </c>
      <c r="T203" s="11">
        <v>1.2369047719795955E-2</v>
      </c>
      <c r="U203" s="11">
        <v>1.2987500105785752E-2</v>
      </c>
      <c r="V203" s="11">
        <v>1.3636875111075039E-2</v>
      </c>
      <c r="W203" s="11">
        <v>1.4318718866628792E-2</v>
      </c>
      <c r="X203" s="11">
        <v>1.5034654809960236E-2</v>
      </c>
      <c r="Y203" s="11">
        <v>1.5786387550458244E-2</v>
      </c>
      <c r="Z203" s="11">
        <v>1.657570692798116E-2</v>
      </c>
      <c r="AA203" s="11">
        <v>1.7404492274380214E-2</v>
      </c>
      <c r="AB203" s="11">
        <v>1.8274716888099226E-2</v>
      </c>
      <c r="AC203" s="11">
        <v>1.9188452732504191E-2</v>
      </c>
      <c r="AD203" s="11">
        <v>2.0147875369129396E-2</v>
      </c>
      <c r="AE203" s="11">
        <v>2.1155269137585871E-2</v>
      </c>
      <c r="AF203" s="11">
        <v>2.2213032594465162E-2</v>
      </c>
      <c r="AG203" s="11">
        <v>2.3323684224188422E-2</v>
      </c>
      <c r="AH203" s="11">
        <v>2.4489868435397851E-2</v>
      </c>
      <c r="AI203" s="11">
        <v>2.5714361857167738E-2</v>
      </c>
      <c r="AJ203" s="11">
        <v>2.7000079950026127E-2</v>
      </c>
      <c r="AK203" s="11">
        <v>2.8350083947527437E-2</v>
      </c>
      <c r="AL203" s="11">
        <v>2.9767588144903809E-2</v>
      </c>
      <c r="AM203" s="11">
        <v>3.1255967552148996E-2</v>
      </c>
      <c r="AN203" s="11">
        <v>3.2818765929756452E-2</v>
      </c>
      <c r="AO203" s="39">
        <f t="shared" si="60"/>
        <v>3.4459704226244274E-2</v>
      </c>
      <c r="AP203" s="39">
        <f t="shared" si="60"/>
        <v>3.6182689437556488E-2</v>
      </c>
      <c r="AQ203" s="39">
        <f t="shared" si="60"/>
        <v>3.7991823909434314E-2</v>
      </c>
      <c r="AR203" s="39">
        <f t="shared" si="60"/>
        <v>3.9891415104906035E-2</v>
      </c>
      <c r="AS203" s="39">
        <f t="shared" si="60"/>
        <v>4.188598586015134E-2</v>
      </c>
      <c r="AT203" s="39">
        <f t="shared" si="60"/>
        <v>4.398028515315891E-2</v>
      </c>
      <c r="AU203" s="39">
        <f t="shared" si="60"/>
        <v>4.617929941081686E-2</v>
      </c>
      <c r="AV203" s="39">
        <f t="shared" si="60"/>
        <v>4.8488264381357706E-2</v>
      </c>
      <c r="AW203" s="39">
        <f t="shared" si="60"/>
        <v>5.0912677600425595E-2</v>
      </c>
      <c r="AX203" s="39">
        <f t="shared" si="60"/>
        <v>5.3458311480446878E-2</v>
      </c>
    </row>
    <row r="204" spans="1:50" x14ac:dyDescent="0.2">
      <c r="AM204" s="13" t="s">
        <v>187</v>
      </c>
      <c r="AN204" s="13">
        <f>(AN201-AM201)/AM201</f>
        <v>5.0000000000000058E-2</v>
      </c>
    </row>
    <row r="205" spans="1:50" x14ac:dyDescent="0.2">
      <c r="A205" s="5" t="s">
        <v>3</v>
      </c>
      <c r="AM205" s="13" t="s">
        <v>187</v>
      </c>
      <c r="AN205" s="13">
        <f t="shared" ref="AN205:AN206" si="61">(AN202-AM202)/AM202</f>
        <v>5.0000000000000155E-2</v>
      </c>
    </row>
    <row r="206" spans="1:50" x14ac:dyDescent="0.2">
      <c r="A206" s="5" t="s">
        <v>4</v>
      </c>
      <c r="AM206" s="13" t="s">
        <v>187</v>
      </c>
      <c r="AN206" s="13">
        <f t="shared" si="61"/>
        <v>5.0000000000000211E-2</v>
      </c>
    </row>
    <row r="207" spans="1:50" x14ac:dyDescent="0.2">
      <c r="A207" s="5" t="s">
        <v>75</v>
      </c>
    </row>
    <row r="208" spans="1:50" x14ac:dyDescent="0.2">
      <c r="A208" s="5" t="s">
        <v>6</v>
      </c>
    </row>
    <row r="209" spans="1:50" x14ac:dyDescent="0.2">
      <c r="A209" s="5"/>
    </row>
    <row r="210" spans="1:50" x14ac:dyDescent="0.2">
      <c r="A210" s="6" t="s">
        <v>7</v>
      </c>
      <c r="B210" s="6">
        <v>2022</v>
      </c>
      <c r="C210" s="6">
        <v>2023</v>
      </c>
      <c r="D210" s="6">
        <v>2024</v>
      </c>
      <c r="E210" s="6">
        <v>2025</v>
      </c>
      <c r="F210" s="6">
        <v>2026</v>
      </c>
      <c r="G210" s="6">
        <v>2027</v>
      </c>
      <c r="H210" s="6">
        <v>2028</v>
      </c>
      <c r="I210" s="6">
        <v>2029</v>
      </c>
      <c r="J210" s="6">
        <v>2030</v>
      </c>
      <c r="K210" s="6">
        <v>2031</v>
      </c>
      <c r="L210" s="6">
        <v>2032</v>
      </c>
      <c r="M210" s="6">
        <v>2033</v>
      </c>
      <c r="N210" s="6">
        <v>2034</v>
      </c>
      <c r="O210" s="6">
        <v>2035</v>
      </c>
      <c r="P210" s="6">
        <v>2036</v>
      </c>
      <c r="Q210" s="6">
        <v>2037</v>
      </c>
      <c r="R210" s="6">
        <v>2038</v>
      </c>
      <c r="S210" s="6">
        <v>2039</v>
      </c>
      <c r="T210" s="6">
        <v>2040</v>
      </c>
      <c r="U210" s="6">
        <v>2041</v>
      </c>
      <c r="V210" s="6">
        <v>2042</v>
      </c>
      <c r="W210" s="6">
        <v>2043</v>
      </c>
      <c r="X210" s="6">
        <v>2044</v>
      </c>
      <c r="Y210" s="6">
        <v>2045</v>
      </c>
      <c r="Z210" s="6">
        <v>2046</v>
      </c>
      <c r="AA210" s="6">
        <v>2047</v>
      </c>
      <c r="AB210" s="6">
        <v>2048</v>
      </c>
      <c r="AC210" s="6">
        <v>2049</v>
      </c>
      <c r="AD210" s="6">
        <v>2050</v>
      </c>
      <c r="AE210" s="6">
        <v>2051</v>
      </c>
      <c r="AF210" s="6">
        <v>2052</v>
      </c>
      <c r="AG210" s="6">
        <v>2053</v>
      </c>
      <c r="AH210" s="6">
        <v>2054</v>
      </c>
      <c r="AI210" s="6">
        <v>2055</v>
      </c>
      <c r="AJ210" s="6">
        <v>2056</v>
      </c>
      <c r="AK210" s="6">
        <v>2057</v>
      </c>
      <c r="AL210" s="6">
        <v>2058</v>
      </c>
      <c r="AM210" s="6">
        <v>2059</v>
      </c>
      <c r="AN210" s="6">
        <v>2060</v>
      </c>
      <c r="AO210" s="39">
        <f>AN210+1</f>
        <v>2061</v>
      </c>
      <c r="AP210" s="39">
        <f t="shared" ref="AP210:AX210" si="62">AO210+1</f>
        <v>2062</v>
      </c>
      <c r="AQ210" s="39">
        <f t="shared" si="62"/>
        <v>2063</v>
      </c>
      <c r="AR210" s="39">
        <f t="shared" si="62"/>
        <v>2064</v>
      </c>
      <c r="AS210" s="39">
        <f t="shared" si="62"/>
        <v>2065</v>
      </c>
      <c r="AT210" s="39">
        <f t="shared" si="62"/>
        <v>2066</v>
      </c>
      <c r="AU210" s="39">
        <f t="shared" si="62"/>
        <v>2067</v>
      </c>
      <c r="AV210" s="39">
        <f t="shared" si="62"/>
        <v>2068</v>
      </c>
      <c r="AW210" s="39">
        <f>AV210+1</f>
        <v>2069</v>
      </c>
      <c r="AX210" s="39">
        <f t="shared" si="62"/>
        <v>2070</v>
      </c>
    </row>
    <row r="211" spans="1:50" x14ac:dyDescent="0.2">
      <c r="A211" s="6" t="s">
        <v>43</v>
      </c>
      <c r="B211" s="11">
        <v>571.86994739845784</v>
      </c>
      <c r="C211" s="11">
        <v>573.82542379554525</v>
      </c>
      <c r="D211" s="11">
        <v>575.78090019263288</v>
      </c>
      <c r="E211" s="11">
        <v>577.73637658972041</v>
      </c>
      <c r="F211" s="11">
        <v>582.96724864833698</v>
      </c>
      <c r="G211" s="11">
        <v>588.19812070695355</v>
      </c>
      <c r="H211" s="11">
        <v>593.42899276557023</v>
      </c>
      <c r="I211" s="11">
        <v>598.65986482418668</v>
      </c>
      <c r="J211" s="11">
        <v>603.89073688280337</v>
      </c>
      <c r="K211" s="11">
        <v>608.28426512532474</v>
      </c>
      <c r="L211" s="11">
        <v>612.67779336784633</v>
      </c>
      <c r="M211" s="11">
        <v>617.0713216103677</v>
      </c>
      <c r="N211" s="11">
        <v>621.46484985288919</v>
      </c>
      <c r="O211" s="11">
        <v>625.85837809541067</v>
      </c>
      <c r="P211" s="11">
        <v>629.40488253418596</v>
      </c>
      <c r="Q211" s="11">
        <v>632.95138697296147</v>
      </c>
      <c r="R211" s="11">
        <v>636.49789141173676</v>
      </c>
      <c r="S211" s="11">
        <v>640.04439585051205</v>
      </c>
      <c r="T211" s="11">
        <v>643.59090028928745</v>
      </c>
      <c r="U211" s="11">
        <v>646.30897363410224</v>
      </c>
      <c r="V211" s="11">
        <v>649.02704697891693</v>
      </c>
      <c r="W211" s="11">
        <v>651.74512032373184</v>
      </c>
      <c r="X211" s="11">
        <v>654.46319366854664</v>
      </c>
      <c r="Y211" s="11">
        <v>657.18126701336132</v>
      </c>
      <c r="Z211" s="11">
        <v>659.10449060954954</v>
      </c>
      <c r="AA211" s="11">
        <v>661.02771420573788</v>
      </c>
      <c r="AB211" s="11">
        <v>662.95093780192622</v>
      </c>
      <c r="AC211" s="11">
        <v>664.87416139811432</v>
      </c>
      <c r="AD211" s="11">
        <v>666.79738499430266</v>
      </c>
      <c r="AE211" s="11">
        <v>666.79738499430266</v>
      </c>
      <c r="AF211" s="11">
        <v>666.79738499430266</v>
      </c>
      <c r="AG211" s="11">
        <v>666.79738499430266</v>
      </c>
      <c r="AH211" s="11">
        <v>666.79738499430266</v>
      </c>
      <c r="AI211" s="11">
        <v>666.79738499430266</v>
      </c>
      <c r="AJ211" s="11">
        <v>666.79738499430266</v>
      </c>
      <c r="AK211" s="11">
        <v>666.79738499430266</v>
      </c>
      <c r="AL211" s="11">
        <v>666.79738499430266</v>
      </c>
      <c r="AM211" s="11">
        <v>666.79738499430266</v>
      </c>
      <c r="AN211" s="11">
        <v>666.79738499430266</v>
      </c>
      <c r="AO211" s="39">
        <f>(AN211+AN211*$AN$216)</f>
        <v>666.79738499430266</v>
      </c>
      <c r="AP211" s="39">
        <f t="shared" ref="AP211:AX211" si="63">(AO211+AO211*$AN$216)</f>
        <v>666.79738499430266</v>
      </c>
      <c r="AQ211" s="39">
        <f t="shared" si="63"/>
        <v>666.79738499430266</v>
      </c>
      <c r="AR211" s="39">
        <f t="shared" si="63"/>
        <v>666.79738499430266</v>
      </c>
      <c r="AS211" s="39">
        <f t="shared" si="63"/>
        <v>666.79738499430266</v>
      </c>
      <c r="AT211" s="39">
        <f t="shared" si="63"/>
        <v>666.79738499430266</v>
      </c>
      <c r="AU211" s="39">
        <f t="shared" si="63"/>
        <v>666.79738499430266</v>
      </c>
      <c r="AV211" s="39">
        <f t="shared" si="63"/>
        <v>666.79738499430266</v>
      </c>
      <c r="AW211" s="39">
        <f t="shared" si="63"/>
        <v>666.79738499430266</v>
      </c>
      <c r="AX211" s="39">
        <f t="shared" si="63"/>
        <v>666.79738499430266</v>
      </c>
    </row>
    <row r="212" spans="1:50" x14ac:dyDescent="0.2">
      <c r="A212" s="6" t="s">
        <v>8</v>
      </c>
      <c r="B212" s="11">
        <v>437.3615194551079</v>
      </c>
      <c r="C212" s="11">
        <v>438.85705201837595</v>
      </c>
      <c r="D212" s="11">
        <v>440.35258458164412</v>
      </c>
      <c r="E212" s="11">
        <v>441.84811714491224</v>
      </c>
      <c r="F212" s="11">
        <v>445.84864587008718</v>
      </c>
      <c r="G212" s="11">
        <v>449.84917459526207</v>
      </c>
      <c r="H212" s="11">
        <v>453.84970332043713</v>
      </c>
      <c r="I212" s="11">
        <v>457.85023204561196</v>
      </c>
      <c r="J212" s="11">
        <v>461.85076077078691</v>
      </c>
      <c r="K212" s="11">
        <v>465.21089570471668</v>
      </c>
      <c r="L212" s="11">
        <v>468.5710306386465</v>
      </c>
      <c r="M212" s="11">
        <v>471.93116557257611</v>
      </c>
      <c r="N212" s="11">
        <v>475.29130050650588</v>
      </c>
      <c r="O212" s="11">
        <v>478.65143544043565</v>
      </c>
      <c r="P212" s="11">
        <v>481.36377340670458</v>
      </c>
      <c r="Q212" s="11">
        <v>484.07611137297363</v>
      </c>
      <c r="R212" s="11">
        <v>486.78844933924256</v>
      </c>
      <c r="S212" s="11">
        <v>489.50078730551149</v>
      </c>
      <c r="T212" s="11">
        <v>492.2131252717806</v>
      </c>
      <c r="U212" s="11">
        <v>494.29188582474649</v>
      </c>
      <c r="V212" s="11">
        <v>496.37064637771238</v>
      </c>
      <c r="W212" s="11">
        <v>498.44940693067832</v>
      </c>
      <c r="X212" s="11">
        <v>500.52816748364421</v>
      </c>
      <c r="Y212" s="11">
        <v>502.60692803661021</v>
      </c>
      <c r="Z212" s="11">
        <v>504.07779391810527</v>
      </c>
      <c r="AA212" s="11">
        <v>505.54865979960044</v>
      </c>
      <c r="AB212" s="11">
        <v>507.01952568109567</v>
      </c>
      <c r="AC212" s="11">
        <v>508.49039156259073</v>
      </c>
      <c r="AD212" s="11">
        <v>509.9612574440859</v>
      </c>
      <c r="AE212" s="11">
        <v>509.9612574440859</v>
      </c>
      <c r="AF212" s="11">
        <v>509.9612574440859</v>
      </c>
      <c r="AG212" s="11">
        <v>509.9612574440859</v>
      </c>
      <c r="AH212" s="11">
        <v>509.9612574440859</v>
      </c>
      <c r="AI212" s="11">
        <v>509.9612574440859</v>
      </c>
      <c r="AJ212" s="11">
        <v>509.9612574440859</v>
      </c>
      <c r="AK212" s="11">
        <v>509.9612574440859</v>
      </c>
      <c r="AL212" s="11">
        <v>509.9612574440859</v>
      </c>
      <c r="AM212" s="11">
        <v>509.9612574440859</v>
      </c>
      <c r="AN212" s="11">
        <v>509.9612574440859</v>
      </c>
      <c r="AO212" s="39">
        <f t="shared" ref="AO212:AX215" si="64">(AN212+AN212*$AN$216)</f>
        <v>509.9612574440859</v>
      </c>
      <c r="AP212" s="39">
        <f t="shared" si="64"/>
        <v>509.9612574440859</v>
      </c>
      <c r="AQ212" s="39">
        <f t="shared" si="64"/>
        <v>509.9612574440859</v>
      </c>
      <c r="AR212" s="39">
        <f t="shared" si="64"/>
        <v>509.9612574440859</v>
      </c>
      <c r="AS212" s="39">
        <f t="shared" si="64"/>
        <v>509.9612574440859</v>
      </c>
      <c r="AT212" s="39">
        <f t="shared" si="64"/>
        <v>509.9612574440859</v>
      </c>
      <c r="AU212" s="39">
        <f t="shared" si="64"/>
        <v>509.9612574440859</v>
      </c>
      <c r="AV212" s="39">
        <f t="shared" si="64"/>
        <v>509.9612574440859</v>
      </c>
      <c r="AW212" s="39">
        <f t="shared" si="64"/>
        <v>509.9612574440859</v>
      </c>
      <c r="AX212" s="39">
        <f t="shared" si="64"/>
        <v>509.9612574440859</v>
      </c>
    </row>
    <row r="213" spans="1:50" x14ac:dyDescent="0.2">
      <c r="A213" s="6" t="s">
        <v>9</v>
      </c>
      <c r="B213" s="11">
        <v>4483.6893976312422</v>
      </c>
      <c r="C213" s="11">
        <v>4499.0211156710257</v>
      </c>
      <c r="D213" s="11">
        <v>4514.35283371081</v>
      </c>
      <c r="E213" s="11">
        <v>4529.6845517505953</v>
      </c>
      <c r="F213" s="11">
        <v>4570.6966834359191</v>
      </c>
      <c r="G213" s="11">
        <v>4611.7088151212429</v>
      </c>
      <c r="H213" s="11">
        <v>4652.7209468065676</v>
      </c>
      <c r="I213" s="11">
        <v>4693.7330784918895</v>
      </c>
      <c r="J213" s="11">
        <v>4734.7452101772133</v>
      </c>
      <c r="K213" s="11">
        <v>4769.1922310231284</v>
      </c>
      <c r="L213" s="11">
        <v>4803.6392518690445</v>
      </c>
      <c r="M213" s="11">
        <v>4838.0862727149579</v>
      </c>
      <c r="N213" s="11">
        <v>4872.5332935608731</v>
      </c>
      <c r="O213" s="11">
        <v>4906.9803144067882</v>
      </c>
      <c r="P213" s="11">
        <v>4934.7863294336794</v>
      </c>
      <c r="Q213" s="11">
        <v>4962.5923444605723</v>
      </c>
      <c r="R213" s="11">
        <v>4990.3983594874635</v>
      </c>
      <c r="S213" s="11">
        <v>5018.2043745143546</v>
      </c>
      <c r="T213" s="11">
        <v>5046.0103895412467</v>
      </c>
      <c r="U213" s="11">
        <v>5067.3211730394369</v>
      </c>
      <c r="V213" s="11">
        <v>5088.631956537627</v>
      </c>
      <c r="W213" s="11">
        <v>5109.9427400358181</v>
      </c>
      <c r="X213" s="11">
        <v>5131.2535235340083</v>
      </c>
      <c r="Y213" s="11">
        <v>5152.5643070321994</v>
      </c>
      <c r="Z213" s="11">
        <v>5167.6431501970319</v>
      </c>
      <c r="AA213" s="11">
        <v>5182.7219933618671</v>
      </c>
      <c r="AB213" s="11">
        <v>5197.8008365267033</v>
      </c>
      <c r="AC213" s="11">
        <v>5212.8796796915367</v>
      </c>
      <c r="AD213" s="11">
        <v>5227.9585228563719</v>
      </c>
      <c r="AE213" s="11">
        <v>5227.9585228563719</v>
      </c>
      <c r="AF213" s="11">
        <v>5227.9585228563719</v>
      </c>
      <c r="AG213" s="11">
        <v>5227.9585228563719</v>
      </c>
      <c r="AH213" s="11">
        <v>5227.9585228563719</v>
      </c>
      <c r="AI213" s="11">
        <v>5227.9585228563719</v>
      </c>
      <c r="AJ213" s="11">
        <v>5227.9585228563719</v>
      </c>
      <c r="AK213" s="11">
        <v>5227.9585228563719</v>
      </c>
      <c r="AL213" s="11">
        <v>5227.9585228563719</v>
      </c>
      <c r="AM213" s="11">
        <v>5227.9585228563719</v>
      </c>
      <c r="AN213" s="11">
        <v>5227.9585228563719</v>
      </c>
      <c r="AO213" s="39">
        <f t="shared" si="64"/>
        <v>5227.9585228563719</v>
      </c>
      <c r="AP213" s="39">
        <f t="shared" si="64"/>
        <v>5227.9585228563719</v>
      </c>
      <c r="AQ213" s="39">
        <f t="shared" si="64"/>
        <v>5227.9585228563719</v>
      </c>
      <c r="AR213" s="39">
        <f t="shared" si="64"/>
        <v>5227.9585228563719</v>
      </c>
      <c r="AS213" s="39">
        <f t="shared" si="64"/>
        <v>5227.9585228563719</v>
      </c>
      <c r="AT213" s="39">
        <f t="shared" si="64"/>
        <v>5227.9585228563719</v>
      </c>
      <c r="AU213" s="39">
        <f t="shared" si="64"/>
        <v>5227.9585228563719</v>
      </c>
      <c r="AV213" s="39">
        <f t="shared" si="64"/>
        <v>5227.9585228563719</v>
      </c>
      <c r="AW213" s="39">
        <f t="shared" si="64"/>
        <v>5227.9585228563719</v>
      </c>
      <c r="AX213" s="39">
        <f t="shared" si="64"/>
        <v>5227.9585228563719</v>
      </c>
    </row>
    <row r="214" spans="1:50" x14ac:dyDescent="0.2">
      <c r="A214" s="6" t="s">
        <v>10</v>
      </c>
      <c r="B214" s="11">
        <v>3.8942756739220519</v>
      </c>
      <c r="C214" s="11">
        <v>3.9075919256305904</v>
      </c>
      <c r="D214" s="11">
        <v>3.920908177339129</v>
      </c>
      <c r="E214" s="11">
        <v>3.9342244290476684</v>
      </c>
      <c r="F214" s="11">
        <v>3.9698452164381197</v>
      </c>
      <c r="G214" s="11">
        <v>4.0054660038285714</v>
      </c>
      <c r="H214" s="11">
        <v>4.0410867912190236</v>
      </c>
      <c r="I214" s="11">
        <v>4.076707578609474</v>
      </c>
      <c r="J214" s="11">
        <v>4.1123283659999252</v>
      </c>
      <c r="K214" s="11">
        <v>4.1422470743275364</v>
      </c>
      <c r="L214" s="11">
        <v>4.1721657826551493</v>
      </c>
      <c r="M214" s="11">
        <v>4.2020844909827595</v>
      </c>
      <c r="N214" s="11">
        <v>4.2320031993103706</v>
      </c>
      <c r="O214" s="11">
        <v>4.2619219076379826</v>
      </c>
      <c r="P214" s="11">
        <v>4.2860726188726055</v>
      </c>
      <c r="Q214" s="11">
        <v>4.3102233301072292</v>
      </c>
      <c r="R214" s="11">
        <v>4.3343740413418521</v>
      </c>
      <c r="S214" s="11">
        <v>4.3585247525764759</v>
      </c>
      <c r="T214" s="11">
        <v>4.3826754638110996</v>
      </c>
      <c r="U214" s="11">
        <v>4.4011847891477442</v>
      </c>
      <c r="V214" s="11">
        <v>4.4196941144843889</v>
      </c>
      <c r="W214" s="11">
        <v>4.4382034398210344</v>
      </c>
      <c r="X214" s="11">
        <v>4.456712765157679</v>
      </c>
      <c r="Y214" s="11">
        <v>4.4752220904943254</v>
      </c>
      <c r="Z214" s="11">
        <v>4.4883187095774222</v>
      </c>
      <c r="AA214" s="11">
        <v>4.5014153286605199</v>
      </c>
      <c r="AB214" s="11">
        <v>4.5145119477436184</v>
      </c>
      <c r="AC214" s="11">
        <v>4.5276085668267161</v>
      </c>
      <c r="AD214" s="11">
        <v>4.5407051859098138</v>
      </c>
      <c r="AE214" s="11">
        <v>4.5407051859098138</v>
      </c>
      <c r="AF214" s="11">
        <v>4.5407051859098138</v>
      </c>
      <c r="AG214" s="11">
        <v>4.5407051859098138</v>
      </c>
      <c r="AH214" s="11">
        <v>4.5407051859098138</v>
      </c>
      <c r="AI214" s="11">
        <v>4.5407051859098138</v>
      </c>
      <c r="AJ214" s="11">
        <v>4.5407051859098138</v>
      </c>
      <c r="AK214" s="11">
        <v>4.5407051859098138</v>
      </c>
      <c r="AL214" s="11">
        <v>4.5407051859098138</v>
      </c>
      <c r="AM214" s="11">
        <v>4.5407051859098138</v>
      </c>
      <c r="AN214" s="11">
        <v>4.5407051859098138</v>
      </c>
      <c r="AO214" s="39">
        <f t="shared" si="64"/>
        <v>4.5407051859098138</v>
      </c>
      <c r="AP214" s="39">
        <f t="shared" si="64"/>
        <v>4.5407051859098138</v>
      </c>
      <c r="AQ214" s="39">
        <f t="shared" si="64"/>
        <v>4.5407051859098138</v>
      </c>
      <c r="AR214" s="39">
        <f t="shared" si="64"/>
        <v>4.5407051859098138</v>
      </c>
      <c r="AS214" s="39">
        <f t="shared" si="64"/>
        <v>4.5407051859098138</v>
      </c>
      <c r="AT214" s="39">
        <f t="shared" si="64"/>
        <v>4.5407051859098138</v>
      </c>
      <c r="AU214" s="39">
        <f t="shared" si="64"/>
        <v>4.5407051859098138</v>
      </c>
      <c r="AV214" s="39">
        <f t="shared" si="64"/>
        <v>4.5407051859098138</v>
      </c>
      <c r="AW214" s="39">
        <f t="shared" si="64"/>
        <v>4.5407051859098138</v>
      </c>
      <c r="AX214" s="39">
        <f t="shared" si="64"/>
        <v>4.5407051859098138</v>
      </c>
    </row>
    <row r="215" spans="1:50" x14ac:dyDescent="0.2">
      <c r="A215" s="6" t="s">
        <v>44</v>
      </c>
      <c r="B215" s="11">
        <v>7110.6675769762023</v>
      </c>
      <c r="C215" s="11">
        <v>7134.982095823656</v>
      </c>
      <c r="D215" s="11">
        <v>7159.2966146711105</v>
      </c>
      <c r="E215" s="11">
        <v>7183.611133518566</v>
      </c>
      <c r="F215" s="11">
        <v>7248.6521319408857</v>
      </c>
      <c r="G215" s="11">
        <v>7313.6931303632064</v>
      </c>
      <c r="H215" s="11">
        <v>7378.7341287855288</v>
      </c>
      <c r="I215" s="11">
        <v>7443.7751272078476</v>
      </c>
      <c r="J215" s="11">
        <v>7508.8161256301682</v>
      </c>
      <c r="K215" s="11">
        <v>7563.4455373779756</v>
      </c>
      <c r="L215" s="11">
        <v>7618.074949125782</v>
      </c>
      <c r="M215" s="11">
        <v>7672.7043608735867</v>
      </c>
      <c r="N215" s="11">
        <v>7727.333772621394</v>
      </c>
      <c r="O215" s="11">
        <v>7781.9631843691996</v>
      </c>
      <c r="P215" s="11">
        <v>7826.0606478556501</v>
      </c>
      <c r="Q215" s="11">
        <v>7870.1581113421034</v>
      </c>
      <c r="R215" s="11">
        <v>7914.2555748285531</v>
      </c>
      <c r="S215" s="11">
        <v>7958.3530383150046</v>
      </c>
      <c r="T215" s="11">
        <v>8002.4505018014552</v>
      </c>
      <c r="U215" s="11">
        <v>8036.2471999716281</v>
      </c>
      <c r="V215" s="11">
        <v>8070.0438981417983</v>
      </c>
      <c r="W215" s="11">
        <v>8103.8405963119703</v>
      </c>
      <c r="X215" s="11">
        <v>8137.6372944821414</v>
      </c>
      <c r="Y215" s="11">
        <v>8171.4339926523135</v>
      </c>
      <c r="Z215" s="11">
        <v>8195.3474781063105</v>
      </c>
      <c r="AA215" s="11">
        <v>8219.2609635603076</v>
      </c>
      <c r="AB215" s="11">
        <v>8243.1744490143083</v>
      </c>
      <c r="AC215" s="11">
        <v>8267.0879344683053</v>
      </c>
      <c r="AD215" s="11">
        <v>8291.0014199223024</v>
      </c>
      <c r="AE215" s="11">
        <v>8291.0014199223024</v>
      </c>
      <c r="AF215" s="11">
        <v>8291.0014199223024</v>
      </c>
      <c r="AG215" s="11">
        <v>8291.0014199223024</v>
      </c>
      <c r="AH215" s="11">
        <v>8291.0014199223024</v>
      </c>
      <c r="AI215" s="11">
        <v>8291.0014199223024</v>
      </c>
      <c r="AJ215" s="11">
        <v>8291.0014199223024</v>
      </c>
      <c r="AK215" s="11">
        <v>8291.0014199223024</v>
      </c>
      <c r="AL215" s="11">
        <v>8291.0014199223024</v>
      </c>
      <c r="AM215" s="11">
        <v>8291.0014199223024</v>
      </c>
      <c r="AN215" s="11">
        <v>8291.0014199223024</v>
      </c>
      <c r="AO215" s="39">
        <f t="shared" si="64"/>
        <v>8291.0014199223024</v>
      </c>
      <c r="AP215" s="39">
        <f t="shared" si="64"/>
        <v>8291.0014199223024</v>
      </c>
      <c r="AQ215" s="39">
        <f t="shared" si="64"/>
        <v>8291.0014199223024</v>
      </c>
      <c r="AR215" s="39">
        <f t="shared" si="64"/>
        <v>8291.0014199223024</v>
      </c>
      <c r="AS215" s="39">
        <f t="shared" si="64"/>
        <v>8291.0014199223024</v>
      </c>
      <c r="AT215" s="39">
        <f t="shared" si="64"/>
        <v>8291.0014199223024</v>
      </c>
      <c r="AU215" s="39">
        <f t="shared" si="64"/>
        <v>8291.0014199223024</v>
      </c>
      <c r="AV215" s="39">
        <f t="shared" si="64"/>
        <v>8291.0014199223024</v>
      </c>
      <c r="AW215" s="39">
        <f t="shared" si="64"/>
        <v>8291.0014199223024</v>
      </c>
      <c r="AX215" s="39">
        <f t="shared" si="64"/>
        <v>8291.0014199223024</v>
      </c>
    </row>
    <row r="216" spans="1:50" x14ac:dyDescent="0.2">
      <c r="AM216" s="13" t="s">
        <v>187</v>
      </c>
      <c r="AN216" s="13">
        <f>(AN213-AM213)/AM213</f>
        <v>0</v>
      </c>
    </row>
    <row r="217" spans="1:50" x14ac:dyDescent="0.2">
      <c r="AM217" s="13" t="s">
        <v>187</v>
      </c>
      <c r="AN217" s="13">
        <f t="shared" ref="AN217:AN218" si="65">(AN214-AM214)/AM214</f>
        <v>0</v>
      </c>
    </row>
    <row r="218" spans="1:50" x14ac:dyDescent="0.2">
      <c r="AM218" s="13" t="s">
        <v>187</v>
      </c>
      <c r="AN218" s="13">
        <f t="shared" si="6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10C8-8D15-3542-BC62-1529E315E94D}">
  <sheetPr>
    <tabColor theme="4" tint="0.79998168889431442"/>
  </sheetPr>
  <dimension ref="A1:AX226"/>
  <sheetViews>
    <sheetView topLeftCell="AE2" zoomScale="106" workbookViewId="0">
      <selection activeCell="AO206" sqref="AO206:AX211"/>
    </sheetView>
  </sheetViews>
  <sheetFormatPr baseColWidth="10" defaultRowHeight="16" x14ac:dyDescent="0.2"/>
  <sheetData>
    <row r="1" spans="1:50" x14ac:dyDescent="0.2">
      <c r="A1" s="5" t="s">
        <v>66</v>
      </c>
    </row>
    <row r="2" spans="1:50" x14ac:dyDescent="0.2">
      <c r="A2" s="5" t="s">
        <v>4</v>
      </c>
    </row>
    <row r="3" spans="1:50" x14ac:dyDescent="0.2">
      <c r="A3" s="5" t="s">
        <v>5</v>
      </c>
    </row>
    <row r="4" spans="1:50" x14ac:dyDescent="0.2">
      <c r="A4" s="5" t="s">
        <v>6</v>
      </c>
    </row>
    <row r="5" spans="1:50" x14ac:dyDescent="0.2">
      <c r="A5" s="5"/>
    </row>
    <row r="6" spans="1:5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c r="AO6" s="39">
        <f>AN6+1</f>
        <v>2061</v>
      </c>
      <c r="AP6" s="39">
        <f t="shared" ref="AP6:AX6" si="0">AO6+1</f>
        <v>2062</v>
      </c>
      <c r="AQ6" s="39">
        <f t="shared" si="0"/>
        <v>2063</v>
      </c>
      <c r="AR6" s="39">
        <f t="shared" si="0"/>
        <v>2064</v>
      </c>
      <c r="AS6" s="39">
        <f t="shared" si="0"/>
        <v>2065</v>
      </c>
      <c r="AT6" s="39">
        <f t="shared" si="0"/>
        <v>2066</v>
      </c>
      <c r="AU6" s="39">
        <f t="shared" si="0"/>
        <v>2067</v>
      </c>
      <c r="AV6" s="39">
        <f t="shared" si="0"/>
        <v>2068</v>
      </c>
      <c r="AW6" s="39">
        <f>AV6+1</f>
        <v>2069</v>
      </c>
      <c r="AX6" s="39">
        <f t="shared" si="0"/>
        <v>2070</v>
      </c>
    </row>
    <row r="7" spans="1:50" x14ac:dyDescent="0.2">
      <c r="A7" s="6" t="s">
        <v>8</v>
      </c>
      <c r="B7" s="11">
        <f>Commercial!B7*Commercial!$B$5</f>
        <v>328187.75145973923</v>
      </c>
      <c r="C7" s="11">
        <f>Commercial!C7*Commercial!$B$5</f>
        <v>344625.01470578666</v>
      </c>
      <c r="D7" s="11">
        <f>Commercial!D7*Commercial!$B$5</f>
        <v>347973.80247837579</v>
      </c>
      <c r="E7" s="11">
        <f>Commercial!E7*Commercial!$B$5</f>
        <v>351337.35956758552</v>
      </c>
      <c r="F7" s="11">
        <f>Commercial!F7*Commercial!$B$5</f>
        <v>356719.91324162285</v>
      </c>
      <c r="G7" s="11">
        <f>Commercial!G7*Commercial!$B$5</f>
        <v>362141.9746314027</v>
      </c>
      <c r="H7" s="11">
        <f>Commercial!H7*Commercial!$B$5</f>
        <v>367603.54373692482</v>
      </c>
      <c r="I7" s="11">
        <f>Commercial!I7*Commercial!$B$5</f>
        <v>373104.62055818917</v>
      </c>
      <c r="J7" s="11">
        <f>Commercial!J7*Commercial!$B$5</f>
        <v>378645.20509519568</v>
      </c>
      <c r="K7" s="11">
        <f>Commercial!K7*Commercial!$B$5</f>
        <v>383697.1127096077</v>
      </c>
      <c r="L7" s="11">
        <f>Commercial!L7*Commercial!$B$5</f>
        <v>388782.20375174773</v>
      </c>
      <c r="M7" s="11">
        <f>Commercial!M7*Commercial!$B$5</f>
        <v>393900.47822161583</v>
      </c>
      <c r="N7" s="11">
        <f>Commercial!N7*Commercial!$B$5</f>
        <v>399051.93611921178</v>
      </c>
      <c r="O7" s="11">
        <f>Commercial!O7*Commercial!$B$5</f>
        <v>404236.57744453562</v>
      </c>
      <c r="P7" s="11">
        <f>Commercial!P7*Commercial!$B$5</f>
        <v>408904.11806243035</v>
      </c>
      <c r="Q7" s="11">
        <f>Commercial!Q7*Commercial!$B$5</f>
        <v>413598.44470905547</v>
      </c>
      <c r="R7" s="11">
        <f>Commercial!R7*Commercial!$B$5</f>
        <v>418319.5573844107</v>
      </c>
      <c r="S7" s="11">
        <f>Commercial!S7*Commercial!$B$5</f>
        <v>423067.4560884962</v>
      </c>
      <c r="T7" s="11">
        <f>Commercial!T7*Commercial!$B$5</f>
        <v>427842.14082131168</v>
      </c>
      <c r="U7" s="11">
        <f>Commercial!U7*Commercial!$B$5</f>
        <v>432089.76410344988</v>
      </c>
      <c r="V7" s="11">
        <f>Commercial!V7*Commercial!$B$5</f>
        <v>436357.91644228681</v>
      </c>
      <c r="W7" s="11">
        <f>Commercial!W7*Commercial!$B$5</f>
        <v>440646.59783782205</v>
      </c>
      <c r="X7" s="11">
        <f>Commercial!X7*Commercial!$B$5</f>
        <v>444955.80829005595</v>
      </c>
      <c r="Y7" s="11">
        <f>Commercial!Y7*Commercial!$B$5</f>
        <v>449285.54779898789</v>
      </c>
      <c r="Z7" s="11">
        <f>Commercial!Z7*Commercial!$B$5</f>
        <v>453089.41134107363</v>
      </c>
      <c r="AA7" s="11">
        <f>Commercial!AA7*Commercial!$B$5</f>
        <v>456907.80060091673</v>
      </c>
      <c r="AB7" s="11">
        <f>Commercial!AB7*Commercial!$B$5</f>
        <v>460740.71557851712</v>
      </c>
      <c r="AC7" s="11">
        <f>Commercial!AC7*Commercial!$B$5</f>
        <v>464588.1562738744</v>
      </c>
      <c r="AD7" s="11">
        <f>Commercial!AD7*Commercial!$B$5</f>
        <v>468450.12268698891</v>
      </c>
      <c r="AE7" s="11">
        <f>Commercial!AE7*Commercial!$B$5</f>
        <v>470968.21539206675</v>
      </c>
      <c r="AF7" s="11">
        <f>Commercial!AF7*Commercial!$B$5</f>
        <v>473486.30809714488</v>
      </c>
      <c r="AG7" s="11">
        <f>Commercial!AG7*Commercial!$B$5</f>
        <v>476004.40080222313</v>
      </c>
      <c r="AH7" s="11">
        <f>Commercial!AH7*Commercial!$B$5</f>
        <v>478522.49350730167</v>
      </c>
      <c r="AI7" s="11">
        <f>Commercial!AI7*Commercial!$B$5</f>
        <v>481040.58621237963</v>
      </c>
      <c r="AJ7" s="11">
        <f>Commercial!AJ7*Commercial!$B$5</f>
        <v>483558.67891745752</v>
      </c>
      <c r="AK7" s="11">
        <f>Commercial!AK7*Commercial!$B$5</f>
        <v>486076.7716225356</v>
      </c>
      <c r="AL7" s="11">
        <f>Commercial!AL7*Commercial!$B$5</f>
        <v>488594.86432761414</v>
      </c>
      <c r="AM7" s="11">
        <f>Commercial!AM7*Commercial!$B$5</f>
        <v>491112.95703269239</v>
      </c>
      <c r="AN7" s="11">
        <f>Commercial!AN7*Commercial!$B$5</f>
        <v>493631.04973777063</v>
      </c>
      <c r="AO7" s="40">
        <f>Commercial!AO7*Commercial!$B$5</f>
        <v>496162.05350695451</v>
      </c>
      <c r="AP7" s="40">
        <f>Commercial!AP7*Commercial!$B$5</f>
        <v>498706.03453938599</v>
      </c>
      <c r="AQ7" s="40">
        <f>Commercial!AQ7*Commercial!$B$5</f>
        <v>501263.05937363103</v>
      </c>
      <c r="AR7" s="40">
        <f>Commercial!AR7*Commercial!$B$5</f>
        <v>503833.19488942018</v>
      </c>
      <c r="AS7" s="40">
        <f>Commercial!AS7*Commercial!$B$5</f>
        <v>506416.5083093975</v>
      </c>
      <c r="AT7" s="40">
        <f>Commercial!AT7*Commercial!$B$5</f>
        <v>509013.06720087916</v>
      </c>
      <c r="AU7" s="40">
        <f>Commercial!AU7*Commercial!$B$5</f>
        <v>511622.93947762036</v>
      </c>
      <c r="AV7" s="40">
        <f>Commercial!AV7*Commercial!$B$5</f>
        <v>514246.19340159185</v>
      </c>
      <c r="AW7" s="40">
        <f>Commercial!AW7*Commercial!$B$5</f>
        <v>516882.89758476539</v>
      </c>
      <c r="AX7" s="40">
        <f>Commercial!AX7*Commercial!$B$5</f>
        <v>519533.12099090783</v>
      </c>
    </row>
    <row r="8" spans="1:50" x14ac:dyDescent="0.2">
      <c r="A8" s="6" t="s">
        <v>9</v>
      </c>
      <c r="B8" s="11">
        <f>Commercial!B8*Commercial!$B$5</f>
        <v>3364475.0994228884</v>
      </c>
      <c r="C8" s="11">
        <f>Commercial!C8*Commercial!$B$5</f>
        <v>3532984.6268138587</v>
      </c>
      <c r="D8" s="11">
        <f>Commercial!D8*Commercial!$B$5</f>
        <v>3567315.3202172951</v>
      </c>
      <c r="E8" s="11">
        <f>Commercial!E8*Commercial!$B$5</f>
        <v>3601797.4238966638</v>
      </c>
      <c r="F8" s="11">
        <f>Commercial!F8*Commercial!$B$5</f>
        <v>3656977.630126352</v>
      </c>
      <c r="G8" s="11">
        <f>Commercial!G8*Commercial!$B$5</f>
        <v>3712562.856730077</v>
      </c>
      <c r="H8" s="11">
        <f>Commercial!H8*Commercial!$B$5</f>
        <v>3768553.1037078369</v>
      </c>
      <c r="I8" s="11">
        <f>Commercial!I8*Commercial!$B$5</f>
        <v>3824948.3710596315</v>
      </c>
      <c r="J8" s="11">
        <f>Commercial!J8*Commercial!$B$5</f>
        <v>3881748.6587854591</v>
      </c>
      <c r="K8" s="11">
        <f>Commercial!K8*Commercial!$B$5</f>
        <v>3933539.1881323759</v>
      </c>
      <c r="L8" s="11">
        <f>Commercial!L8*Commercial!$B$5</f>
        <v>3985669.9032900296</v>
      </c>
      <c r="M8" s="11">
        <f>Commercial!M8*Commercial!$B$5</f>
        <v>4038140.8042584215</v>
      </c>
      <c r="N8" s="11">
        <f>Commercial!N8*Commercial!$B$5</f>
        <v>4090951.8910375484</v>
      </c>
      <c r="O8" s="11">
        <f>Commercial!O8*Commercial!$B$5</f>
        <v>4144103.1636274122</v>
      </c>
      <c r="P8" s="11">
        <f>Commercial!P8*Commercial!$B$5</f>
        <v>4191953.2863532086</v>
      </c>
      <c r="Q8" s="11">
        <f>Commercial!Q8*Commercial!$B$5</f>
        <v>4240078.0108161969</v>
      </c>
      <c r="R8" s="11">
        <f>Commercial!R8*Commercial!$B$5</f>
        <v>4288477.3370163739</v>
      </c>
      <c r="S8" s="11">
        <f>Commercial!S8*Commercial!$B$5</f>
        <v>4337151.2649537409</v>
      </c>
      <c r="T8" s="11">
        <f>Commercial!T8*Commercial!$B$5</f>
        <v>4386099.7946282951</v>
      </c>
      <c r="U8" s="11">
        <f>Commercial!U8*Commercial!$B$5</f>
        <v>4429645.0601079427</v>
      </c>
      <c r="V8" s="11">
        <f>Commercial!V8*Commercial!$B$5</f>
        <v>4473400.78286325</v>
      </c>
      <c r="W8" s="11">
        <f>Commercial!W8*Commercial!$B$5</f>
        <v>4517366.9628942162</v>
      </c>
      <c r="X8" s="11">
        <f>Commercial!X8*Commercial!$B$5</f>
        <v>4561543.6002008412</v>
      </c>
      <c r="Y8" s="11">
        <f>Commercial!Y8*Commercial!$B$5</f>
        <v>4605930.6947831204</v>
      </c>
      <c r="Z8" s="11">
        <f>Commercial!Z8*Commercial!$B$5</f>
        <v>4644926.6783688152</v>
      </c>
      <c r="AA8" s="11">
        <f>Commercial!AA8*Commercial!$B$5</f>
        <v>4684071.5749333715</v>
      </c>
      <c r="AB8" s="11">
        <f>Commercial!AB8*Commercial!$B$5</f>
        <v>4723365.3844767883</v>
      </c>
      <c r="AC8" s="11">
        <f>Commercial!AC8*Commercial!$B$5</f>
        <v>4762808.1069990648</v>
      </c>
      <c r="AD8" s="11">
        <f>Commercial!AD8*Commercial!$B$5</f>
        <v>4802399.7425001999</v>
      </c>
      <c r="AE8" s="11">
        <f>Commercial!AE8*Commercial!$B$5</f>
        <v>4828214.4176871637</v>
      </c>
      <c r="AF8" s="11">
        <f>Commercial!AF8*Commercial!$B$5</f>
        <v>4854029.0928741284</v>
      </c>
      <c r="AG8" s="11">
        <f>Commercial!AG8*Commercial!$B$5</f>
        <v>4879843.7680610958</v>
      </c>
      <c r="AH8" s="11">
        <f>Commercial!AH8*Commercial!$B$5</f>
        <v>4905658.4432480652</v>
      </c>
      <c r="AI8" s="11">
        <f>Commercial!AI8*Commercial!$B$5</f>
        <v>4931473.1184350299</v>
      </c>
      <c r="AJ8" s="11">
        <f>Commercial!AJ8*Commercial!$B$5</f>
        <v>4957287.7936219927</v>
      </c>
      <c r="AK8" s="11">
        <f>Commercial!AK8*Commercial!$B$5</f>
        <v>4983102.4688089583</v>
      </c>
      <c r="AL8" s="11">
        <f>Commercial!AL8*Commercial!$B$5</f>
        <v>5008917.1439959276</v>
      </c>
      <c r="AM8" s="11">
        <f>Commercial!AM8*Commercial!$B$5</f>
        <v>5034731.8191828942</v>
      </c>
      <c r="AN8" s="11">
        <f>Commercial!AN8*Commercial!$B$5</f>
        <v>5060546.4943698617</v>
      </c>
      <c r="AO8" s="40">
        <f>Commercial!AO8*Commercial!$B$5</f>
        <v>5086493.5296266284</v>
      </c>
      <c r="AP8" s="40">
        <f>Commercial!AP8*Commercial!$B$5</f>
        <v>5112573.6036054716</v>
      </c>
      <c r="AQ8" s="40">
        <f>Commercial!AQ8*Commercial!$B$5</f>
        <v>5138787.3984383326</v>
      </c>
      <c r="AR8" s="40">
        <f>Commercial!AR8*Commercial!$B$5</f>
        <v>5165135.5997546623</v>
      </c>
      <c r="AS8" s="40">
        <f>Commercial!AS8*Commercial!$B$5</f>
        <v>5191618.8966993541</v>
      </c>
      <c r="AT8" s="40">
        <f>Commercial!AT8*Commercial!$B$5</f>
        <v>5218237.9819507645</v>
      </c>
      <c r="AU8" s="40">
        <f>Commercial!AU8*Commercial!$B$5</f>
        <v>5244993.5517388321</v>
      </c>
      <c r="AV8" s="40">
        <f>Commercial!AV8*Commercial!$B$5</f>
        <v>5271886.305863291</v>
      </c>
      <c r="AW8" s="40">
        <f>Commercial!AW8*Commercial!$B$5</f>
        <v>5298916.9477119707</v>
      </c>
      <c r="AX8" s="40">
        <f>Commercial!AX8*Commercial!$B$5</f>
        <v>5326086.1842791922</v>
      </c>
    </row>
    <row r="9" spans="1:50" x14ac:dyDescent="0.2">
      <c r="A9" s="6" t="s">
        <v>10</v>
      </c>
      <c r="B9" s="11">
        <f>Commercial!B9*Commercial!$B$5</f>
        <v>2922.1902708338789</v>
      </c>
      <c r="C9" s="11">
        <f>Commercial!C9*Commercial!$B$5</f>
        <v>3068.5479899233064</v>
      </c>
      <c r="D9" s="11">
        <f>Commercial!D9*Commercial!$B$5</f>
        <v>3098.3656629005004</v>
      </c>
      <c r="E9" s="11">
        <f>Commercial!E9*Commercial!$B$5</f>
        <v>3128.3148421668352</v>
      </c>
      <c r="F9" s="11">
        <f>Commercial!F9*Commercial!$B$5</f>
        <v>3176.2412072080451</v>
      </c>
      <c r="G9" s="11">
        <f>Commercial!G9*Commercial!$B$5</f>
        <v>3224.5193497365372</v>
      </c>
      <c r="H9" s="11">
        <f>Commercial!H9*Commercial!$B$5</f>
        <v>3273.1492697523104</v>
      </c>
      <c r="I9" s="11">
        <f>Commercial!I9*Commercial!$B$5</f>
        <v>3322.1309672553652</v>
      </c>
      <c r="J9" s="11">
        <f>Commercial!J9*Commercial!$B$5</f>
        <v>3371.4644422456981</v>
      </c>
      <c r="K9" s="11">
        <f>Commercial!K9*Commercial!$B$5</f>
        <v>3416.4467281912403</v>
      </c>
      <c r="L9" s="11">
        <f>Commercial!L9*Commercial!$B$5</f>
        <v>3461.7244800377134</v>
      </c>
      <c r="M9" s="11">
        <f>Commercial!M9*Commercial!$B$5</f>
        <v>3507.2976977851185</v>
      </c>
      <c r="N9" s="11">
        <f>Commercial!N9*Commercial!$B$5</f>
        <v>3553.1663814334543</v>
      </c>
      <c r="O9" s="11">
        <f>Commercial!O9*Commercial!$B$5</f>
        <v>3599.3305309827192</v>
      </c>
      <c r="P9" s="11">
        <f>Commercial!P9*Commercial!$B$5</f>
        <v>3640.8904055413141</v>
      </c>
      <c r="Q9" s="11">
        <f>Commercial!Q9*Commercial!$B$5</f>
        <v>3682.688783432839</v>
      </c>
      <c r="R9" s="11">
        <f>Commercial!R9*Commercial!$B$5</f>
        <v>3724.7256646572937</v>
      </c>
      <c r="S9" s="11">
        <f>Commercial!S9*Commercial!$B$5</f>
        <v>3767.0010492146762</v>
      </c>
      <c r="T9" s="11">
        <f>Commercial!T9*Commercial!$B$5</f>
        <v>3809.514937104987</v>
      </c>
      <c r="U9" s="11">
        <f>Commercial!U9*Commercial!$B$5</f>
        <v>3847.3358593484982</v>
      </c>
      <c r="V9" s="11">
        <f>Commercial!V9*Commercial!$B$5</f>
        <v>3885.3395727214402</v>
      </c>
      <c r="W9" s="11">
        <f>Commercial!W9*Commercial!$B$5</f>
        <v>3923.5260772238084</v>
      </c>
      <c r="X9" s="11">
        <f>Commercial!X9*Commercial!$B$5</f>
        <v>3961.8953728556057</v>
      </c>
      <c r="Y9" s="11">
        <f>Commercial!Y9*Commercial!$B$5</f>
        <v>4000.4474596168266</v>
      </c>
      <c r="Z9" s="11">
        <f>Commercial!Z9*Commercial!$B$5</f>
        <v>4034.3171363028755</v>
      </c>
      <c r="AA9" s="11">
        <f>Commercial!AA9*Commercial!$B$5</f>
        <v>4068.3161502689372</v>
      </c>
      <c r="AB9" s="11">
        <f>Commercial!AB9*Commercial!$B$5</f>
        <v>4102.4445015150104</v>
      </c>
      <c r="AC9" s="11">
        <f>Commercial!AC9*Commercial!$B$5</f>
        <v>4136.7021900410955</v>
      </c>
      <c r="AD9" s="11">
        <f>Commercial!AD9*Commercial!$B$5</f>
        <v>4171.0892158471888</v>
      </c>
      <c r="AE9" s="11">
        <f>Commercial!AE9*Commercial!$B$5</f>
        <v>4193.5103634101542</v>
      </c>
      <c r="AF9" s="11">
        <f>Commercial!AF9*Commercial!$B$5</f>
        <v>4215.9315109731215</v>
      </c>
      <c r="AG9" s="11">
        <f>Commercial!AG9*Commercial!$B$5</f>
        <v>4238.3526585360887</v>
      </c>
      <c r="AH9" s="11">
        <f>Commercial!AH9*Commercial!$B$5</f>
        <v>4260.7738060990587</v>
      </c>
      <c r="AI9" s="11">
        <f>Commercial!AI9*Commercial!$B$5</f>
        <v>4283.194953662025</v>
      </c>
      <c r="AJ9" s="11">
        <f>Commercial!AJ9*Commercial!$B$5</f>
        <v>4305.6161012249886</v>
      </c>
      <c r="AK9" s="11">
        <f>Commercial!AK9*Commercial!$B$5</f>
        <v>4328.0372487879558</v>
      </c>
      <c r="AL9" s="11">
        <f>Commercial!AL9*Commercial!$B$5</f>
        <v>4350.4583963509258</v>
      </c>
      <c r="AM9" s="11">
        <f>Commercial!AM9*Commercial!$B$5</f>
        <v>4372.8795439138939</v>
      </c>
      <c r="AN9" s="11">
        <f>Commercial!AN9*Commercial!$B$5</f>
        <v>4395.3006914768612</v>
      </c>
      <c r="AO9" s="40">
        <f>Commercial!AO9*Commercial!$B$5</f>
        <v>4417.8367994115915</v>
      </c>
      <c r="AP9" s="40">
        <f>Commercial!AP9*Commercial!$B$5</f>
        <v>4440.4884571565608</v>
      </c>
      <c r="AQ9" s="40">
        <f>Commercial!AQ9*Commercial!$B$5</f>
        <v>4463.2562571724866</v>
      </c>
      <c r="AR9" s="40">
        <f>Commercial!AR9*Commercial!$B$5</f>
        <v>4486.1407949578188</v>
      </c>
      <c r="AS9" s="40">
        <f>Commercial!AS9*Commercial!$B$5</f>
        <v>4509.1426690643193</v>
      </c>
      <c r="AT9" s="40">
        <f>Commercial!AT9*Commercial!$B$5</f>
        <v>4532.2624811127152</v>
      </c>
      <c r="AU9" s="40">
        <f>Commercial!AU9*Commercial!$B$5</f>
        <v>4555.5008358084351</v>
      </c>
      <c r="AV9" s="40">
        <f>Commercial!AV9*Commercial!$B$5</f>
        <v>4578.8583409574248</v>
      </c>
      <c r="AW9" s="40">
        <f>Commercial!AW9*Commercial!$B$5</f>
        <v>4602.3356074820467</v>
      </c>
      <c r="AX9" s="40">
        <f>Commercial!AX9*Commercial!$B$5</f>
        <v>4625.9332494370537</v>
      </c>
    </row>
    <row r="11" spans="1:50" x14ac:dyDescent="0.2">
      <c r="A11" s="5" t="s">
        <v>66</v>
      </c>
    </row>
    <row r="12" spans="1:50" x14ac:dyDescent="0.2">
      <c r="A12" s="5" t="s">
        <v>4</v>
      </c>
    </row>
    <row r="13" spans="1:50" x14ac:dyDescent="0.2">
      <c r="A13" s="5" t="s">
        <v>39</v>
      </c>
    </row>
    <row r="14" spans="1:50" x14ac:dyDescent="0.2">
      <c r="A14" s="5" t="s">
        <v>6</v>
      </c>
    </row>
    <row r="15" spans="1:50" x14ac:dyDescent="0.2">
      <c r="A15" s="5"/>
    </row>
    <row r="16" spans="1:50" x14ac:dyDescent="0.2">
      <c r="A16" s="6" t="s">
        <v>7</v>
      </c>
      <c r="B16" s="6">
        <v>2022</v>
      </c>
      <c r="C16" s="6">
        <v>2023</v>
      </c>
      <c r="D16" s="6">
        <v>2024</v>
      </c>
      <c r="E16" s="6">
        <v>2025</v>
      </c>
      <c r="F16" s="6">
        <v>2026</v>
      </c>
      <c r="G16" s="6">
        <v>2027</v>
      </c>
      <c r="H16" s="6">
        <v>2028</v>
      </c>
      <c r="I16" s="6">
        <v>2029</v>
      </c>
      <c r="J16" s="6">
        <v>2030</v>
      </c>
      <c r="K16" s="6">
        <v>2031</v>
      </c>
      <c r="L16" s="6">
        <v>2032</v>
      </c>
      <c r="M16" s="6">
        <v>2033</v>
      </c>
      <c r="N16" s="6">
        <v>2034</v>
      </c>
      <c r="O16" s="6">
        <v>2035</v>
      </c>
      <c r="P16" s="6">
        <v>2036</v>
      </c>
      <c r="Q16" s="6">
        <v>2037</v>
      </c>
      <c r="R16" s="6">
        <v>2038</v>
      </c>
      <c r="S16" s="6">
        <v>2039</v>
      </c>
      <c r="T16" s="6">
        <v>2040</v>
      </c>
      <c r="U16" s="6">
        <v>2041</v>
      </c>
      <c r="V16" s="6">
        <v>2042</v>
      </c>
      <c r="W16" s="6">
        <v>2043</v>
      </c>
      <c r="X16" s="6">
        <v>2044</v>
      </c>
      <c r="Y16" s="6">
        <v>2045</v>
      </c>
      <c r="Z16" s="6">
        <v>2046</v>
      </c>
      <c r="AA16" s="6">
        <v>2047</v>
      </c>
      <c r="AB16" s="6">
        <v>2048</v>
      </c>
      <c r="AC16" s="6">
        <v>2049</v>
      </c>
      <c r="AD16" s="6">
        <v>2050</v>
      </c>
      <c r="AE16" s="6">
        <v>2051</v>
      </c>
      <c r="AF16" s="6">
        <v>2052</v>
      </c>
      <c r="AG16" s="6">
        <v>2053</v>
      </c>
      <c r="AH16" s="6">
        <v>2054</v>
      </c>
      <c r="AI16" s="6">
        <v>2055</v>
      </c>
      <c r="AJ16" s="6">
        <v>2056</v>
      </c>
      <c r="AK16" s="6">
        <v>2057</v>
      </c>
      <c r="AL16" s="6">
        <v>2058</v>
      </c>
      <c r="AM16" s="6">
        <v>2059</v>
      </c>
      <c r="AN16" s="6">
        <v>2060</v>
      </c>
      <c r="AO16" s="39">
        <f>AN16+1</f>
        <v>2061</v>
      </c>
      <c r="AP16" s="39">
        <f t="shared" ref="AP16:AX16" si="1">AO16+1</f>
        <v>2062</v>
      </c>
      <c r="AQ16" s="39">
        <f t="shared" si="1"/>
        <v>2063</v>
      </c>
      <c r="AR16" s="39">
        <f t="shared" si="1"/>
        <v>2064</v>
      </c>
      <c r="AS16" s="39">
        <f t="shared" si="1"/>
        <v>2065</v>
      </c>
      <c r="AT16" s="39">
        <f t="shared" si="1"/>
        <v>2066</v>
      </c>
      <c r="AU16" s="39">
        <f t="shared" si="1"/>
        <v>2067</v>
      </c>
      <c r="AV16" s="39">
        <f t="shared" si="1"/>
        <v>2068</v>
      </c>
      <c r="AW16" s="39">
        <f>AV16+1</f>
        <v>2069</v>
      </c>
      <c r="AX16" s="39">
        <f t="shared" si="1"/>
        <v>2070</v>
      </c>
    </row>
    <row r="17" spans="1:50" x14ac:dyDescent="0.2">
      <c r="A17" s="6" t="s">
        <v>40</v>
      </c>
      <c r="B17" s="11">
        <f>Commercial!B17*Commercial!$B$5</f>
        <v>660230.83142148168</v>
      </c>
      <c r="C17" s="11">
        <f>Commercial!C17*Commercial!$B$5</f>
        <v>703320.55036810448</v>
      </c>
      <c r="D17" s="11">
        <f>Commercial!D17*Commercial!$B$5</f>
        <v>749222.50374931376</v>
      </c>
      <c r="E17" s="11">
        <f>Commercial!E17*Commercial!$B$5</f>
        <v>798120.23099651898</v>
      </c>
      <c r="F17" s="11">
        <f>Commercial!F17*Commercial!$B$5</f>
        <v>850209.25017366081</v>
      </c>
      <c r="G17" s="11">
        <f>Commercial!G17*Commercial!$B$5</f>
        <v>905697.83975819463</v>
      </c>
      <c r="H17" s="11">
        <f>Commercial!H17*Commercial!$B$5</f>
        <v>964807.87144471903</v>
      </c>
      <c r="I17" s="11">
        <f>Commercial!I17*Commercial!$B$5</f>
        <v>1027775.6973012226</v>
      </c>
      <c r="J17" s="11">
        <f>Commercial!J17*Commercial!$B$5</f>
        <v>1094853.0948252524</v>
      </c>
      <c r="K17" s="11">
        <f>Commercial!K17*Commercial!$B$5</f>
        <v>1166308.273678818</v>
      </c>
      <c r="L17" s="11">
        <f>Commercial!L17*Commercial!$B$5</f>
        <v>1242426.9481274802</v>
      </c>
      <c r="M17" s="11">
        <f>Commercial!M17*Commercial!$B$5</f>
        <v>1323513.4794717696</v>
      </c>
      <c r="N17" s="11">
        <f>Commercial!N17*Commercial!$B$5</f>
        <v>1409892.0930389664</v>
      </c>
      <c r="O17" s="11">
        <f>Commercial!O17*Commercial!$B$5</f>
        <v>1501908.1746014042</v>
      </c>
      <c r="P17" s="11">
        <f>Commercial!P17*Commercial!$B$5</f>
        <v>1599929.6514050169</v>
      </c>
      <c r="Q17" s="11">
        <f>Commercial!Q17*Commercial!$B$5</f>
        <v>1704348.4633302051</v>
      </c>
      <c r="R17" s="11">
        <f>Commercial!R17*Commercial!$B$5</f>
        <v>1815582.1300674747</v>
      </c>
      <c r="S17" s="11">
        <f>Commercial!S17*Commercial!$B$5</f>
        <v>1934075.4205741945</v>
      </c>
      <c r="T17" s="11">
        <f>Commercial!T17*Commercial!$B$5</f>
        <v>2060302.1314878375</v>
      </c>
      <c r="U17" s="11">
        <f>Commercial!U17*Commercial!$B$5</f>
        <v>2194766.9816066963</v>
      </c>
      <c r="V17" s="11">
        <f>Commercial!V17*Commercial!$B$5</f>
        <v>2338007.6300131739</v>
      </c>
      <c r="W17" s="11">
        <f>Commercial!W17*Commercial!$B$5</f>
        <v>2490596.8259091387</v>
      </c>
      <c r="X17" s="11">
        <f>Commercial!X17*Commercial!$B$5</f>
        <v>2653144.6987594827</v>
      </c>
      <c r="Y17" s="11">
        <f>Commercial!Y17*Commercial!$B$5</f>
        <v>2826301.1979010478</v>
      </c>
      <c r="Z17" s="11">
        <f>Commercial!Z17*Commercial!$B$5</f>
        <v>3010758.6913717152</v>
      </c>
      <c r="AA17" s="11">
        <f>Commercial!AA17*Commercial!$B$5</f>
        <v>3207254.7343510971</v>
      </c>
      <c r="AB17" s="11">
        <f>Commercial!AB17*Commercial!$B$5</f>
        <v>3416575.0182825075</v>
      </c>
      <c r="AC17" s="11">
        <f>Commercial!AC17*Commercial!$B$5</f>
        <v>3639556.5124682342</v>
      </c>
      <c r="AD17" s="11">
        <f>Commercial!AD17*Commercial!$B$5</f>
        <v>3877090.8106998946</v>
      </c>
      <c r="AE17" s="11">
        <f>Commercial!AE17*Commercial!$B$5</f>
        <v>4130127.6963053523</v>
      </c>
      <c r="AF17" s="11">
        <f>Commercial!AF17*Commercial!$B$5</f>
        <v>4399678.9398670923</v>
      </c>
      <c r="AG17" s="11">
        <f>Commercial!AG17*Commercial!$B$5</f>
        <v>4686822.3447972741</v>
      </c>
      <c r="AH17" s="11">
        <f>Commercial!AH17*Commercial!$B$5</f>
        <v>4992706.0569457328</v>
      </c>
      <c r="AI17" s="11">
        <f>Commercial!AI17*Commercial!$B$5</f>
        <v>5318553.1554729389</v>
      </c>
      <c r="AJ17" s="11">
        <f>Commercial!AJ17*Commercial!$B$5</f>
        <v>5665666.5433445554</v>
      </c>
      <c r="AK17" s="11">
        <f>Commercial!AK17*Commercial!$B$5</f>
        <v>6035434.1570023187</v>
      </c>
      <c r="AL17" s="11">
        <f>Commercial!AL17*Commercial!$B$5</f>
        <v>6429334.5160421347</v>
      </c>
      <c r="AM17" s="11">
        <f>Commercial!AM17*Commercial!$B$5</f>
        <v>6848942.6350898501</v>
      </c>
      <c r="AN17" s="11">
        <f>Commercial!AN17*Commercial!$B$5</f>
        <v>7295936.3215133883</v>
      </c>
      <c r="AO17" s="40">
        <f>Commercial!AO17*Commercial!$B$5</f>
        <v>7772102.8841527132</v>
      </c>
      <c r="AP17" s="40">
        <f>Commercial!AP17*Commercial!$B$5</f>
        <v>8279346.2798925666</v>
      </c>
      <c r="AQ17" s="40">
        <f>Commercial!AQ17*Commercial!$B$5</f>
        <v>8819694.7266535945</v>
      </c>
      <c r="AR17" s="40">
        <f>Commercial!AR17*Commercial!$B$5</f>
        <v>9395308.8132425118</v>
      </c>
      <c r="AS17" s="40">
        <f>Commercial!AS17*Commercial!$B$5</f>
        <v>10008490.138488598</v>
      </c>
      <c r="AT17" s="40">
        <f>Commercial!AT17*Commercial!$B$5</f>
        <v>10661690.514210237</v>
      </c>
      <c r="AU17" s="40">
        <f>Commercial!AU17*Commercial!$B$5</f>
        <v>11357521.768809609</v>
      </c>
      <c r="AV17" s="40">
        <f>Commercial!AV17*Commercial!$B$5</f>
        <v>12098766.190695351</v>
      </c>
      <c r="AW17" s="40">
        <f>Commercial!AW17*Commercial!$B$5</f>
        <v>12888387.653291296</v>
      </c>
      <c r="AX17" s="40">
        <f>Commercial!AX17*Commercial!$B$5</f>
        <v>13729543.466114761</v>
      </c>
    </row>
    <row r="18" spans="1:50" x14ac:dyDescent="0.2">
      <c r="A18" s="6" t="s">
        <v>41</v>
      </c>
      <c r="B18" s="11">
        <f>Commercial!B18*Commercial!$B$5</f>
        <v>403310.80465792737</v>
      </c>
      <c r="C18" s="11">
        <f>Commercial!C18*Commercial!$B$5</f>
        <v>429632.73388899677</v>
      </c>
      <c r="D18" s="11">
        <f>Commercial!D18*Commercial!$B$5</f>
        <v>457672.55401325261</v>
      </c>
      <c r="E18" s="11">
        <f>Commercial!E18*Commercial!$B$5</f>
        <v>487542.38253906503</v>
      </c>
      <c r="F18" s="11">
        <f>Commercial!F18*Commercial!$B$5</f>
        <v>519361.65428216849</v>
      </c>
      <c r="G18" s="11">
        <f>Commercial!G18*Commercial!$B$5</f>
        <v>553257.59892699728</v>
      </c>
      <c r="H18" s="11">
        <f>Commercial!H18*Commercial!$B$5</f>
        <v>589365.74975588336</v>
      </c>
      <c r="I18" s="11">
        <f>Commercial!I18*Commercial!$B$5</f>
        <v>627830.48558027658</v>
      </c>
      <c r="J18" s="11">
        <f>Commercial!J18*Commercial!$B$5</f>
        <v>668805.60804090241</v>
      </c>
      <c r="K18" s="11">
        <f>Commercial!K18*Commercial!$B$5</f>
        <v>712454.95658520004</v>
      </c>
      <c r="L18" s="11">
        <f>Commercial!L18*Commercial!$B$5</f>
        <v>758953.06358103454</v>
      </c>
      <c r="M18" s="11">
        <f>Commercial!M18*Commercial!$B$5</f>
        <v>808485.85218615842</v>
      </c>
      <c r="N18" s="11">
        <f>Commercial!N18*Commercial!$B$5</f>
        <v>861251.37976386503</v>
      </c>
      <c r="O18" s="11">
        <f>Commercial!O18*Commercial!$B$5</f>
        <v>917460.62981738953</v>
      </c>
      <c r="P18" s="11">
        <f>Commercial!P18*Commercial!$B$5</f>
        <v>977338.35560960684</v>
      </c>
      <c r="Q18" s="11">
        <f>Commercial!Q18*Commercial!$B$5</f>
        <v>1041123.9788412614</v>
      </c>
      <c r="R18" s="11">
        <f>Commercial!R18*Commercial!$B$5</f>
        <v>1109072.5469810925</v>
      </c>
      <c r="S18" s="11">
        <f>Commercial!S18*Commercial!$B$5</f>
        <v>1181455.7530757538</v>
      </c>
      <c r="T18" s="11">
        <f>Commercial!T18*Commercial!$B$5</f>
        <v>1258563.0221172471</v>
      </c>
      <c r="U18" s="11">
        <f>Commercial!U18*Commercial!$B$5</f>
        <v>1340702.6683117219</v>
      </c>
      <c r="V18" s="11">
        <f>Commercial!V18*Commercial!$B$5</f>
        <v>1428203.1278769916</v>
      </c>
      <c r="W18" s="11">
        <f>Commercial!W18*Commercial!$B$5</f>
        <v>1521414.2722981176</v>
      </c>
      <c r="X18" s="11">
        <f>Commercial!X18*Commercial!$B$5</f>
        <v>1620708.8072921305</v>
      </c>
      <c r="Y18" s="11">
        <f>Commercial!Y18*Commercial!$B$5</f>
        <v>1726483.763075666</v>
      </c>
      <c r="Z18" s="11">
        <f>Commercial!Z18*Commercial!$B$5</f>
        <v>1839162.0818943575</v>
      </c>
      <c r="AA18" s="11">
        <f>Commercial!AA18*Commercial!$B$5</f>
        <v>1959194.3091617359</v>
      </c>
      <c r="AB18" s="11">
        <f>Commercial!AB18*Commercial!$B$5</f>
        <v>2087060.3949697001</v>
      </c>
      <c r="AC18" s="11">
        <f>Commercial!AC18*Commercial!$B$5</f>
        <v>2223271.6131738708</v>
      </c>
      <c r="AD18" s="11">
        <f>Commercial!AD18*Commercial!$B$5</f>
        <v>2368372.6057273517</v>
      </c>
      <c r="AE18" s="11">
        <f>Commercial!AE18*Commercial!$B$5</f>
        <v>2522943.5604371661</v>
      </c>
      <c r="AF18" s="11">
        <f>Commercial!AF18*Commercial!$B$5</f>
        <v>2687602.5308511509</v>
      </c>
      <c r="AG18" s="11">
        <f>Commercial!AG18*Commercial!$B$5</f>
        <v>2863007.9075514083</v>
      </c>
      <c r="AH18" s="11">
        <f>Commercial!AH18*Commercial!$B$5</f>
        <v>3049861.0507358001</v>
      </c>
      <c r="AI18" s="11">
        <f>Commercial!AI18*Commercial!$B$5</f>
        <v>3248909.0946139018</v>
      </c>
      <c r="AJ18" s="11">
        <f>Commercial!AJ18*Commercial!$B$5</f>
        <v>3460947.9348307867</v>
      </c>
      <c r="AK18" s="11">
        <f>Commercial!AK18*Commercial!$B$5</f>
        <v>3686825.4108639392</v>
      </c>
      <c r="AL18" s="11">
        <f>Commercial!AL18*Commercial!$B$5</f>
        <v>3927444.6961180968</v>
      </c>
      <c r="AM18" s="11">
        <f>Commercial!AM18*Commercial!$B$5</f>
        <v>4183767.9092733734</v>
      </c>
      <c r="AN18" s="11">
        <f>Commercial!AN18*Commercial!$B$5</f>
        <v>4456819.9613266699</v>
      </c>
      <c r="AO18" s="40">
        <f>Commercial!AO18*Commercial!$B$5</f>
        <v>4747692.65370881</v>
      </c>
      <c r="AP18" s="40">
        <f>Commercial!AP18*Commercial!$B$5</f>
        <v>5057549.0438637575</v>
      </c>
      <c r="AQ18" s="40">
        <f>Commercial!AQ18*Commercial!$B$5</f>
        <v>5387628.095745733</v>
      </c>
      <c r="AR18" s="40">
        <f>Commercial!AR18*Commercial!$B$5</f>
        <v>5739249.6338292994</v>
      </c>
      <c r="AS18" s="40">
        <f>Commercial!AS18*Commercial!$B$5</f>
        <v>6113819.6204410568</v>
      </c>
      <c r="AT18" s="40">
        <f>Commercial!AT18*Commercial!$B$5</f>
        <v>6512835.777514426</v>
      </c>
      <c r="AU18" s="40">
        <f>Commercial!AU18*Commercial!$B$5</f>
        <v>6937893.5752461608</v>
      </c>
      <c r="AV18" s="40">
        <f>Commercial!AV18*Commercial!$B$5</f>
        <v>7390692.6116002994</v>
      </c>
      <c r="AW18" s="40">
        <f>Commercial!AW18*Commercial!$B$5</f>
        <v>7873043.4081680505</v>
      </c>
      <c r="AX18" s="40">
        <f>Commercial!AX18*Commercial!$B$5</f>
        <v>8386874.6495569488</v>
      </c>
    </row>
    <row r="19" spans="1:50" x14ac:dyDescent="0.2">
      <c r="A19" s="6" t="s">
        <v>42</v>
      </c>
      <c r="B19" s="11">
        <f>Commercial!B19*Commercial!$B$5</f>
        <v>313172.82632367685</v>
      </c>
      <c r="C19" s="11">
        <f>Commercial!C19*Commercial!$B$5</f>
        <v>333611.9340202274</v>
      </c>
      <c r="D19" s="11">
        <f>Commercial!D19*Commercial!$B$5</f>
        <v>355384.99245680624</v>
      </c>
      <c r="E19" s="11">
        <f>Commercial!E19*Commercial!$B$5</f>
        <v>378579.06143089762</v>
      </c>
      <c r="F19" s="11">
        <f>Commercial!F19*Commercial!$B$5</f>
        <v>403286.88266519533</v>
      </c>
      <c r="G19" s="11">
        <f>Commercial!G19*Commercial!$B$5</f>
        <v>429607.25063633214</v>
      </c>
      <c r="H19" s="11">
        <f>Commercial!H19*Commercial!$B$5</f>
        <v>457645.40760560794</v>
      </c>
      <c r="I19" s="11">
        <f>Commercial!I19*Commercial!$B$5</f>
        <v>487513.46443125099</v>
      </c>
      <c r="J19" s="11">
        <f>Commercial!J19*Commercial!$B$5</f>
        <v>519330.84884483449</v>
      </c>
      <c r="K19" s="11">
        <f>Commercial!K19*Commercial!$B$5</f>
        <v>553224.78298428596</v>
      </c>
      <c r="L19" s="11">
        <f>Commercial!L19*Commercial!$B$5</f>
        <v>589330.79209291155</v>
      </c>
      <c r="M19" s="11">
        <f>Commercial!M19*Commercial!$B$5</f>
        <v>627793.24641847028</v>
      </c>
      <c r="N19" s="11">
        <f>Commercial!N19*Commercial!$B$5</f>
        <v>668765.93847909069</v>
      </c>
      <c r="O19" s="11">
        <f>Commercial!O19*Commercial!$B$5</f>
        <v>712412.69800423377</v>
      </c>
      <c r="P19" s="11">
        <f>Commercial!P19*Commercial!$B$5</f>
        <v>758908.0470095441</v>
      </c>
      <c r="Q19" s="11">
        <f>Commercial!Q19*Commercial!$B$5</f>
        <v>808437.89762492036</v>
      </c>
      <c r="R19" s="11">
        <f>Commercial!R19*Commercial!$B$5</f>
        <v>861200.2954660753</v>
      </c>
      <c r="S19" s="11">
        <f>Commercial!S19*Commercial!$B$5</f>
        <v>917406.21152195882</v>
      </c>
      <c r="T19" s="11">
        <f>Commercial!T19*Commercial!$B$5</f>
        <v>977280.38572442264</v>
      </c>
      <c r="U19" s="11">
        <f>Commercial!U19*Commercial!$B$5</f>
        <v>1041062.2255731432</v>
      </c>
      <c r="V19" s="11">
        <f>Commercial!V19*Commercial!$B$5</f>
        <v>1109006.7634089647</v>
      </c>
      <c r="W19" s="11">
        <f>Commercial!W19*Commercial!$B$5</f>
        <v>1181385.6761633283</v>
      </c>
      <c r="X19" s="11">
        <f>Commercial!X19*Commercial!$B$5</f>
        <v>1258488.371661271</v>
      </c>
      <c r="Y19" s="11">
        <f>Commercial!Y19*Commercial!$B$5</f>
        <v>1340623.1458215809</v>
      </c>
      <c r="Z19" s="11">
        <f>Commercial!Z19*Commercial!$B$5</f>
        <v>1428118.4153811943</v>
      </c>
      <c r="AA19" s="11">
        <f>Commercial!AA19*Commercial!$B$5</f>
        <v>1521324.0310728787</v>
      </c>
      <c r="AB19" s="11">
        <f>Commercial!AB19*Commercial!$B$5</f>
        <v>1620612.6765069873</v>
      </c>
      <c r="AC19" s="11">
        <f>Commercial!AC19*Commercial!$B$5</f>
        <v>1726381.3583506877</v>
      </c>
      <c r="AD19" s="11">
        <f>Commercial!AD19*Commercial!$B$5</f>
        <v>1839052.9937631991</v>
      </c>
      <c r="AE19" s="11">
        <f>Commercial!AE19*Commercial!$B$5</f>
        <v>1959078.1014343882</v>
      </c>
      <c r="AF19" s="11">
        <f>Commercial!AF19*Commercial!$B$5</f>
        <v>2086936.6029883726</v>
      </c>
      <c r="AG19" s="11">
        <f>Commercial!AG19*Commercial!$B$5</f>
        <v>2223139.7419550563</v>
      </c>
      <c r="AH19" s="11">
        <f>Commercial!AH19*Commercial!$B$5</f>
        <v>2368232.1279826285</v>
      </c>
      <c r="AI19" s="11">
        <f>Commercial!AI19*Commercial!$B$5</f>
        <v>2522793.9144648318</v>
      </c>
      <c r="AJ19" s="11">
        <f>Commercial!AJ19*Commercial!$B$5</f>
        <v>2687443.1182902502</v>
      </c>
      <c r="AK19" s="11">
        <f>Commercial!AK19*Commercial!$B$5</f>
        <v>2862838.0909891808</v>
      </c>
      <c r="AL19" s="11">
        <f>Commercial!AL19*Commercial!$B$5</f>
        <v>3049680.1511589824</v>
      </c>
      <c r="AM19" s="11">
        <f>Commercial!AM19*Commercial!$B$5</f>
        <v>3248716.3886936773</v>
      </c>
      <c r="AN19" s="11">
        <f>Commercial!AN19*Commercial!$B$5</f>
        <v>3460742.6520305574</v>
      </c>
      <c r="AO19" s="40">
        <f>Commercial!AO19*Commercial!$B$5</f>
        <v>3686606.7303583235</v>
      </c>
      <c r="AP19" s="40">
        <f>Commercial!AP19*Commercial!$B$5</f>
        <v>3927211.7435108502</v>
      </c>
      <c r="AQ19" s="40">
        <f>Commercial!AQ19*Commercial!$B$5</f>
        <v>4183519.7531011063</v>
      </c>
      <c r="AR19" s="40">
        <f>Commercial!AR19*Commercial!$B$5</f>
        <v>4456555.6093343832</v>
      </c>
      <c r="AS19" s="40">
        <f>Commercial!AS19*Commercial!$B$5</f>
        <v>4747411.0488823503</v>
      </c>
      <c r="AT19" s="40">
        <f>Commercial!AT19*Commercial!$B$5</f>
        <v>5057249.0602033371</v>
      </c>
      <c r="AU19" s="40">
        <f>Commercial!AU19*Commercial!$B$5</f>
        <v>5387308.5337636098</v>
      </c>
      <c r="AV19" s="40">
        <f>Commercial!AV19*Commercial!$B$5</f>
        <v>5738909.2157536093</v>
      </c>
      <c r="AW19" s="40">
        <f>Commercial!AW19*Commercial!$B$5</f>
        <v>6113456.985106633</v>
      </c>
      <c r="AX19" s="40">
        <f>Commercial!AX19*Commercial!$B$5</f>
        <v>6512449.4749201629</v>
      </c>
    </row>
    <row r="20" spans="1:50" x14ac:dyDescent="0.2">
      <c r="A20" s="6" t="s">
        <v>43</v>
      </c>
      <c r="B20" s="11">
        <f>Commercial!B20*Commercial!$B$5</f>
        <v>21962.709867912006</v>
      </c>
      <c r="C20" s="11">
        <f>Commercial!C20*Commercial!$B$5</f>
        <v>23396.097935350503</v>
      </c>
      <c r="D20" s="11">
        <f>Commercial!D20*Commercial!$B$5</f>
        <v>24923.035540356632</v>
      </c>
      <c r="E20" s="11">
        <f>Commercial!E20*Commercial!$B$5</f>
        <v>26549.628158605756</v>
      </c>
      <c r="F20" s="11">
        <f>Commercial!F20*Commercial!$B$5</f>
        <v>28282.379737365864</v>
      </c>
      <c r="G20" s="11">
        <f>Commercial!G20*Commercial!$B$5</f>
        <v>30128.218701597409</v>
      </c>
      <c r="H20" s="11">
        <f>Commercial!H20*Commercial!$B$5</f>
        <v>32094.525657331593</v>
      </c>
      <c r="I20" s="11">
        <f>Commercial!I20*Commercial!$B$5</f>
        <v>34189.16290309927</v>
      </c>
      <c r="J20" s="11">
        <f>Commercial!J20*Commercial!$B$5</f>
        <v>36420.505867412299</v>
      </c>
      <c r="K20" s="11">
        <f>Commercial!K20*Commercial!$B$5</f>
        <v>38797.47659800027</v>
      </c>
      <c r="L20" s="11">
        <f>Commercial!L20*Commercial!$B$5</f>
        <v>41329.579436709988</v>
      </c>
      <c r="M20" s="11">
        <f>Commercial!M20*Commercial!$B$5</f>
        <v>44026.93902271377</v>
      </c>
      <c r="N20" s="11">
        <f>Commercial!N20*Commercial!$B$5</f>
        <v>46900.340775982928</v>
      </c>
      <c r="O20" s="11">
        <f>Commercial!O20*Commercial!$B$5</f>
        <v>49961.274022900354</v>
      </c>
      <c r="P20" s="11">
        <f>Commercial!P20*Commercial!$B$5</f>
        <v>53221.977936449766</v>
      </c>
      <c r="Q20" s="11">
        <f>Commercial!Q20*Commercial!$B$5</f>
        <v>56695.490474674385</v>
      </c>
      <c r="R20" s="11">
        <f>Commercial!R20*Commercial!$B$5</f>
        <v>60395.700513086078</v>
      </c>
      <c r="S20" s="11">
        <f>Commercial!S20*Commercial!$B$5</f>
        <v>64337.403379476367</v>
      </c>
      <c r="T20" s="11">
        <f>Commercial!T20*Commercial!$B$5</f>
        <v>68536.360013186437</v>
      </c>
      <c r="U20" s="11">
        <f>Commercial!U20*Commercial!$B$5</f>
        <v>73009.35998538477</v>
      </c>
      <c r="V20" s="11">
        <f>Commercial!V20*Commercial!$B$5</f>
        <v>77774.288632339667</v>
      </c>
      <c r="W20" s="11">
        <f>Commercial!W20*Commercial!$B$5</f>
        <v>82850.198570119668</v>
      </c>
      <c r="X20" s="11">
        <f>Commercial!X20*Commercial!$B$5</f>
        <v>88257.385876674496</v>
      </c>
      <c r="Y20" s="11">
        <f>Commercial!Y20*Commercial!$B$5</f>
        <v>94017.471245910696</v>
      </c>
      <c r="Z20" s="11">
        <f>Commercial!Z20*Commercial!$B$5</f>
        <v>100153.48643825838</v>
      </c>
      <c r="AA20" s="11">
        <f>Commercial!AA20*Commercial!$B$5</f>
        <v>106689.96637340084</v>
      </c>
      <c r="AB20" s="11">
        <f>Commercial!AB20*Commercial!$B$5</f>
        <v>113653.04723340344</v>
      </c>
      <c r="AC20" s="11">
        <f>Commercial!AC20*Commercial!$B$5</f>
        <v>121070.57096850492</v>
      </c>
      <c r="AD20" s="11">
        <f>Commercial!AD20*Commercial!$B$5</f>
        <v>128972.19662344141</v>
      </c>
      <c r="AE20" s="11">
        <f>Commercial!AE20*Commercial!$B$5</f>
        <v>137389.51892944105</v>
      </c>
      <c r="AF20" s="11">
        <f>Commercial!AF20*Commercial!$B$5</f>
        <v>146356.19463608053</v>
      </c>
      <c r="AG20" s="11">
        <f>Commercial!AG20*Commercial!$B$5</f>
        <v>155908.07708814373</v>
      </c>
      <c r="AH20" s="11">
        <f>Commercial!AH20*Commercial!$B$5</f>
        <v>166083.35958558865</v>
      </c>
      <c r="AI20" s="11">
        <f>Commercial!AI20*Commercial!$B$5</f>
        <v>176922.72809984902</v>
      </c>
      <c r="AJ20" s="11">
        <f>Commercial!AJ20*Commercial!$B$5</f>
        <v>188469.52395710815</v>
      </c>
      <c r="AK20" s="11">
        <f>Commercial!AK20*Commercial!$B$5</f>
        <v>200769.91713903644</v>
      </c>
      <c r="AL20" s="11">
        <f>Commercial!AL20*Commercial!$B$5</f>
        <v>213873.09089393661</v>
      </c>
      <c r="AM20" s="11">
        <f>Commercial!AM20*Commercial!$B$5</f>
        <v>227831.43839646646</v>
      </c>
      <c r="AN20" s="11">
        <f>Commercial!AN20*Commercial!$B$5</f>
        <v>242700.77224228537</v>
      </c>
      <c r="AO20" s="40">
        <f>Commercial!AO20*Commercial!$B$5</f>
        <v>258540.54761529015</v>
      </c>
      <c r="AP20" s="40">
        <f>Commercial!AP20*Commercial!$B$5</f>
        <v>275414.10001977789</v>
      </c>
      <c r="AQ20" s="40">
        <f>Commercial!AQ20*Commercial!$B$5</f>
        <v>293388.89852810948</v>
      </c>
      <c r="AR20" s="40">
        <f>Commercial!AR20*Commercial!$B$5</f>
        <v>312536.81555648748</v>
      </c>
      <c r="AS20" s="40">
        <f>Commercial!AS20*Commercial!$B$5</f>
        <v>332934.41424754943</v>
      </c>
      <c r="AT20" s="40">
        <f>Commercial!AT20*Commercial!$B$5</f>
        <v>354663.25460887933</v>
      </c>
      <c r="AU20" s="40">
        <f>Commercial!AU20*Commercial!$B$5</f>
        <v>377810.21963153395</v>
      </c>
      <c r="AV20" s="40">
        <f>Commercial!AV20*Commercial!$B$5</f>
        <v>402467.86269257421</v>
      </c>
      <c r="AW20" s="40">
        <f>Commercial!AW20*Commercial!$B$5</f>
        <v>428734.77763069241</v>
      </c>
      <c r="AX20" s="40">
        <f>Commercial!AX20*Commercial!$B$5</f>
        <v>456715.9929746876</v>
      </c>
    </row>
    <row r="21" spans="1:50" x14ac:dyDescent="0.2">
      <c r="A21" s="6" t="s">
        <v>8</v>
      </c>
      <c r="B21" s="11">
        <f>Commercial!B21*Commercial!$B$5</f>
        <v>16796.90321783426</v>
      </c>
      <c r="C21" s="11">
        <f>Commercial!C21*Commercial!$B$5</f>
        <v>17893.146841101312</v>
      </c>
      <c r="D21" s="11">
        <f>Commercial!D21*Commercial!$B$5</f>
        <v>19060.936395542027</v>
      </c>
      <c r="E21" s="11">
        <f>Commercial!E21*Commercial!$B$5</f>
        <v>20304.941299667804</v>
      </c>
      <c r="F21" s="11">
        <f>Commercial!F21*Commercial!$B$5</f>
        <v>21630.135719847523</v>
      </c>
      <c r="G21" s="11">
        <f>Commercial!G21*Commercial!$B$5</f>
        <v>23041.81845956275</v>
      </c>
      <c r="H21" s="11">
        <f>Commercial!H21*Commercial!$B$5</f>
        <v>24545.634146727829</v>
      </c>
      <c r="I21" s="11">
        <f>Commercial!I21*Commercial!$B$5</f>
        <v>26147.595803792487</v>
      </c>
      <c r="J21" s="11">
        <f>Commercial!J21*Commercial!$B$5</f>
        <v>27854.10889087378</v>
      </c>
      <c r="K21" s="11">
        <f>Commercial!K21*Commercial!$B$5</f>
        <v>29671.996918054043</v>
      </c>
      <c r="L21" s="11">
        <f>Commercial!L21*Commercial!$B$5</f>
        <v>31608.528729255991</v>
      </c>
      <c r="M21" s="11">
        <f>Commercial!M21*Commercial!$B$5</f>
        <v>33671.447566789691</v>
      </c>
      <c r="N21" s="11">
        <f>Commercial!N21*Commercial!$B$5</f>
        <v>35869.002032786273</v>
      </c>
      <c r="O21" s="11">
        <f>Commercial!O21*Commercial!$B$5</f>
        <v>38209.979071318325</v>
      </c>
      <c r="P21" s="11">
        <f>Commercial!P21*Commercial!$B$5</f>
        <v>40703.739103085747</v>
      </c>
      <c r="Q21" s="11">
        <f>Commercial!Q21*Commercial!$B$5</f>
        <v>43360.253453153942</v>
      </c>
      <c r="R21" s="11">
        <f>Commercial!R21*Commercial!$B$5</f>
        <v>46190.144221399511</v>
      </c>
      <c r="S21" s="11">
        <f>Commercial!S21*Commercial!$B$5</f>
        <v>49204.726755085372</v>
      </c>
      <c r="T21" s="11">
        <f>Commercial!T21*Commercial!$B$5</f>
        <v>52416.054893392939</v>
      </c>
      <c r="U21" s="11">
        <f>Commercial!U21*Commercial!$B$5</f>
        <v>55836.969164821756</v>
      </c>
      <c r="V21" s="11">
        <f>Commercial!V21*Commercial!$B$5</f>
        <v>59481.148130174377</v>
      </c>
      <c r="W21" s="11">
        <f>Commercial!W21*Commercial!$B$5</f>
        <v>63363.163076421974</v>
      </c>
      <c r="X21" s="11">
        <f>Commercial!X21*Commercial!$B$5</f>
        <v>67498.536280144835</v>
      </c>
      <c r="Y21" s="11">
        <f>Commercial!Y21*Commercial!$B$5</f>
        <v>71903.803073514442</v>
      </c>
      <c r="Z21" s="11">
        <f>Commercial!Z21*Commercial!$B$5</f>
        <v>76596.577960988885</v>
      </c>
      <c r="AA21" s="11">
        <f>Commercial!AA21*Commercial!$B$5</f>
        <v>81595.625051089213</v>
      </c>
      <c r="AB21" s="11">
        <f>Commercial!AB21*Commercial!$B$5</f>
        <v>86920.933084880453</v>
      </c>
      <c r="AC21" s="11">
        <f>Commercial!AC21*Commercial!$B$5</f>
        <v>92593.795361157157</v>
      </c>
      <c r="AD21" s="11">
        <f>Commercial!AD21*Commercial!$B$5</f>
        <v>98636.894877917424</v>
      </c>
      <c r="AE21" s="11">
        <f>Commercial!AE21*Commercial!$B$5</f>
        <v>105074.39503056294</v>
      </c>
      <c r="AF21" s="11">
        <f>Commercial!AF21*Commercial!$B$5</f>
        <v>111932.03622948335</v>
      </c>
      <c r="AG21" s="11">
        <f>Commercial!AG21*Commercial!$B$5</f>
        <v>119237.23882335109</v>
      </c>
      <c r="AH21" s="11">
        <f>Commercial!AH21*Commercial!$B$5</f>
        <v>127019.21273966698</v>
      </c>
      <c r="AI21" s="11">
        <f>Commercial!AI21*Commercial!$B$5</f>
        <v>135309.07428095504</v>
      </c>
      <c r="AJ21" s="11">
        <f>Commercial!AJ21*Commercial!$B$5</f>
        <v>144139.97054361689</v>
      </c>
      <c r="AK21" s="11">
        <f>Commercial!AK21*Commercial!$B$5</f>
        <v>153547.2119569371</v>
      </c>
      <c r="AL21" s="11">
        <f>Commercial!AL21*Commercial!$B$5</f>
        <v>163568.41347219658</v>
      </c>
      <c r="AM21" s="11">
        <f>Commercial!AM21*Commercial!$B$5</f>
        <v>174243.64496644126</v>
      </c>
      <c r="AN21" s="11">
        <f>Commercial!AN21*Commercial!$B$5</f>
        <v>185615.59146229649</v>
      </c>
      <c r="AO21" s="40">
        <f>Commercial!AO21*Commercial!$B$5</f>
        <v>197729.72380446771</v>
      </c>
      <c r="AP21" s="40">
        <f>Commercial!AP21*Commercial!$B$5</f>
        <v>210634.48047537939</v>
      </c>
      <c r="AQ21" s="40">
        <f>Commercial!AQ21*Commercial!$B$5</f>
        <v>224381.46127694382</v>
      </c>
      <c r="AR21" s="40">
        <f>Commercial!AR21*Commercial!$B$5</f>
        <v>239025.63365289857</v>
      </c>
      <c r="AS21" s="40">
        <f>Commercial!AS21*Commercial!$B$5</f>
        <v>254625.55247669367</v>
      </c>
      <c r="AT21" s="40">
        <f>Commercial!AT21*Commercial!$B$5</f>
        <v>271243.59418375412</v>
      </c>
      <c r="AU21" s="40">
        <f>Commercial!AU21*Commercial!$B$5</f>
        <v>288946.20618429629</v>
      </c>
      <c r="AV21" s="40">
        <f>Commercial!AV21*Commercial!$B$5</f>
        <v>307804.1725539795</v>
      </c>
      <c r="AW21" s="40">
        <f>Commercial!AW21*Commercial!$B$5</f>
        <v>327892.8970647587</v>
      </c>
      <c r="AX21" s="40">
        <f>Commercial!AX21*Commercial!$B$5</f>
        <v>349292.70468763961</v>
      </c>
    </row>
    <row r="22" spans="1:50" x14ac:dyDescent="0.2">
      <c r="A22" s="6" t="s">
        <v>9</v>
      </c>
      <c r="B22" s="11">
        <f>Commercial!B22*Commercial!$B$5</f>
        <v>172196.44058614271</v>
      </c>
      <c r="C22" s="11">
        <f>Commercial!C22*Commercial!$B$5</f>
        <v>183434.77705172499</v>
      </c>
      <c r="D22" s="11">
        <f>Commercial!D22*Commercial!$B$5</f>
        <v>195406.57935483404</v>
      </c>
      <c r="E22" s="11">
        <f>Commercial!E22*Commercial!$B$5</f>
        <v>208159.71686977323</v>
      </c>
      <c r="F22" s="11">
        <f>Commercial!F22*Commercial!$B$5</f>
        <v>221745.18314770464</v>
      </c>
      <c r="G22" s="11">
        <f>Commercial!G22*Commercial!$B$5</f>
        <v>236217.29981488627</v>
      </c>
      <c r="H22" s="11">
        <f>Commercial!H22*Commercial!$B$5</f>
        <v>251633.93377825205</v>
      </c>
      <c r="I22" s="11">
        <f>Commercial!I22*Commercial!$B$5</f>
        <v>268056.72860683239</v>
      </c>
      <c r="J22" s="11">
        <f>Commercial!J22*Commercial!$B$5</f>
        <v>285551.35101419763</v>
      </c>
      <c r="K22" s="11">
        <f>Commercial!K22*Commercial!$B$5</f>
        <v>304187.75342748535</v>
      </c>
      <c r="L22" s="11">
        <f>Commercial!L22*Commercial!$B$5</f>
        <v>324040.45369289821</v>
      </c>
      <c r="M22" s="11">
        <f>Commercial!M22*Commercial!$B$5</f>
        <v>345188.83303607616</v>
      </c>
      <c r="N22" s="11">
        <f>Commercial!N22*Commercial!$B$5</f>
        <v>367717.45346874086</v>
      </c>
      <c r="O22" s="11">
        <f>Commercial!O22*Commercial!$B$5</f>
        <v>391716.39591076825</v>
      </c>
      <c r="P22" s="11">
        <f>Commercial!P22*Commercial!$B$5</f>
        <v>417281.62037966913</v>
      </c>
      <c r="Q22" s="11">
        <f>Commercial!Q22*Commercial!$B$5</f>
        <v>444515.34968770377</v>
      </c>
      <c r="R22" s="11">
        <f>Commercial!R22*Commercial!$B$5</f>
        <v>473526.47818084649</v>
      </c>
      <c r="S22" s="11">
        <f>Commercial!S22*Commercial!$B$5</f>
        <v>504431.00715394318</v>
      </c>
      <c r="T22" s="11">
        <f>Commercial!T22*Commercial!$B$5</f>
        <v>537352.50868307974</v>
      </c>
      <c r="U22" s="11">
        <f>Commercial!U22*Commercial!$B$5</f>
        <v>572422.61972979514</v>
      </c>
      <c r="V22" s="11">
        <f>Commercial!V22*Commercial!$B$5</f>
        <v>609781.56849282328</v>
      </c>
      <c r="W22" s="11">
        <f>Commercial!W22*Commercial!$B$5</f>
        <v>649578.73511198245</v>
      </c>
      <c r="X22" s="11">
        <f>Commercial!X22*Commercial!$B$5</f>
        <v>691973.24896619795</v>
      </c>
      <c r="Y22" s="11">
        <f>Commercial!Y22*Commercial!$B$5</f>
        <v>737134.62495395483</v>
      </c>
      <c r="Z22" s="11">
        <f>Commercial!Z22*Commercial!$B$5</f>
        <v>785243.44130036037</v>
      </c>
      <c r="AA22" s="11">
        <f>Commercial!AA22*Commercial!$B$5</f>
        <v>836492.06160102459</v>
      </c>
      <c r="AB22" s="11">
        <f>Commercial!AB22*Commercial!$B$5</f>
        <v>891085.40398987685</v>
      </c>
      <c r="AC22" s="11">
        <f>Commercial!AC22*Commercial!$B$5</f>
        <v>949241.76050642075</v>
      </c>
      <c r="AD22" s="11">
        <f>Commercial!AD22*Commercial!$B$5</f>
        <v>1011193.6699386956</v>
      </c>
      <c r="AE22" s="11">
        <f>Commercial!AE22*Commercial!$B$5</f>
        <v>1077188.847632006</v>
      </c>
      <c r="AF22" s="11">
        <f>Commercial!AF22*Commercial!$B$5</f>
        <v>1147491.1759812695</v>
      </c>
      <c r="AG22" s="11">
        <f>Commercial!AG22*Commercial!$B$5</f>
        <v>1222381.7595674787</v>
      </c>
      <c r="AH22" s="11">
        <f>Commercial!AH22*Commercial!$B$5</f>
        <v>1302160.0491572532</v>
      </c>
      <c r="AI22" s="11">
        <f>Commercial!AI22*Commercial!$B$5</f>
        <v>1387145.0390598036</v>
      </c>
      <c r="AJ22" s="11">
        <f>Commercial!AJ22*Commercial!$B$5</f>
        <v>1477676.5426289428</v>
      </c>
      <c r="AK22" s="11">
        <f>Commercial!AK22*Commercial!$B$5</f>
        <v>1574116.5510102708</v>
      </c>
      <c r="AL22" s="11">
        <f>Commercial!AL22*Commercial!$B$5</f>
        <v>1676850.6805664827</v>
      </c>
      <c r="AM22" s="11">
        <f>Commercial!AM22*Commercial!$B$5</f>
        <v>1786289.7147683501</v>
      </c>
      <c r="AN22" s="11">
        <f>Commercial!AN22*Commercial!$B$5</f>
        <v>1902871.2467166435</v>
      </c>
      <c r="AO22" s="40">
        <f>Commercial!AO22*Commercial!$B$5</f>
        <v>2027061.4288626306</v>
      </c>
      <c r="AP22" s="40">
        <f>Commercial!AP22*Commercial!$B$5</f>
        <v>2159356.8369234377</v>
      </c>
      <c r="AQ22" s="40">
        <f>Commercial!AQ22*Commercial!$B$5</f>
        <v>2300286.4554451462</v>
      </c>
      <c r="AR22" s="40">
        <f>Commercial!AR22*Commercial!$B$5</f>
        <v>2450413.7929529264</v>
      </c>
      <c r="AS22" s="40">
        <f>Commercial!AS22*Commercial!$B$5</f>
        <v>2610339.1351456554</v>
      </c>
      <c r="AT22" s="40">
        <f>Commercial!AT22*Commercial!$B$5</f>
        <v>2780701.94514444</v>
      </c>
      <c r="AU22" s="40">
        <f>Commercial!AU22*Commercial!$B$5</f>
        <v>2962183.4203924667</v>
      </c>
      <c r="AV22" s="40">
        <f>Commercial!AV22*Commercial!$B$5</f>
        <v>3155509.2164299665</v>
      </c>
      <c r="AW22" s="40">
        <f>Commercial!AW22*Commercial!$B$5</f>
        <v>3361452.3484353311</v>
      </c>
      <c r="AX22" s="40">
        <f>Commercial!AX22*Commercial!$B$5</f>
        <v>3580836.2821342382</v>
      </c>
    </row>
    <row r="23" spans="1:50" x14ac:dyDescent="0.2">
      <c r="A23" s="6" t="s">
        <v>10</v>
      </c>
      <c r="B23" s="11">
        <f>Commercial!B23*Commercial!$B$5</f>
        <v>149.55996056827513</v>
      </c>
      <c r="C23" s="11">
        <f>Commercial!C23*Commercial!$B$5</f>
        <v>159.32093560889831</v>
      </c>
      <c r="D23" s="11">
        <f>Commercial!D23*Commercial!$B$5</f>
        <v>169.71895704470415</v>
      </c>
      <c r="E23" s="11">
        <f>Commercial!E23*Commercial!$B$5</f>
        <v>180.79560147105587</v>
      </c>
      <c r="F23" s="11">
        <f>Commercial!F23*Commercial!$B$5</f>
        <v>192.59515896430497</v>
      </c>
      <c r="G23" s="11">
        <f>Commercial!G23*Commercial!$B$5</f>
        <v>205.16481017611611</v>
      </c>
      <c r="H23" s="11">
        <f>Commercial!H23*Commercial!$B$5</f>
        <v>218.55481498578612</v>
      </c>
      <c r="I23" s="11">
        <f>Commercial!I23*Commercial!$B$5</f>
        <v>232.81871346488751</v>
      </c>
      <c r="J23" s="11">
        <f>Commercial!J23*Commercial!$B$5</f>
        <v>248.01353995779334</v>
      </c>
      <c r="K23" s="11">
        <f>Commercial!K23*Commercial!$B$5</f>
        <v>264.20005113408837</v>
      </c>
      <c r="L23" s="11">
        <f>Commercial!L23*Commercial!$B$5</f>
        <v>281.44296892473557</v>
      </c>
      <c r="M23" s="11">
        <f>Commercial!M23*Commercial!$B$5</f>
        <v>299.81123931338124</v>
      </c>
      <c r="N23" s="11">
        <f>Commercial!N23*Commercial!$B$5</f>
        <v>319.37830801757673</v>
      </c>
      <c r="O23" s="11">
        <f>Commercial!O23*Commercial!$B$5</f>
        <v>340.22241416223517</v>
      </c>
      <c r="P23" s="11">
        <f>Commercial!P23*Commercial!$B$5</f>
        <v>362.42690311957307</v>
      </c>
      <c r="Q23" s="11">
        <f>Commercial!Q23*Commercial!$B$5</f>
        <v>386.0805597664372</v>
      </c>
      <c r="R23" s="11">
        <f>Commercial!R23*Commercial!$B$5</f>
        <v>411.27796349154494</v>
      </c>
      <c r="S23" s="11">
        <f>Commercial!S23*Commercial!$B$5</f>
        <v>438.11986637214045</v>
      </c>
      <c r="T23" s="11">
        <f>Commercial!T23*Commercial!$B$5</f>
        <v>466.7135960322081</v>
      </c>
      <c r="U23" s="11">
        <f>Commercial!U23*Commercial!$B$5</f>
        <v>497.17348479307884</v>
      </c>
      <c r="V23" s="11">
        <f>Commercial!V23*Commercial!$B$5</f>
        <v>529.62132683238951</v>
      </c>
      <c r="W23" s="11">
        <f>Commercial!W23*Commercial!$B$5</f>
        <v>564.18686517935055</v>
      </c>
      <c r="X23" s="11">
        <f>Commercial!X23*Commercial!$B$5</f>
        <v>601.00831049358032</v>
      </c>
      <c r="Y23" s="11">
        <f>Commercial!Y23*Commercial!$B$5</f>
        <v>640.23289370184386</v>
      </c>
      <c r="Z23" s="11">
        <f>Commercial!Z23*Commercial!$B$5</f>
        <v>682.01745470242588</v>
      </c>
      <c r="AA23" s="11">
        <f>Commercial!AA23*Commercial!$B$5</f>
        <v>726.52906949106909</v>
      </c>
      <c r="AB23" s="11">
        <f>Commercial!AB23*Commercial!$B$5</f>
        <v>773.94571821606121</v>
      </c>
      <c r="AC23" s="11">
        <f>Commercial!AC23*Commercial!$B$5</f>
        <v>824.45699683367957</v>
      </c>
      <c r="AD23" s="11">
        <f>Commercial!AD23*Commercial!$B$5</f>
        <v>878.26487520956982</v>
      </c>
      <c r="AE23" s="11">
        <f>Commercial!AE23*Commercial!$B$5</f>
        <v>935.58450469732429</v>
      </c>
      <c r="AF23" s="11">
        <f>Commercial!AF23*Commercial!$B$5</f>
        <v>996.64507842337559</v>
      </c>
      <c r="AG23" s="11">
        <f>Commercial!AG23*Commercial!$B$5</f>
        <v>1061.690747718063</v>
      </c>
      <c r="AH23" s="11">
        <f>Commercial!AH23*Commercial!$B$5</f>
        <v>1130.9815983572332</v>
      </c>
      <c r="AI23" s="11">
        <f>Commercial!AI23*Commercial!$B$5</f>
        <v>1204.7946905178824</v>
      </c>
      <c r="AJ23" s="11">
        <f>Commercial!AJ23*Commercial!$B$5</f>
        <v>1283.4251666061127</v>
      </c>
      <c r="AK23" s="11">
        <f>Commercial!AK23*Commercial!$B$5</f>
        <v>1367.187431387074</v>
      </c>
      <c r="AL23" s="11">
        <f>Commercial!AL23*Commercial!$B$5</f>
        <v>1456.4164091356397</v>
      </c>
      <c r="AM23" s="11">
        <f>Commercial!AM23*Commercial!$B$5</f>
        <v>1551.4688828345566</v>
      </c>
      <c r="AN23" s="11">
        <f>Commercial!AN23*Commercial!$B$5</f>
        <v>1652.7249207748609</v>
      </c>
      <c r="AO23" s="40">
        <f>Commercial!AO23*Commercial!$B$5</f>
        <v>1760.5893962628372</v>
      </c>
      <c r="AP23" s="40">
        <f>Commercial!AP23*Commercial!$B$5</f>
        <v>1875.4936065100869</v>
      </c>
      <c r="AQ23" s="40">
        <f>Commercial!AQ23*Commercial!$B$5</f>
        <v>1997.8969971798531</v>
      </c>
      <c r="AR23" s="40">
        <f>Commercial!AR23*Commercial!$B$5</f>
        <v>2128.2889994852167</v>
      </c>
      <c r="AS23" s="40">
        <f>Commercial!AS23*Commercial!$B$5</f>
        <v>2267.1909871848229</v>
      </c>
      <c r="AT23" s="40">
        <f>Commercial!AT23*Commercial!$B$5</f>
        <v>2415.1583613012026</v>
      </c>
      <c r="AU23" s="40">
        <f>Commercial!AU23*Commercial!$B$5</f>
        <v>2572.7827708974573</v>
      </c>
      <c r="AV23" s="40">
        <f>Commercial!AV23*Commercial!$B$5</f>
        <v>2740.6944787921075</v>
      </c>
      <c r="AW23" s="40">
        <f>Commercial!AW23*Commercial!$B$5</f>
        <v>2919.5648816714343</v>
      </c>
      <c r="AX23" s="40">
        <f>Commercial!AX23*Commercial!$B$5</f>
        <v>3110.1091946760203</v>
      </c>
    </row>
    <row r="24" spans="1:50" x14ac:dyDescent="0.2">
      <c r="A24" s="6" t="s">
        <v>44</v>
      </c>
      <c r="B24" s="11">
        <f>Commercial!B24*Commercial!$B$5</f>
        <v>273085.74223023519</v>
      </c>
      <c r="C24" s="11">
        <f>Commercial!C24*Commercial!$B$5</f>
        <v>290908.58133590961</v>
      </c>
      <c r="D24" s="11">
        <f>Commercial!D24*Commercial!$B$5</f>
        <v>309894.621387897</v>
      </c>
      <c r="E24" s="11">
        <f>Commercial!E24*Commercial!$B$5</f>
        <v>330119.77826208447</v>
      </c>
      <c r="F24" s="11">
        <f>Commercial!F24*Commercial!$B$5</f>
        <v>351664.92245568219</v>
      </c>
      <c r="G24" s="11">
        <f>Commercial!G24*Commercial!$B$5</f>
        <v>374616.20244873618</v>
      </c>
      <c r="H24" s="11">
        <f>Commercial!H24*Commercial!$B$5</f>
        <v>399065.38916970952</v>
      </c>
      <c r="I24" s="11">
        <f>Commercial!I24*Commercial!$B$5</f>
        <v>425110.24294248055</v>
      </c>
      <c r="J24" s="11">
        <f>Commercial!J24*Commercial!$B$5</f>
        <v>452854.90438200108</v>
      </c>
      <c r="K24" s="11">
        <f>Commercial!K24*Commercial!$B$5</f>
        <v>482410.31080161309</v>
      </c>
      <c r="L24" s="11">
        <f>Commercial!L24*Commercial!$B$5</f>
        <v>513894.63979703444</v>
      </c>
      <c r="M24" s="11">
        <f>Commercial!M24*Commercial!$B$5</f>
        <v>547433.78178068763</v>
      </c>
      <c r="N24" s="11">
        <f>Commercial!N24*Commercial!$B$5</f>
        <v>583161.8433558034</v>
      </c>
      <c r="O24" s="11">
        <f>Commercial!O24*Commercial!$B$5</f>
        <v>621221.68354305264</v>
      </c>
      <c r="P24" s="11">
        <f>Commercial!P24*Commercial!$B$5</f>
        <v>661765.48500380234</v>
      </c>
      <c r="Q24" s="11">
        <f>Commercial!Q24*Commercial!$B$5</f>
        <v>704955.36254404951</v>
      </c>
      <c r="R24" s="11">
        <f>Commercial!R24*Commercial!$B$5</f>
        <v>750964.01133213693</v>
      </c>
      <c r="S24" s="11">
        <f>Commercial!S24*Commercial!$B$5</f>
        <v>799975.39742215292</v>
      </c>
      <c r="T24" s="11">
        <f>Commercial!T24*Commercial!$B$5</f>
        <v>852185.49334408646</v>
      </c>
      <c r="U24" s="11">
        <f>Commercial!U24*Commercial!$B$5</f>
        <v>907803.06170199951</v>
      </c>
      <c r="V24" s="11">
        <f>Commercial!V24*Commercial!$B$5</f>
        <v>967050.4899134388</v>
      </c>
      <c r="W24" s="11">
        <f>Commercial!W24*Commercial!$B$5</f>
        <v>1030164.6794278068</v>
      </c>
      <c r="X24" s="11">
        <f>Commercial!X24*Commercial!$B$5</f>
        <v>1097397.9929792373</v>
      </c>
      <c r="Y24" s="11">
        <f>Commercial!Y24*Commercial!$B$5</f>
        <v>1169019.2636615757</v>
      </c>
      <c r="Z24" s="11">
        <f>Commercial!Z24*Commercial!$B$5</f>
        <v>1245314.8698602642</v>
      </c>
      <c r="AA24" s="11">
        <f>Commercial!AA24*Commercial!$B$5</f>
        <v>1326589.8803392476</v>
      </c>
      <c r="AB24" s="11">
        <f>Commercial!AB24*Commercial!$B$5</f>
        <v>1413169.2740615639</v>
      </c>
      <c r="AC24" s="11">
        <f>Commercial!AC24*Commercial!$B$5</f>
        <v>1505399.2396210528</v>
      </c>
      <c r="AD24" s="11">
        <f>Commercial!AD24*Commercial!$B$5</f>
        <v>1603648.5594810047</v>
      </c>
      <c r="AE24" s="11">
        <f>Commercial!AE24*Commercial!$B$5</f>
        <v>1708310.0845546203</v>
      </c>
      <c r="AF24" s="11">
        <f>Commercial!AF24*Commercial!$B$5</f>
        <v>1819802.3050234171</v>
      </c>
      <c r="AG24" s="11">
        <f>Commercial!AG24*Commercial!$B$5</f>
        <v>1938571.0236745111</v>
      </c>
      <c r="AH24" s="11">
        <f>Commercial!AH24*Commercial!$B$5</f>
        <v>2065091.1384476358</v>
      </c>
      <c r="AI24" s="11">
        <f>Commercial!AI24*Commercial!$B$5</f>
        <v>2199868.5413194261</v>
      </c>
      <c r="AJ24" s="11">
        <f>Commercial!AJ24*Commercial!$B$5</f>
        <v>2343442.1411176734</v>
      </c>
      <c r="AK24" s="11">
        <f>Commercial!AK24*Commercial!$B$5</f>
        <v>2496386.0183538008</v>
      </c>
      <c r="AL24" s="11">
        <f>Commercial!AL24*Commercial!$B$5</f>
        <v>2659311.7206896772</v>
      </c>
      <c r="AM24" s="11">
        <f>Commercial!AM24*Commercial!$B$5</f>
        <v>2832870.7082172171</v>
      </c>
      <c r="AN24" s="11">
        <f>Commercial!AN24*Commercial!$B$5</f>
        <v>3017756.9583282401</v>
      </c>
      <c r="AO24" s="40">
        <f>Commercial!AO24*Commercial!$B$5</f>
        <v>3214709.7405901882</v>
      </c>
      <c r="AP24" s="40">
        <f>Commercial!AP24*Commercial!$B$5</f>
        <v>3424516.5727230744</v>
      </c>
      <c r="AQ24" s="40">
        <f>Commercial!AQ24*Commercial!$B$5</f>
        <v>3648016.3694971646</v>
      </c>
      <c r="AR24" s="40">
        <f>Commercial!AR24*Commercial!$B$5</f>
        <v>3886102.7971422924</v>
      </c>
      <c r="AS24" s="40">
        <f>Commercial!AS24*Commercial!$B$5</f>
        <v>4139727.8466814412</v>
      </c>
      <c r="AT24" s="40">
        <f>Commercial!AT24*Commercial!$B$5</f>
        <v>4409905.6404766198</v>
      </c>
      <c r="AU24" s="40">
        <f>Commercial!AU24*Commercial!$B$5</f>
        <v>4697716.4872075235</v>
      </c>
      <c r="AV24" s="40">
        <f>Commercial!AV24*Commercial!$B$5</f>
        <v>5004311.201496874</v>
      </c>
      <c r="AW24" s="40">
        <f>Commercial!AW24*Commercial!$B$5</f>
        <v>5330915.7054544901</v>
      </c>
      <c r="AX24" s="40">
        <f>Commercial!AX24*Commercial!$B$5</f>
        <v>5678835.9305394208</v>
      </c>
    </row>
    <row r="26" spans="1:50" x14ac:dyDescent="0.2">
      <c r="A26" s="5" t="s">
        <v>66</v>
      </c>
    </row>
    <row r="27" spans="1:50" x14ac:dyDescent="0.2">
      <c r="A27" s="5" t="s">
        <v>4</v>
      </c>
    </row>
    <row r="28" spans="1:50" x14ac:dyDescent="0.2">
      <c r="A28" s="5" t="s">
        <v>47</v>
      </c>
    </row>
    <row r="29" spans="1:50" x14ac:dyDescent="0.2">
      <c r="A29" s="5" t="s">
        <v>6</v>
      </c>
    </row>
    <row r="30" spans="1:50" x14ac:dyDescent="0.2">
      <c r="A30" s="5"/>
    </row>
    <row r="31" spans="1:50" x14ac:dyDescent="0.2">
      <c r="A31" s="6" t="s">
        <v>7</v>
      </c>
      <c r="B31" s="6">
        <v>2022</v>
      </c>
      <c r="C31" s="6">
        <v>2023</v>
      </c>
      <c r="D31" s="6">
        <v>2024</v>
      </c>
      <c r="E31" s="6">
        <v>2025</v>
      </c>
      <c r="F31" s="6">
        <v>2026</v>
      </c>
      <c r="G31" s="6">
        <v>2027</v>
      </c>
      <c r="H31" s="6">
        <v>2028</v>
      </c>
      <c r="I31" s="6">
        <v>2029</v>
      </c>
      <c r="J31" s="6">
        <v>2030</v>
      </c>
      <c r="K31" s="6">
        <v>2031</v>
      </c>
      <c r="L31" s="6">
        <v>2032</v>
      </c>
      <c r="M31" s="6">
        <v>2033</v>
      </c>
      <c r="N31" s="6">
        <v>2034</v>
      </c>
      <c r="O31" s="6">
        <v>2035</v>
      </c>
      <c r="P31" s="6">
        <v>2036</v>
      </c>
      <c r="Q31" s="6">
        <v>2037</v>
      </c>
      <c r="R31" s="6">
        <v>2038</v>
      </c>
      <c r="S31" s="6">
        <v>2039</v>
      </c>
      <c r="T31" s="6">
        <v>2040</v>
      </c>
      <c r="U31" s="6">
        <v>2041</v>
      </c>
      <c r="V31" s="6">
        <v>2042</v>
      </c>
      <c r="W31" s="6">
        <v>2043</v>
      </c>
      <c r="X31" s="6">
        <v>2044</v>
      </c>
      <c r="Y31" s="6">
        <v>2045</v>
      </c>
      <c r="Z31" s="6">
        <v>2046</v>
      </c>
      <c r="AA31" s="6">
        <v>2047</v>
      </c>
      <c r="AB31" s="6">
        <v>2048</v>
      </c>
      <c r="AC31" s="6">
        <v>2049</v>
      </c>
      <c r="AD31" s="6">
        <v>2050</v>
      </c>
      <c r="AE31" s="6">
        <v>2051</v>
      </c>
      <c r="AF31" s="6">
        <v>2052</v>
      </c>
      <c r="AG31" s="6">
        <v>2053</v>
      </c>
      <c r="AH31" s="6">
        <v>2054</v>
      </c>
      <c r="AI31" s="6">
        <v>2055</v>
      </c>
      <c r="AJ31" s="6">
        <v>2056</v>
      </c>
      <c r="AK31" s="6">
        <v>2057</v>
      </c>
      <c r="AL31" s="6">
        <v>2058</v>
      </c>
      <c r="AM31" s="6">
        <v>2059</v>
      </c>
      <c r="AN31" s="6">
        <v>2060</v>
      </c>
      <c r="AO31" s="39">
        <f>AN31+1</f>
        <v>2061</v>
      </c>
      <c r="AP31" s="39">
        <f t="shared" ref="AP31:AX31" si="2">AO31+1</f>
        <v>2062</v>
      </c>
      <c r="AQ31" s="39">
        <f t="shared" si="2"/>
        <v>2063</v>
      </c>
      <c r="AR31" s="39">
        <f t="shared" si="2"/>
        <v>2064</v>
      </c>
      <c r="AS31" s="39">
        <f t="shared" si="2"/>
        <v>2065</v>
      </c>
      <c r="AT31" s="39">
        <f t="shared" si="2"/>
        <v>2066</v>
      </c>
      <c r="AU31" s="39">
        <f t="shared" si="2"/>
        <v>2067</v>
      </c>
      <c r="AV31" s="39">
        <f t="shared" si="2"/>
        <v>2068</v>
      </c>
      <c r="AW31" s="39">
        <f>AV31+1</f>
        <v>2069</v>
      </c>
      <c r="AX31" s="39">
        <f t="shared" si="2"/>
        <v>2070</v>
      </c>
    </row>
    <row r="32" spans="1:50" x14ac:dyDescent="0.2">
      <c r="A32" s="6" t="s">
        <v>40</v>
      </c>
      <c r="B32" s="11">
        <f>Commercial!B37*Commercial!$B$35</f>
        <v>1447119.2500736064</v>
      </c>
      <c r="C32" s="11">
        <f>Commercial!C37*Commercial!$B$35</f>
        <v>1541564.9481541798</v>
      </c>
      <c r="D32" s="11">
        <f>Commercial!D37*Commercial!$B$35</f>
        <v>1642174.6094917376</v>
      </c>
      <c r="E32" s="11">
        <f>Commercial!E37*Commercial!$B$35</f>
        <v>1749350.5228490867</v>
      </c>
      <c r="F32" s="11">
        <f>Commercial!F37*Commercial!$B$35</f>
        <v>1863521.2322150876</v>
      </c>
      <c r="G32" s="11">
        <f>Commercial!G37*Commercial!$B$35</f>
        <v>1985143.2503421865</v>
      </c>
      <c r="H32" s="11">
        <f>Commercial!H37*Commercial!$B$35</f>
        <v>2114702.8841173369</v>
      </c>
      <c r="I32" s="11">
        <f>Commercial!I37*Commercial!$B$35</f>
        <v>2252718.179065079</v>
      </c>
      <c r="J32" s="11">
        <f>Commercial!J37*Commercial!$B$35</f>
        <v>2399740.9907578812</v>
      </c>
      <c r="K32" s="11">
        <f>Commercial!K37*Commercial!$B$35</f>
        <v>2556359.1914163055</v>
      </c>
      <c r="L32" s="11">
        <f>Commercial!L37*Commercial!$B$35</f>
        <v>2723199.020522113</v>
      </c>
      <c r="M32" s="11">
        <f>Commercial!M37*Commercial!$B$35</f>
        <v>2900927.5888432553</v>
      </c>
      <c r="N32" s="11">
        <f>Commercial!N37*Commercial!$B$35</f>
        <v>3090255.5458831191</v>
      </c>
      <c r="O32" s="11">
        <f>Commercial!O37*Commercial!$B$35</f>
        <v>3291939.9214198645</v>
      </c>
      <c r="P32" s="11">
        <f>Commercial!P37*Commercial!$B$35</f>
        <v>3506787.1524977419</v>
      </c>
      <c r="Q32" s="11">
        <f>Commercial!Q37*Commercial!$B$35</f>
        <v>3735656.3079738994</v>
      </c>
      <c r="R32" s="11">
        <f>Commercial!R37*Commercial!$B$35</f>
        <v>3979462.5235140147</v>
      </c>
      <c r="S32" s="11">
        <f>Commercial!S37*Commercial!$B$35</f>
        <v>4239180.6607716354</v>
      </c>
      <c r="T32" s="11">
        <f>Commercial!T37*Commercial!$B$35</f>
        <v>4515849.2053825101</v>
      </c>
      <c r="U32" s="11">
        <f>Commercial!U37*Commercial!$B$35</f>
        <v>4810574.4193600472</v>
      </c>
      <c r="V32" s="11">
        <f>Commercial!V37*Commercial!$B$35</f>
        <v>5124534.7644953234</v>
      </c>
      <c r="W32" s="11">
        <f>Commercial!W37*Commercial!$B$35</f>
        <v>5458985.6144486452</v>
      </c>
      <c r="X32" s="11">
        <f>Commercial!X37*Commercial!$B$35</f>
        <v>5815264.2743740035</v>
      </c>
      <c r="Y32" s="11">
        <f>Commercial!Y37*Commercial!$B$35</f>
        <v>6194795.3281474486</v>
      </c>
      <c r="Z32" s="11">
        <f>Commercial!Z37*Commercial!$B$35</f>
        <v>6599096.3345803367</v>
      </c>
      <c r="AA32" s="11">
        <f>Commercial!AA37*Commercial!$B$35</f>
        <v>7029783.8953937907</v>
      </c>
      <c r="AB32" s="11">
        <f>Commercial!AB37*Commercial!$B$35</f>
        <v>7488580.1192172756</v>
      </c>
      <c r="AC32" s="11">
        <f>Commercial!AC37*Commercial!$B$35</f>
        <v>7977319.5074576074</v>
      </c>
      <c r="AD32" s="11">
        <f>Commercial!AD37*Commercial!$B$35</f>
        <v>8497956.2895716541</v>
      </c>
      <c r="AE32" s="11">
        <f>Commercial!AE37*Commercial!$B$35</f>
        <v>9052572.2370728552</v>
      </c>
      <c r="AF32" s="11">
        <f>Commercial!AF37*Commercial!$B$35</f>
        <v>9643384.9875159748</v>
      </c>
      <c r="AG32" s="11">
        <f>Commercial!AG37*Commercial!$B$35</f>
        <v>10272756.911743606</v>
      </c>
      <c r="AH32" s="11">
        <f>Commercial!AH37*Commercial!$B$35</f>
        <v>10943204.559850223</v>
      </c>
      <c r="AI32" s="11">
        <f>Commercial!AI37*Commercial!$B$35</f>
        <v>11657408.72363355</v>
      </c>
      <c r="AJ32" s="11">
        <f>Commercial!AJ37*Commercial!$B$35</f>
        <v>12418225.155768042</v>
      </c>
      <c r="AK32" s="11">
        <f>Commercial!AK37*Commercial!$B$35</f>
        <v>13228695.988561265</v>
      </c>
      <c r="AL32" s="11">
        <f>Commercial!AL37*Commercial!$B$35</f>
        <v>14092061.897951117</v>
      </c>
      <c r="AM32" s="11">
        <f>Commercial!AM37*Commercial!$B$35</f>
        <v>15011775.061381809</v>
      </c>
      <c r="AN32" s="11">
        <f>Commercial!AN37*Commercial!$B$35</f>
        <v>15991512.961370798</v>
      </c>
      <c r="AO32" s="40">
        <f>Commercial!AO37*Commercial!$B$35</f>
        <v>17035193.089960329</v>
      </c>
      <c r="AP32" s="40">
        <f>Commercial!AP37*Commercial!$B$35</f>
        <v>18146988.612849571</v>
      </c>
      <c r="AQ32" s="40">
        <f>Commercial!AQ37*Commercial!$B$35</f>
        <v>19331345.055840451</v>
      </c>
      <c r="AR32" s="40">
        <f>Commercial!AR37*Commercial!$B$35</f>
        <v>20592998.080318175</v>
      </c>
      <c r="AS32" s="40">
        <f>Commercial!AS37*Commercial!$B$35</f>
        <v>21936992.418841861</v>
      </c>
      <c r="AT32" s="40">
        <f>Commercial!AT37*Commercial!$B$35</f>
        <v>23368702.046559405</v>
      </c>
      <c r="AU32" s="40">
        <f>Commercial!AU37*Commercial!$B$35</f>
        <v>24893851.669102248</v>
      </c>
      <c r="AV32" s="40">
        <f>Commercial!AV37*Commercial!$B$35</f>
        <v>26518539.612879537</v>
      </c>
      <c r="AW32" s="40">
        <f>Commercial!AW37*Commercial!$B$35</f>
        <v>28249262.209298849</v>
      </c>
      <c r="AX32" s="40">
        <f>Commercial!AX37*Commercial!$B$35</f>
        <v>30092939.770413939</v>
      </c>
    </row>
    <row r="33" spans="1:50" x14ac:dyDescent="0.2">
      <c r="A33" s="6" t="s">
        <v>41</v>
      </c>
      <c r="B33" s="11">
        <f>Commercial!B38*Commercial!$B$35</f>
        <v>883992.08515874215</v>
      </c>
      <c r="C33" s="11">
        <f>Commercial!C38*Commercial!$B$35</f>
        <v>941685.49886757974</v>
      </c>
      <c r="D33" s="11">
        <f>Commercial!D38*Commercial!$B$35</f>
        <v>1003144.2517024815</v>
      </c>
      <c r="E33" s="11">
        <f>Commercial!E38*Commercial!$B$35</f>
        <v>1068614.0871170382</v>
      </c>
      <c r="F33" s="11">
        <f>Commercial!F38*Commercial!$B$35</f>
        <v>1138356.7869196776</v>
      </c>
      <c r="G33" s="11">
        <f>Commercial!G38*Commercial!$B$35</f>
        <v>1212651.2180109092</v>
      </c>
      <c r="H33" s="11">
        <f>Commercial!H38*Commercial!$B$35</f>
        <v>1291794.4474354873</v>
      </c>
      <c r="I33" s="11">
        <f>Commercial!I38*Commercial!$B$35</f>
        <v>1376102.9302080353</v>
      </c>
      <c r="J33" s="11">
        <f>Commercial!J38*Commercial!$B$35</f>
        <v>1465913.77466167</v>
      </c>
      <c r="K33" s="11">
        <f>Commercial!K38*Commercial!$B$35</f>
        <v>1561586.0903791261</v>
      </c>
      <c r="L33" s="11">
        <f>Commercial!L38*Commercial!$B$35</f>
        <v>1663502.4240961086</v>
      </c>
      <c r="M33" s="11">
        <f>Commercial!M38*Commercial!$B$35</f>
        <v>1772070.2893183376</v>
      </c>
      <c r="N33" s="11">
        <f>Commercial!N38*Commercial!$B$35</f>
        <v>1887723.7957684807</v>
      </c>
      <c r="O33" s="11">
        <f>Commercial!O38*Commercial!$B$35</f>
        <v>2010925.3851783362</v>
      </c>
      <c r="P33" s="11">
        <f>Commercial!P38*Commercial!$B$35</f>
        <v>2142167.6803668318</v>
      </c>
      <c r="Q33" s="11">
        <f>Commercial!Q38*Commercial!$B$35</f>
        <v>2281975.4549974287</v>
      </c>
      <c r="R33" s="11">
        <f>Commercial!R38*Commercial!$B$35</f>
        <v>2430907.7318909923</v>
      </c>
      <c r="S33" s="11">
        <f>Commercial!S38*Commercial!$B$35</f>
        <v>2589560.0182842738</v>
      </c>
      <c r="T33" s="11">
        <f>Commercial!T38*Commercial!$B$35</f>
        <v>2758566.6869717105</v>
      </c>
      <c r="U33" s="11">
        <f>Commercial!U38*Commercial!$B$35</f>
        <v>2938603.5128515461</v>
      </c>
      <c r="V33" s="11">
        <f>Commercial!V38*Commercial!$B$35</f>
        <v>3130390.3750186921</v>
      </c>
      <c r="W33" s="11">
        <f>Commercial!W38*Commercial!$B$35</f>
        <v>3334694.1352086775</v>
      </c>
      <c r="X33" s="11">
        <f>Commercial!X38*Commercial!$B$35</f>
        <v>3552331.7041021604</v>
      </c>
      <c r="Y33" s="11">
        <f>Commercial!Y38*Commercial!$B$35</f>
        <v>3784173.3077506628</v>
      </c>
      <c r="Z33" s="11">
        <f>Commercial!Z38*Commercial!$B$35</f>
        <v>4031145.9671843667</v>
      </c>
      <c r="AA33" s="11">
        <f>Commercial!AA38*Commercial!$B$35</f>
        <v>4294237.2051152103</v>
      </c>
      <c r="AB33" s="11">
        <f>Commercial!AB38*Commercial!$B$35</f>
        <v>4574498.9945565788</v>
      </c>
      <c r="AC33" s="11">
        <f>Commercial!AC38*Commercial!$B$35</f>
        <v>4873051.9651481891</v>
      </c>
      <c r="AD33" s="11">
        <f>Commercial!AD38*Commercial!$B$35</f>
        <v>5191089.8840052029</v>
      </c>
      <c r="AE33" s="11">
        <f>Commercial!AE38*Commercial!$B$35</f>
        <v>5529884.429008279</v>
      </c>
      <c r="AF33" s="11">
        <f>Commercial!AF38*Commercial!$B$35</f>
        <v>5890790.2736206129</v>
      </c>
      <c r="AG33" s="11">
        <f>Commercial!AG38*Commercial!$B$35</f>
        <v>6275250.5035636919</v>
      </c>
      <c r="AH33" s="11">
        <f>Commercial!AH38*Commercial!$B$35</f>
        <v>6684802.3870103378</v>
      </c>
      <c r="AI33" s="11">
        <f>Commercial!AI38*Commercial!$B$35</f>
        <v>7121083.5213672798</v>
      </c>
      <c r="AJ33" s="11">
        <f>Commercial!AJ38*Commercial!$B$35</f>
        <v>7585838.3812251622</v>
      </c>
      <c r="AK33" s="11">
        <f>Commercial!AK38*Commercial!$B$35</f>
        <v>8080925.2936581103</v>
      </c>
      <c r="AL33" s="11">
        <f>Commercial!AL38*Commercial!$B$35</f>
        <v>8608323.8687635735</v>
      </c>
      <c r="AM33" s="11">
        <f>Commercial!AM38*Commercial!$B$35</f>
        <v>9170142.9151536264</v>
      </c>
      <c r="AN33" s="11">
        <f>Commercial!AN38*Commercial!$B$35</f>
        <v>9768628.8720478229</v>
      </c>
      <c r="AO33" s="40">
        <f>Commercial!AO38*Commercial!$B$35</f>
        <v>10406174.791683454</v>
      </c>
      <c r="AP33" s="40">
        <f>Commercial!AP38*Commercial!$B$35</f>
        <v>11085329.90795948</v>
      </c>
      <c r="AQ33" s="40">
        <f>Commercial!AQ38*Commercial!$B$35</f>
        <v>11808809.829574402</v>
      </c>
      <c r="AR33" s="40">
        <f>Commercial!AR38*Commercial!$B$35</f>
        <v>12579507.398415511</v>
      </c>
      <c r="AS33" s="40">
        <f>Commercial!AS38*Commercial!$B$35</f>
        <v>13400504.256616844</v>
      </c>
      <c r="AT33" s="40">
        <f>Commercial!AT38*Commercial!$B$35</f>
        <v>14275083.168536857</v>
      </c>
      <c r="AU33" s="40">
        <f>Commercial!AU38*Commercial!$B$35</f>
        <v>15206741.146925393</v>
      </c>
      <c r="AV33" s="40">
        <f>Commercial!AV38*Commercial!$B$35</f>
        <v>16199203.435765035</v>
      </c>
      <c r="AW33" s="40">
        <f>Commercial!AW38*Commercial!$B$35</f>
        <v>17256438.405697364</v>
      </c>
      <c r="AX33" s="40">
        <f>Commercial!AX38*Commercial!$B$35</f>
        <v>18382673.421593681</v>
      </c>
    </row>
    <row r="34" spans="1:50" x14ac:dyDescent="0.2">
      <c r="A34" s="6" t="s">
        <v>42</v>
      </c>
      <c r="B34" s="11">
        <f>Commercial!B39*Commercial!$B$35</f>
        <v>686424.20813891094</v>
      </c>
      <c r="C34" s="11">
        <f>Commercial!C39*Commercial!$B$35</f>
        <v>731223.42804686737</v>
      </c>
      <c r="D34" s="11">
        <f>Commercial!D39*Commercial!$B$35</f>
        <v>778946.45233200782</v>
      </c>
      <c r="E34" s="11">
        <f>Commercial!E39*Commercial!$B$35</f>
        <v>829784.10199642973</v>
      </c>
      <c r="F34" s="11">
        <f>Commercial!F39*Commercial!$B$35</f>
        <v>883939.65190375678</v>
      </c>
      <c r="G34" s="11">
        <f>Commercial!G39*Commercial!$B$35</f>
        <v>941629.64357576566</v>
      </c>
      <c r="H34" s="11">
        <f>Commercial!H39*Commercial!$B$35</f>
        <v>1003084.7510358811</v>
      </c>
      <c r="I34" s="11">
        <f>Commercial!I39*Commercial!$B$35</f>
        <v>1068550.7031616257</v>
      </c>
      <c r="J34" s="11">
        <f>Commercial!J39*Commercial!$B$35</f>
        <v>1138289.266234057</v>
      </c>
      <c r="K34" s="11">
        <f>Commercial!K39*Commercial!$B$35</f>
        <v>1212579.2906129269</v>
      </c>
      <c r="L34" s="11">
        <f>Commercial!L39*Commercial!$B$35</f>
        <v>1291717.8257227044</v>
      </c>
      <c r="M34" s="11">
        <f>Commercial!M39*Commercial!$B$35</f>
        <v>1376021.3078077482</v>
      </c>
      <c r="N34" s="11">
        <f>Commercial!N39*Commercial!$B$35</f>
        <v>1465826.825205873</v>
      </c>
      <c r="O34" s="11">
        <f>Commercial!O39*Commercial!$B$35</f>
        <v>1561493.4661995296</v>
      </c>
      <c r="P34" s="11">
        <f>Commercial!P39*Commercial!$B$35</f>
        <v>1663403.7548339791</v>
      </c>
      <c r="Q34" s="11">
        <f>Commercial!Q39*Commercial!$B$35</f>
        <v>1771965.1804436182</v>
      </c>
      <c r="R34" s="11">
        <f>Commercial!R39*Commercial!$B$35</f>
        <v>1887611.8270022594</v>
      </c>
      <c r="S34" s="11">
        <f>Commercial!S39*Commercial!$B$35</f>
        <v>2010806.1088123503</v>
      </c>
      <c r="T34" s="11">
        <f>Commercial!T39*Commercial!$B$35</f>
        <v>2142040.6194733102</v>
      </c>
      <c r="U34" s="11">
        <f>Commercial!U39*Commercial!$B$35</f>
        <v>2281840.1015220853</v>
      </c>
      <c r="V34" s="11">
        <f>Commercial!V39*Commercial!$B$35</f>
        <v>2430763.5446215668</v>
      </c>
      <c r="W34" s="11">
        <f>Commercial!W39*Commercial!$B$35</f>
        <v>2589406.4206864918</v>
      </c>
      <c r="X34" s="11">
        <f>Commercial!X39*Commercial!$B$35</f>
        <v>2758403.0648840019</v>
      </c>
      <c r="Y34" s="11">
        <f>Commercial!Y39*Commercial!$B$35</f>
        <v>2938429.2120293127</v>
      </c>
      <c r="Z34" s="11">
        <f>Commercial!Z39*Commercial!$B$35</f>
        <v>3130204.6985183111</v>
      </c>
      <c r="AA34" s="11">
        <f>Commercial!AA39*Commercial!$B$35</f>
        <v>3334496.3406007569</v>
      </c>
      <c r="AB34" s="11">
        <f>Commercial!AB39*Commercial!$B$35</f>
        <v>3552121.000502931</v>
      </c>
      <c r="AC34" s="11">
        <f>Commercial!AC39*Commercial!$B$35</f>
        <v>3783948.8526596222</v>
      </c>
      <c r="AD34" s="11">
        <f>Commercial!AD39*Commercial!$B$35</f>
        <v>4030906.8631155319</v>
      </c>
      <c r="AE34" s="11">
        <f>Commercial!AE39*Commercial!$B$35</f>
        <v>4293982.4960085079</v>
      </c>
      <c r="AF34" s="11">
        <f>Commercial!AF39*Commercial!$B$35</f>
        <v>4574227.6619550334</v>
      </c>
      <c r="AG34" s="11">
        <f>Commercial!AG39*Commercial!$B$35</f>
        <v>4872762.9241256127</v>
      </c>
      <c r="AH34" s="11">
        <f>Commercial!AH39*Commercial!$B$35</f>
        <v>5190781.9788280986</v>
      </c>
      <c r="AI34" s="11">
        <f>Commercial!AI39*Commercial!$B$35</f>
        <v>5529556.428514638</v>
      </c>
      <c r="AJ34" s="11">
        <f>Commercial!AJ39*Commercial!$B$35</f>
        <v>5890440.8662970988</v>
      </c>
      <c r="AK34" s="11">
        <f>Commercial!AK39*Commercial!$B$35</f>
        <v>6274878.2923015384</v>
      </c>
      <c r="AL34" s="11">
        <f>Commercial!AL39*Commercial!$B$35</f>
        <v>6684405.8835189976</v>
      </c>
      <c r="AM34" s="11">
        <f>Commercial!AM39*Commercial!$B$35</f>
        <v>7120661.1402234705</v>
      </c>
      <c r="AN34" s="11">
        <f>Commercial!AN39*Commercial!$B$35</f>
        <v>7585388.4335335512</v>
      </c>
      <c r="AO34" s="40">
        <f>Commercial!AO39*Commercial!$B$35</f>
        <v>8080445.9802982351</v>
      </c>
      <c r="AP34" s="40">
        <f>Commercial!AP39*Commercial!$B$35</f>
        <v>8607813.273196049</v>
      </c>
      <c r="AQ34" s="40">
        <f>Commercial!AQ39*Commercial!$B$35</f>
        <v>9169598.9957568385</v>
      </c>
      <c r="AR34" s="40">
        <f>Commercial!AR39*Commercial!$B$35</f>
        <v>9768049.4539544862</v>
      </c>
      <c r="AS34" s="40">
        <f>Commercial!AS39*Commercial!$B$35</f>
        <v>10405557.55808438</v>
      </c>
      <c r="AT34" s="40">
        <f>Commercial!AT39*Commercial!$B$35</f>
        <v>11084672.390839791</v>
      </c>
      <c r="AU34" s="40">
        <f>Commercial!AU39*Commercial!$B$35</f>
        <v>11808109.399845149</v>
      </c>
      <c r="AV34" s="40">
        <f>Commercial!AV39*Commercial!$B$35</f>
        <v>12578761.255401239</v>
      </c>
      <c r="AW34" s="40">
        <f>Commercial!AW39*Commercial!$B$35</f>
        <v>13399709.416857053</v>
      </c>
      <c r="AX34" s="40">
        <f>Commercial!AX39*Commercial!$B$35</f>
        <v>14274236.453856619</v>
      </c>
    </row>
    <row r="35" spans="1:50" x14ac:dyDescent="0.2">
      <c r="A35" s="6" t="s">
        <v>43</v>
      </c>
      <c r="B35" s="11">
        <f>Commercial!B40*Commercial!$B$35</f>
        <v>48138.709563875731</v>
      </c>
      <c r="C35" s="11">
        <f>Commercial!C40*Commercial!$B$35</f>
        <v>51280.464487823418</v>
      </c>
      <c r="D35" s="11">
        <f>Commercial!D40*Commercial!$B$35</f>
        <v>54627.264875007982</v>
      </c>
      <c r="E35" s="11">
        <f>Commercial!E40*Commercial!$B$35</f>
        <v>58192.492941105585</v>
      </c>
      <c r="F35" s="11">
        <f>Commercial!F40*Commercial!$B$35</f>
        <v>61990.404287106983</v>
      </c>
      <c r="G35" s="11">
        <f>Commercial!G40*Commercial!$B$35</f>
        <v>66036.184900484237</v>
      </c>
      <c r="H35" s="11">
        <f>Commercial!H40*Commercial!$B$35</f>
        <v>70346.011876517397</v>
      </c>
      <c r="I35" s="11">
        <f>Commercial!I40*Commercial!$B$35</f>
        <v>74937.118102575856</v>
      </c>
      <c r="J35" s="11">
        <f>Commercial!J40*Commercial!$B$35</f>
        <v>79827.861163995447</v>
      </c>
      <c r="K35" s="11">
        <f>Commercial!K40*Commercial!$B$35</f>
        <v>85037.796747071407</v>
      </c>
      <c r="L35" s="11">
        <f>Commercial!L40*Commercial!$B$35</f>
        <v>90587.756832670842</v>
      </c>
      <c r="M35" s="11">
        <f>Commercial!M40*Commercial!$B$35</f>
        <v>96499.932993121853</v>
      </c>
      <c r="N35" s="11">
        <f>Commercial!N40*Commercial!$B$35</f>
        <v>102797.96512544295</v>
      </c>
      <c r="O35" s="11">
        <f>Commercial!O40*Commercial!$B$35</f>
        <v>109507.03597571405</v>
      </c>
      <c r="P35" s="11">
        <f>Commercial!P40*Commercial!$B$35</f>
        <v>116653.97183254464</v>
      </c>
      <c r="Q35" s="11">
        <f>Commercial!Q40*Commercial!$B$35</f>
        <v>124267.34979226418</v>
      </c>
      <c r="R35" s="11">
        <f>Commercial!R40*Commercial!$B$35</f>
        <v>132377.61202473487</v>
      </c>
      <c r="S35" s="11">
        <f>Commercial!S40*Commercial!$B$35</f>
        <v>141017.18749667989</v>
      </c>
      <c r="T35" s="11">
        <f>Commercial!T40*Commercial!$B$35</f>
        <v>150220.62163923981</v>
      </c>
      <c r="U35" s="11">
        <f>Commercial!U40*Commercial!$B$35</f>
        <v>160024.71447823296</v>
      </c>
      <c r="V35" s="11">
        <f>Commercial!V40*Commercial!$B$35</f>
        <v>170468.66777943639</v>
      </c>
      <c r="W35" s="11">
        <f>Commercial!W40*Commercial!$B$35</f>
        <v>181594.24179724822</v>
      </c>
      <c r="X35" s="11">
        <f>Commercial!X40*Commercial!$B$35</f>
        <v>193445.92225349354</v>
      </c>
      <c r="Y35" s="11">
        <f>Commercial!Y40*Commercial!$B$35</f>
        <v>206071.09821403879</v>
      </c>
      <c r="Z35" s="11">
        <f>Commercial!Z40*Commercial!$B$35</f>
        <v>219520.25157445847</v>
      </c>
      <c r="AA35" s="11">
        <f>Commercial!AA40*Commercial!$B$35</f>
        <v>233847.15891241172</v>
      </c>
      <c r="AB35" s="11">
        <f>Commercial!AB40*Commercial!$B$35</f>
        <v>249109.10651384006</v>
      </c>
      <c r="AC35" s="11">
        <f>Commercial!AC40*Commercial!$B$35</f>
        <v>265367.11943276913</v>
      </c>
      <c r="AD35" s="11">
        <f>Commercial!AD40*Commercial!$B$35</f>
        <v>282686.20550061332</v>
      </c>
      <c r="AE35" s="11">
        <f>Commercial!AE40*Commercial!$B$35</f>
        <v>301135.61526065634</v>
      </c>
      <c r="AF35" s="11">
        <f>Commercial!AF40*Commercial!$B$35</f>
        <v>320789.1188670586</v>
      </c>
      <c r="AG35" s="11">
        <f>Commercial!AG40*Commercial!$B$35</f>
        <v>341725.30105557595</v>
      </c>
      <c r="AH35" s="11">
        <f>Commercial!AH40*Commercial!$B$35</f>
        <v>364027.87536543078</v>
      </c>
      <c r="AI35" s="11">
        <f>Commercial!AI40*Commercial!$B$35</f>
        <v>387786.01886875828</v>
      </c>
      <c r="AJ35" s="11">
        <f>Commercial!AJ40*Commercial!$B$35</f>
        <v>413094.72874604276</v>
      </c>
      <c r="AK35" s="11">
        <f>Commercial!AK40*Commercial!$B$35</f>
        <v>440055.20213331963</v>
      </c>
      <c r="AL35" s="11">
        <f>Commercial!AL40*Commercial!$B$35</f>
        <v>468775.24075996049</v>
      </c>
      <c r="AM35" s="11">
        <f>Commercial!AM40*Commercial!$B$35</f>
        <v>499369.68199499452</v>
      </c>
      <c r="AN35" s="11">
        <f>Commercial!AN40*Commercial!$B$35</f>
        <v>531960.85802550649</v>
      </c>
      <c r="AO35" s="40">
        <f>Commercial!AO40*Commercial!$B$35</f>
        <v>566679.0850031412</v>
      </c>
      <c r="AP35" s="40">
        <f>Commercial!AP40*Commercial!$B$35</f>
        <v>603663.18411457259</v>
      </c>
      <c r="AQ35" s="40">
        <f>Commercial!AQ40*Commercial!$B$35</f>
        <v>643061.0366594427</v>
      </c>
      <c r="AR35" s="40">
        <f>Commercial!AR40*Commercial!$B$35</f>
        <v>685030.17535525467</v>
      </c>
      <c r="AS35" s="40">
        <f>Commercial!AS40*Commercial!$B$35</f>
        <v>729738.41423356009</v>
      </c>
      <c r="AT35" s="40">
        <f>Commercial!AT40*Commercial!$B$35</f>
        <v>777364.51964608498</v>
      </c>
      <c r="AU35" s="40">
        <f>Commercial!AU40*Commercial!$B$35</f>
        <v>828098.92506382102</v>
      </c>
      <c r="AV35" s="40">
        <f>Commercial!AV40*Commercial!$B$35</f>
        <v>882144.49252721237</v>
      </c>
      <c r="AW35" s="40">
        <f>Commercial!AW40*Commercial!$B$35</f>
        <v>939717.32379210542</v>
      </c>
      <c r="AX35" s="40">
        <f>Commercial!AX40*Commercial!$B$35</f>
        <v>1001047.6244148354</v>
      </c>
    </row>
    <row r="36" spans="1:50" x14ac:dyDescent="0.2">
      <c r="A36" s="6" t="s">
        <v>8</v>
      </c>
      <c r="B36" s="11">
        <f>Commercial!B41*Commercial!$B$35</f>
        <v>36816.09646793257</v>
      </c>
      <c r="C36" s="11">
        <f>Commercial!C41*Commercial!$B$35</f>
        <v>39218.885271508203</v>
      </c>
      <c r="D36" s="11">
        <f>Commercial!D41*Commercial!$B$35</f>
        <v>41778.491190108994</v>
      </c>
      <c r="E36" s="11">
        <f>Commercial!E41*Commercial!$B$35</f>
        <v>44505.148834254258</v>
      </c>
      <c r="F36" s="11">
        <f>Commercial!F41*Commercial!$B$35</f>
        <v>47409.760772501359</v>
      </c>
      <c r="G36" s="11">
        <f>Commercial!G41*Commercial!$B$35</f>
        <v>50503.941125477904</v>
      </c>
      <c r="H36" s="11">
        <f>Commercial!H41*Commercial!$B$35</f>
        <v>53800.06200506218</v>
      </c>
      <c r="I36" s="11">
        <f>Commercial!I41*Commercial!$B$35</f>
        <v>57311.30298439943</v>
      </c>
      <c r="J36" s="11">
        <f>Commercial!J41*Commercial!$B$35</f>
        <v>61051.703796560265</v>
      </c>
      <c r="K36" s="11">
        <f>Commercial!K41*Commercial!$B$35</f>
        <v>65036.220472557274</v>
      </c>
      <c r="L36" s="11">
        <f>Commercial!L41*Commercial!$B$35</f>
        <v>69280.785143188492</v>
      </c>
      <c r="M36" s="11">
        <f>Commercial!M41*Commercial!$B$35</f>
        <v>73802.369743825868</v>
      </c>
      <c r="N36" s="11">
        <f>Commercial!N41*Commercial!$B$35</f>
        <v>78619.053876872742</v>
      </c>
      <c r="O36" s="11">
        <f>Commercial!O41*Commercial!$B$35</f>
        <v>83750.097103239808</v>
      </c>
      <c r="P36" s="11">
        <f>Commercial!P41*Commercial!$B$35</f>
        <v>89216.015951896537</v>
      </c>
      <c r="Q36" s="11">
        <f>Commercial!Q41*Commercial!$B$35</f>
        <v>95038.66595542313</v>
      </c>
      <c r="R36" s="11">
        <f>Commercial!R41*Commercial!$B$35</f>
        <v>101241.32903958144</v>
      </c>
      <c r="S36" s="11">
        <f>Commercial!S41*Commercial!$B$35</f>
        <v>107848.806616334</v>
      </c>
      <c r="T36" s="11">
        <f>Commercial!T41*Commercial!$B$35</f>
        <v>114887.5187525442</v>
      </c>
      <c r="U36" s="11">
        <f>Commercial!U41*Commercial!$B$35</f>
        <v>122385.60981088453</v>
      </c>
      <c r="V36" s="11">
        <f>Commercial!V41*Commercial!$B$35</f>
        <v>130373.06098535948</v>
      </c>
      <c r="W36" s="11">
        <f>Commercial!W41*Commercial!$B$35</f>
        <v>138881.81018141721</v>
      </c>
      <c r="X36" s="11">
        <f>Commercial!X41*Commercial!$B$35</f>
        <v>147945.87971999228</v>
      </c>
      <c r="Y36" s="11">
        <f>Commercial!Y41*Commercial!$B$35</f>
        <v>157601.51237610442</v>
      </c>
      <c r="Z36" s="11">
        <f>Commercial!Z41*Commercial!$B$35</f>
        <v>167887.31629596686</v>
      </c>
      <c r="AA36" s="11">
        <f>Commercial!AA41*Commercial!$B$35</f>
        <v>178844.41937205417</v>
      </c>
      <c r="AB36" s="11">
        <f>Commercial!AB41*Commercial!$B$35</f>
        <v>190516.63369340292</v>
      </c>
      <c r="AC36" s="11">
        <f>Commercial!AC41*Commercial!$B$35</f>
        <v>202950.63072869851</v>
      </c>
      <c r="AD36" s="11">
        <f>Commercial!AD41*Commercial!$B$35</f>
        <v>216196.12794262182</v>
      </c>
      <c r="AE36" s="11">
        <f>Commercial!AE41*Commercial!$B$35</f>
        <v>230306.08759164138</v>
      </c>
      <c r="AF36" s="11">
        <f>Commercial!AF41*Commercial!$B$35</f>
        <v>245336.92849413925</v>
      </c>
      <c r="AG36" s="11">
        <f>Commercial!AG41*Commercial!$B$35</f>
        <v>261348.75162163502</v>
      </c>
      <c r="AH36" s="11">
        <f>Commercial!AH41*Commercial!$B$35</f>
        <v>278405.58041313657</v>
      </c>
      <c r="AI36" s="11">
        <f>Commercial!AI41*Commercial!$B$35</f>
        <v>296575.61677351856</v>
      </c>
      <c r="AJ36" s="11">
        <f>Commercial!AJ41*Commercial!$B$35</f>
        <v>315931.51377953723</v>
      </c>
      <c r="AK36" s="11">
        <f>Commercial!AK41*Commercial!$B$35</f>
        <v>336550.66618390422</v>
      </c>
      <c r="AL36" s="11">
        <f>Commercial!AL41*Commercial!$B$35</f>
        <v>358515.51987899834</v>
      </c>
      <c r="AM36" s="11">
        <f>Commercial!AM41*Commercial!$B$35</f>
        <v>381913.90155761229</v>
      </c>
      <c r="AN36" s="11">
        <f>Commercial!AN41*Commercial!$B$35</f>
        <v>406839.36988888466</v>
      </c>
      <c r="AO36" s="40">
        <f>Commercial!AO41*Commercial!$B$35</f>
        <v>433391.58961359778</v>
      </c>
      <c r="AP36" s="40">
        <f>Commercial!AP41*Commercial!$B$35</f>
        <v>461676.7300546664</v>
      </c>
      <c r="AQ36" s="40">
        <f>Commercial!AQ41*Commercial!$B$35</f>
        <v>491807.88963626401</v>
      </c>
      <c r="AR36" s="40">
        <f>Commercial!AR41*Commercial!$B$35</f>
        <v>523905.54810903198</v>
      </c>
      <c r="AS36" s="40">
        <f>Commercial!AS41*Commercial!$B$35</f>
        <v>558098.04828959866</v>
      </c>
      <c r="AT36" s="40">
        <f>Commercial!AT41*Commercial!$B$35</f>
        <v>594522.10924064741</v>
      </c>
      <c r="AU36" s="40">
        <f>Commercial!AU41*Commercial!$B$35</f>
        <v>633323.37294349156</v>
      </c>
      <c r="AV36" s="40">
        <f>Commercial!AV41*Commercial!$B$35</f>
        <v>674656.98664903059</v>
      </c>
      <c r="AW36" s="40">
        <f>Commercial!AW41*Commercial!$B$35</f>
        <v>718688.22323562368</v>
      </c>
      <c r="AX36" s="40">
        <f>Commercial!AX41*Commercial!$B$35</f>
        <v>765593.14205438946</v>
      </c>
    </row>
    <row r="37" spans="1:50" x14ac:dyDescent="0.2">
      <c r="A37" s="6" t="s">
        <v>9</v>
      </c>
      <c r="B37" s="11">
        <f>Commercial!B42*Commercial!$B$35</f>
        <v>377426.76066855958</v>
      </c>
      <c r="C37" s="11">
        <f>Commercial!C42*Commercial!$B$35</f>
        <v>402059.37742341141</v>
      </c>
      <c r="D37" s="11">
        <f>Commercial!D42*Commercial!$B$35</f>
        <v>428299.63272280281</v>
      </c>
      <c r="E37" s="11">
        <f>Commercial!E42*Commercial!$B$35</f>
        <v>456252.44849669369</v>
      </c>
      <c r="F37" s="11">
        <f>Commercial!F42*Commercial!$B$35</f>
        <v>486029.59436566714</v>
      </c>
      <c r="G37" s="11">
        <f>Commercial!G42*Commercial!$B$35</f>
        <v>517750.13455290388</v>
      </c>
      <c r="H37" s="11">
        <f>Commercial!H42*Commercial!$B$35</f>
        <v>551540.90396369912</v>
      </c>
      <c r="I37" s="11">
        <f>Commercial!I42*Commercial!$B$35</f>
        <v>587537.01533613261</v>
      </c>
      <c r="J37" s="11">
        <f>Commercial!J42*Commercial!$B$35</f>
        <v>625882.39949073864</v>
      </c>
      <c r="K37" s="11">
        <f>Commercial!K42*Commercial!$B$35</f>
        <v>666730.38083936693</v>
      </c>
      <c r="L37" s="11">
        <f>Commercial!L42*Commercial!$B$35</f>
        <v>710244.29045441642</v>
      </c>
      <c r="M37" s="11">
        <f>Commercial!M42*Commercial!$B$35</f>
        <v>756598.11914980365</v>
      </c>
      <c r="N37" s="11">
        <f>Commercial!N42*Commercial!$B$35</f>
        <v>805977.21318501711</v>
      </c>
      <c r="O37" s="11">
        <f>Commercial!O42*Commercial!$B$35</f>
        <v>858579.01537403744</v>
      </c>
      <c r="P37" s="11">
        <f>Commercial!P42*Commercial!$B$35</f>
        <v>914613.85456245136</v>
      </c>
      <c r="Q37" s="11">
        <f>Commercial!Q42*Commercial!$B$35</f>
        <v>974305.78662950208</v>
      </c>
      <c r="R37" s="11">
        <f>Commercial!R42*Commercial!$B$35</f>
        <v>1037893.4903778184</v>
      </c>
      <c r="S37" s="11">
        <f>Commercial!S42*Commercial!$B$35</f>
        <v>1105631.2218930547</v>
      </c>
      <c r="T37" s="11">
        <f>Commercial!T42*Commercial!$B$35</f>
        <v>1177789.8311894597</v>
      </c>
      <c r="U37" s="11">
        <f>Commercial!U42*Commercial!$B$35</f>
        <v>1254657.845206433</v>
      </c>
      <c r="V37" s="11">
        <f>Commercial!V42*Commercial!$B$35</f>
        <v>1336542.621486455</v>
      </c>
      <c r="W37" s="11">
        <f>Commercial!W42*Commercial!$B$35</f>
        <v>1423771.5771473704</v>
      </c>
      <c r="X37" s="11">
        <f>Commercial!X42*Commercial!$B$35</f>
        <v>1516693.4980630958</v>
      </c>
      <c r="Y37" s="11">
        <f>Commercial!Y42*Commercial!$B$35</f>
        <v>1615679.9334875094</v>
      </c>
      <c r="Z37" s="11">
        <f>Commercial!Z42*Commercial!$B$35</f>
        <v>1721126.6816979572</v>
      </c>
      <c r="AA37" s="11">
        <f>Commercial!AA42*Commercial!$B$35</f>
        <v>1833455.3725987221</v>
      </c>
      <c r="AB37" s="11">
        <f>Commercial!AB42*Commercial!$B$35</f>
        <v>1953115.1536125245</v>
      </c>
      <c r="AC37" s="11">
        <f>Commercial!AC42*Commercial!$B$35</f>
        <v>2080584.4856010941</v>
      </c>
      <c r="AD37" s="11">
        <f>Commercial!AD42*Commercial!$B$35</f>
        <v>2216373.0559958364</v>
      </c>
      <c r="AE37" s="11">
        <f>Commercial!AE42*Commercial!$B$35</f>
        <v>2361023.8167882552</v>
      </c>
      <c r="AF37" s="11">
        <f>Commercial!AF42*Commercial!$B$35</f>
        <v>2515115.1555290585</v>
      </c>
      <c r="AG37" s="11">
        <f>Commercial!AG42*Commercial!$B$35</f>
        <v>2679263.2080167099</v>
      </c>
      <c r="AH37" s="11">
        <f>Commercial!AH42*Commercial!$B$35</f>
        <v>2854124.3219227437</v>
      </c>
      <c r="AI37" s="11">
        <f>Commercial!AI42*Commercial!$B$35</f>
        <v>3040397.6812046603</v>
      </c>
      <c r="AJ37" s="11">
        <f>Commercial!AJ42*Commercial!$B$35</f>
        <v>3238828.1018001474</v>
      </c>
      <c r="AK37" s="11">
        <f>Commercial!AK42*Commercial!$B$35</f>
        <v>3450209.0097812545</v>
      </c>
      <c r="AL37" s="11">
        <f>Commercial!AL42*Commercial!$B$35</f>
        <v>3675385.6138766678</v>
      </c>
      <c r="AM37" s="11">
        <f>Commercial!AM42*Commercial!$B$35</f>
        <v>3915258.2850474953</v>
      </c>
      <c r="AN37" s="11">
        <f>Commercial!AN42*Commercial!$B$35</f>
        <v>4170786.1566297798</v>
      </c>
      <c r="AO37" s="40">
        <f>Commercial!AO42*Commercial!$B$35</f>
        <v>4442990.9594389871</v>
      </c>
      <c r="AP37" s="40">
        <f>Commercial!AP42*Commercial!$B$35</f>
        <v>4732961.1071711453</v>
      </c>
      <c r="AQ37" s="40">
        <f>Commercial!AQ42*Commercial!$B$35</f>
        <v>5041856.0484361779</v>
      </c>
      <c r="AR37" s="40">
        <f>Commercial!AR42*Commercial!$B$35</f>
        <v>5370910.9028250594</v>
      </c>
      <c r="AS37" s="40">
        <f>Commercial!AS42*Commercial!$B$35</f>
        <v>5721441.3995481711</v>
      </c>
      <c r="AT37" s="40">
        <f>Commercial!AT42*Commercial!$B$35</f>
        <v>6094849.1383920405</v>
      </c>
      <c r="AU37" s="40">
        <f>Commercial!AU42*Commercial!$B$35</f>
        <v>6492627.1940304693</v>
      </c>
      <c r="AV37" s="40">
        <f>Commercial!AV42*Commercial!$B$35</f>
        <v>6916366.0860989261</v>
      </c>
      <c r="AW37" s="40">
        <f>Commercial!AW42*Commercial!$B$35</f>
        <v>7367760.1389036234</v>
      </c>
      <c r="AX37" s="40">
        <f>Commercial!AX42*Commercial!$B$35</f>
        <v>7848614.2561946372</v>
      </c>
    </row>
    <row r="38" spans="1:50" x14ac:dyDescent="0.2">
      <c r="A38" s="6" t="s">
        <v>10</v>
      </c>
      <c r="B38" s="11">
        <f>Commercial!B43*Commercial!$B$35</f>
        <v>327.81125585794052</v>
      </c>
      <c r="C38" s="11">
        <f>Commercial!C43*Commercial!$B$35</f>
        <v>349.20573519791054</v>
      </c>
      <c r="D38" s="11">
        <f>Commercial!D43*Commercial!$B$35</f>
        <v>371.99651725186311</v>
      </c>
      <c r="E38" s="11">
        <f>Commercial!E43*Commercial!$B$35</f>
        <v>396.27473119560517</v>
      </c>
      <c r="F38" s="11">
        <f>Commercial!F43*Commercial!$B$35</f>
        <v>422.13745371661167</v>
      </c>
      <c r="G38" s="11">
        <f>Commercial!G43*Commercial!$B$35</f>
        <v>449.68809717615619</v>
      </c>
      <c r="H38" s="11">
        <f>Commercial!H43*Commercial!$B$35</f>
        <v>479.03682310469787</v>
      </c>
      <c r="I38" s="11">
        <f>Commercial!I43*Commercial!$B$35</f>
        <v>510.30098268389082</v>
      </c>
      <c r="J38" s="11">
        <f>Commercial!J43*Commercial!$B$35</f>
        <v>543.60558597648867</v>
      </c>
      <c r="K38" s="11">
        <f>Commercial!K43*Commercial!$B$35</f>
        <v>579.08380178036077</v>
      </c>
      <c r="L38" s="11">
        <f>Commercial!L43*Commercial!$B$35</f>
        <v>616.87749010529797</v>
      </c>
      <c r="M38" s="11">
        <f>Commercial!M43*Commercial!$B$35</f>
        <v>657.1377694017167</v>
      </c>
      <c r="N38" s="11">
        <f>Commercial!N43*Commercial!$B$35</f>
        <v>700.02562080933171</v>
      </c>
      <c r="O38" s="11">
        <f>Commercial!O43*Commercial!$B$35</f>
        <v>745.71253184189675</v>
      </c>
      <c r="P38" s="11">
        <f>Commercial!P43*Commercial!$B$35</f>
        <v>794.38118208178389</v>
      </c>
      <c r="Q38" s="11">
        <f>Commercial!Q43*Commercial!$B$35</f>
        <v>846.22617362617075</v>
      </c>
      <c r="R38" s="11">
        <f>Commercial!R43*Commercial!$B$35</f>
        <v>901.45480920552029</v>
      </c>
      <c r="S38" s="11">
        <f>Commercial!S43*Commercial!$B$35</f>
        <v>960.28792108567461</v>
      </c>
      <c r="T38" s="11">
        <f>Commercial!T43*Commercial!$B$35</f>
        <v>1022.9607540679368</v>
      </c>
      <c r="U38" s="11">
        <f>Commercial!U43*Commercial!$B$35</f>
        <v>1089.72390611782</v>
      </c>
      <c r="V38" s="11">
        <f>Commercial!V43*Commercial!$B$35</f>
        <v>1160.8443303835827</v>
      </c>
      <c r="W38" s="11">
        <f>Commercial!W43*Commercial!$B$35</f>
        <v>1236.6064026111321</v>
      </c>
      <c r="X38" s="11">
        <f>Commercial!X43*Commercial!$B$35</f>
        <v>1317.3130582233596</v>
      </c>
      <c r="Y38" s="11">
        <f>Commercial!Y43*Commercial!$B$35</f>
        <v>1403.2870036105367</v>
      </c>
      <c r="Z38" s="11">
        <f>Commercial!Z43*Commercial!$B$35</f>
        <v>1494.8720064751267</v>
      </c>
      <c r="AA38" s="11">
        <f>Commercial!AA43*Commercial!$B$35</f>
        <v>1592.4342703904676</v>
      </c>
      <c r="AB38" s="11">
        <f>Commercial!AB43*Commercial!$B$35</f>
        <v>1696.363899069519</v>
      </c>
      <c r="AC38" s="11">
        <f>Commercial!AC43*Commercial!$B$35</f>
        <v>1807.076456198557</v>
      </c>
      <c r="AD38" s="11">
        <f>Commercial!AD43*Commercial!$B$35</f>
        <v>1925.014627072838</v>
      </c>
      <c r="AE38" s="11">
        <f>Commercial!AE43*Commercial!$B$35</f>
        <v>2050.6499886782917</v>
      </c>
      <c r="AF38" s="11">
        <f>Commercial!AF43*Commercial!$B$35</f>
        <v>2184.4848952969355</v>
      </c>
      <c r="AG38" s="11">
        <f>Commercial!AG43*Commercial!$B$35</f>
        <v>2327.0544871756242</v>
      </c>
      <c r="AH38" s="11">
        <f>Commercial!AH43*Commercial!$B$35</f>
        <v>2478.9288302898176</v>
      </c>
      <c r="AI38" s="11">
        <f>Commercial!AI43*Commercial!$B$35</f>
        <v>2640.7151957582296</v>
      </c>
      <c r="AJ38" s="11">
        <f>Commercial!AJ43*Commercial!$B$35</f>
        <v>2813.0604880226233</v>
      </c>
      <c r="AK38" s="11">
        <f>Commercial!AK43*Commercial!$B$35</f>
        <v>2996.6538315018588</v>
      </c>
      <c r="AL38" s="11">
        <f>Commercial!AL43*Commercial!$B$35</f>
        <v>3192.2293260629494</v>
      </c>
      <c r="AM38" s="11">
        <f>Commercial!AM43*Commercial!$B$35</f>
        <v>3400.5689823269095</v>
      </c>
      <c r="AN38" s="11">
        <f>Commercial!AN43*Commercial!$B$35</f>
        <v>3622.505848546245</v>
      </c>
      <c r="AO38" s="40">
        <f>Commercial!AO43*Commercial!$B$35</f>
        <v>3858.9273415569351</v>
      </c>
      <c r="AP38" s="40">
        <f>Commercial!AP43*Commercial!$B$35</f>
        <v>4110.7787951237506</v>
      </c>
      <c r="AQ38" s="40">
        <f>Commercial!AQ43*Commercial!$B$35</f>
        <v>4379.0672398670122</v>
      </c>
      <c r="AR38" s="40">
        <f>Commercial!AR43*Commercial!$B$35</f>
        <v>4664.8654298848523</v>
      </c>
      <c r="AS38" s="40">
        <f>Commercial!AS43*Commercial!$B$35</f>
        <v>4969.3161321714824</v>
      </c>
      <c r="AT38" s="40">
        <f>Commercial!AT43*Commercial!$B$35</f>
        <v>5293.6366959827374</v>
      </c>
      <c r="AU38" s="40">
        <f>Commercial!AU43*Commercial!$B$35</f>
        <v>5639.1239204195645</v>
      </c>
      <c r="AV38" s="40">
        <f>Commercial!AV43*Commercial!$B$35</f>
        <v>6007.1592396925262</v>
      </c>
      <c r="AW38" s="40">
        <f>Commercial!AW43*Commercial!$B$35</f>
        <v>6399.2142468006632</v>
      </c>
      <c r="AX38" s="40">
        <f>Commercial!AX43*Commercial!$B$35</f>
        <v>6816.8565777111962</v>
      </c>
    </row>
    <row r="39" spans="1:50" x14ac:dyDescent="0.2">
      <c r="A39" s="6" t="s">
        <v>44</v>
      </c>
      <c r="B39" s="11">
        <f>Commercial!B44*Commercial!$B$35</f>
        <v>598559.8001958637</v>
      </c>
      <c r="C39" s="11">
        <f>Commercial!C44*Commercial!$B$35</f>
        <v>637624.58229284128</v>
      </c>
      <c r="D39" s="11">
        <f>Commercial!D44*Commercial!$B$35</f>
        <v>679238.91282221465</v>
      </c>
      <c r="E39" s="11">
        <f>Commercial!E44*Commercial!$B$35</f>
        <v>723569.18711144209</v>
      </c>
      <c r="F39" s="11">
        <f>Commercial!F44*Commercial!$B$35</f>
        <v>770792.66021696373</v>
      </c>
      <c r="G39" s="11">
        <f>Commercial!G44*Commercial!$B$35</f>
        <v>821098.15568036202</v>
      </c>
      <c r="H39" s="11">
        <f>Commercial!H44*Commercial!$B$35</f>
        <v>874686.82054122875</v>
      </c>
      <c r="I39" s="11">
        <f>Commercial!I44*Commercial!$B$35</f>
        <v>931772.92962566798</v>
      </c>
      <c r="J39" s="11">
        <f>Commercial!J44*Commercial!$B$35</f>
        <v>992584.74232638453</v>
      </c>
      <c r="K39" s="11">
        <f>Commercial!K44*Commercial!$B$35</f>
        <v>1057365.4153002077</v>
      </c>
      <c r="L39" s="11">
        <f>Commercial!L44*Commercial!$B$35</f>
        <v>1126373.9747324761</v>
      </c>
      <c r="M39" s="11">
        <f>Commercial!M44*Commercial!$B$35</f>
        <v>1199886.3520558989</v>
      </c>
      <c r="N39" s="11">
        <f>Commercial!N44*Commercial!$B$35</f>
        <v>1278196.4872652176</v>
      </c>
      <c r="O39" s="11">
        <f>Commercial!O44*Commercial!$B$35</f>
        <v>1361617.504239293</v>
      </c>
      <c r="P39" s="11">
        <f>Commercial!P44*Commercial!$B$35</f>
        <v>1450482.9627701417</v>
      </c>
      <c r="Q39" s="11">
        <f>Commercial!Q44*Commercial!$B$35</f>
        <v>1545148.1923051903</v>
      </c>
      <c r="R39" s="11">
        <f>Commercial!R44*Commercial!$B$35</f>
        <v>1645991.712735713</v>
      </c>
      <c r="S39" s="11">
        <f>Commercial!S44*Commercial!$B$35</f>
        <v>1753416.7479125005</v>
      </c>
      <c r="T39" s="11">
        <f>Commercial!T44*Commercial!$B$35</f>
        <v>1867852.8379405634</v>
      </c>
      <c r="U39" s="11">
        <f>Commercial!U44*Commercial!$B$35</f>
        <v>1989757.5566996466</v>
      </c>
      <c r="V39" s="11">
        <f>Commercial!V44*Commercial!$B$35</f>
        <v>2119618.3414580803</v>
      </c>
      <c r="W39" s="11">
        <f>Commercial!W44*Commercial!$B$35</f>
        <v>2257954.4418957005</v>
      </c>
      <c r="X39" s="11">
        <f>Commercial!X44*Commercial!$B$35</f>
        <v>2405318.9963290184</v>
      </c>
      <c r="Y39" s="11">
        <f>Commercial!Y44*Commercial!$B$35</f>
        <v>2562301.2434404455</v>
      </c>
      <c r="Z39" s="11">
        <f>Commercial!Z44*Commercial!$B$35</f>
        <v>2729528.8783552232</v>
      </c>
      <c r="AA39" s="11">
        <f>Commercial!AA44*Commercial!$B$35</f>
        <v>2907670.5624868064</v>
      </c>
      <c r="AB39" s="11">
        <f>Commercial!AB44*Commercial!$B$35</f>
        <v>3097438.5971863889</v>
      </c>
      <c r="AC39" s="11">
        <f>Commercial!AC44*Commercial!$B$35</f>
        <v>3299591.7718871622</v>
      </c>
      <c r="AD39" s="11">
        <f>Commercial!AD44*Commercial!$B$35</f>
        <v>3514938.3981316471</v>
      </c>
      <c r="AE39" s="11">
        <f>Commercial!AE44*Commercial!$B$35</f>
        <v>3744339.5416136887</v>
      </c>
      <c r="AF39" s="11">
        <f>Commercial!AF44*Commercial!$B$35</f>
        <v>3988712.4651584583</v>
      </c>
      <c r="AG39" s="11">
        <f>Commercial!AG44*Commercial!$B$35</f>
        <v>4249034.2964072758</v>
      </c>
      <c r="AH39" s="11">
        <f>Commercial!AH44*Commercial!$B$35</f>
        <v>4526345.9348725034</v>
      </c>
      <c r="AI39" s="11">
        <f>Commercial!AI44*Commercial!$B$35</f>
        <v>4821756.2139849253</v>
      </c>
      <c r="AJ39" s="11">
        <f>Commercial!AJ44*Commercial!$B$35</f>
        <v>5136446.3347755847</v>
      </c>
      <c r="AK39" s="11">
        <f>Commercial!AK44*Commercial!$B$35</f>
        <v>5471674.5889202328</v>
      </c>
      <c r="AL39" s="11">
        <f>Commercial!AL44*Commercial!$B$35</f>
        <v>5828781.3900314914</v>
      </c>
      <c r="AM39" s="11">
        <f>Commercial!AM44*Commercial!$B$35</f>
        <v>6209194.6333164386</v>
      </c>
      <c r="AN39" s="11">
        <f>Commercial!AN44*Commercial!$B$35</f>
        <v>6614435.4050302394</v>
      </c>
      <c r="AO39" s="40">
        <f>Commercial!AO44*Commercial!$B$35</f>
        <v>7046124.0645551328</v>
      </c>
      <c r="AP39" s="40">
        <f>Commercial!AP44*Commercial!$B$35</f>
        <v>7505986.7234240491</v>
      </c>
      <c r="AQ39" s="40">
        <f>Commercial!AQ44*Commercial!$B$35</f>
        <v>7995862.1471952731</v>
      </c>
      <c r="AR39" s="40">
        <f>Commercial!AR44*Commercial!$B$35</f>
        <v>8517709.107775392</v>
      </c>
      <c r="AS39" s="40">
        <f>Commercial!AS44*Commercial!$B$35</f>
        <v>9073614.2155888584</v>
      </c>
      <c r="AT39" s="40">
        <f>Commercial!AT44*Commercial!$B$35</f>
        <v>9665800.2629111633</v>
      </c>
      <c r="AU39" s="40">
        <f>Commercial!AU44*Commercial!$B$35</f>
        <v>10296635.111726563</v>
      </c>
      <c r="AV39" s="40">
        <f>Commercial!AV44*Commercial!$B$35</f>
        <v>10968641.161648503</v>
      </c>
      <c r="AW39" s="40">
        <f>Commercial!AW44*Commercial!$B$35</f>
        <v>11684505.43576034</v>
      </c>
      <c r="AX39" s="40">
        <f>Commercial!AX44*Commercial!$B$35</f>
        <v>12447090.324704712</v>
      </c>
    </row>
    <row r="41" spans="1:50" x14ac:dyDescent="0.2">
      <c r="A41" s="5" t="s">
        <v>66</v>
      </c>
    </row>
    <row r="42" spans="1:50" x14ac:dyDescent="0.2">
      <c r="A42" s="5" t="s">
        <v>4</v>
      </c>
    </row>
    <row r="43" spans="1:50" x14ac:dyDescent="0.2">
      <c r="A43" s="5" t="s">
        <v>49</v>
      </c>
    </row>
    <row r="44" spans="1:50" x14ac:dyDescent="0.2">
      <c r="A44" s="5" t="s">
        <v>6</v>
      </c>
    </row>
    <row r="45" spans="1:50" x14ac:dyDescent="0.2">
      <c r="A45" s="5"/>
    </row>
    <row r="46" spans="1:50" x14ac:dyDescent="0.2">
      <c r="A46" s="6" t="s">
        <v>7</v>
      </c>
      <c r="B46" s="6">
        <v>2022</v>
      </c>
      <c r="C46" s="6">
        <v>2023</v>
      </c>
      <c r="D46" s="6">
        <v>2024</v>
      </c>
      <c r="E46" s="6">
        <v>2025</v>
      </c>
      <c r="F46" s="6">
        <v>2026</v>
      </c>
      <c r="G46" s="6">
        <v>2027</v>
      </c>
      <c r="H46" s="6">
        <v>2028</v>
      </c>
      <c r="I46" s="6">
        <v>2029</v>
      </c>
      <c r="J46" s="6">
        <v>2030</v>
      </c>
      <c r="K46" s="6">
        <v>2031</v>
      </c>
      <c r="L46" s="6">
        <v>2032</v>
      </c>
      <c r="M46" s="6">
        <v>2033</v>
      </c>
      <c r="N46" s="6">
        <v>2034</v>
      </c>
      <c r="O46" s="6">
        <v>2035</v>
      </c>
      <c r="P46" s="6">
        <v>2036</v>
      </c>
      <c r="Q46" s="6">
        <v>2037</v>
      </c>
      <c r="R46" s="6">
        <v>2038</v>
      </c>
      <c r="S46" s="6">
        <v>2039</v>
      </c>
      <c r="T46" s="6">
        <v>2040</v>
      </c>
      <c r="U46" s="6">
        <v>2041</v>
      </c>
      <c r="V46" s="6">
        <v>2042</v>
      </c>
      <c r="W46" s="6">
        <v>2043</v>
      </c>
      <c r="X46" s="6">
        <v>2044</v>
      </c>
      <c r="Y46" s="6">
        <v>2045</v>
      </c>
      <c r="Z46" s="6">
        <v>2046</v>
      </c>
      <c r="AA46" s="6">
        <v>2047</v>
      </c>
      <c r="AB46" s="6">
        <v>2048</v>
      </c>
      <c r="AC46" s="6">
        <v>2049</v>
      </c>
      <c r="AD46" s="6">
        <v>2050</v>
      </c>
      <c r="AE46" s="6">
        <v>2051</v>
      </c>
      <c r="AF46" s="6">
        <v>2052</v>
      </c>
      <c r="AG46" s="6">
        <v>2053</v>
      </c>
      <c r="AH46" s="6">
        <v>2054</v>
      </c>
      <c r="AI46" s="6">
        <v>2055</v>
      </c>
      <c r="AJ46" s="6">
        <v>2056</v>
      </c>
      <c r="AK46" s="6">
        <v>2057</v>
      </c>
      <c r="AL46" s="6">
        <v>2058</v>
      </c>
      <c r="AM46" s="6">
        <v>2059</v>
      </c>
      <c r="AN46" s="6">
        <v>2060</v>
      </c>
      <c r="AO46" s="39">
        <f>AN46+1</f>
        <v>2061</v>
      </c>
      <c r="AP46" s="39">
        <f t="shared" ref="AP46:AX46" si="3">AO46+1</f>
        <v>2062</v>
      </c>
      <c r="AQ46" s="39">
        <f t="shared" si="3"/>
        <v>2063</v>
      </c>
      <c r="AR46" s="39">
        <f t="shared" si="3"/>
        <v>2064</v>
      </c>
      <c r="AS46" s="39">
        <f t="shared" si="3"/>
        <v>2065</v>
      </c>
      <c r="AT46" s="39">
        <f t="shared" si="3"/>
        <v>2066</v>
      </c>
      <c r="AU46" s="39">
        <f t="shared" si="3"/>
        <v>2067</v>
      </c>
      <c r="AV46" s="39">
        <f t="shared" si="3"/>
        <v>2068</v>
      </c>
      <c r="AW46" s="39">
        <f>AV46+1</f>
        <v>2069</v>
      </c>
      <c r="AX46" s="39">
        <f t="shared" si="3"/>
        <v>2070</v>
      </c>
    </row>
    <row r="47" spans="1:50" x14ac:dyDescent="0.2">
      <c r="A47" s="6" t="s">
        <v>40</v>
      </c>
      <c r="B47" s="11">
        <f>Commercial!B52*Commercial!$B$35</f>
        <v>1086472.7286844754</v>
      </c>
      <c r="C47" s="11">
        <f>Commercial!C52*Commercial!$B$35</f>
        <v>1157380.96606774</v>
      </c>
      <c r="D47" s="11">
        <f>Commercial!D52*Commercial!$B$35</f>
        <v>1232917.003115051</v>
      </c>
      <c r="E47" s="11">
        <f>Commercial!E52*Commercial!$B$35</f>
        <v>1313382.8714453126</v>
      </c>
      <c r="F47" s="11">
        <f>Commercial!F52*Commercial!$B$35</f>
        <v>1399100.3146583806</v>
      </c>
      <c r="G47" s="11">
        <f>Commercial!G52*Commercial!$B$35</f>
        <v>1490412.0748301425</v>
      </c>
      <c r="H47" s="11">
        <f>Commercial!H52*Commercial!$B$35</f>
        <v>1587683.2629702282</v>
      </c>
      <c r="I47" s="11">
        <f>Commercial!I52*Commercial!$B$35</f>
        <v>1691302.8189221232</v>
      </c>
      <c r="J47" s="11">
        <f>Commercial!J52*Commercial!$B$35</f>
        <v>1801685.0665431246</v>
      </c>
      <c r="K47" s="11">
        <f>Commercial!K52*Commercial!$B$35</f>
        <v>1919271.370382532</v>
      </c>
      <c r="L47" s="11">
        <f>Commercial!L52*Commercial!$B$35</f>
        <v>2044531.900482327</v>
      </c>
      <c r="M47" s="11">
        <f>Commercial!M52*Commercial!$B$35</f>
        <v>2177967.5123569081</v>
      </c>
      <c r="N47" s="11">
        <f>Commercial!N52*Commercial!$B$35</f>
        <v>2320111.7496689996</v>
      </c>
      <c r="O47" s="11">
        <f>Commercial!O52*Commercial!$B$35</f>
        <v>2471532.9776094649</v>
      </c>
      <c r="P47" s="11">
        <f>Commercial!P52*Commercial!$B$35</f>
        <v>2632836.6555113476</v>
      </c>
      <c r="Q47" s="11">
        <f>Commercial!Q52*Commercial!$B$35</f>
        <v>2804667.7577852234</v>
      </c>
      <c r="R47" s="11">
        <f>Commercial!R52*Commercial!$B$35</f>
        <v>2987713.3528560032</v>
      </c>
      <c r="S47" s="11">
        <f>Commercial!S52*Commercial!$B$35</f>
        <v>3182705.3504130691</v>
      </c>
      <c r="T47" s="11">
        <f>Commercial!T52*Commercial!$B$35</f>
        <v>3390423.4279586836</v>
      </c>
      <c r="U47" s="11">
        <f>Commercial!U52*Commercial!$B$35</f>
        <v>3611698.1483564693</v>
      </c>
      <c r="V47" s="11">
        <f>Commercial!V52*Commercial!$B$35</f>
        <v>3847414.2808455452</v>
      </c>
      <c r="W47" s="11">
        <f>Commercial!W52*Commercial!$B$35</f>
        <v>4098514.3387994054</v>
      </c>
      <c r="X47" s="11">
        <f>Commercial!X52*Commercial!$B$35</f>
        <v>4366002.3483752999</v>
      </c>
      <c r="Y47" s="11">
        <f>Commercial!Y52*Commercial!$B$35</f>
        <v>4650947.8631231394</v>
      </c>
      <c r="Z47" s="11">
        <f>Commercial!Z52*Commercial!$B$35</f>
        <v>4954490.2406063164</v>
      </c>
      <c r="AA47" s="11">
        <f>Commercial!AA52*Commercial!$B$35</f>
        <v>5277843.1981346318</v>
      </c>
      <c r="AB47" s="11">
        <f>Commercial!AB52*Commercial!$B$35</f>
        <v>5622299.6658253772</v>
      </c>
      <c r="AC47" s="11">
        <f>Commercial!AC52*Commercial!$B$35</f>
        <v>5989236.9563976964</v>
      </c>
      <c r="AD47" s="11">
        <f>Commercial!AD52*Commercial!$B$35</f>
        <v>6380122.2723716078</v>
      </c>
      <c r="AE47" s="11">
        <f>Commercial!AE52*Commercial!$B$35</f>
        <v>6796518.5726923347</v>
      </c>
      <c r="AF47" s="11">
        <f>Commercial!AF52*Commercial!$B$35</f>
        <v>7240090.8222376741</v>
      </c>
      <c r="AG47" s="11">
        <f>Commercial!AG52*Commercial!$B$35</f>
        <v>7712612.6491971435</v>
      </c>
      <c r="AH47" s="11">
        <f>Commercial!AH52*Commercial!$B$35</f>
        <v>8215973.4369424731</v>
      </c>
      <c r="AI47" s="11">
        <f>Commercial!AI52*Commercial!$B$35</f>
        <v>8752185.8787464369</v>
      </c>
      <c r="AJ47" s="11">
        <f>Commercial!AJ52*Commercial!$B$35</f>
        <v>9323394.0255574901</v>
      </c>
      <c r="AK47" s="11">
        <f>Commercial!AK52*Commercial!$B$35</f>
        <v>9931881.8590095304</v>
      </c>
      <c r="AL47" s="11">
        <f>Commercial!AL52*Commercial!$B$35</f>
        <v>10580082.423945859</v>
      </c>
      <c r="AM47" s="11">
        <f>Commercial!AM52*Commercial!$B$35</f>
        <v>11270587.556973945</v>
      </c>
      <c r="AN47" s="11">
        <f>Commercial!AN52*Commercial!$B$35</f>
        <v>12006158.249950688</v>
      </c>
      <c r="AO47" s="40">
        <f>Commercial!AO52*Commercial!$B$35</f>
        <v>12789735.689836692</v>
      </c>
      <c r="AP47" s="40">
        <f>Commercial!AP52*Commercial!$B$35</f>
        <v>13624453.019062469</v>
      </c>
      <c r="AQ47" s="40">
        <f>Commercial!AQ52*Commercial!$B$35</f>
        <v>14513647.863430601</v>
      </c>
      <c r="AR47" s="40">
        <f>Commercial!AR52*Commercial!$B$35</f>
        <v>15460875.677646743</v>
      </c>
      <c r="AS47" s="40">
        <f>Commercial!AS52*Commercial!$B$35</f>
        <v>16469923.961841729</v>
      </c>
      <c r="AT47" s="40">
        <f>Commercial!AT52*Commercial!$B$35</f>
        <v>17544827.405929688</v>
      </c>
      <c r="AU47" s="40">
        <f>Commercial!AU52*Commercial!$B$35</f>
        <v>18689884.022357062</v>
      </c>
      <c r="AV47" s="40">
        <f>Commercial!AV52*Commercial!$B$35</f>
        <v>19909672.33174945</v>
      </c>
      <c r="AW47" s="40">
        <f>Commercial!AW52*Commercial!$B$35</f>
        <v>21209069.670173295</v>
      </c>
      <c r="AX47" s="40">
        <f>Commercial!AX52*Commercial!$B$35</f>
        <v>22593271.691214167</v>
      </c>
    </row>
    <row r="48" spans="1:50" x14ac:dyDescent="0.2">
      <c r="A48" s="6" t="s">
        <v>41</v>
      </c>
      <c r="B48" s="11">
        <f>Commercial!B53*Commercial!$B$35</f>
        <v>663686.34958816296</v>
      </c>
      <c r="C48" s="11">
        <f>Commercial!C53*Commercial!$B$35</f>
        <v>707001.59163902618</v>
      </c>
      <c r="D48" s="11">
        <f>Commercial!D53*Commercial!$B$35</f>
        <v>753143.78680575371</v>
      </c>
      <c r="E48" s="11">
        <f>Commercial!E53*Commercial!$B$35</f>
        <v>802297.43512899883</v>
      </c>
      <c r="F48" s="11">
        <f>Commercial!F53*Commercial!$B$35</f>
        <v>854659.07797575009</v>
      </c>
      <c r="G48" s="11">
        <f>Commercial!G53*Commercial!$B$35</f>
        <v>910438.08391200111</v>
      </c>
      <c r="H48" s="11">
        <f>Commercial!H53*Commercial!$B$35</f>
        <v>969857.48586511298</v>
      </c>
      <c r="I48" s="11">
        <f>Commercial!I53*Commercial!$B$35</f>
        <v>1033154.8729232574</v>
      </c>
      <c r="J48" s="11">
        <f>Commercial!J53*Commercial!$B$35</f>
        <v>1100583.3403378262</v>
      </c>
      <c r="K48" s="11">
        <f>Commercial!K53*Commercial!$B$35</f>
        <v>1172412.501527389</v>
      </c>
      <c r="L48" s="11">
        <f>Commercial!L53*Commercial!$B$35</f>
        <v>1248929.5661297112</v>
      </c>
      <c r="M48" s="11">
        <f>Commercial!M53*Commercial!$B$35</f>
        <v>1330440.4884124389</v>
      </c>
      <c r="N48" s="11">
        <f>Commercial!N53*Commercial!$B$35</f>
        <v>1417271.1906343747</v>
      </c>
      <c r="O48" s="11">
        <f>Commercial!O53*Commercial!$B$35</f>
        <v>1509768.8662489736</v>
      </c>
      <c r="P48" s="11">
        <f>Commercial!P53*Commercial!$B$35</f>
        <v>1608303.3681609265</v>
      </c>
      <c r="Q48" s="11">
        <f>Commercial!Q53*Commercial!$B$35</f>
        <v>1713268.687586793</v>
      </c>
      <c r="R48" s="11">
        <f>Commercial!R53*Commercial!$B$35</f>
        <v>1825084.5294329252</v>
      </c>
      <c r="S48" s="11">
        <f>Commercial!S53*Commercial!$B$35</f>
        <v>1944197.9904898356</v>
      </c>
      <c r="T48" s="11">
        <f>Commercial!T53*Commercial!$B$35</f>
        <v>2071085.3471533044</v>
      </c>
      <c r="U48" s="11">
        <f>Commercial!U53*Commercial!$B$35</f>
        <v>2206253.9598204312</v>
      </c>
      <c r="V48" s="11">
        <f>Commercial!V53*Commercial!$B$35</f>
        <v>2350244.3015753846</v>
      </c>
      <c r="W48" s="11">
        <f>Commercial!W53*Commercial!$B$35</f>
        <v>2503632.1192765785</v>
      </c>
      <c r="X48" s="11">
        <f>Commercial!X53*Commercial!$B$35</f>
        <v>2667030.7356863851</v>
      </c>
      <c r="Y48" s="11">
        <f>Commercial!Y53*Commercial!$B$35</f>
        <v>2841093.5018484928</v>
      </c>
      <c r="Z48" s="11">
        <f>Commercial!Z53*Commercial!$B$35</f>
        <v>3026516.4095187583</v>
      </c>
      <c r="AA48" s="11">
        <f>Commercial!AA53*Commercial!$B$35</f>
        <v>3224040.8740953812</v>
      </c>
      <c r="AB48" s="11">
        <f>Commercial!AB53*Commercial!$B$35</f>
        <v>3434456.6991759706</v>
      </c>
      <c r="AC48" s="11">
        <f>Commercial!AC53*Commercial!$B$35</f>
        <v>3658605.234595343</v>
      </c>
      <c r="AD48" s="11">
        <f>Commercial!AD53*Commercial!$B$35</f>
        <v>3897382.740571456</v>
      </c>
      <c r="AE48" s="11">
        <f>Commercial!AE53*Commercial!$B$35</f>
        <v>4151743.9714110899</v>
      </c>
      <c r="AF48" s="11">
        <f>Commercial!AF53*Commercial!$B$35</f>
        <v>4422705.9931047354</v>
      </c>
      <c r="AG48" s="11">
        <f>Commercial!AG53*Commercial!$B$35</f>
        <v>4711352.2500753822</v>
      </c>
      <c r="AH48" s="11">
        <f>Commercial!AH53*Commercial!$B$35</f>
        <v>5018836.8973421613</v>
      </c>
      <c r="AI48" s="11">
        <f>Commercial!AI53*Commercial!$B$35</f>
        <v>5346389.4154210379</v>
      </c>
      <c r="AJ48" s="11">
        <f>Commercial!AJ53*Commercial!$B$35</f>
        <v>5695319.5264152391</v>
      </c>
      <c r="AK48" s="11">
        <f>Commercial!AK53*Commercial!$B$35</f>
        <v>6067022.430952548</v>
      </c>
      <c r="AL48" s="11">
        <f>Commercial!AL53*Commercial!$B$35</f>
        <v>6462984.3869093023</v>
      </c>
      <c r="AM48" s="11">
        <f>Commercial!AM53*Commercial!$B$35</f>
        <v>6884788.652227764</v>
      </c>
      <c r="AN48" s="11">
        <f>Commercial!AN53*Commercial!$B$35</f>
        <v>7334121.8155892398</v>
      </c>
      <c r="AO48" s="40">
        <f>Commercial!AO53*Commercial!$B$35</f>
        <v>7812780.5402562339</v>
      </c>
      <c r="AP48" s="40">
        <f>Commercial!AP53*Commercial!$B$35</f>
        <v>8322678.7480489137</v>
      </c>
      <c r="AQ48" s="40">
        <f>Commercial!AQ53*Commercial!$B$35</f>
        <v>8865855.2721811496</v>
      </c>
      <c r="AR48" s="40">
        <f>Commercial!AR53*Commercial!$B$35</f>
        <v>9444482.0095560346</v>
      </c>
      <c r="AS48" s="40">
        <f>Commercial!AS53*Commercial!$B$35</f>
        <v>10060872.605117919</v>
      </c>
      <c r="AT48" s="40">
        <f>Commercial!AT53*Commercial!$B$35</f>
        <v>10717491.702985456</v>
      </c>
      <c r="AU48" s="40">
        <f>Commercial!AU53*Commercial!$B$35</f>
        <v>11416964.801356394</v>
      </c>
      <c r="AV48" s="40">
        <f>Commercial!AV53*Commercial!$B$35</f>
        <v>12162088.750589047</v>
      </c>
      <c r="AW48" s="40">
        <f>Commercial!AW53*Commercial!$B$35</f>
        <v>12955842.936437134</v>
      </c>
      <c r="AX48" s="40">
        <f>Commercial!AX53*Commercial!$B$35</f>
        <v>13801401.193154285</v>
      </c>
    </row>
    <row r="49" spans="1:50" x14ac:dyDescent="0.2">
      <c r="A49" s="6" t="s">
        <v>42</v>
      </c>
      <c r="B49" s="11">
        <f>Commercial!B54*Commercial!$B$35</f>
        <v>515355.71950114466</v>
      </c>
      <c r="C49" s="11">
        <f>Commercial!C54*Commercial!$B$35</f>
        <v>548990.21830670349</v>
      </c>
      <c r="D49" s="11">
        <f>Commercial!D54*Commercial!$B$35</f>
        <v>584819.86013113928</v>
      </c>
      <c r="E49" s="11">
        <f>Commercial!E54*Commercial!$B$35</f>
        <v>622987.91016479034</v>
      </c>
      <c r="F49" s="11">
        <f>Commercial!F54*Commercial!$B$35</f>
        <v>663646.98374720511</v>
      </c>
      <c r="G49" s="11">
        <f>Commercial!G54*Commercial!$B$35</f>
        <v>706959.65660114144</v>
      </c>
      <c r="H49" s="11">
        <f>Commercial!H54*Commercial!$B$35</f>
        <v>753099.11489326332</v>
      </c>
      <c r="I49" s="11">
        <f>Commercial!I54*Commercial!$B$35</f>
        <v>802249.8477208023</v>
      </c>
      <c r="J49" s="11">
        <f>Commercial!J54*Commercial!$B$35</f>
        <v>854608.38479310751</v>
      </c>
      <c r="K49" s="11">
        <f>Commercial!K54*Commercial!$B$35</f>
        <v>910384.08225770225</v>
      </c>
      <c r="L49" s="11">
        <f>Commercial!L54*Commercial!$B$35</f>
        <v>969799.95981298876</v>
      </c>
      <c r="M49" s="11">
        <f>Commercial!M54*Commercial!$B$35</f>
        <v>1033093.5924547989</v>
      </c>
      <c r="N49" s="11">
        <f>Commercial!N54*Commercial!$B$35</f>
        <v>1100518.0604224512</v>
      </c>
      <c r="O49" s="11">
        <f>Commercial!O54*Commercial!$B$35</f>
        <v>1172342.9611426864</v>
      </c>
      <c r="P49" s="11">
        <f>Commercial!P54*Commercial!$B$35</f>
        <v>1248855.4872177399</v>
      </c>
      <c r="Q49" s="11">
        <f>Commercial!Q54*Commercial!$B$35</f>
        <v>1330361.574767909</v>
      </c>
      <c r="R49" s="11">
        <f>Commercial!R54*Commercial!$B$35</f>
        <v>1417187.1267202697</v>
      </c>
      <c r="S49" s="11">
        <f>Commercial!S54*Commercial!$B$35</f>
        <v>1509679.3159348697</v>
      </c>
      <c r="T49" s="11">
        <f>Commercial!T54*Commercial!$B$35</f>
        <v>1608207.9733789742</v>
      </c>
      <c r="U49" s="11">
        <f>Commercial!U54*Commercial!$B$35</f>
        <v>1713167.0668999797</v>
      </c>
      <c r="V49" s="11">
        <f>Commercial!V54*Commercial!$B$35</f>
        <v>1824976.276509891</v>
      </c>
      <c r="W49" s="11">
        <f>Commercial!W54*Commercial!$B$35</f>
        <v>1944082.6724801587</v>
      </c>
      <c r="X49" s="11">
        <f>Commercial!X54*Commercial!$B$35</f>
        <v>2070962.5029567401</v>
      </c>
      <c r="Y49" s="11">
        <f>Commercial!Y54*Commercial!$B$35</f>
        <v>2206123.0982431984</v>
      </c>
      <c r="Z49" s="11">
        <f>Commercial!Z54*Commercial!$B$35</f>
        <v>2350104.8993661241</v>
      </c>
      <c r="AA49" s="11">
        <f>Commercial!AA54*Commercial!$B$35</f>
        <v>2503483.6190341292</v>
      </c>
      <c r="AB49" s="11">
        <f>Commercial!AB54*Commercial!$B$35</f>
        <v>2666872.5436310023</v>
      </c>
      <c r="AC49" s="11">
        <f>Commercial!AC54*Commercial!$B$35</f>
        <v>2840924.9854476214</v>
      </c>
      <c r="AD49" s="11">
        <f>Commercial!AD54*Commercial!$B$35</f>
        <v>3026336.8949578409</v>
      </c>
      <c r="AE49" s="11">
        <f>Commercial!AE54*Commercial!$B$35</f>
        <v>3223849.6435836032</v>
      </c>
      <c r="AF49" s="11">
        <f>Commercial!AF54*Commercial!$B$35</f>
        <v>3434252.9880761709</v>
      </c>
      <c r="AG49" s="11">
        <f>Commercial!AG54*Commercial!$B$35</f>
        <v>3658388.2283665999</v>
      </c>
      <c r="AH49" s="11">
        <f>Commercial!AH54*Commercial!$B$35</f>
        <v>3897151.5715121352</v>
      </c>
      <c r="AI49" s="11">
        <f>Commercial!AI54*Commercial!$B$35</f>
        <v>4151497.7151893415</v>
      </c>
      <c r="AJ49" s="11">
        <f>Commercial!AJ54*Commercial!$B$35</f>
        <v>4422443.6650625253</v>
      </c>
      <c r="AK49" s="11">
        <f>Commercial!AK54*Commercial!$B$35</f>
        <v>4711072.8012913447</v>
      </c>
      <c r="AL49" s="11">
        <f>Commercial!AL54*Commercial!$B$35</f>
        <v>5018539.210437472</v>
      </c>
      <c r="AM49" s="11">
        <f>Commercial!AM54*Commercial!$B$35</f>
        <v>5346072.3000915498</v>
      </c>
      <c r="AN49" s="11">
        <f>Commercial!AN54*Commercial!$B$35</f>
        <v>5694981.714672056</v>
      </c>
      <c r="AO49" s="40">
        <f>Commercial!AO54*Commercial!$B$35</f>
        <v>6066662.572051947</v>
      </c>
      <c r="AP49" s="40">
        <f>Commercial!AP54*Commercial!$B$35</f>
        <v>6462601.0419517765</v>
      </c>
      <c r="AQ49" s="40">
        <f>Commercial!AQ54*Commercial!$B$35</f>
        <v>6884380.28840457</v>
      </c>
      <c r="AR49" s="40">
        <f>Commercial!AR54*Commercial!$B$35</f>
        <v>7333686.8000534447</v>
      </c>
      <c r="AS49" s="40">
        <f>Commercial!AS54*Commercial!$B$35</f>
        <v>7812317.1335937548</v>
      </c>
      <c r="AT49" s="40">
        <f>Commercial!AT54*Commercial!$B$35</f>
        <v>8322185.0973234586</v>
      </c>
      <c r="AU49" s="40">
        <f>Commercial!AU54*Commercial!$B$35</f>
        <v>8865329.4035252314</v>
      </c>
      <c r="AV49" s="40">
        <f>Commercial!AV54*Commercial!$B$35</f>
        <v>9443921.8202784359</v>
      </c>
      <c r="AW49" s="40">
        <f>Commercial!AW54*Commercial!$B$35</f>
        <v>10060275.855296068</v>
      </c>
      <c r="AX49" s="40">
        <f>Commercial!AX54*Commercial!$B$35</f>
        <v>10716856.006509069</v>
      </c>
    </row>
    <row r="50" spans="1:50" x14ac:dyDescent="0.2">
      <c r="A50" s="6" t="s">
        <v>43</v>
      </c>
      <c r="B50" s="11">
        <f>Commercial!B55*Commercial!$B$35</f>
        <v>36141.731313385033</v>
      </c>
      <c r="C50" s="11">
        <f>Commercial!C55*Commercial!$B$35</f>
        <v>38500.507926687329</v>
      </c>
      <c r="D50" s="11">
        <f>Commercial!D55*Commercial!$B$35</f>
        <v>41013.229215833126</v>
      </c>
      <c r="E50" s="11">
        <f>Commercial!E55*Commercial!$B$35</f>
        <v>43689.942322669987</v>
      </c>
      <c r="F50" s="11">
        <f>Commercial!F55*Commercial!$B$35</f>
        <v>46541.350112010572</v>
      </c>
      <c r="G50" s="11">
        <f>Commercial!G55*Commercial!$B$35</f>
        <v>49578.853967147348</v>
      </c>
      <c r="H50" s="11">
        <f>Commercial!H55*Commercial!$B$35</f>
        <v>52814.599378400708</v>
      </c>
      <c r="I50" s="11">
        <f>Commercial!I55*Commercial!$B$35</f>
        <v>56261.524506986461</v>
      </c>
      <c r="J50" s="11">
        <f>Commercial!J55*Commercial!$B$35</f>
        <v>59933.411918386308</v>
      </c>
      <c r="K50" s="11">
        <f>Commercial!K55*Commercial!$B$35</f>
        <v>63844.943692077162</v>
      </c>
      <c r="L50" s="11">
        <f>Commercial!L55*Commercial!$B$35</f>
        <v>68011.76012797658</v>
      </c>
      <c r="M50" s="11">
        <f>Commercial!M55*Commercial!$B$35</f>
        <v>72450.522284342471</v>
      </c>
      <c r="N50" s="11">
        <f>Commercial!N55*Commercial!$B$35</f>
        <v>77178.978597185269</v>
      </c>
      <c r="O50" s="11">
        <f>Commercial!O55*Commercial!$B$35</f>
        <v>82216.035847571577</v>
      </c>
      <c r="P50" s="11">
        <f>Commercial!P55*Commercial!$B$35</f>
        <v>87581.834760582016</v>
      </c>
      <c r="Q50" s="11">
        <f>Commercial!Q55*Commercial!$B$35</f>
        <v>93297.830538207025</v>
      </c>
      <c r="R50" s="11">
        <f>Commercial!R55*Commercial!$B$35</f>
        <v>99386.87864819236</v>
      </c>
      <c r="S50" s="11">
        <f>Commercial!S55*Commercial!$B$35</f>
        <v>105873.32621186088</v>
      </c>
      <c r="T50" s="11">
        <f>Commercial!T55*Commercial!$B$35</f>
        <v>112783.10935632735</v>
      </c>
      <c r="U50" s="11">
        <f>Commercial!U55*Commercial!$B$35</f>
        <v>120143.8569203683</v>
      </c>
      <c r="V50" s="11">
        <f>Commercial!V55*Commercial!$B$35</f>
        <v>127985.0009286175</v>
      </c>
      <c r="W50" s="11">
        <f>Commercial!W55*Commercial!$B$35</f>
        <v>136337.89427581843</v>
      </c>
      <c r="X50" s="11">
        <f>Commercial!X55*Commercial!$B$35</f>
        <v>145235.93609169521</v>
      </c>
      <c r="Y50" s="11">
        <f>Commercial!Y55*Commercial!$B$35</f>
        <v>154714.70528771554</v>
      </c>
      <c r="Z50" s="11">
        <f>Commercial!Z55*Commercial!$B$35</f>
        <v>164812.10281973318</v>
      </c>
      <c r="AA50" s="11">
        <f>Commercial!AA55*Commercial!$B$35</f>
        <v>175568.50323534885</v>
      </c>
      <c r="AB50" s="11">
        <f>Commercial!AB55*Commercial!$B$35</f>
        <v>187026.91611195222</v>
      </c>
      <c r="AC50" s="11">
        <f>Commercial!AC55*Commercial!$B$35</f>
        <v>199233.15803095914</v>
      </c>
      <c r="AD50" s="11">
        <f>Commercial!AD55*Commercial!$B$35</f>
        <v>212236.03577588178</v>
      </c>
      <c r="AE50" s="11">
        <f>Commercial!AE55*Commercial!$B$35</f>
        <v>226087.54148675333</v>
      </c>
      <c r="AF50" s="11">
        <f>Commercial!AF55*Commercial!$B$35</f>
        <v>240843.06055123344</v>
      </c>
      <c r="AG50" s="11">
        <f>Commercial!AG55*Commercial!$B$35</f>
        <v>256561.59306364824</v>
      </c>
      <c r="AH50" s="11">
        <f>Commercial!AH55*Commercial!$B$35</f>
        <v>273305.9897374729</v>
      </c>
      <c r="AI50" s="11">
        <f>Commercial!AI55*Commercial!$B$35</f>
        <v>291143.20321455505</v>
      </c>
      <c r="AJ50" s="11">
        <f>Commercial!AJ55*Commercial!$B$35</f>
        <v>310144.55577593815</v>
      </c>
      <c r="AK50" s="11">
        <f>Commercial!AK55*Commercial!$B$35</f>
        <v>330386.02452473552</v>
      </c>
      <c r="AL50" s="11">
        <f>Commercial!AL55*Commercial!$B$35</f>
        <v>351948.54518135544</v>
      </c>
      <c r="AM50" s="11">
        <f>Commercial!AM55*Commercial!$B$35</f>
        <v>374918.33570580941</v>
      </c>
      <c r="AN50" s="11">
        <f>Commercial!AN55*Commercial!$B$35</f>
        <v>399387.24104110972</v>
      </c>
      <c r="AO50" s="40">
        <f>Commercial!AO55*Commercial!$B$35</f>
        <v>425453.10035621678</v>
      </c>
      <c r="AP50" s="40">
        <f>Commercial!AP55*Commercial!$B$35</f>
        <v>453220.13825695874</v>
      </c>
      <c r="AQ50" s="40">
        <f>Commercial!AQ55*Commercial!$B$35</f>
        <v>482799.38152918749</v>
      </c>
      <c r="AR50" s="40">
        <f>Commercial!AR55*Commercial!$B$35</f>
        <v>514309.10308052046</v>
      </c>
      <c r="AS50" s="40">
        <f>Commercial!AS55*Commercial!$B$35</f>
        <v>547875.29485577508</v>
      </c>
      <c r="AT50" s="40">
        <f>Commercial!AT55*Commercial!$B$35</f>
        <v>583632.17161705217</v>
      </c>
      <c r="AU50" s="40">
        <f>Commercial!AU55*Commercial!$B$35</f>
        <v>621722.70760283899</v>
      </c>
      <c r="AV50" s="40">
        <f>Commercial!AV55*Commercial!$B$35</f>
        <v>662299.20821196819</v>
      </c>
      <c r="AW50" s="40">
        <f>Commercial!AW55*Commercial!$B$35</f>
        <v>705523.91899831756</v>
      </c>
      <c r="AX50" s="40">
        <f>Commercial!AX55*Commercial!$B$35</f>
        <v>751569.67441132083</v>
      </c>
    </row>
    <row r="51" spans="1:50" x14ac:dyDescent="0.2">
      <c r="A51" s="6" t="s">
        <v>8</v>
      </c>
      <c r="B51" s="11">
        <f>Commercial!B56*Commercial!$B$35</f>
        <v>27640.904367156061</v>
      </c>
      <c r="C51" s="11">
        <f>Commercial!C56*Commercial!$B$35</f>
        <v>29444.877680621175</v>
      </c>
      <c r="D51" s="11">
        <f>Commercial!D56*Commercial!$B$35</f>
        <v>31366.586639507554</v>
      </c>
      <c r="E51" s="11">
        <f>Commercial!E56*Commercial!$B$35</f>
        <v>33413.715216798199</v>
      </c>
      <c r="F51" s="11">
        <f>Commercial!F56*Commercial!$B$35</f>
        <v>35594.44887710677</v>
      </c>
      <c r="G51" s="11">
        <f>Commercial!G56*Commercial!$B$35</f>
        <v>37917.507306341715</v>
      </c>
      <c r="H51" s="11">
        <f>Commercial!H56*Commercial!$B$35</f>
        <v>40392.179277459887</v>
      </c>
      <c r="I51" s="11">
        <f>Commercial!I56*Commercial!$B$35</f>
        <v>43028.359791720432</v>
      </c>
      <c r="J51" s="11">
        <f>Commercial!J56*Commercial!$B$35</f>
        <v>45836.589643948879</v>
      </c>
      <c r="K51" s="11">
        <f>Commercial!K56*Commercial!$B$35</f>
        <v>48828.097570013277</v>
      </c>
      <c r="L51" s="11">
        <f>Commercial!L56*Commercial!$B$35</f>
        <v>52014.845145039813</v>
      </c>
      <c r="M51" s="11">
        <f>Commercial!M56*Commercial!$B$35</f>
        <v>55409.574611893608</v>
      </c>
      <c r="N51" s="11">
        <f>Commercial!N56*Commercial!$B$35</f>
        <v>59025.859831167516</v>
      </c>
      <c r="O51" s="11">
        <f>Commercial!O56*Commercial!$B$35</f>
        <v>62878.160556402967</v>
      </c>
      <c r="P51" s="11">
        <f>Commercial!P56*Commercial!$B$35</f>
        <v>66981.880251562761</v>
      </c>
      <c r="Q51" s="11">
        <f>Commercial!Q56*Commercial!$B$35</f>
        <v>71353.427681939662</v>
      </c>
      <c r="R51" s="11">
        <f>Commercial!R56*Commercial!$B$35</f>
        <v>76010.282524772963</v>
      </c>
      <c r="S51" s="11">
        <f>Commercial!S56*Commercial!$B$35</f>
        <v>80971.065261916898</v>
      </c>
      <c r="T51" s="11">
        <f>Commercial!T56*Commercial!$B$35</f>
        <v>86255.611634028552</v>
      </c>
      <c r="U51" s="11">
        <f>Commercial!U56*Commercial!$B$35</f>
        <v>91885.051953980335</v>
      </c>
      <c r="V51" s="11">
        <f>Commercial!V56*Commercial!$B$35</f>
        <v>97881.895596632487</v>
      </c>
      <c r="W51" s="11">
        <f>Commercial!W56*Commercial!$B$35</f>
        <v>104270.12100279967</v>
      </c>
      <c r="X51" s="11">
        <f>Commercial!X56*Commercial!$B$35</f>
        <v>111075.27155729229</v>
      </c>
      <c r="Y51" s="11">
        <f>Commercial!Y56*Commercial!$B$35</f>
        <v>118324.55772440271</v>
      </c>
      <c r="Z51" s="11">
        <f>Commercial!Z56*Commercial!$B$35</f>
        <v>126046.96584922582</v>
      </c>
      <c r="AA51" s="11">
        <f>Commercial!AA56*Commercial!$B$35</f>
        <v>134273.37405985736</v>
      </c>
      <c r="AB51" s="11">
        <f>Commercial!AB56*Commercial!$B$35</f>
        <v>143036.67573390543</v>
      </c>
      <c r="AC51" s="11">
        <f>Commercial!AC56*Commercial!$B$35</f>
        <v>152371.91102299877</v>
      </c>
      <c r="AD51" s="11">
        <f>Commercial!AD56*Commercial!$B$35</f>
        <v>162316.406961192</v>
      </c>
      <c r="AE51" s="11">
        <f>Commercial!AE56*Commercial!$B$35</f>
        <v>172909.92671749441</v>
      </c>
      <c r="AF51" s="11">
        <f>Commercial!AF56*Commercial!$B$35</f>
        <v>184194.82858930909</v>
      </c>
      <c r="AG51" s="11">
        <f>Commercial!AG56*Commercial!$B$35</f>
        <v>196216.23537251938</v>
      </c>
      <c r="AH51" s="11">
        <f>Commercial!AH56*Commercial!$B$35</f>
        <v>209022.21478545095</v>
      </c>
      <c r="AI51" s="11">
        <f>Commercial!AI56*Commercial!$B$35</f>
        <v>222663.97166813747</v>
      </c>
      <c r="AJ51" s="11">
        <f>Commercial!AJ56*Commercial!$B$35</f>
        <v>237196.05272539702</v>
      </c>
      <c r="AK51" s="11">
        <f>Commercial!AK56*Commercial!$B$35</f>
        <v>252676.5646323924</v>
      </c>
      <c r="AL51" s="11">
        <f>Commercial!AL56*Commercial!$B$35</f>
        <v>269167.40637476696</v>
      </c>
      <c r="AM51" s="11">
        <f>Commercial!AM56*Commercial!$B$35</f>
        <v>286734.51675237366</v>
      </c>
      <c r="AN51" s="11">
        <f>Commercial!AN56*Commercial!$B$35</f>
        <v>305448.13803624257</v>
      </c>
      <c r="AO51" s="40">
        <f>Commercial!AO56*Commercial!$B$35</f>
        <v>325383.09683302237</v>
      </c>
      <c r="AP51" s="40">
        <f>Commercial!AP56*Commercial!$B$35</f>
        <v>346619.10327993438</v>
      </c>
      <c r="AQ51" s="40">
        <f>Commercial!AQ56*Commercial!$B$35</f>
        <v>369241.06976657372</v>
      </c>
      <c r="AR51" s="40">
        <f>Commercial!AR56*Commercial!$B$35</f>
        <v>393339.45045797009</v>
      </c>
      <c r="AS51" s="40">
        <f>Commercial!AS56*Commercial!$B$35</f>
        <v>419010.60297649441</v>
      </c>
      <c r="AT51" s="40">
        <f>Commercial!AT56*Commercial!$B$35</f>
        <v>446357.17368880031</v>
      </c>
      <c r="AU51" s="40">
        <f>Commercial!AU56*Commercial!$B$35</f>
        <v>475488.50813837396</v>
      </c>
      <c r="AV51" s="40">
        <f>Commercial!AV56*Commercial!$B$35</f>
        <v>506521.08826481138</v>
      </c>
      <c r="AW51" s="40">
        <f>Commercial!AW56*Commercial!$B$35</f>
        <v>539578.99815804826</v>
      </c>
      <c r="AX51" s="40">
        <f>Commercial!AX56*Commercial!$B$35</f>
        <v>574794.42020986683</v>
      </c>
    </row>
    <row r="52" spans="1:50" x14ac:dyDescent="0.2">
      <c r="A52" s="6" t="s">
        <v>9</v>
      </c>
      <c r="B52" s="11">
        <f>Commercial!B57*Commercial!$B$35</f>
        <v>283365.64685053233</v>
      </c>
      <c r="C52" s="11">
        <f>Commercial!C57*Commercial!$B$35</f>
        <v>301859.40009684605</v>
      </c>
      <c r="D52" s="11">
        <f>Commercial!D57*Commercial!$B$35</f>
        <v>321560.14125061053</v>
      </c>
      <c r="E52" s="11">
        <f>Commercial!E57*Commercial!$B$35</f>
        <v>342546.64392739901</v>
      </c>
      <c r="F52" s="11">
        <f>Commercial!F57*Commercial!$B$35</f>
        <v>364902.82287342264</v>
      </c>
      <c r="G52" s="11">
        <f>Commercial!G57*Commercial!$B$35</f>
        <v>388718.06949950353</v>
      </c>
      <c r="H52" s="11">
        <f>Commercial!H57*Commercial!$B$35</f>
        <v>414087.60931354889</v>
      </c>
      <c r="I52" s="11">
        <f>Commercial!I57*Commercial!$B$35</f>
        <v>441112.88268071937</v>
      </c>
      <c r="J52" s="11">
        <f>Commercial!J57*Commercial!$B$35</f>
        <v>469901.95043377148</v>
      </c>
      <c r="K52" s="11">
        <f>Commercial!K57*Commercial!$B$35</f>
        <v>500569.92595540418</v>
      </c>
      <c r="L52" s="11">
        <f>Commercial!L57*Commercial!$B$35</f>
        <v>533239.43546030123</v>
      </c>
      <c r="M52" s="11">
        <f>Commercial!M57*Commercial!$B$35</f>
        <v>568041.10831730859</v>
      </c>
      <c r="N52" s="11">
        <f>Commercial!N57*Commercial!$B$35</f>
        <v>605114.09937230428</v>
      </c>
      <c r="O52" s="11">
        <f>Commercial!O57*Commercial!$B$35</f>
        <v>644606.6453602789</v>
      </c>
      <c r="P52" s="11">
        <f>Commercial!P57*Commercial!$B$35</f>
        <v>686676.65763143916</v>
      </c>
      <c r="Q52" s="11">
        <f>Commercial!Q57*Commercial!$B$35</f>
        <v>731492.35356136167</v>
      </c>
      <c r="R52" s="11">
        <f>Commercial!R57*Commercial!$B$35</f>
        <v>779232.92916989641</v>
      </c>
      <c r="S52" s="11">
        <f>Commercial!S57*Commercial!$B$35</f>
        <v>830089.27563828719</v>
      </c>
      <c r="T52" s="11">
        <f>Commercial!T57*Commercial!$B$35</f>
        <v>884264.74258952029</v>
      </c>
      <c r="U52" s="11">
        <f>Commercial!U57*Commercial!$B$35</f>
        <v>941975.9511838766</v>
      </c>
      <c r="V52" s="11">
        <f>Commercial!V57*Commercial!$B$35</f>
        <v>1003453.6602808628</v>
      </c>
      <c r="W52" s="11">
        <f>Commercial!W57*Commercial!$B$35</f>
        <v>1068943.6891308783</v>
      </c>
      <c r="X52" s="11">
        <f>Commercial!X57*Commercial!$B$35</f>
        <v>1138707.9002860093</v>
      </c>
      <c r="Y52" s="11">
        <f>Commercial!Y57*Commercial!$B$35</f>
        <v>1213025.2466601289</v>
      </c>
      <c r="Z52" s="11">
        <f>Commercial!Z57*Commercial!$B$35</f>
        <v>1292192.8869249853</v>
      </c>
      <c r="AA52" s="11">
        <f>Commercial!AA57*Commercial!$B$35</f>
        <v>1376527.3737021985</v>
      </c>
      <c r="AB52" s="11">
        <f>Commercial!AB57*Commercial!$B$35</f>
        <v>1466365.9193021625</v>
      </c>
      <c r="AC52" s="11">
        <f>Commercial!AC57*Commercial!$B$35</f>
        <v>1562067.7440709306</v>
      </c>
      <c r="AD52" s="11">
        <f>Commercial!AD57*Commercial!$B$35</f>
        <v>1664015.5127364513</v>
      </c>
      <c r="AE52" s="11">
        <f>Commercial!AE57*Commercial!$B$35</f>
        <v>1772616.8644974097</v>
      </c>
      <c r="AF52" s="11">
        <f>Commercial!AF57*Commercial!$B$35</f>
        <v>1888306.0429727435</v>
      </c>
      <c r="AG52" s="11">
        <f>Commercial!AG57*Commercial!$B$35</f>
        <v>2011545.6325292068</v>
      </c>
      <c r="AH52" s="11">
        <f>Commercial!AH57*Commercial!$B$35</f>
        <v>2142828.4079297031</v>
      </c>
      <c r="AI52" s="11">
        <f>Commercial!AI57*Commercial!$B$35</f>
        <v>2282679.3046982405</v>
      </c>
      <c r="AJ52" s="11">
        <f>Commercial!AJ57*Commercial!$B$35</f>
        <v>2431657.5180799905</v>
      </c>
      <c r="AK52" s="11">
        <f>Commercial!AK57*Commercial!$B$35</f>
        <v>2590358.7389892279</v>
      </c>
      <c r="AL52" s="11">
        <f>Commercial!AL57*Commercial!$B$35</f>
        <v>2759417.535885551</v>
      </c>
      <c r="AM52" s="11">
        <f>Commercial!AM57*Commercial!$B$35</f>
        <v>2939509.8921023812</v>
      </c>
      <c r="AN52" s="11">
        <f>Commercial!AN57*Commercial!$B$35</f>
        <v>3131355.9087732532</v>
      </c>
      <c r="AO52" s="40">
        <f>Commercial!AO57*Commercial!$B$35</f>
        <v>3335722.6841635848</v>
      </c>
      <c r="AP52" s="40">
        <f>Commercial!AP57*Commercial!$B$35</f>
        <v>3553427.3809209592</v>
      </c>
      <c r="AQ52" s="40">
        <f>Commercial!AQ57*Commercial!$B$35</f>
        <v>3785340.493508352</v>
      </c>
      <c r="AR52" s="40">
        <f>Commercial!AR57*Commercial!$B$35</f>
        <v>4032389.3288851702</v>
      </c>
      <c r="AS52" s="40">
        <f>Commercial!AS57*Commercial!$B$35</f>
        <v>4295561.7143536406</v>
      </c>
      <c r="AT52" s="40">
        <f>Commercial!AT57*Commercial!$B$35</f>
        <v>4575909.9473964106</v>
      </c>
      <c r="AU52" s="40">
        <f>Commercial!AU57*Commercial!$B$35</f>
        <v>4874555.0032988265</v>
      </c>
      <c r="AV52" s="40">
        <f>Commercial!AV57*Commercial!$B$35</f>
        <v>5192691.0173801072</v>
      </c>
      <c r="AW52" s="40">
        <f>Commercial!AW57*Commercial!$B$35</f>
        <v>5531590.059755669</v>
      </c>
      <c r="AX52" s="40">
        <f>Commercial!AX57*Commercial!$B$35</f>
        <v>5892607.2217225302</v>
      </c>
    </row>
    <row r="53" spans="1:50" x14ac:dyDescent="0.2">
      <c r="A53" s="6" t="s">
        <v>10</v>
      </c>
      <c r="B53" s="11">
        <f>Commercial!B58*Commercial!$B$35</f>
        <v>246.11516263808468</v>
      </c>
      <c r="C53" s="11">
        <f>Commercial!C58*Commercial!$B$35</f>
        <v>262.17777692670364</v>
      </c>
      <c r="D53" s="11">
        <f>Commercial!D58*Commercial!$B$35</f>
        <v>279.28871174551421</v>
      </c>
      <c r="E53" s="11">
        <f>Commercial!E58*Commercial!$B$35</f>
        <v>297.51638534289577</v>
      </c>
      <c r="F53" s="11">
        <f>Commercial!F58*Commercial!$B$35</f>
        <v>316.93368125868824</v>
      </c>
      <c r="G53" s="11">
        <f>Commercial!G58*Commercial!$B$35</f>
        <v>337.61823974977347</v>
      </c>
      <c r="H53" s="11">
        <f>Commercial!H58*Commercial!$B$35</f>
        <v>359.65276823543905</v>
      </c>
      <c r="I53" s="11">
        <f>Commercial!I58*Commercial!$B$35</f>
        <v>383.12537200384247</v>
      </c>
      <c r="J53" s="11">
        <f>Commercial!J58*Commercial!$B$35</f>
        <v>408.12990650190955</v>
      </c>
      <c r="K53" s="11">
        <f>Commercial!K58*Commercial!$B$35</f>
        <v>434.76635261730172</v>
      </c>
      <c r="L53" s="11">
        <f>Commercial!L58*Commercial!$B$35</f>
        <v>463.14121645302049</v>
      </c>
      <c r="M53" s="11">
        <f>Commercial!M58*Commercial!$B$35</f>
        <v>493.36795519315331</v>
      </c>
      <c r="N53" s="11">
        <f>Commercial!N58*Commercial!$B$35</f>
        <v>525.56743076258704</v>
      </c>
      <c r="O53" s="11">
        <f>Commercial!O58*Commercial!$B$35</f>
        <v>559.86839309465586</v>
      </c>
      <c r="P53" s="11">
        <f>Commercial!P58*Commercial!$B$35</f>
        <v>596.40799493906832</v>
      </c>
      <c r="Q53" s="11">
        <f>Commercial!Q58*Commercial!$B$35</f>
        <v>635.3323402685844</v>
      </c>
      <c r="R53" s="11">
        <f>Commercial!R58*Commercial!$B$35</f>
        <v>676.79706847725095</v>
      </c>
      <c r="S53" s="11">
        <f>Commercial!S58*Commercial!$B$35</f>
        <v>720.96797670611215</v>
      </c>
      <c r="T53" s="11">
        <f>Commercial!T58*Commercial!$B$35</f>
        <v>768.02168278478132</v>
      </c>
      <c r="U53" s="11">
        <f>Commercial!U58*Commercial!$B$35</f>
        <v>818.14633143964272</v>
      </c>
      <c r="V53" s="11">
        <f>Commercial!V58*Commercial!$B$35</f>
        <v>871.54234659246947</v>
      </c>
      <c r="W53" s="11">
        <f>Commercial!W58*Commercial!$B$35</f>
        <v>928.42323275753199</v>
      </c>
      <c r="X53" s="11">
        <f>Commercial!X58*Commercial!$B$35</f>
        <v>989.01642874158688</v>
      </c>
      <c r="Y53" s="11">
        <f>Commercial!Y58*Commercial!$B$35</f>
        <v>1053.5642170602787</v>
      </c>
      <c r="Z53" s="11">
        <f>Commercial!Z58*Commercial!$B$35</f>
        <v>1122.3246927072646</v>
      </c>
      <c r="AA53" s="11">
        <f>Commercial!AA58*Commercial!$B$35</f>
        <v>1195.5727951496949</v>
      </c>
      <c r="AB53" s="11">
        <f>Commercial!AB58*Commercial!$B$35</f>
        <v>1273.601407676487</v>
      </c>
      <c r="AC53" s="11">
        <f>Commercial!AC58*Commercial!$B$35</f>
        <v>1356.7225284951685</v>
      </c>
      <c r="AD53" s="11">
        <f>Commercial!AD58*Commercial!$B$35</f>
        <v>1445.2685182599025</v>
      </c>
      <c r="AE53" s="11">
        <f>Commercial!AE58*Commercial!$B$35</f>
        <v>1539.593429018978</v>
      </c>
      <c r="AF53" s="11">
        <f>Commercial!AF58*Commercial!$B$35</f>
        <v>1640.0744198955531</v>
      </c>
      <c r="AG53" s="11">
        <f>Commercial!AG58*Commercial!$B$35</f>
        <v>1747.1132651622788</v>
      </c>
      <c r="AH53" s="11">
        <f>Commercial!AH58*Commercial!$B$35</f>
        <v>1861.1379607398462</v>
      </c>
      <c r="AI53" s="11">
        <f>Commercial!AI58*Commercial!$B$35</f>
        <v>1982.604435543074</v>
      </c>
      <c r="AJ53" s="11">
        <f>Commercial!AJ58*Commercial!$B$35</f>
        <v>2111.9983745173381</v>
      </c>
      <c r="AK53" s="11">
        <f>Commercial!AK58*Commercial!$B$35</f>
        <v>2249.8371606548189</v>
      </c>
      <c r="AL53" s="11">
        <f>Commercial!AL58*Commercial!$B$35</f>
        <v>2396.6719437556958</v>
      </c>
      <c r="AM53" s="11">
        <f>Commercial!AM58*Commercial!$B$35</f>
        <v>2553.0898442062771</v>
      </c>
      <c r="AN53" s="11">
        <f>Commercial!AN58*Commercial!$B$35</f>
        <v>2719.7163005858879</v>
      </c>
      <c r="AO53" s="40">
        <f>Commercial!AO58*Commercial!$B$35</f>
        <v>2897.2175704894453</v>
      </c>
      <c r="AP53" s="40">
        <f>Commercial!AP58*Commercial!$B$35</f>
        <v>3086.3033945652842</v>
      </c>
      <c r="AQ53" s="40">
        <f>Commercial!AQ58*Commercial!$B$35</f>
        <v>3287.729834420421</v>
      </c>
      <c r="AR53" s="40">
        <f>Commercial!AR58*Commercial!$B$35</f>
        <v>3502.3022957406411</v>
      </c>
      <c r="AS53" s="40">
        <f>Commercial!AS58*Commercial!$B$35</f>
        <v>3730.8787487133968</v>
      </c>
      <c r="AT53" s="40">
        <f>Commercial!AT58*Commercial!$B$35</f>
        <v>3974.3731586304029</v>
      </c>
      <c r="AU53" s="40">
        <f>Commercial!AU58*Commercial!$B$35</f>
        <v>4233.7591403872275</v>
      </c>
      <c r="AV53" s="40">
        <f>Commercial!AV58*Commercial!$B$35</f>
        <v>4510.0738514924387</v>
      </c>
      <c r="AW53" s="40">
        <f>Commercial!AW58*Commercial!$B$35</f>
        <v>4804.4221391525452</v>
      </c>
      <c r="AX53" s="40">
        <f>Commercial!AX58*Commercial!$B$35</f>
        <v>5117.9809580148776</v>
      </c>
    </row>
    <row r="54" spans="1:50" x14ac:dyDescent="0.2">
      <c r="A54" s="6" t="s">
        <v>44</v>
      </c>
      <c r="B54" s="11">
        <f>Commercial!B59*Commercial!$B$35</f>
        <v>449388.60361157142</v>
      </c>
      <c r="C54" s="11">
        <f>Commercial!C59*Commercial!$B$35</f>
        <v>478717.78320433153</v>
      </c>
      <c r="D54" s="11">
        <f>Commercial!D59*Commercial!$B$35</f>
        <v>509961.12076342927</v>
      </c>
      <c r="E54" s="11">
        <f>Commercial!E59*Commercial!$B$35</f>
        <v>543243.54309455643</v>
      </c>
      <c r="F54" s="11">
        <f>Commercial!F59*Commercial!$B$35</f>
        <v>578698.13030478125</v>
      </c>
      <c r="G54" s="11">
        <f>Commercial!G59*Commercial!$B$35</f>
        <v>616466.64792472031</v>
      </c>
      <c r="H54" s="11">
        <f>Commercial!H59*Commercial!$B$35</f>
        <v>656700.11375946761</v>
      </c>
      <c r="I54" s="11">
        <f>Commercial!I59*Commercial!$B$35</f>
        <v>699559.40173483687</v>
      </c>
      <c r="J54" s="11">
        <f>Commercial!J59*Commercial!$B$35</f>
        <v>745215.88515340432</v>
      </c>
      <c r="K54" s="11">
        <f>Commercial!K59*Commercial!$B$35</f>
        <v>793852.12193241634</v>
      </c>
      <c r="L54" s="11">
        <f>Commercial!L59*Commercial!$B$35</f>
        <v>845662.58456349419</v>
      </c>
      <c r="M54" s="11">
        <f>Commercial!M59*Commercial!$B$35</f>
        <v>900854.43771288684</v>
      </c>
      <c r="N54" s="11">
        <f>Commercial!N59*Commercial!$B$35</f>
        <v>959648.36657151312</v>
      </c>
      <c r="O54" s="11">
        <f>Commercial!O59*Commercial!$B$35</f>
        <v>1022279.4592669624</v>
      </c>
      <c r="P54" s="11">
        <f>Commercial!P59*Commercial!$B$35</f>
        <v>1088998.146865783</v>
      </c>
      <c r="Q54" s="11">
        <f>Commercial!Q59*Commercial!$B$35</f>
        <v>1160071.2047246695</v>
      </c>
      <c r="R54" s="11">
        <f>Commercial!R59*Commercial!$B$35</f>
        <v>1235782.8191944661</v>
      </c>
      <c r="S54" s="11">
        <f>Commercial!S59*Commercial!$B$35</f>
        <v>1316435.7239422014</v>
      </c>
      <c r="T54" s="11">
        <f>Commercial!T59*Commercial!$B$35</f>
        <v>1402352.4104347643</v>
      </c>
      <c r="U54" s="11">
        <f>Commercial!U59*Commercial!$B$35</f>
        <v>1493876.4174243407</v>
      </c>
      <c r="V54" s="11">
        <f>Commercial!V59*Commercial!$B$35</f>
        <v>1591373.7045916368</v>
      </c>
      <c r="W54" s="11">
        <f>Commercial!W59*Commercial!$B$35</f>
        <v>1695234.1158394185</v>
      </c>
      <c r="X54" s="11">
        <f>Commercial!X59*Commercial!$B$35</f>
        <v>1805872.9380873539</v>
      </c>
      <c r="Y54" s="11">
        <f>Commercial!Y59*Commercial!$B$35</f>
        <v>1923732.5618010194</v>
      </c>
      <c r="Z54" s="11">
        <f>Commercial!Z59*Commercial!$B$35</f>
        <v>2049284.2498947165</v>
      </c>
      <c r="AA54" s="11">
        <f>Commercial!AA59*Commercial!$B$35</f>
        <v>2183030.0220810724</v>
      </c>
      <c r="AB54" s="11">
        <f>Commercial!AB59*Commercial!$B$35</f>
        <v>2325504.662201995</v>
      </c>
      <c r="AC54" s="11">
        <f>Commercial!AC59*Commercial!$B$35</f>
        <v>2477277.8565673702</v>
      </c>
      <c r="AD54" s="11">
        <f>Commercial!AD59*Commercial!$B$35</f>
        <v>2638956.4718515994</v>
      </c>
      <c r="AE54" s="11">
        <f>Commercial!AE59*Commercial!$B$35</f>
        <v>2811186.9816562301</v>
      </c>
      <c r="AF54" s="11">
        <f>Commercial!AF59*Commercial!$B$35</f>
        <v>2994658.0514412806</v>
      </c>
      <c r="AG54" s="11">
        <f>Commercial!AG59*Commercial!$B$35</f>
        <v>3190103.2921611443</v>
      </c>
      <c r="AH54" s="11">
        <f>Commercial!AH59*Commercial!$B$35</f>
        <v>3398304.1936155125</v>
      </c>
      <c r="AI54" s="11">
        <f>Commercial!AI59*Commercial!$B$35</f>
        <v>3620093.2492443668</v>
      </c>
      <c r="AJ54" s="11">
        <f>Commercial!AJ59*Commercial!$B$35</f>
        <v>3856357.2848615181</v>
      </c>
      <c r="AK54" s="11">
        <f>Commercial!AK59*Commercial!$B$35</f>
        <v>4108041.0046367389</v>
      </c>
      <c r="AL54" s="11">
        <f>Commercial!AL59*Commercial!$B$35</f>
        <v>4376150.768505062</v>
      </c>
      <c r="AM54" s="11">
        <f>Commercial!AM59*Commercial!$B$35</f>
        <v>4661758.6161073102</v>
      </c>
      <c r="AN54" s="11">
        <f>Commercial!AN59*Commercial!$B$35</f>
        <v>4966006.5533515885</v>
      </c>
      <c r="AO54" s="40">
        <f>Commercial!AO59*Commercial!$B$35</f>
        <v>5290111.1187356347</v>
      </c>
      <c r="AP54" s="40">
        <f>Commercial!AP59*Commercial!$B$35</f>
        <v>5635368.2476884676</v>
      </c>
      <c r="AQ54" s="40">
        <f>Commercial!AQ59*Commercial!$B$35</f>
        <v>6003158.4543814976</v>
      </c>
      <c r="AR54" s="40">
        <f>Commercial!AR59*Commercial!$B$35</f>
        <v>6394952.3517286014</v>
      </c>
      <c r="AS54" s="40">
        <f>Commercial!AS59*Commercial!$B$35</f>
        <v>6812316.5316469409</v>
      </c>
      <c r="AT54" s="40">
        <f>Commercial!AT59*Commercial!$B$35</f>
        <v>7256919.8290908113</v>
      </c>
      <c r="AU54" s="40">
        <f>Commercial!AU59*Commercial!$B$35</f>
        <v>7730539.9949053256</v>
      </c>
      <c r="AV54" s="40">
        <f>Commercial!AV59*Commercial!$B$35</f>
        <v>8235070.8041814025</v>
      </c>
      <c r="AW54" s="40">
        <f>Commercial!AW59*Commercial!$B$35</f>
        <v>8772529.6285348907</v>
      </c>
      <c r="AX54" s="40">
        <f>Commercial!AX59*Commercial!$B$35</f>
        <v>9345065.5025876667</v>
      </c>
    </row>
    <row r="56" spans="1:50" x14ac:dyDescent="0.2">
      <c r="A56" s="5" t="s">
        <v>66</v>
      </c>
    </row>
    <row r="57" spans="1:50" x14ac:dyDescent="0.2">
      <c r="A57" s="5" t="s">
        <v>4</v>
      </c>
    </row>
    <row r="58" spans="1:50" x14ac:dyDescent="0.2">
      <c r="A58" s="5" t="s">
        <v>51</v>
      </c>
    </row>
    <row r="59" spans="1:50" x14ac:dyDescent="0.2">
      <c r="A59" s="5" t="s">
        <v>6</v>
      </c>
    </row>
    <row r="60" spans="1:50" x14ac:dyDescent="0.2">
      <c r="A60" s="5"/>
    </row>
    <row r="61" spans="1:50" x14ac:dyDescent="0.2">
      <c r="A61" s="6" t="s">
        <v>7</v>
      </c>
      <c r="B61" s="6">
        <v>2022</v>
      </c>
      <c r="C61" s="6">
        <v>2023</v>
      </c>
      <c r="D61" s="6">
        <v>2024</v>
      </c>
      <c r="E61" s="6">
        <v>2025</v>
      </c>
      <c r="F61" s="6">
        <v>2026</v>
      </c>
      <c r="G61" s="6">
        <v>2027</v>
      </c>
      <c r="H61" s="6">
        <v>2028</v>
      </c>
      <c r="I61" s="6">
        <v>2029</v>
      </c>
      <c r="J61" s="6">
        <v>2030</v>
      </c>
      <c r="K61" s="6">
        <v>2031</v>
      </c>
      <c r="L61" s="6">
        <v>2032</v>
      </c>
      <c r="M61" s="6">
        <v>2033</v>
      </c>
      <c r="N61" s="6">
        <v>2034</v>
      </c>
      <c r="O61" s="6">
        <v>2035</v>
      </c>
      <c r="P61" s="6">
        <v>2036</v>
      </c>
      <c r="Q61" s="6">
        <v>2037</v>
      </c>
      <c r="R61" s="6">
        <v>2038</v>
      </c>
      <c r="S61" s="6">
        <v>2039</v>
      </c>
      <c r="T61" s="6">
        <v>2040</v>
      </c>
      <c r="U61" s="6">
        <v>2041</v>
      </c>
      <c r="V61" s="6">
        <v>2042</v>
      </c>
      <c r="W61" s="6">
        <v>2043</v>
      </c>
      <c r="X61" s="6">
        <v>2044</v>
      </c>
      <c r="Y61" s="6">
        <v>2045</v>
      </c>
      <c r="Z61" s="6">
        <v>2046</v>
      </c>
      <c r="AA61" s="6">
        <v>2047</v>
      </c>
      <c r="AB61" s="6">
        <v>2048</v>
      </c>
      <c r="AC61" s="6">
        <v>2049</v>
      </c>
      <c r="AD61" s="6">
        <v>2050</v>
      </c>
      <c r="AE61" s="6">
        <v>2051</v>
      </c>
      <c r="AF61" s="6">
        <v>2052</v>
      </c>
      <c r="AG61" s="6">
        <v>2053</v>
      </c>
      <c r="AH61" s="6">
        <v>2054</v>
      </c>
      <c r="AI61" s="6">
        <v>2055</v>
      </c>
      <c r="AJ61" s="6">
        <v>2056</v>
      </c>
      <c r="AK61" s="6">
        <v>2057</v>
      </c>
      <c r="AL61" s="6">
        <v>2058</v>
      </c>
      <c r="AM61" s="6">
        <v>2059</v>
      </c>
      <c r="AN61" s="6">
        <v>2060</v>
      </c>
      <c r="AO61" s="39">
        <v>2061</v>
      </c>
      <c r="AP61" s="39">
        <v>2062</v>
      </c>
      <c r="AQ61" s="39">
        <v>2063</v>
      </c>
      <c r="AR61" s="39">
        <v>2064</v>
      </c>
      <c r="AS61" s="39">
        <v>2065</v>
      </c>
      <c r="AT61" s="39">
        <v>2066</v>
      </c>
      <c r="AU61" s="39">
        <v>2067</v>
      </c>
      <c r="AV61" s="39">
        <v>2068</v>
      </c>
      <c r="AW61" s="39">
        <v>2069</v>
      </c>
      <c r="AX61" s="39">
        <v>2070</v>
      </c>
    </row>
    <row r="62" spans="1:50" x14ac:dyDescent="0.2">
      <c r="A62" s="6" t="s">
        <v>40</v>
      </c>
      <c r="B62" s="11">
        <f>Commercial!B67*Commercial!$B$35</f>
        <v>1817267.9576636606</v>
      </c>
      <c r="C62" s="11">
        <f>Commercial!C67*Commercial!$B$35</f>
        <v>1935871.2730796309</v>
      </c>
      <c r="D62" s="11">
        <f>Commercial!D67*Commercial!$B$35</f>
        <v>2062215.1896371888</v>
      </c>
      <c r="E62" s="11">
        <f>Commercial!E67*Commercial!$B$35</f>
        <v>2196804.8947825944</v>
      </c>
      <c r="F62" s="11">
        <f>Commercial!F67*Commercial!$B$35</f>
        <v>2340178.5468323561</v>
      </c>
      <c r="G62" s="11">
        <f>Commercial!G67*Commercial!$B$35</f>
        <v>2492909.4268047716</v>
      </c>
      <c r="H62" s="11">
        <f>Commercial!H67*Commercial!$B$35</f>
        <v>2655608.2306899694</v>
      </c>
      <c r="I62" s="11">
        <f>Commercial!I67*Commercial!$B$35</f>
        <v>2828925.5113240811</v>
      </c>
      <c r="J62" s="11">
        <f>Commercial!J67*Commercial!$B$35</f>
        <v>3013554.2796314331</v>
      </c>
      <c r="K62" s="11">
        <f>Commercial!K67*Commercial!$B$35</f>
        <v>3210232.7756358311</v>
      </c>
      <c r="L62" s="11">
        <f>Commercial!L67*Commercial!$B$35</f>
        <v>3419747.4203208792</v>
      </c>
      <c r="M62" s="11">
        <f>Commercial!M67*Commercial!$B$35</f>
        <v>3642935.9601423349</v>
      </c>
      <c r="N62" s="11">
        <f>Commercial!N67*Commercial!$B$35</f>
        <v>3880690.8167659119</v>
      </c>
      <c r="O62" s="11">
        <f>Commercial!O67*Commercial!$B$35</f>
        <v>4133962.6554244664</v>
      </c>
      <c r="P62" s="11">
        <f>Commercial!P67*Commercial!$B$35</f>
        <v>4403764.1861626739</v>
      </c>
      <c r="Q62" s="11">
        <f>Commercial!Q67*Commercial!$B$35</f>
        <v>4691174.213168541</v>
      </c>
      <c r="R62" s="11">
        <f>Commercial!R67*Commercial!$B$35</f>
        <v>4997341.9483830053</v>
      </c>
      <c r="S62" s="11">
        <f>Commercial!S67*Commercial!$B$35</f>
        <v>5323491.6066356748</v>
      </c>
      <c r="T62" s="11">
        <f>Commercial!T67*Commercial!$B$35</f>
        <v>5670927.300680384</v>
      </c>
      <c r="U62" s="11">
        <f>Commercial!U67*Commercial!$B$35</f>
        <v>6041038.2557034092</v>
      </c>
      <c r="V62" s="11">
        <f>Commercial!V67*Commercial!$B$35</f>
        <v>6435304.3641546229</v>
      </c>
      <c r="W62" s="11">
        <f>Commercial!W67*Commercial!$B$35</f>
        <v>6855302.1031126482</v>
      </c>
      <c r="X62" s="11">
        <f>Commercial!X67*Commercial!$B$35</f>
        <v>7302710.8378446121</v>
      </c>
      <c r="Y62" s="11">
        <f>Commercial!Y67*Commercial!$B$35</f>
        <v>7779319.5367654003</v>
      </c>
      <c r="Z62" s="11">
        <f>Commercial!Z67*Commercial!$B$35</f>
        <v>8287033.9246462062</v>
      </c>
      <c r="AA62" s="11">
        <f>Commercial!AA67*Commercial!$B$35</f>
        <v>8827884.1026745886</v>
      </c>
      <c r="AB62" s="11">
        <f>Commercial!AB67*Commercial!$B$35</f>
        <v>9404032.6658348795</v>
      </c>
      <c r="AC62" s="11">
        <f>Commercial!AC67*Commercial!$B$35</f>
        <v>10017783.350066412</v>
      </c>
      <c r="AD62" s="11">
        <f>Commercial!AD67*Commercial!$B$35</f>
        <v>10671590.243775306</v>
      </c>
      <c r="AE62" s="11">
        <f>Commercial!AE67*Commercial!$B$35</f>
        <v>11368067.600532146</v>
      </c>
      <c r="AF62" s="11">
        <f>Commercial!AF67*Commercial!$B$35</f>
        <v>12110000.292191666</v>
      </c>
      <c r="AG62" s="11">
        <f>Commercial!AG67*Commercial!$B$35</f>
        <v>12900354.944231449</v>
      </c>
      <c r="AH62" s="11">
        <f>Commercial!AH67*Commercial!$B$35</f>
        <v>13742291.79783432</v>
      </c>
      <c r="AI62" s="11">
        <f>Commercial!AI67*Commercial!$B$35</f>
        <v>14639177.346145142</v>
      </c>
      <c r="AJ62" s="11">
        <f>Commercial!AJ67*Commercial!$B$35</f>
        <v>15594597.795228153</v>
      </c>
      <c r="AK62" s="11">
        <f>Commercial!AK67*Commercial!$B$35</f>
        <v>16612373.403548751</v>
      </c>
      <c r="AL62" s="11">
        <f>Commercial!AL67*Commercial!$B$35</f>
        <v>17696573.757316079</v>
      </c>
      <c r="AM62" s="11">
        <f>Commercial!AM67*Commercial!$B$35</f>
        <v>18851534.042765308</v>
      </c>
      <c r="AN62" s="11">
        <f>Commercial!AN67*Commercial!$B$35</f>
        <v>20081872.380444195</v>
      </c>
      <c r="AO62" s="40">
        <f>Commercial!AO67*Commercial!$B$35</f>
        <v>21392508.290815495</v>
      </c>
      <c r="AP62" s="40">
        <f>Commercial!AP67*Commercial!$B$35</f>
        <v>22788682.365009986</v>
      </c>
      <c r="AQ62" s="40">
        <f>Commercial!AQ67*Commercial!$B$35</f>
        <v>24275977.219383851</v>
      </c>
      <c r="AR62" s="40">
        <f>Commercial!AR67*Commercial!$B$35</f>
        <v>25860339.817667443</v>
      </c>
      <c r="AS62" s="40">
        <f>Commercial!AS67*Commercial!$B$35</f>
        <v>27548105.249960769</v>
      </c>
      <c r="AT62" s="40">
        <f>Commercial!AT67*Commercial!$B$35</f>
        <v>29346022.063656211</v>
      </c>
      <c r="AU62" s="40">
        <f>Commercial!AU67*Commercial!$B$35</f>
        <v>31261279.247574516</v>
      </c>
      <c r="AV62" s="40">
        <f>Commercial!AV67*Commercial!$B$35</f>
        <v>33301534.977210317</v>
      </c>
      <c r="AW62" s="40">
        <f>Commercial!AW67*Commercial!$B$35</f>
        <v>35474947.236025415</v>
      </c>
      <c r="AX62" s="40">
        <f>Commercial!AX67*Commercial!$B$35</f>
        <v>37790206.435229309</v>
      </c>
    </row>
    <row r="63" spans="1:50" x14ac:dyDescent="0.2">
      <c r="A63" s="6" t="s">
        <v>41</v>
      </c>
      <c r="B63" s="11">
        <f>Commercial!B68*Commercial!$B$35</f>
        <v>1110102.3578387995</v>
      </c>
      <c r="C63" s="11">
        <f>Commercial!C68*Commercial!$B$35</f>
        <v>1182552.774154969</v>
      </c>
      <c r="D63" s="11">
        <f>Commercial!D68*Commercial!$B$35</f>
        <v>1259731.6398680087</v>
      </c>
      <c r="E63" s="11">
        <f>Commercial!E68*Commercial!$B$35</f>
        <v>1341947.5554640929</v>
      </c>
      <c r="F63" s="11">
        <f>Commercial!F68*Commercial!$B$35</f>
        <v>1429529.2621250194</v>
      </c>
      <c r="G63" s="11">
        <f>Commercial!G68*Commercial!$B$35</f>
        <v>1522826.9562031939</v>
      </c>
      <c r="H63" s="11">
        <f>Commercial!H68*Commercial!$B$35</f>
        <v>1622213.6894853411</v>
      </c>
      <c r="I63" s="11">
        <f>Commercial!I68*Commercial!$B$35</f>
        <v>1728086.8608438962</v>
      </c>
      <c r="J63" s="11">
        <f>Commercial!J68*Commercial!$B$35</f>
        <v>1840869.8052404749</v>
      </c>
      <c r="K63" s="11">
        <f>Commercial!K68*Commercial!$B$35</f>
        <v>1961013.4864350567</v>
      </c>
      <c r="L63" s="11">
        <f>Commercial!L68*Commercial!$B$35</f>
        <v>2088998.3001692109</v>
      </c>
      <c r="M63" s="11">
        <f>Commercial!M68*Commercial!$B$35</f>
        <v>2225335.995033389</v>
      </c>
      <c r="N63" s="11">
        <f>Commercial!N68*Commercial!$B$35</f>
        <v>2370571.7186989179</v>
      </c>
      <c r="O63" s="11">
        <f>Commercial!O68*Commercial!$B$35</f>
        <v>2525286.1976965521</v>
      </c>
      <c r="P63" s="11">
        <f>Commercial!P68*Commercial!$B$35</f>
        <v>2690098.059457466</v>
      </c>
      <c r="Q63" s="11">
        <f>Commercial!Q68*Commercial!$B$35</f>
        <v>2865666.3059013817</v>
      </c>
      <c r="R63" s="11">
        <f>Commercial!R68*Commercial!$B$35</f>
        <v>3052692.9484625049</v>
      </c>
      <c r="S63" s="11">
        <f>Commercial!S68*Commercial!$B$35</f>
        <v>3251925.8150894404</v>
      </c>
      <c r="T63" s="11">
        <f>Commercial!T68*Commercial!$B$35</f>
        <v>3464161.540442924</v>
      </c>
      <c r="U63" s="11">
        <f>Commercial!U68*Commercial!$B$35</f>
        <v>3690248.7512476784</v>
      </c>
      <c r="V63" s="11">
        <f>Commercial!V68*Commercial!$B$35</f>
        <v>3931091.459535074</v>
      </c>
      <c r="W63" s="11">
        <f>Commercial!W68*Commercial!$B$35</f>
        <v>4187652.6773445173</v>
      </c>
      <c r="X63" s="11">
        <f>Commercial!X68*Commercial!$B$35</f>
        <v>4460958.26733696</v>
      </c>
      <c r="Y63" s="11">
        <f>Commercial!Y68*Commercial!$B$35</f>
        <v>4752101.0447172737</v>
      </c>
      <c r="Z63" s="11">
        <f>Commercial!Z68*Commercial!$B$35</f>
        <v>5062245.1468670573</v>
      </c>
      <c r="AA63" s="11">
        <f>Commercial!AA68*Commercial!$B$35</f>
        <v>5392630.6881598979</v>
      </c>
      <c r="AB63" s="11">
        <f>Commercial!AB68*Commercial!$B$35</f>
        <v>5744578.7185714087</v>
      </c>
      <c r="AC63" s="11">
        <f>Commercial!AC68*Commercial!$B$35</f>
        <v>6119496.5059111118</v>
      </c>
      <c r="AD63" s="11">
        <f>Commercial!AD68*Commercial!$B$35</f>
        <v>6518883.1627972033</v>
      </c>
      <c r="AE63" s="11">
        <f>Commercial!AE68*Commercial!$B$35</f>
        <v>6944335.6408737451</v>
      </c>
      <c r="AF63" s="11">
        <f>Commercial!AF68*Commercial!$B$35</f>
        <v>7397555.1162381778</v>
      </c>
      <c r="AG63" s="11">
        <f>Commercial!AG68*Commercial!$B$35</f>
        <v>7880353.791611406</v>
      </c>
      <c r="AH63" s="11">
        <f>Commercial!AH68*Commercial!$B$35</f>
        <v>8394662.1424489599</v>
      </c>
      <c r="AI63" s="11">
        <f>Commercial!AI68*Commercial!$B$35</f>
        <v>8942536.6359669156</v>
      </c>
      <c r="AJ63" s="11">
        <f>Commercial!AJ68*Commercial!$B$35</f>
        <v>9526167.9539471325</v>
      </c>
      <c r="AK63" s="11">
        <f>Commercial!AK68*Commercial!$B$35</f>
        <v>10147889.752200849</v>
      </c>
      <c r="AL63" s="11">
        <f>Commercial!AL68*Commercial!$B$35</f>
        <v>10810187.99171536</v>
      </c>
      <c r="AM63" s="11">
        <f>Commercial!AM68*Commercial!$B$35</f>
        <v>11515710.878794549</v>
      </c>
      <c r="AN63" s="11">
        <f>Commercial!AN68*Commercial!$B$35</f>
        <v>12267279.45393892</v>
      </c>
      <c r="AO63" s="40">
        <f>Commercial!AO68*Commercial!$B$35</f>
        <v>13067898.871805014</v>
      </c>
      <c r="AP63" s="40">
        <f>Commercial!AP68*Commercial!$B$35</f>
        <v>13920770.417347092</v>
      </c>
      <c r="AQ63" s="40">
        <f>Commercial!AQ68*Commercial!$B$35</f>
        <v>14829304.306187892</v>
      </c>
      <c r="AR63" s="40">
        <f>Commercial!AR68*Commercial!$B$35</f>
        <v>15797133.320400745</v>
      </c>
      <c r="AS63" s="40">
        <f>Commercial!AS68*Commercial!$B$35</f>
        <v>16828127.334225975</v>
      </c>
      <c r="AT63" s="40">
        <f>Commercial!AT68*Commercial!$B$35</f>
        <v>17926408.787802745</v>
      </c>
      <c r="AU63" s="40">
        <f>Commercial!AU68*Commercial!$B$35</f>
        <v>19096369.170788221</v>
      </c>
      <c r="AV63" s="40">
        <f>Commercial!AV68*Commercial!$B$35</f>
        <v>20342686.581774022</v>
      </c>
      <c r="AW63" s="40">
        <f>Commercial!AW68*Commercial!$B$35</f>
        <v>21670344.433711417</v>
      </c>
      <c r="AX63" s="40">
        <f>Commercial!AX68*Commercial!$B$35</f>
        <v>23084651.380139127</v>
      </c>
    </row>
    <row r="64" spans="1:50" x14ac:dyDescent="0.2">
      <c r="A64" s="6" t="s">
        <v>42</v>
      </c>
      <c r="B64" s="11">
        <f>Commercial!B69*Commercial!$B$35</f>
        <v>861999.94825379865</v>
      </c>
      <c r="C64" s="11">
        <f>Commercial!C69*Commercial!$B$35</f>
        <v>918258.05335060216</v>
      </c>
      <c r="D64" s="11">
        <f>Commercial!D69*Commercial!$B$35</f>
        <v>978187.82269227551</v>
      </c>
      <c r="E64" s="11">
        <f>Commercial!E69*Commercial!$B$35</f>
        <v>1042028.886076229</v>
      </c>
      <c r="F64" s="11">
        <f>Commercial!F69*Commercial!$B$35</f>
        <v>1110036.5126492204</v>
      </c>
      <c r="G64" s="11">
        <f>Commercial!G69*Commercial!$B$35</f>
        <v>1182482.6316036524</v>
      </c>
      <c r="H64" s="11">
        <f>Commercial!H69*Commercial!$B$35</f>
        <v>1259656.9194892433</v>
      </c>
      <c r="I64" s="11">
        <f>Commercial!I69*Commercial!$B$35</f>
        <v>1341867.9584876783</v>
      </c>
      <c r="J64" s="11">
        <f>Commercial!J69*Commercial!$B$35</f>
        <v>1429444.4702816291</v>
      </c>
      <c r="K64" s="11">
        <f>Commercial!K69*Commercial!$B$35</f>
        <v>1522736.6304517714</v>
      </c>
      <c r="L64" s="11">
        <f>Commercial!L69*Commercial!$B$35</f>
        <v>1622117.4686574435</v>
      </c>
      <c r="M64" s="11">
        <f>Commercial!M69*Commercial!$B$35</f>
        <v>1727984.3601995565</v>
      </c>
      <c r="N64" s="11">
        <f>Commercial!N69*Commercial!$B$35</f>
        <v>1840760.6149298144</v>
      </c>
      <c r="O64" s="11">
        <f>Commercial!O69*Commercial!$B$35</f>
        <v>1960897.1698595001</v>
      </c>
      <c r="P64" s="11">
        <f>Commercial!P69*Commercial!$B$35</f>
        <v>2088874.3922357364</v>
      </c>
      <c r="Q64" s="11">
        <f>Commercial!Q69*Commercial!$B$35</f>
        <v>2225204.0002948535</v>
      </c>
      <c r="R64" s="11">
        <f>Commercial!R69*Commercial!$B$35</f>
        <v>2370431.1093730065</v>
      </c>
      <c r="S64" s="11">
        <f>Commercial!S69*Commercial!$B$35</f>
        <v>2525136.4115554318</v>
      </c>
      <c r="T64" s="11">
        <f>Commercial!T69*Commercial!$B$35</f>
        <v>2689938.4975797157</v>
      </c>
      <c r="U64" s="11">
        <f>Commercial!U69*Commercial!$B$35</f>
        <v>2865496.3302771975</v>
      </c>
      <c r="V64" s="11">
        <f>Commercial!V69*Commercial!$B$35</f>
        <v>3052511.8794426075</v>
      </c>
      <c r="W64" s="11">
        <f>Commercial!W69*Commercial!$B$35</f>
        <v>3251732.9286674988</v>
      </c>
      <c r="X64" s="11">
        <f>Commercial!X69*Commercial!$B$35</f>
        <v>3463956.065360602</v>
      </c>
      <c r="Y64" s="11">
        <f>Commercial!Y69*Commercial!$B$35</f>
        <v>3690029.8659107503</v>
      </c>
      <c r="Z64" s="11">
        <f>Commercial!Z69*Commercial!$B$35</f>
        <v>3930858.2887282753</v>
      </c>
      <c r="AA64" s="11">
        <f>Commercial!AA69*Commercial!$B$35</f>
        <v>4187404.2887319848</v>
      </c>
      <c r="AB64" s="11">
        <f>Commercial!AB69*Commercial!$B$35</f>
        <v>4460693.6677342821</v>
      </c>
      <c r="AC64" s="11">
        <f>Commercial!AC69*Commercial!$B$35</f>
        <v>4751819.1761202225</v>
      </c>
      <c r="AD64" s="11">
        <f>Commercial!AD69*Commercial!$B$35</f>
        <v>5061944.8822211558</v>
      </c>
      <c r="AE64" s="11">
        <f>Commercial!AE69*Commercial!$B$35</f>
        <v>5392310.8268538807</v>
      </c>
      <c r="AF64" s="11">
        <f>Commercial!AF69*Commercial!$B$35</f>
        <v>5744237.9816365615</v>
      </c>
      <c r="AG64" s="11">
        <f>Commercial!AG69*Commercial!$B$35</f>
        <v>6119133.5309073059</v>
      </c>
      <c r="AH64" s="11">
        <f>Commercial!AH69*Commercial!$B$35</f>
        <v>6518496.4983651638</v>
      </c>
      <c r="AI64" s="11">
        <f>Commercial!AI69*Commercial!$B$35</f>
        <v>6943923.7409317754</v>
      </c>
      <c r="AJ64" s="11">
        <f>Commercial!AJ69*Commercial!$B$35</f>
        <v>7397116.3338001333</v>
      </c>
      <c r="AK64" s="11">
        <f>Commercial!AK69*Commercial!$B$35</f>
        <v>7879886.3722012099</v>
      </c>
      <c r="AL64" s="11">
        <f>Commercial!AL69*Commercial!$B$35</f>
        <v>8394164.2170853056</v>
      </c>
      <c r="AM64" s="11">
        <f>Commercial!AM69*Commercial!$B$35</f>
        <v>8942006.2136901282</v>
      </c>
      <c r="AN64" s="11">
        <f>Commercial!AN69*Commercial!$B$35</f>
        <v>9525602.9138582982</v>
      </c>
      <c r="AO64" s="40">
        <f>Commercial!AO69*Commercial!$B$35</f>
        <v>10147287.834981376</v>
      </c>
      <c r="AP64" s="40">
        <f>Commercial!AP69*Commercial!$B$35</f>
        <v>10809546.790593078</v>
      </c>
      <c r="AQ64" s="40">
        <f>Commercial!AQ69*Commercial!$B$35</f>
        <v>11515027.829920188</v>
      </c>
      <c r="AR64" s="40">
        <f>Commercial!AR69*Commercial!$B$35</f>
        <v>12266551.826134553</v>
      </c>
      <c r="AS64" s="40">
        <f>Commercial!AS69*Commercial!$B$35</f>
        <v>13067123.755643398</v>
      </c>
      <c r="AT64" s="40">
        <f>Commercial!AT69*Commercial!$B$35</f>
        <v>13919944.713518308</v>
      </c>
      <c r="AU64" s="40">
        <f>Commercial!AU69*Commercial!$B$35</f>
        <v>14828424.713106709</v>
      </c>
      <c r="AV64" s="40">
        <f>Commercial!AV69*Commercial!$B$35</f>
        <v>15796196.321005205</v>
      </c>
      <c r="AW64" s="40">
        <f>Commercial!AW69*Commercial!$B$35</f>
        <v>16827129.181914385</v>
      </c>
      <c r="AX64" s="40">
        <f>Commercial!AX69*Commercial!$B$35</f>
        <v>17925345.49145285</v>
      </c>
    </row>
    <row r="65" spans="1:50" x14ac:dyDescent="0.2">
      <c r="A65" s="6" t="s">
        <v>43</v>
      </c>
      <c r="B65" s="11">
        <f>Commercial!B70*Commercial!$B$35</f>
        <v>60451.779913740364</v>
      </c>
      <c r="C65" s="11">
        <f>Commercial!C70*Commercial!$B$35</f>
        <v>64397.142781296716</v>
      </c>
      <c r="D65" s="11">
        <f>Commercial!D70*Commercial!$B$35</f>
        <v>68599.998284783811</v>
      </c>
      <c r="E65" s="11">
        <f>Commercial!E70*Commercial!$B$35</f>
        <v>73077.151585040861</v>
      </c>
      <c r="F65" s="11">
        <f>Commercial!F70*Commercial!$B$35</f>
        <v>77846.504625461064</v>
      </c>
      <c r="G65" s="11">
        <f>Commercial!G70*Commercial!$B$35</f>
        <v>82927.127713095528</v>
      </c>
      <c r="H65" s="11">
        <f>Commercial!H70*Commercial!$B$35</f>
        <v>88339.335771472091</v>
      </c>
      <c r="I65" s="11">
        <f>Commercial!I70*Commercial!$B$35</f>
        <v>94104.769570025019</v>
      </c>
      <c r="J65" s="11">
        <f>Commercial!J70*Commercial!$B$35</f>
        <v>100246.4822549337</v>
      </c>
      <c r="K65" s="11">
        <f>Commercial!K70*Commercial!$B$35</f>
        <v>106789.03152736403</v>
      </c>
      <c r="L65" s="11">
        <f>Commercial!L70*Commercial!$B$35</f>
        <v>113758.57783768873</v>
      </c>
      <c r="M65" s="11">
        <f>Commercial!M70*Commercial!$B$35</f>
        <v>121182.98898831598</v>
      </c>
      <c r="N65" s="11">
        <f>Commercial!N70*Commercial!$B$35</f>
        <v>129091.95156338354</v>
      </c>
      <c r="O65" s="11">
        <f>Commercial!O70*Commercial!$B$35</f>
        <v>137517.08963086989</v>
      </c>
      <c r="P65" s="11">
        <f>Commercial!P70*Commercial!$B$35</f>
        <v>146492.09119175421</v>
      </c>
      <c r="Q65" s="11">
        <f>Commercial!Q70*Commercial!$B$35</f>
        <v>156052.84288183408</v>
      </c>
      <c r="R65" s="11">
        <f>Commercial!R70*Commercial!$B$35</f>
        <v>166237.57346480666</v>
      </c>
      <c r="S65" s="11">
        <f>Commercial!S70*Commercial!$B$35</f>
        <v>177087.00669037231</v>
      </c>
      <c r="T65" s="11">
        <f>Commercial!T70*Commercial!$B$35</f>
        <v>188644.52412856603</v>
      </c>
      <c r="U65" s="11">
        <f>Commercial!U70*Commercial!$B$35</f>
        <v>200956.33863140942</v>
      </c>
      <c r="V65" s="11">
        <f>Commercial!V70*Commercial!$B$35</f>
        <v>214071.67911547411</v>
      </c>
      <c r="W65" s="11">
        <f>Commercial!W70*Commercial!$B$35</f>
        <v>228042.98740420924</v>
      </c>
      <c r="X65" s="11">
        <f>Commercial!X70*Commercial!$B$35</f>
        <v>242926.12791711075</v>
      </c>
      <c r="Y65" s="11">
        <f>Commercial!Y70*Commercial!$B$35</f>
        <v>258780.61104417531</v>
      </c>
      <c r="Z65" s="11">
        <f>Commercial!Z70*Commercial!$B$35</f>
        <v>275669.83109880553</v>
      </c>
      <c r="AA65" s="11">
        <f>Commercial!AA70*Commercial!$B$35</f>
        <v>293661.31980062212</v>
      </c>
      <c r="AB65" s="11">
        <f>Commercial!AB70*Commercial!$B$35</f>
        <v>312827.01630173763</v>
      </c>
      <c r="AC65" s="11">
        <f>Commercial!AC70*Commercial!$B$35</f>
        <v>333243.55483619357</v>
      </c>
      <c r="AD65" s="11">
        <f>Commercial!AD70*Commercial!$B$35</f>
        <v>354992.5711427317</v>
      </c>
      <c r="AE65" s="11">
        <f>Commercial!AE70*Commercial!$B$35</f>
        <v>378161.02888613316</v>
      </c>
      <c r="AF65" s="11">
        <f>Commercial!AF70*Commercial!$B$35</f>
        <v>402841.56738232297</v>
      </c>
      <c r="AG65" s="11">
        <f>Commercial!AG70*Commercial!$B$35</f>
        <v>429132.87201762572</v>
      </c>
      <c r="AH65" s="11">
        <f>Commercial!AH70*Commercial!$B$35</f>
        <v>457140.06884329487</v>
      </c>
      <c r="AI65" s="11">
        <f>Commercial!AI70*Commercial!$B$35</f>
        <v>486975.14492310694</v>
      </c>
      <c r="AJ65" s="11">
        <f>Commercial!AJ70*Commercial!$B$35</f>
        <v>518757.39611478453</v>
      </c>
      <c r="AK65" s="11">
        <f>Commercial!AK70*Commercial!$B$35</f>
        <v>552613.90407570743</v>
      </c>
      <c r="AL65" s="11">
        <f>Commercial!AL70*Commercial!$B$35</f>
        <v>588680.04440022225</v>
      </c>
      <c r="AM65" s="11">
        <f>Commercial!AM70*Commercial!$B$35</f>
        <v>627100.02792034647</v>
      </c>
      <c r="AN65" s="11">
        <f>Commercial!AN70*Commercial!$B$35</f>
        <v>668027.47733425768</v>
      </c>
      <c r="AO65" s="40">
        <f>Commercial!AO70*Commercial!$B$35</f>
        <v>711626.04146822926</v>
      </c>
      <c r="AP65" s="40">
        <f>Commercial!AP70*Commercial!$B$35</f>
        <v>758070.04962814006</v>
      </c>
      <c r="AQ65" s="40">
        <f>Commercial!AQ70*Commercial!$B$35</f>
        <v>807545.20865699241</v>
      </c>
      <c r="AR65" s="40">
        <f>Commercial!AR70*Commercial!$B$35</f>
        <v>860249.34548562847</v>
      </c>
      <c r="AS65" s="40">
        <f>Commercial!AS70*Commercial!$B$35</f>
        <v>916393.19814574253</v>
      </c>
      <c r="AT65" s="40">
        <f>Commercial!AT70*Commercial!$B$35</f>
        <v>976201.25840806181</v>
      </c>
      <c r="AU65" s="40">
        <f>Commercial!AU70*Commercial!$B$35</f>
        <v>1039912.6694149949</v>
      </c>
      <c r="AV65" s="40">
        <f>Commercial!AV70*Commercial!$B$35</f>
        <v>1107782.1818969394</v>
      </c>
      <c r="AW65" s="40">
        <f>Commercial!AW70*Commercial!$B$35</f>
        <v>1180081.1727956897</v>
      </c>
      <c r="AX65" s="40">
        <f>Commercial!AX70*Commercial!$B$35</f>
        <v>1257098.7303679234</v>
      </c>
    </row>
    <row r="66" spans="1:50" x14ac:dyDescent="0.2">
      <c r="A66" s="6" t="s">
        <v>8</v>
      </c>
      <c r="B66" s="11">
        <f>Commercial!B71*Commercial!$B$35</f>
        <v>46233.033290382125</v>
      </c>
      <c r="C66" s="11">
        <f>Commercial!C71*Commercial!$B$35</f>
        <v>49250.414963157491</v>
      </c>
      <c r="D66" s="11">
        <f>Commercial!D71*Commercial!$B$35</f>
        <v>52464.724925323193</v>
      </c>
      <c r="E66" s="11">
        <f>Commercial!E71*Commercial!$B$35</f>
        <v>55888.815628232027</v>
      </c>
      <c r="F66" s="11">
        <f>Commercial!F71*Commercial!$B$35</f>
        <v>59536.37833368039</v>
      </c>
      <c r="G66" s="11">
        <f>Commercial!G71*Commercial!$B$35</f>
        <v>63421.997858558927</v>
      </c>
      <c r="H66" s="11">
        <f>Commercial!H71*Commercial!$B$35</f>
        <v>67561.210892392584</v>
      </c>
      <c r="I66" s="11">
        <f>Commercial!I71*Commercial!$B$35</f>
        <v>71970.568120952928</v>
      </c>
      <c r="J66" s="11">
        <f>Commercial!J71*Commercial!$B$35</f>
        <v>76667.700404345072</v>
      </c>
      <c r="K66" s="11">
        <f>Commercial!K71*Commercial!$B$35</f>
        <v>81671.389274182366</v>
      </c>
      <c r="L66" s="11">
        <f>Commercial!L71*Commercial!$B$35</f>
        <v>87001.642031733703</v>
      </c>
      <c r="M66" s="11">
        <f>Commercial!M71*Commercial!$B$35</f>
        <v>92679.77174732236</v>
      </c>
      <c r="N66" s="11">
        <f>Commercial!N71*Commercial!$B$35</f>
        <v>98728.482480856517</v>
      </c>
      <c r="O66" s="11">
        <f>Commercial!O71*Commercial!$B$35</f>
        <v>105171.96006424569</v>
      </c>
      <c r="P66" s="11">
        <f>Commercial!P71*Commercial!$B$35</f>
        <v>112035.96880869759</v>
      </c>
      <c r="Q66" s="11">
        <f>Commercial!Q71*Commercial!$B$35</f>
        <v>119347.95452358088</v>
      </c>
      <c r="R66" s="11">
        <f>Commercial!R71*Commercial!$B$35</f>
        <v>127137.15425877542</v>
      </c>
      <c r="S66" s="11">
        <f>Commercial!S71*Commercial!$B$35</f>
        <v>135434.71320931584</v>
      </c>
      <c r="T66" s="11">
        <f>Commercial!T71*Commercial!$B$35</f>
        <v>144273.80924977385</v>
      </c>
      <c r="U66" s="11">
        <f>Commercial!U71*Commercial!$B$35</f>
        <v>153689.78559632952</v>
      </c>
      <c r="V66" s="11">
        <f>Commercial!V71*Commercial!$B$35</f>
        <v>163720.29212698396</v>
      </c>
      <c r="W66" s="11">
        <f>Commercial!W71*Commercial!$B$35</f>
        <v>174405.43592498268</v>
      </c>
      <c r="X66" s="11">
        <f>Commercial!X71*Commercial!$B$35</f>
        <v>185787.9416473991</v>
      </c>
      <c r="Y66" s="11">
        <f>Commercial!Y71*Commercial!$B$35</f>
        <v>197913.3223601144</v>
      </c>
      <c r="Z66" s="11">
        <f>Commercial!Z71*Commercial!$B$35</f>
        <v>210830.06152227803</v>
      </c>
      <c r="AA66" s="11">
        <f>Commercial!AA71*Commercial!$B$35</f>
        <v>224589.80684791657</v>
      </c>
      <c r="AB66" s="11">
        <f>Commercial!AB71*Commercial!$B$35</f>
        <v>239247.57681984807</v>
      </c>
      <c r="AC66" s="11">
        <f>Commercial!AC71*Commercial!$B$35</f>
        <v>254861.98068164938</v>
      </c>
      <c r="AD66" s="11">
        <f>Commercial!AD71*Commercial!$B$35</f>
        <v>271495.45278731844</v>
      </c>
      <c r="AE66" s="11">
        <f>Commercial!AE71*Commercial!$B$35</f>
        <v>289214.50224567892</v>
      </c>
      <c r="AF66" s="11">
        <f>Commercial!AF71*Commercial!$B$35</f>
        <v>308089.97885773395</v>
      </c>
      <c r="AG66" s="11">
        <f>Commercial!AG71*Commercial!$B$35</f>
        <v>328197.3564103219</v>
      </c>
      <c r="AH66" s="11">
        <f>Commercial!AH71*Commercial!$B$35</f>
        <v>349617.03445882763</v>
      </c>
      <c r="AI66" s="11">
        <f>Commercial!AI71*Commercial!$B$35</f>
        <v>372434.65980562929</v>
      </c>
      <c r="AJ66" s="11">
        <f>Commercial!AJ71*Commercial!$B$35</f>
        <v>396741.46895971557</v>
      </c>
      <c r="AK66" s="11">
        <f>Commercial!AK71*Commercial!$B$35</f>
        <v>422634.65294680366</v>
      </c>
      <c r="AL66" s="11">
        <f>Commercial!AL71*Commercial!$B$35</f>
        <v>450217.7459286513</v>
      </c>
      <c r="AM66" s="11">
        <f>Commercial!AM71*Commercial!$B$35</f>
        <v>479601.03918546566</v>
      </c>
      <c r="AN66" s="11">
        <f>Commercial!AN71*Commercial!$B$35</f>
        <v>510902.02211671765</v>
      </c>
      <c r="AO66" s="40">
        <f>Commercial!AO71*Commercial!$B$35</f>
        <v>544245.8520237112</v>
      </c>
      <c r="AP66" s="40">
        <f>Commercial!AP71*Commercial!$B$35</f>
        <v>579765.85455233615</v>
      </c>
      <c r="AQ66" s="40">
        <f>Commercial!AQ71*Commercial!$B$35</f>
        <v>617604.05679703085</v>
      </c>
      <c r="AR66" s="40">
        <f>Commercial!AR71*Commercial!$B$35</f>
        <v>657911.75519757613</v>
      </c>
      <c r="AS66" s="40">
        <f>Commercial!AS71*Commercial!$B$35</f>
        <v>700850.12049946154</v>
      </c>
      <c r="AT66" s="40">
        <f>Commercial!AT71*Commercial!$B$35</f>
        <v>746590.84219676419</v>
      </c>
      <c r="AU66" s="40">
        <f>Commercial!AU71*Commercial!$B$35</f>
        <v>795316.81503435213</v>
      </c>
      <c r="AV66" s="40">
        <f>Commercial!AV71*Commercial!$B$35</f>
        <v>847222.8703143975</v>
      </c>
      <c r="AW66" s="40">
        <f>Commercial!AW71*Commercial!$B$35</f>
        <v>902516.55493133632</v>
      </c>
      <c r="AX66" s="40">
        <f>Commercial!AX71*Commercial!$B$35</f>
        <v>961418.96125025535</v>
      </c>
    </row>
    <row r="67" spans="1:50" x14ac:dyDescent="0.2">
      <c r="A67" s="6" t="s">
        <v>9</v>
      </c>
      <c r="B67" s="11">
        <f>Commercial!B72*Commercial!$B$35</f>
        <v>473966.16293688986</v>
      </c>
      <c r="C67" s="11">
        <f>Commercial!C72*Commercial!$B$35</f>
        <v>504899.38777158718</v>
      </c>
      <c r="D67" s="11">
        <f>Commercial!D72*Commercial!$B$35</f>
        <v>537851.45798702829</v>
      </c>
      <c r="E67" s="11">
        <f>Commercial!E72*Commercial!$B$35</f>
        <v>572954.13277395803</v>
      </c>
      <c r="F67" s="11">
        <f>Commercial!F72*Commercial!$B$35</f>
        <v>610347.77053755906</v>
      </c>
      <c r="G67" s="11">
        <f>Commercial!G72*Commercial!$B$35</f>
        <v>650181.8901219744</v>
      </c>
      <c r="H67" s="11">
        <f>Commercial!H72*Commercial!$B$35</f>
        <v>692615.76866294025</v>
      </c>
      <c r="I67" s="11">
        <f>Commercial!I72*Commercial!$B$35</f>
        <v>737819.0784590455</v>
      </c>
      <c r="J67" s="11">
        <f>Commercial!J72*Commercial!$B$35</f>
        <v>785972.5654081594</v>
      </c>
      <c r="K67" s="11">
        <f>Commercial!K72*Commercial!$B$35</f>
        <v>837268.77172175574</v>
      </c>
      <c r="L67" s="11">
        <f>Commercial!L72*Commercial!$B$35</f>
        <v>891912.80580692459</v>
      </c>
      <c r="M67" s="11">
        <f>Commercial!M72*Commercial!$B$35</f>
        <v>950123.16239443712</v>
      </c>
      <c r="N67" s="11">
        <f>Commercial!N72*Commercial!$B$35</f>
        <v>1012132.5961921707</v>
      </c>
      <c r="O67" s="11">
        <f>Commercial!O72*Commercial!$B$35</f>
        <v>1078189.0525571948</v>
      </c>
      <c r="P67" s="11">
        <f>Commercial!P72*Commercial!$B$35</f>
        <v>1148556.6589078235</v>
      </c>
      <c r="Q67" s="11">
        <f>Commercial!Q72*Commercial!$B$35</f>
        <v>1223516.7808398092</v>
      </c>
      <c r="R67" s="11">
        <f>Commercial!R72*Commercial!$B$35</f>
        <v>1303369.1471695607</v>
      </c>
      <c r="S67" s="11">
        <f>Commercial!S72*Commercial!$B$35</f>
        <v>1388433.0484028899</v>
      </c>
      <c r="T67" s="11">
        <f>Commercial!T72*Commercial!$B$35</f>
        <v>1479048.6134213777</v>
      </c>
      <c r="U67" s="11">
        <f>Commercial!U72*Commercial!$B$35</f>
        <v>1575578.1694911919</v>
      </c>
      <c r="V67" s="11">
        <f>Commercial!V72*Commercial!$B$35</f>
        <v>1678407.6910323775</v>
      </c>
      <c r="W67" s="11">
        <f>Commercial!W72*Commercial!$B$35</f>
        <v>1787948.3429415373</v>
      </c>
      <c r="X67" s="11">
        <f>Commercial!X72*Commercial!$B$35</f>
        <v>1904638.1246388848</v>
      </c>
      <c r="Y67" s="11">
        <f>Commercial!Y72*Commercial!$B$35</f>
        <v>2028943.621413422</v>
      </c>
      <c r="Z67" s="11">
        <f>Commercial!Z72*Commercial!$B$35</f>
        <v>2161361.8700689981</v>
      </c>
      <c r="AA67" s="11">
        <f>Commercial!AA72*Commercial!$B$35</f>
        <v>2302422.3463310739</v>
      </c>
      <c r="AB67" s="11">
        <f>Commercial!AB72*Commercial!$B$35</f>
        <v>2452689.0819608378</v>
      </c>
      <c r="AC67" s="11">
        <f>Commercial!AC72*Commercial!$B$35</f>
        <v>2612762.9200419849</v>
      </c>
      <c r="AD67" s="11">
        <f>Commercial!AD72*Commercial!$B$35</f>
        <v>2783283.9174579559</v>
      </c>
      <c r="AE67" s="11">
        <f>Commercial!AE72*Commercial!$B$35</f>
        <v>2964933.9041659497</v>
      </c>
      <c r="AF67" s="11">
        <f>Commercial!AF72*Commercial!$B$35</f>
        <v>3158439.209500995</v>
      </c>
      <c r="AG67" s="11">
        <f>Commercial!AG72*Commercial!$B$35</f>
        <v>3364573.5664112526</v>
      </c>
      <c r="AH67" s="11">
        <f>Commercial!AH72*Commercial!$B$35</f>
        <v>3584161.2052371423</v>
      </c>
      <c r="AI67" s="11">
        <f>Commercial!AI72*Commercial!$B$35</f>
        <v>3818080.1494048163</v>
      </c>
      <c r="AJ67" s="11">
        <f>Commercial!AJ72*Commercial!$B$35</f>
        <v>4067265.7262118268</v>
      </c>
      <c r="AK67" s="11">
        <f>Commercial!AK72*Commercial!$B$35</f>
        <v>4332714.306742928</v>
      </c>
      <c r="AL67" s="11">
        <f>Commercial!AL72*Commercial!$B$35</f>
        <v>4615487.2898700684</v>
      </c>
      <c r="AM67" s="11">
        <f>Commercial!AM72*Commercial!$B$35</f>
        <v>4916715.3462666823</v>
      </c>
      <c r="AN67" s="11">
        <f>Commercial!AN72*Commercial!$B$35</f>
        <v>5237602.9394059535</v>
      </c>
      <c r="AO67" s="40">
        <f>Commercial!AO72*Commercial!$B$35</f>
        <v>5579433.1416203892</v>
      </c>
      <c r="AP67" s="40">
        <f>Commercial!AP72*Commercial!$B$35</f>
        <v>5943572.7644796846</v>
      </c>
      <c r="AQ67" s="40">
        <f>Commercial!AQ72*Commercial!$B$35</f>
        <v>6331477.8240008121</v>
      </c>
      <c r="AR67" s="40">
        <f>Commercial!AR72*Commercial!$B$35</f>
        <v>6744699.362542999</v>
      </c>
      <c r="AS67" s="40">
        <f>Commercial!AS72*Commercial!$B$35</f>
        <v>7184889.6506665079</v>
      </c>
      <c r="AT67" s="40">
        <f>Commercial!AT72*Commercial!$B$35</f>
        <v>7653808.7937534209</v>
      </c>
      <c r="AU67" s="40">
        <f>Commercial!AU72*Commercial!$B$35</f>
        <v>8153331.7698070602</v>
      </c>
      <c r="AV67" s="40">
        <f>Commercial!AV72*Commercial!$B$35</f>
        <v>8685455.9265707713</v>
      </c>
      <c r="AW67" s="40">
        <f>Commercial!AW72*Commercial!$B$35</f>
        <v>9252308.9679433554</v>
      </c>
      <c r="AX67" s="40">
        <f>Commercial!AX72*Commercial!$B$35</f>
        <v>9856157.4616249371</v>
      </c>
    </row>
    <row r="68" spans="1:50" x14ac:dyDescent="0.2">
      <c r="A68" s="6" t="s">
        <v>10</v>
      </c>
      <c r="B68" s="11">
        <f>Commercial!B73*Commercial!$B$35</f>
        <v>411.65984857394733</v>
      </c>
      <c r="C68" s="11">
        <f>Commercial!C73*Commercial!$B$35</f>
        <v>438.52667504200241</v>
      </c>
      <c r="D68" s="11">
        <f>Commercial!D73*Commercial!$B$35</f>
        <v>467.14695491816906</v>
      </c>
      <c r="E68" s="11">
        <f>Commercial!E73*Commercial!$B$35</f>
        <v>497.63512668508923</v>
      </c>
      <c r="F68" s="11">
        <f>Commercial!F73*Commercial!$B$35</f>
        <v>530.11309761028974</v>
      </c>
      <c r="G68" s="11">
        <f>Commercial!G73*Commercial!$B$35</f>
        <v>564.71073119363973</v>
      </c>
      <c r="H68" s="11">
        <f>Commercial!H73*Commercial!$B$35</f>
        <v>601.56636642788999</v>
      </c>
      <c r="I68" s="11">
        <f>Commercial!I73*Commercial!$B$35</f>
        <v>640.82737094855179</v>
      </c>
      <c r="J68" s="11">
        <f>Commercial!J73*Commercial!$B$35</f>
        <v>682.65073028489996</v>
      </c>
      <c r="K68" s="11">
        <f>Commercial!K73*Commercial!$B$35</f>
        <v>727.20367556822134</v>
      </c>
      <c r="L68" s="11">
        <f>Commercial!L73*Commercial!$B$35</f>
        <v>774.66435220721053</v>
      </c>
      <c r="M68" s="11">
        <f>Commercial!M73*Commercial!$B$35</f>
        <v>825.22253220421101</v>
      </c>
      <c r="N68" s="11">
        <f>Commercial!N73*Commercial!$B$35</f>
        <v>879.08037296051452</v>
      </c>
      <c r="O68" s="11">
        <f>Commercial!O73*Commercial!$B$35</f>
        <v>936.45322560480383</v>
      </c>
      <c r="P68" s="11">
        <f>Commercial!P73*Commercial!$B$35</f>
        <v>997.57049607684837</v>
      </c>
      <c r="Q68" s="11">
        <f>Commercial!Q73*Commercial!$B$35</f>
        <v>1062.676562409509</v>
      </c>
      <c r="R68" s="11">
        <f>Commercial!R73*Commercial!$B$35</f>
        <v>1132.0317518768081</v>
      </c>
      <c r="S68" s="11">
        <f>Commercial!S73*Commercial!$B$35</f>
        <v>1205.9133819152044</v>
      </c>
      <c r="T68" s="11">
        <f>Commercial!T73*Commercial!$B$35</f>
        <v>1284.6168689802091</v>
      </c>
      <c r="U68" s="11">
        <f>Commercial!U73*Commercial!$B$35</f>
        <v>1368.456909772111</v>
      </c>
      <c r="V68" s="11">
        <f>Commercial!V73*Commercial!$B$35</f>
        <v>1457.7687395539604</v>
      </c>
      <c r="W68" s="11">
        <f>Commercial!W73*Commercial!$B$35</f>
        <v>1552.90947259321</v>
      </c>
      <c r="X68" s="11">
        <f>Commercial!X73*Commercial!$B$35</f>
        <v>1654.2595300867731</v>
      </c>
      <c r="Y68" s="11">
        <f>Commercial!Y73*Commercial!$B$35</f>
        <v>1762.2241612790822</v>
      </c>
      <c r="Z68" s="11">
        <f>Commercial!Z73*Commercial!$B$35</f>
        <v>1877.2350638553492</v>
      </c>
      <c r="AA68" s="11">
        <f>Commercial!AA73*Commercial!$B$35</f>
        <v>1999.75211008919</v>
      </c>
      <c r="AB68" s="11">
        <f>Commercial!AB73*Commercial!$B$35</f>
        <v>2130.2651856466255</v>
      </c>
      <c r="AC68" s="11">
        <f>Commercial!AC73*Commercial!$B$35</f>
        <v>2269.2961483989388</v>
      </c>
      <c r="AD68" s="11">
        <f>Commercial!AD73*Commercial!$B$35</f>
        <v>2417.400915076732</v>
      </c>
      <c r="AE68" s="11">
        <f>Commercial!AE73*Commercial!$B$35</f>
        <v>2575.1716841086741</v>
      </c>
      <c r="AF68" s="11">
        <f>Commercial!AF73*Commercial!$B$35</f>
        <v>2743.2393035329897</v>
      </c>
      <c r="AG68" s="11">
        <f>Commercial!AG73*Commercial!$B$35</f>
        <v>2922.2757934498109</v>
      </c>
      <c r="AH68" s="11">
        <f>Commercial!AH73*Commercial!$B$35</f>
        <v>3112.9970331004415</v>
      </c>
      <c r="AI68" s="11">
        <f>Commercial!AI73*Commercial!$B$35</f>
        <v>3316.1656233178496</v>
      </c>
      <c r="AJ68" s="11">
        <f>Commercial!AJ73*Commercial!$B$35</f>
        <v>3532.5939357939119</v>
      </c>
      <c r="AK68" s="11">
        <f>Commercial!AK73*Commercial!$B$35</f>
        <v>3763.1473613559651</v>
      </c>
      <c r="AL68" s="11">
        <f>Commercial!AL73*Commercial!$B$35</f>
        <v>4008.7477702408969</v>
      </c>
      <c r="AM68" s="11">
        <f>Commercial!AM73*Commercial!$B$35</f>
        <v>4270.3771982027529</v>
      </c>
      <c r="AN68" s="11">
        <f>Commercial!AN73*Commercial!$B$35</f>
        <v>4549.0817731927609</v>
      </c>
      <c r="AO68" s="40">
        <f>Commercial!AO73*Commercial!$B$35</f>
        <v>4845.9758983126867</v>
      </c>
      <c r="AP68" s="40">
        <f>Commercial!AP73*Commercial!$B$35</f>
        <v>5162.2467077670563</v>
      </c>
      <c r="AQ68" s="40">
        <f>Commercial!AQ73*Commercial!$B$35</f>
        <v>5499.1588136314531</v>
      </c>
      <c r="AR68" s="40">
        <f>Commercial!AR73*Commercial!$B$35</f>
        <v>5858.059362416875</v>
      </c>
      <c r="AS68" s="40">
        <f>Commercial!AS73*Commercial!$B$35</f>
        <v>6240.3834216488722</v>
      </c>
      <c r="AT68" s="40">
        <f>Commercial!AT73*Commercial!$B$35</f>
        <v>6647.6597179997725</v>
      </c>
      <c r="AU68" s="40">
        <f>Commercial!AU73*Commercial!$B$35</f>
        <v>7081.5167499179552</v>
      </c>
      <c r="AV68" s="40">
        <f>Commercial!AV73*Commercial!$B$35</f>
        <v>7543.6892991956056</v>
      </c>
      <c r="AW68" s="40">
        <f>Commercial!AW73*Commercial!$B$35</f>
        <v>8036.0253675115009</v>
      </c>
      <c r="AX68" s="40">
        <f>Commercial!AX73*Commercial!$B$35</f>
        <v>8560.493565684681</v>
      </c>
    </row>
    <row r="69" spans="1:50" x14ac:dyDescent="0.2">
      <c r="A69" s="6" t="s">
        <v>44</v>
      </c>
      <c r="B69" s="11">
        <f>Commercial!B74*Commercial!$B$35</f>
        <v>751661.30592060986</v>
      </c>
      <c r="C69" s="11">
        <f>Commercial!C74*Commercial!$B$35</f>
        <v>800718.20068185136</v>
      </c>
      <c r="D69" s="11">
        <f>Commercial!D74*Commercial!$B$35</f>
        <v>852976.77538146381</v>
      </c>
      <c r="E69" s="11">
        <f>Commercial!E74*Commercial!$B$35</f>
        <v>908645.98646639788</v>
      </c>
      <c r="F69" s="11">
        <f>Commercial!F74*Commercial!$B$35</f>
        <v>967948.42784817482</v>
      </c>
      <c r="G69" s="11">
        <f>Commercial!G74*Commercial!$B$35</f>
        <v>1031121.2209469224</v>
      </c>
      <c r="H69" s="11">
        <f>Commercial!H74*Commercial!$B$35</f>
        <v>1098416.962823808</v>
      </c>
      <c r="I69" s="11">
        <f>Commercial!I74*Commercial!$B$35</f>
        <v>1170104.7361929771</v>
      </c>
      <c r="J69" s="11">
        <f>Commercial!J74*Commercial!$B$35</f>
        <v>1246471.1853515457</v>
      </c>
      <c r="K69" s="11">
        <f>Commercial!K74*Commercial!$B$35</f>
        <v>1327821.662329762</v>
      </c>
      <c r="L69" s="11">
        <f>Commercial!L74*Commercial!$B$35</f>
        <v>1414481.4478442341</v>
      </c>
      <c r="M69" s="11">
        <f>Commercial!M74*Commercial!$B$35</f>
        <v>1506797.0519362085</v>
      </c>
      <c r="N69" s="11">
        <f>Commercial!N74*Commercial!$B$35</f>
        <v>1605137.5994955252</v>
      </c>
      <c r="O69" s="11">
        <f>Commercial!O74*Commercial!$B$35</f>
        <v>1709896.3062102767</v>
      </c>
      <c r="P69" s="11">
        <f>Commercial!P74*Commercial!$B$35</f>
        <v>1821492.0508437683</v>
      </c>
      <c r="Q69" s="11">
        <f>Commercial!Q74*Commercial!$B$35</f>
        <v>1940371.0501255519</v>
      </c>
      <c r="R69" s="11">
        <f>Commercial!R74*Commercial!$B$35</f>
        <v>2067008.6429535956</v>
      </c>
      <c r="S69" s="11">
        <f>Commercial!S74*Commercial!$B$35</f>
        <v>2201911.1910417378</v>
      </c>
      <c r="T69" s="11">
        <f>Commercial!T74*Commercial!$B$35</f>
        <v>2345618.1036122032</v>
      </c>
      <c r="U69" s="11">
        <f>Commercial!U74*Commercial!$B$35</f>
        <v>2498703.9942289018</v>
      </c>
      <c r="V69" s="11">
        <f>Commercial!V74*Commercial!$B$35</f>
        <v>2661780.9783956618</v>
      </c>
      <c r="W69" s="11">
        <f>Commercial!W74*Commercial!$B$35</f>
        <v>2835501.1211063499</v>
      </c>
      <c r="X69" s="11">
        <f>Commercial!X74*Commercial!$B$35</f>
        <v>3020559.0441334383</v>
      </c>
      <c r="Y69" s="11">
        <f>Commercial!Y74*Commercial!$B$35</f>
        <v>3217694.7034802847</v>
      </c>
      <c r="Z69" s="11">
        <f>Commercial!Z74*Commercial!$B$35</f>
        <v>3427696.3481028015</v>
      </c>
      <c r="AA69" s="11">
        <f>Commercial!AA74*Commercial!$B$35</f>
        <v>3651403.6717309933</v>
      </c>
      <c r="AB69" s="11">
        <f>Commercial!AB74*Commercial!$B$35</f>
        <v>3889711.1703929491</v>
      </c>
      <c r="AC69" s="11">
        <f>Commercial!AC74*Commercial!$B$35</f>
        <v>4143571.7190663805</v>
      </c>
      <c r="AD69" s="11">
        <f>Commercial!AD74*Commercial!$B$35</f>
        <v>4414000.3817589963</v>
      </c>
      <c r="AE69" s="11">
        <f>Commercial!AE74*Commercial!$B$35</f>
        <v>4702078.4702523556</v>
      </c>
      <c r="AF69" s="11">
        <f>Commercial!AF74*Commercial!$B$35</f>
        <v>5008957.8677381072</v>
      </c>
      <c r="AG69" s="11">
        <f>Commercial!AG74*Commercial!$B$35</f>
        <v>5335865.6346347518</v>
      </c>
      <c r="AH69" s="11">
        <f>Commercial!AH74*Commercial!$B$35</f>
        <v>5684108.9150013067</v>
      </c>
      <c r="AI69" s="11">
        <f>Commercial!AI74*Commercial!$B$35</f>
        <v>6055080.1631662436</v>
      </c>
      <c r="AJ69" s="11">
        <f>Commercial!AJ74*Commercial!$B$35</f>
        <v>6450262.7114703869</v>
      </c>
      <c r="AK69" s="11">
        <f>Commercial!AK74*Commercial!$B$35</f>
        <v>6871236.701386516</v>
      </c>
      <c r="AL69" s="11">
        <f>Commercial!AL74*Commercial!$B$35</f>
        <v>7319685.4017312173</v>
      </c>
      <c r="AM69" s="11">
        <f>Commercial!AM74*Commercial!$B$35</f>
        <v>7797401.9392325524</v>
      </c>
      <c r="AN69" s="11">
        <f>Commercial!AN74*Commercial!$B$35</f>
        <v>8306296.4683656432</v>
      </c>
      <c r="AO69" s="40">
        <f>Commercial!AO74*Commercial!$B$35</f>
        <v>8848403.8091249485</v>
      </c>
      <c r="AP69" s="40">
        <f>Commercial!AP74*Commercial!$B$35</f>
        <v>9425891.5832728706</v>
      </c>
      <c r="AQ69" s="40">
        <f>Commercial!AQ74*Commercial!$B$35</f>
        <v>10041068.881597618</v>
      </c>
      <c r="AR69" s="40">
        <f>Commercial!AR74*Commercial!$B$35</f>
        <v>10696395.496836396</v>
      </c>
      <c r="AS69" s="40">
        <f>Commercial!AS74*Commercial!$B$35</f>
        <v>11394491.759181909</v>
      </c>
      <c r="AT69" s="40">
        <f>Commercial!AT74*Commercial!$B$35</f>
        <v>12138149.013699494</v>
      </c>
      <c r="AU69" s="40">
        <f>Commercial!AU74*Commercial!$B$35</f>
        <v>12930340.781549014</v>
      </c>
      <c r="AV69" s="40">
        <f>Commercial!AV74*Commercial!$B$35</f>
        <v>13774234.649639705</v>
      </c>
      <c r="AW69" s="40">
        <f>Commercial!AW74*Commercial!$B$35</f>
        <v>14673204.936258921</v>
      </c>
      <c r="AX69" s="40">
        <f>Commercial!AX74*Commercial!$B$35</f>
        <v>15630846.183318423</v>
      </c>
    </row>
    <row r="71" spans="1:50" x14ac:dyDescent="0.2">
      <c r="A71" s="5" t="s">
        <v>66</v>
      </c>
    </row>
    <row r="72" spans="1:50" x14ac:dyDescent="0.2">
      <c r="A72" s="5" t="s">
        <v>4</v>
      </c>
    </row>
    <row r="73" spans="1:50" x14ac:dyDescent="0.2">
      <c r="A73" s="5" t="s">
        <v>54</v>
      </c>
    </row>
    <row r="74" spans="1:50" x14ac:dyDescent="0.2">
      <c r="A74" s="5" t="s">
        <v>6</v>
      </c>
    </row>
    <row r="75" spans="1:50" x14ac:dyDescent="0.2">
      <c r="A75" s="5"/>
    </row>
    <row r="76" spans="1:50" x14ac:dyDescent="0.2">
      <c r="A76" s="6" t="s">
        <v>7</v>
      </c>
      <c r="B76" s="6">
        <v>2022</v>
      </c>
      <c r="C76" s="6">
        <v>2023</v>
      </c>
      <c r="D76" s="6">
        <v>2024</v>
      </c>
      <c r="E76" s="6">
        <v>2025</v>
      </c>
      <c r="F76" s="6">
        <v>2026</v>
      </c>
      <c r="G76" s="6">
        <v>2027</v>
      </c>
      <c r="H76" s="6">
        <v>2028</v>
      </c>
      <c r="I76" s="6">
        <v>2029</v>
      </c>
      <c r="J76" s="6">
        <v>2030</v>
      </c>
      <c r="K76" s="6">
        <v>2031</v>
      </c>
      <c r="L76" s="6">
        <v>2032</v>
      </c>
      <c r="M76" s="6">
        <v>2033</v>
      </c>
      <c r="N76" s="6">
        <v>2034</v>
      </c>
      <c r="O76" s="6">
        <v>2035</v>
      </c>
      <c r="P76" s="6">
        <v>2036</v>
      </c>
      <c r="Q76" s="6">
        <v>2037</v>
      </c>
      <c r="R76" s="6">
        <v>2038</v>
      </c>
      <c r="S76" s="6">
        <v>2039</v>
      </c>
      <c r="T76" s="6">
        <v>2040</v>
      </c>
      <c r="U76" s="6">
        <v>2041</v>
      </c>
      <c r="V76" s="6">
        <v>2042</v>
      </c>
      <c r="W76" s="6">
        <v>2043</v>
      </c>
      <c r="X76" s="6">
        <v>2044</v>
      </c>
      <c r="Y76" s="6">
        <v>2045</v>
      </c>
      <c r="Z76" s="6">
        <v>2046</v>
      </c>
      <c r="AA76" s="6">
        <v>2047</v>
      </c>
      <c r="AB76" s="6">
        <v>2048</v>
      </c>
      <c r="AC76" s="6">
        <v>2049</v>
      </c>
      <c r="AD76" s="6">
        <v>2050</v>
      </c>
      <c r="AE76" s="6">
        <v>2051</v>
      </c>
      <c r="AF76" s="6">
        <v>2052</v>
      </c>
      <c r="AG76" s="6">
        <v>2053</v>
      </c>
      <c r="AH76" s="6">
        <v>2054</v>
      </c>
      <c r="AI76" s="6">
        <v>2055</v>
      </c>
      <c r="AJ76" s="6">
        <v>2056</v>
      </c>
      <c r="AK76" s="6">
        <v>2057</v>
      </c>
      <c r="AL76" s="6">
        <v>2058</v>
      </c>
      <c r="AM76" s="6">
        <v>2059</v>
      </c>
      <c r="AN76" s="6">
        <v>2060</v>
      </c>
      <c r="AO76" s="39">
        <f>AN76+1</f>
        <v>2061</v>
      </c>
      <c r="AP76" s="39">
        <f t="shared" ref="AP76:AX76" si="4">AO76+1</f>
        <v>2062</v>
      </c>
      <c r="AQ76" s="39">
        <f t="shared" si="4"/>
        <v>2063</v>
      </c>
      <c r="AR76" s="39">
        <f t="shared" si="4"/>
        <v>2064</v>
      </c>
      <c r="AS76" s="39">
        <f t="shared" si="4"/>
        <v>2065</v>
      </c>
      <c r="AT76" s="39">
        <f t="shared" si="4"/>
        <v>2066</v>
      </c>
      <c r="AU76" s="39">
        <f t="shared" si="4"/>
        <v>2067</v>
      </c>
      <c r="AV76" s="39">
        <f t="shared" si="4"/>
        <v>2068</v>
      </c>
      <c r="AW76" s="39">
        <f>AV76+1</f>
        <v>2069</v>
      </c>
      <c r="AX76" s="39">
        <f t="shared" si="4"/>
        <v>2070</v>
      </c>
    </row>
    <row r="77" spans="1:50" x14ac:dyDescent="0.2">
      <c r="A77" s="6" t="s">
        <v>40</v>
      </c>
      <c r="B77" s="11">
        <f>Commercial!B82*Commercial!$B$5</f>
        <v>203446.51283227504</v>
      </c>
      <c r="C77" s="11">
        <f>Commercial!C82*Commercial!$B$5</f>
        <v>204142.18648276691</v>
      </c>
      <c r="D77" s="11">
        <f>Commercial!D82*Commercial!$B$5</f>
        <v>204837.86013325877</v>
      </c>
      <c r="E77" s="11">
        <f>Commercial!E82*Commercial!$B$5</f>
        <v>205533.53378375067</v>
      </c>
      <c r="F77" s="11">
        <f>Commercial!F82*Commercial!$B$5</f>
        <v>207394.45108538296</v>
      </c>
      <c r="G77" s="11">
        <f>Commercial!G82*Commercial!$B$5</f>
        <v>209255.36838701519</v>
      </c>
      <c r="H77" s="11">
        <f>Commercial!H82*Commercial!$B$5</f>
        <v>211116.28568864748</v>
      </c>
      <c r="I77" s="11">
        <f>Commercial!I82*Commercial!$B$5</f>
        <v>212977.20299027974</v>
      </c>
      <c r="J77" s="11">
        <f>Commercial!J82*Commercial!$B$5</f>
        <v>214838.12029191203</v>
      </c>
      <c r="K77" s="11">
        <f>Commercial!K82*Commercial!$B$5</f>
        <v>216401.14699761214</v>
      </c>
      <c r="L77" s="11">
        <f>Commercial!L82*Commercial!$B$5</f>
        <v>217964.17370331226</v>
      </c>
      <c r="M77" s="11">
        <f>Commercial!M82*Commercial!$B$5</f>
        <v>219527.20040901232</v>
      </c>
      <c r="N77" s="11">
        <f>Commercial!N82*Commercial!$B$5</f>
        <v>221090.22711471241</v>
      </c>
      <c r="O77" s="11">
        <f>Commercial!O82*Commercial!$B$5</f>
        <v>222653.25382041259</v>
      </c>
      <c r="P77" s="11">
        <f>Commercial!P82*Commercial!$B$5</f>
        <v>223914.94621060614</v>
      </c>
      <c r="Q77" s="11">
        <f>Commercial!Q82*Commercial!$B$5</f>
        <v>225176.63860079969</v>
      </c>
      <c r="R77" s="11">
        <f>Commercial!R82*Commercial!$B$5</f>
        <v>226438.3309909933</v>
      </c>
      <c r="S77" s="11">
        <f>Commercial!S82*Commercial!$B$5</f>
        <v>227700.02338118682</v>
      </c>
      <c r="T77" s="11">
        <f>Commercial!T82*Commercial!$B$5</f>
        <v>228961.71577138046</v>
      </c>
      <c r="U77" s="11">
        <f>Commercial!U82*Commercial!$B$5</f>
        <v>229928.68832543847</v>
      </c>
      <c r="V77" s="11">
        <f>Commercial!V82*Commercial!$B$5</f>
        <v>230895.66087949654</v>
      </c>
      <c r="W77" s="11">
        <f>Commercial!W82*Commercial!$B$5</f>
        <v>231862.63343355455</v>
      </c>
      <c r="X77" s="11">
        <f>Commercial!X82*Commercial!$B$5</f>
        <v>232829.60598761262</v>
      </c>
      <c r="Y77" s="11">
        <f>Commercial!Y82*Commercial!$B$5</f>
        <v>233796.57854167061</v>
      </c>
      <c r="Z77" s="11">
        <f>Commercial!Z82*Commercial!$B$5</f>
        <v>234480.77804510883</v>
      </c>
      <c r="AA77" s="11">
        <f>Commercial!AA82*Commercial!$B$5</f>
        <v>235164.97754854703</v>
      </c>
      <c r="AB77" s="11">
        <f>Commercial!AB82*Commercial!$B$5</f>
        <v>235849.1770519852</v>
      </c>
      <c r="AC77" s="11">
        <f>Commercial!AC82*Commercial!$B$5</f>
        <v>236533.3765554234</v>
      </c>
      <c r="AD77" s="11">
        <f>Commercial!AD82*Commercial!$B$5</f>
        <v>237217.5760588616</v>
      </c>
      <c r="AE77" s="11">
        <f>Commercial!AE82*Commercial!$B$5</f>
        <v>237217.5760588616</v>
      </c>
      <c r="AF77" s="11">
        <f>Commercial!AF82*Commercial!$B$5</f>
        <v>237217.5760588616</v>
      </c>
      <c r="AG77" s="11">
        <f>Commercial!AG82*Commercial!$B$5</f>
        <v>237217.5760588616</v>
      </c>
      <c r="AH77" s="11">
        <f>Commercial!AH82*Commercial!$B$5</f>
        <v>237217.5760588616</v>
      </c>
      <c r="AI77" s="11">
        <f>Commercial!AI82*Commercial!$B$5</f>
        <v>237217.5760588616</v>
      </c>
      <c r="AJ77" s="11">
        <f>Commercial!AJ82*Commercial!$B$5</f>
        <v>237217.5760588616</v>
      </c>
      <c r="AK77" s="11">
        <f>Commercial!AK82*Commercial!$B$5</f>
        <v>237217.5760588616</v>
      </c>
      <c r="AL77" s="11">
        <f>Commercial!AL82*Commercial!$B$5</f>
        <v>237217.5760588616</v>
      </c>
      <c r="AM77" s="11">
        <f>Commercial!AM82*Commercial!$B$5</f>
        <v>237217.5760588616</v>
      </c>
      <c r="AN77" s="11">
        <f>Commercial!AN82*Commercial!$B$5</f>
        <v>237217.5760588616</v>
      </c>
      <c r="AO77" s="40">
        <f>Commercial!AO82*Commercial!$B$5</f>
        <v>237217.5760588616</v>
      </c>
      <c r="AP77" s="40">
        <f>Commercial!AP82*Commercial!$B$5</f>
        <v>237217.5760588616</v>
      </c>
      <c r="AQ77" s="40">
        <f>Commercial!AQ82*Commercial!$B$5</f>
        <v>237217.5760588616</v>
      </c>
      <c r="AR77" s="40">
        <f>Commercial!AR82*Commercial!$B$5</f>
        <v>237217.5760588616</v>
      </c>
      <c r="AS77" s="40">
        <f>Commercial!AS82*Commercial!$B$5</f>
        <v>237217.5760588616</v>
      </c>
      <c r="AT77" s="40">
        <f>Commercial!AT82*Commercial!$B$5</f>
        <v>237217.5760588616</v>
      </c>
      <c r="AU77" s="40">
        <f>Commercial!AU82*Commercial!$B$5</f>
        <v>237217.5760588616</v>
      </c>
      <c r="AV77" s="40">
        <f>Commercial!AV82*Commercial!$B$5</f>
        <v>237217.5760588616</v>
      </c>
      <c r="AW77" s="40">
        <f>Commercial!AW82*Commercial!$B$5</f>
        <v>237217.5760588616</v>
      </c>
      <c r="AX77" s="40">
        <f>Commercial!AX82*Commercial!$B$5</f>
        <v>237217.5760588616</v>
      </c>
    </row>
    <row r="78" spans="1:50" x14ac:dyDescent="0.2">
      <c r="A78" s="6" t="s">
        <v>41</v>
      </c>
      <c r="B78" s="11">
        <f>Commercial!B83*Commercial!$B$5</f>
        <v>124278.01447660652</v>
      </c>
      <c r="C78" s="11">
        <f>Commercial!C83*Commercial!$B$5</f>
        <v>124702.97599992396</v>
      </c>
      <c r="D78" s="11">
        <f>Commercial!D83*Commercial!$B$5</f>
        <v>125127.9375232414</v>
      </c>
      <c r="E78" s="11">
        <f>Commercial!E83*Commercial!$B$5</f>
        <v>125552.89904655884</v>
      </c>
      <c r="F78" s="11">
        <f>Commercial!F83*Commercial!$B$5</f>
        <v>126689.66518785263</v>
      </c>
      <c r="G78" s="11">
        <f>Commercial!G83*Commercial!$B$5</f>
        <v>127826.43132914639</v>
      </c>
      <c r="H78" s="11">
        <f>Commercial!H83*Commercial!$B$5</f>
        <v>128963.19747044021</v>
      </c>
      <c r="I78" s="11">
        <f>Commercial!I83*Commercial!$B$5</f>
        <v>130099.96361173398</v>
      </c>
      <c r="J78" s="11">
        <f>Commercial!J83*Commercial!$B$5</f>
        <v>131236.72975302779</v>
      </c>
      <c r="K78" s="11">
        <f>Commercial!K83*Commercial!$B$5</f>
        <v>132191.52545266435</v>
      </c>
      <c r="L78" s="11">
        <f>Commercial!L83*Commercial!$B$5</f>
        <v>133146.32115230104</v>
      </c>
      <c r="M78" s="11">
        <f>Commercial!M83*Commercial!$B$5</f>
        <v>134101.11685193761</v>
      </c>
      <c r="N78" s="11">
        <f>Commercial!N83*Commercial!$B$5</f>
        <v>135055.91255157421</v>
      </c>
      <c r="O78" s="11">
        <f>Commercial!O83*Commercial!$B$5</f>
        <v>136010.70825121083</v>
      </c>
      <c r="P78" s="11">
        <f>Commercial!P83*Commercial!$B$5</f>
        <v>136781.42986718059</v>
      </c>
      <c r="Q78" s="11">
        <f>Commercial!Q83*Commercial!$B$5</f>
        <v>137552.15148315032</v>
      </c>
      <c r="R78" s="11">
        <f>Commercial!R83*Commercial!$B$5</f>
        <v>138322.87309912007</v>
      </c>
      <c r="S78" s="11">
        <f>Commercial!S83*Commercial!$B$5</f>
        <v>139093.59471508983</v>
      </c>
      <c r="T78" s="11">
        <f>Commercial!T83*Commercial!$B$5</f>
        <v>139864.31633105958</v>
      </c>
      <c r="U78" s="11">
        <f>Commercial!U83*Commercial!$B$5</f>
        <v>140455.00440626283</v>
      </c>
      <c r="V78" s="11">
        <f>Commercial!V83*Commercial!$B$5</f>
        <v>141045.69248146607</v>
      </c>
      <c r="W78" s="11">
        <f>Commercial!W83*Commercial!$B$5</f>
        <v>141636.38055666929</v>
      </c>
      <c r="X78" s="11">
        <f>Commercial!X83*Commercial!$B$5</f>
        <v>142227.06863187251</v>
      </c>
      <c r="Y78" s="11">
        <f>Commercial!Y83*Commercial!$B$5</f>
        <v>142817.75670707575</v>
      </c>
      <c r="Z78" s="11">
        <f>Commercial!Z83*Commercial!$B$5</f>
        <v>143235.70909470541</v>
      </c>
      <c r="AA78" s="11">
        <f>Commercial!AA83*Commercial!$B$5</f>
        <v>143653.66148233507</v>
      </c>
      <c r="AB78" s="11">
        <f>Commercial!AB83*Commercial!$B$5</f>
        <v>144071.61386996476</v>
      </c>
      <c r="AC78" s="11">
        <f>Commercial!AC83*Commercial!$B$5</f>
        <v>144489.56625759439</v>
      </c>
      <c r="AD78" s="11">
        <f>Commercial!AD83*Commercial!$B$5</f>
        <v>144907.51864522405</v>
      </c>
      <c r="AE78" s="11">
        <f>Commercial!AE83*Commercial!$B$5</f>
        <v>144907.51864522405</v>
      </c>
      <c r="AF78" s="11">
        <f>Commercial!AF83*Commercial!$B$5</f>
        <v>144907.51864522405</v>
      </c>
      <c r="AG78" s="11">
        <f>Commercial!AG83*Commercial!$B$5</f>
        <v>144907.51864522405</v>
      </c>
      <c r="AH78" s="11">
        <f>Commercial!AH83*Commercial!$B$5</f>
        <v>144907.51864522405</v>
      </c>
      <c r="AI78" s="11">
        <f>Commercial!AI83*Commercial!$B$5</f>
        <v>144907.51864522405</v>
      </c>
      <c r="AJ78" s="11">
        <f>Commercial!AJ83*Commercial!$B$5</f>
        <v>144907.51864522405</v>
      </c>
      <c r="AK78" s="11">
        <f>Commercial!AK83*Commercial!$B$5</f>
        <v>144907.51864522405</v>
      </c>
      <c r="AL78" s="11">
        <f>Commercial!AL83*Commercial!$B$5</f>
        <v>144907.51864522405</v>
      </c>
      <c r="AM78" s="11">
        <f>Commercial!AM83*Commercial!$B$5</f>
        <v>144907.51864522405</v>
      </c>
      <c r="AN78" s="11">
        <f>Commercial!AN83*Commercial!$B$5</f>
        <v>144907.51864522405</v>
      </c>
      <c r="AO78" s="40">
        <f>Commercial!AO83*Commercial!$B$5</f>
        <v>144907.51864522405</v>
      </c>
      <c r="AP78" s="40">
        <f>Commercial!AP83*Commercial!$B$5</f>
        <v>144907.51864522405</v>
      </c>
      <c r="AQ78" s="40">
        <f>Commercial!AQ83*Commercial!$B$5</f>
        <v>144907.51864522405</v>
      </c>
      <c r="AR78" s="40">
        <f>Commercial!AR83*Commercial!$B$5</f>
        <v>144907.51864522405</v>
      </c>
      <c r="AS78" s="40">
        <f>Commercial!AS83*Commercial!$B$5</f>
        <v>144907.51864522405</v>
      </c>
      <c r="AT78" s="40">
        <f>Commercial!AT83*Commercial!$B$5</f>
        <v>144907.51864522405</v>
      </c>
      <c r="AU78" s="40">
        <f>Commercial!AU83*Commercial!$B$5</f>
        <v>144907.51864522405</v>
      </c>
      <c r="AV78" s="40">
        <f>Commercial!AV83*Commercial!$B$5</f>
        <v>144907.51864522405</v>
      </c>
      <c r="AW78" s="40">
        <f>Commercial!AW83*Commercial!$B$5</f>
        <v>144907.51864522405</v>
      </c>
      <c r="AX78" s="40">
        <f>Commercial!AX83*Commercial!$B$5</f>
        <v>144907.51864522405</v>
      </c>
    </row>
    <row r="79" spans="1:50" x14ac:dyDescent="0.2">
      <c r="A79" s="6" t="s">
        <v>42</v>
      </c>
      <c r="B79" s="11">
        <f>Commercial!B84*Commercial!$B$5</f>
        <v>96502.490355330214</v>
      </c>
      <c r="C79" s="11">
        <f>Commercial!C84*Commercial!$B$5</f>
        <v>96832.47507127568</v>
      </c>
      <c r="D79" s="11">
        <f>Commercial!D84*Commercial!$B$5</f>
        <v>97162.459787221131</v>
      </c>
      <c r="E79" s="11">
        <f>Commercial!E84*Commercial!$B$5</f>
        <v>97492.444503166582</v>
      </c>
      <c r="F79" s="11">
        <f>Commercial!F84*Commercial!$B$5</f>
        <v>98375.149010866284</v>
      </c>
      <c r="G79" s="11">
        <f>Commercial!G84*Commercial!$B$5</f>
        <v>99257.853518565971</v>
      </c>
      <c r="H79" s="11">
        <f>Commercial!H84*Commercial!$B$5</f>
        <v>100140.55802626569</v>
      </c>
      <c r="I79" s="11">
        <f>Commercial!I84*Commercial!$B$5</f>
        <v>101023.2625339654</v>
      </c>
      <c r="J79" s="11">
        <f>Commercial!J84*Commercial!$B$5</f>
        <v>101905.96704166511</v>
      </c>
      <c r="K79" s="11">
        <f>Commercial!K84*Commercial!$B$5</f>
        <v>102647.37060514766</v>
      </c>
      <c r="L79" s="11">
        <f>Commercial!L84*Commercial!$B$5</f>
        <v>103388.77416863023</v>
      </c>
      <c r="M79" s="11">
        <f>Commercial!M84*Commercial!$B$5</f>
        <v>104130.17773211276</v>
      </c>
      <c r="N79" s="11">
        <f>Commercial!N84*Commercial!$B$5</f>
        <v>104871.58129559532</v>
      </c>
      <c r="O79" s="11">
        <f>Commercial!O84*Commercial!$B$5</f>
        <v>105612.9848590779</v>
      </c>
      <c r="P79" s="11">
        <f>Commercial!P84*Commercial!$B$5</f>
        <v>106211.45398996158</v>
      </c>
      <c r="Q79" s="11">
        <f>Commercial!Q84*Commercial!$B$5</f>
        <v>106809.92312084527</v>
      </c>
      <c r="R79" s="11">
        <f>Commercial!R84*Commercial!$B$5</f>
        <v>107408.39225172895</v>
      </c>
      <c r="S79" s="11">
        <f>Commercial!S84*Commercial!$B$5</f>
        <v>108006.86138261264</v>
      </c>
      <c r="T79" s="11">
        <f>Commercial!T84*Commercial!$B$5</f>
        <v>108605.33051349636</v>
      </c>
      <c r="U79" s="11">
        <f>Commercial!U84*Commercial!$B$5</f>
        <v>109064.00271324441</v>
      </c>
      <c r="V79" s="11">
        <f>Commercial!V84*Commercial!$B$5</f>
        <v>109522.67491299252</v>
      </c>
      <c r="W79" s="11">
        <f>Commercial!W84*Commercial!$B$5</f>
        <v>109981.34711274056</v>
      </c>
      <c r="X79" s="11">
        <f>Commercial!X84*Commercial!$B$5</f>
        <v>110440.01931248864</v>
      </c>
      <c r="Y79" s="11">
        <f>Commercial!Y84*Commercial!$B$5</f>
        <v>110898.69151223672</v>
      </c>
      <c r="Z79" s="11">
        <f>Commercial!Z84*Commercial!$B$5</f>
        <v>111223.23359979808</v>
      </c>
      <c r="AA79" s="11">
        <f>Commercial!AA84*Commercial!$B$5</f>
        <v>111547.77568735945</v>
      </c>
      <c r="AB79" s="11">
        <f>Commercial!AB84*Commercial!$B$5</f>
        <v>111872.31777492081</v>
      </c>
      <c r="AC79" s="11">
        <f>Commercial!AC84*Commercial!$B$5</f>
        <v>112196.85986248216</v>
      </c>
      <c r="AD79" s="11">
        <f>Commercial!AD84*Commercial!$B$5</f>
        <v>112521.40195004352</v>
      </c>
      <c r="AE79" s="11">
        <f>Commercial!AE84*Commercial!$B$5</f>
        <v>112521.40195004352</v>
      </c>
      <c r="AF79" s="11">
        <f>Commercial!AF84*Commercial!$B$5</f>
        <v>112521.40195004352</v>
      </c>
      <c r="AG79" s="11">
        <f>Commercial!AG84*Commercial!$B$5</f>
        <v>112521.40195004352</v>
      </c>
      <c r="AH79" s="11">
        <f>Commercial!AH84*Commercial!$B$5</f>
        <v>112521.40195004352</v>
      </c>
      <c r="AI79" s="11">
        <f>Commercial!AI84*Commercial!$B$5</f>
        <v>112521.40195004352</v>
      </c>
      <c r="AJ79" s="11">
        <f>Commercial!AJ84*Commercial!$B$5</f>
        <v>112521.40195004352</v>
      </c>
      <c r="AK79" s="11">
        <f>Commercial!AK84*Commercial!$B$5</f>
        <v>112521.40195004352</v>
      </c>
      <c r="AL79" s="11">
        <f>Commercial!AL84*Commercial!$B$5</f>
        <v>112521.40195004352</v>
      </c>
      <c r="AM79" s="11">
        <f>Commercial!AM84*Commercial!$B$5</f>
        <v>112521.40195004352</v>
      </c>
      <c r="AN79" s="11">
        <f>Commercial!AN84*Commercial!$B$5</f>
        <v>112521.40195004352</v>
      </c>
      <c r="AO79" s="40">
        <f>Commercial!AO84*Commercial!$B$5</f>
        <v>112521.40195004352</v>
      </c>
      <c r="AP79" s="40">
        <f>Commercial!AP84*Commercial!$B$5</f>
        <v>112521.40195004352</v>
      </c>
      <c r="AQ79" s="40">
        <f>Commercial!AQ84*Commercial!$B$5</f>
        <v>112521.40195004352</v>
      </c>
      <c r="AR79" s="40">
        <f>Commercial!AR84*Commercial!$B$5</f>
        <v>112521.40195004352</v>
      </c>
      <c r="AS79" s="40">
        <f>Commercial!AS84*Commercial!$B$5</f>
        <v>112521.40195004352</v>
      </c>
      <c r="AT79" s="40">
        <f>Commercial!AT84*Commercial!$B$5</f>
        <v>112521.40195004352</v>
      </c>
      <c r="AU79" s="40">
        <f>Commercial!AU84*Commercial!$B$5</f>
        <v>112521.40195004352</v>
      </c>
      <c r="AV79" s="40">
        <f>Commercial!AV84*Commercial!$B$5</f>
        <v>112521.40195004352</v>
      </c>
      <c r="AW79" s="40">
        <f>Commercial!AW84*Commercial!$B$5</f>
        <v>112521.40195004352</v>
      </c>
      <c r="AX79" s="40">
        <f>Commercial!AX84*Commercial!$B$5</f>
        <v>112521.40195004352</v>
      </c>
    </row>
    <row r="80" spans="1:50" x14ac:dyDescent="0.2">
      <c r="A80" s="6" t="s">
        <v>43</v>
      </c>
      <c r="B80" s="11">
        <f>Commercial!B85*Commercial!$B$5</f>
        <v>6767.6886961040746</v>
      </c>
      <c r="C80" s="11">
        <f>Commercial!C85*Commercial!$B$5</f>
        <v>6790.830418392984</v>
      </c>
      <c r="D80" s="11">
        <f>Commercial!D85*Commercial!$B$5</f>
        <v>6813.9721406818935</v>
      </c>
      <c r="E80" s="11">
        <f>Commercial!E85*Commercial!$B$5</f>
        <v>6837.1138629708021</v>
      </c>
      <c r="F80" s="11">
        <f>Commercial!F85*Commercial!$B$5</f>
        <v>6899.0176469743355</v>
      </c>
      <c r="G80" s="11">
        <f>Commercial!G85*Commercial!$B$5</f>
        <v>6960.9214309778663</v>
      </c>
      <c r="H80" s="11">
        <f>Commercial!H85*Commercial!$B$5</f>
        <v>7022.8252149814007</v>
      </c>
      <c r="I80" s="11">
        <f>Commercial!I85*Commercial!$B$5</f>
        <v>7084.7289989849351</v>
      </c>
      <c r="J80" s="11">
        <f>Commercial!J85*Commercial!$B$5</f>
        <v>7146.6327829884685</v>
      </c>
      <c r="K80" s="11">
        <f>Commercial!K85*Commercial!$B$5</f>
        <v>7198.6271770953654</v>
      </c>
      <c r="L80" s="11">
        <f>Commercial!L85*Commercial!$B$5</f>
        <v>7250.6215712022649</v>
      </c>
      <c r="M80" s="11">
        <f>Commercial!M85*Commercial!$B$5</f>
        <v>7302.6159653091618</v>
      </c>
      <c r="N80" s="11">
        <f>Commercial!N85*Commercial!$B$5</f>
        <v>7354.6103594160586</v>
      </c>
      <c r="O80" s="11">
        <f>Commercial!O85*Commercial!$B$5</f>
        <v>7406.6047535229591</v>
      </c>
      <c r="P80" s="11">
        <f>Commercial!P85*Commercial!$B$5</f>
        <v>7448.5752017169425</v>
      </c>
      <c r="Q80" s="11">
        <f>Commercial!Q85*Commercial!$B$5</f>
        <v>7490.5456499109241</v>
      </c>
      <c r="R80" s="11">
        <f>Commercial!R85*Commercial!$B$5</f>
        <v>7532.5160981049085</v>
      </c>
      <c r="S80" s="11">
        <f>Commercial!S85*Commercial!$B$5</f>
        <v>7574.4865462988919</v>
      </c>
      <c r="T80" s="11">
        <f>Commercial!T85*Commercial!$B$5</f>
        <v>7616.4569944928771</v>
      </c>
      <c r="U80" s="11">
        <f>Commercial!U85*Commercial!$B$5</f>
        <v>7648.6235287452291</v>
      </c>
      <c r="V80" s="11">
        <f>Commercial!V85*Commercial!$B$5</f>
        <v>7680.7900629975857</v>
      </c>
      <c r="W80" s="11">
        <f>Commercial!W85*Commercial!$B$5</f>
        <v>7712.9565972499386</v>
      </c>
      <c r="X80" s="11">
        <f>Commercial!X85*Commercial!$B$5</f>
        <v>7745.1231315022942</v>
      </c>
      <c r="Y80" s="11">
        <f>Commercial!Y85*Commercial!$B$5</f>
        <v>7777.2896657546489</v>
      </c>
      <c r="Z80" s="11">
        <f>Commercial!Z85*Commercial!$B$5</f>
        <v>7800.0496982606664</v>
      </c>
      <c r="AA80" s="11">
        <f>Commercial!AA85*Commercial!$B$5</f>
        <v>7822.8097307666858</v>
      </c>
      <c r="AB80" s="11">
        <f>Commercial!AB85*Commercial!$B$5</f>
        <v>7845.5697632727042</v>
      </c>
      <c r="AC80" s="11">
        <f>Commercial!AC85*Commercial!$B$5</f>
        <v>7868.3297957787217</v>
      </c>
      <c r="AD80" s="11">
        <f>Commercial!AD85*Commercial!$B$5</f>
        <v>7891.0898282847411</v>
      </c>
      <c r="AE80" s="11">
        <f>Commercial!AE85*Commercial!$B$5</f>
        <v>7891.0898282847411</v>
      </c>
      <c r="AF80" s="11">
        <f>Commercial!AF85*Commercial!$B$5</f>
        <v>7891.0898282847411</v>
      </c>
      <c r="AG80" s="11">
        <f>Commercial!AG85*Commercial!$B$5</f>
        <v>7891.0898282847411</v>
      </c>
      <c r="AH80" s="11">
        <f>Commercial!AH85*Commercial!$B$5</f>
        <v>7891.0898282847411</v>
      </c>
      <c r="AI80" s="11">
        <f>Commercial!AI85*Commercial!$B$5</f>
        <v>7891.0898282847411</v>
      </c>
      <c r="AJ80" s="11">
        <f>Commercial!AJ85*Commercial!$B$5</f>
        <v>7891.0898282847411</v>
      </c>
      <c r="AK80" s="11">
        <f>Commercial!AK85*Commercial!$B$5</f>
        <v>7891.0898282847411</v>
      </c>
      <c r="AL80" s="11">
        <f>Commercial!AL85*Commercial!$B$5</f>
        <v>7891.0898282847411</v>
      </c>
      <c r="AM80" s="11">
        <f>Commercial!AM85*Commercial!$B$5</f>
        <v>7891.0898282847411</v>
      </c>
      <c r="AN80" s="11">
        <f>Commercial!AN85*Commercial!$B$5</f>
        <v>7891.0898282847411</v>
      </c>
      <c r="AO80" s="40">
        <f>Commercial!AO85*Commercial!$B$5</f>
        <v>7891.0898282847411</v>
      </c>
      <c r="AP80" s="40">
        <f>Commercial!AP85*Commercial!$B$5</f>
        <v>7891.0898282847411</v>
      </c>
      <c r="AQ80" s="40">
        <f>Commercial!AQ85*Commercial!$B$5</f>
        <v>7891.0898282847411</v>
      </c>
      <c r="AR80" s="40">
        <f>Commercial!AR85*Commercial!$B$5</f>
        <v>7891.0898282847411</v>
      </c>
      <c r="AS80" s="40">
        <f>Commercial!AS85*Commercial!$B$5</f>
        <v>7891.0898282847411</v>
      </c>
      <c r="AT80" s="40">
        <f>Commercial!AT85*Commercial!$B$5</f>
        <v>7891.0898282847411</v>
      </c>
      <c r="AU80" s="40">
        <f>Commercial!AU85*Commercial!$B$5</f>
        <v>7891.0898282847411</v>
      </c>
      <c r="AV80" s="40">
        <f>Commercial!AV85*Commercial!$B$5</f>
        <v>7891.0898282847411</v>
      </c>
      <c r="AW80" s="40">
        <f>Commercial!AW85*Commercial!$B$5</f>
        <v>7891.0898282847411</v>
      </c>
      <c r="AX80" s="40">
        <f>Commercial!AX85*Commercial!$B$5</f>
        <v>7891.0898282847411</v>
      </c>
    </row>
    <row r="81" spans="1:50" x14ac:dyDescent="0.2">
      <c r="A81" s="6" t="s">
        <v>8</v>
      </c>
      <c r="B81" s="11">
        <f>Commercial!B86*Commercial!$B$5</f>
        <v>5175.8736849001398</v>
      </c>
      <c r="C81" s="11">
        <f>Commercial!C86*Commercial!$B$5</f>
        <v>5193.5722873029645</v>
      </c>
      <c r="D81" s="11">
        <f>Commercial!D86*Commercial!$B$5</f>
        <v>5211.2708897057873</v>
      </c>
      <c r="E81" s="11">
        <f>Commercial!E86*Commercial!$B$5</f>
        <v>5228.9694921086111</v>
      </c>
      <c r="F81" s="11">
        <f>Commercial!F86*Commercial!$B$5</f>
        <v>5276.3130064171337</v>
      </c>
      <c r="G81" s="11">
        <f>Commercial!G86*Commercial!$B$5</f>
        <v>5323.6565207256544</v>
      </c>
      <c r="H81" s="11">
        <f>Commercial!H86*Commercial!$B$5</f>
        <v>5371.0000350341779</v>
      </c>
      <c r="I81" s="11">
        <f>Commercial!I86*Commercial!$B$5</f>
        <v>5418.3435493427005</v>
      </c>
      <c r="J81" s="11">
        <f>Commercial!J86*Commercial!$B$5</f>
        <v>5465.6870636512231</v>
      </c>
      <c r="K81" s="11">
        <f>Commercial!K86*Commercial!$B$5</f>
        <v>5505.4519565570008</v>
      </c>
      <c r="L81" s="11">
        <f>Commercial!L86*Commercial!$B$5</f>
        <v>5545.2168494627804</v>
      </c>
      <c r="M81" s="11">
        <f>Commercial!M86*Commercial!$B$5</f>
        <v>5584.9817423685563</v>
      </c>
      <c r="N81" s="11">
        <f>Commercial!N86*Commercial!$B$5</f>
        <v>5624.746635274334</v>
      </c>
      <c r="O81" s="11">
        <f>Commercial!O86*Commercial!$B$5</f>
        <v>5664.5115281801118</v>
      </c>
      <c r="P81" s="11">
        <f>Commercial!P86*Commercial!$B$5</f>
        <v>5696.6101881666091</v>
      </c>
      <c r="Q81" s="11">
        <f>Commercial!Q86*Commercial!$B$5</f>
        <v>5728.7088481531064</v>
      </c>
      <c r="R81" s="11">
        <f>Commercial!R86*Commercial!$B$5</f>
        <v>5760.8075081396019</v>
      </c>
      <c r="S81" s="11">
        <f>Commercial!S86*Commercial!$B$5</f>
        <v>5792.9061681261001</v>
      </c>
      <c r="T81" s="11">
        <f>Commercial!T86*Commercial!$B$5</f>
        <v>5825.0048281125983</v>
      </c>
      <c r="U81" s="11">
        <f>Commercial!U86*Commercial!$B$5</f>
        <v>5849.6055338553188</v>
      </c>
      <c r="V81" s="11">
        <f>Commercial!V86*Commercial!$B$5</f>
        <v>5874.206239598042</v>
      </c>
      <c r="W81" s="11">
        <f>Commercial!W86*Commercial!$B$5</f>
        <v>5898.8069453407616</v>
      </c>
      <c r="X81" s="11">
        <f>Commercial!X86*Commercial!$B$5</f>
        <v>5923.407651083483</v>
      </c>
      <c r="Y81" s="11">
        <f>Commercial!Y86*Commercial!$B$5</f>
        <v>5948.0083568262053</v>
      </c>
      <c r="Z81" s="11">
        <f>Commercial!Z86*Commercial!$B$5</f>
        <v>5965.4150459641369</v>
      </c>
      <c r="AA81" s="11">
        <f>Commercial!AA86*Commercial!$B$5</f>
        <v>5982.8217351020676</v>
      </c>
      <c r="AB81" s="11">
        <f>Commercial!AB86*Commercial!$B$5</f>
        <v>6000.2284242399992</v>
      </c>
      <c r="AC81" s="11">
        <f>Commercial!AC86*Commercial!$B$5</f>
        <v>6017.635113377929</v>
      </c>
      <c r="AD81" s="11">
        <f>Commercial!AD86*Commercial!$B$5</f>
        <v>6035.0418025158615</v>
      </c>
      <c r="AE81" s="11">
        <f>Commercial!AE86*Commercial!$B$5</f>
        <v>6035.0418025158615</v>
      </c>
      <c r="AF81" s="11">
        <f>Commercial!AF86*Commercial!$B$5</f>
        <v>6035.0418025158615</v>
      </c>
      <c r="AG81" s="11">
        <f>Commercial!AG86*Commercial!$B$5</f>
        <v>6035.0418025158615</v>
      </c>
      <c r="AH81" s="11">
        <f>Commercial!AH86*Commercial!$B$5</f>
        <v>6035.0418025158615</v>
      </c>
      <c r="AI81" s="11">
        <f>Commercial!AI86*Commercial!$B$5</f>
        <v>6035.0418025158615</v>
      </c>
      <c r="AJ81" s="11">
        <f>Commercial!AJ86*Commercial!$B$5</f>
        <v>6035.0418025158615</v>
      </c>
      <c r="AK81" s="11">
        <f>Commercial!AK86*Commercial!$B$5</f>
        <v>6035.0418025158615</v>
      </c>
      <c r="AL81" s="11">
        <f>Commercial!AL86*Commercial!$B$5</f>
        <v>6035.0418025158615</v>
      </c>
      <c r="AM81" s="11">
        <f>Commercial!AM86*Commercial!$B$5</f>
        <v>6035.0418025158615</v>
      </c>
      <c r="AN81" s="11">
        <f>Commercial!AN86*Commercial!$B$5</f>
        <v>6035.0418025158615</v>
      </c>
      <c r="AO81" s="40">
        <f>Commercial!AO86*Commercial!$B$5</f>
        <v>6035.0418025158615</v>
      </c>
      <c r="AP81" s="40">
        <f>Commercial!AP86*Commercial!$B$5</f>
        <v>6035.0418025158615</v>
      </c>
      <c r="AQ81" s="40">
        <f>Commercial!AQ86*Commercial!$B$5</f>
        <v>6035.0418025158615</v>
      </c>
      <c r="AR81" s="40">
        <f>Commercial!AR86*Commercial!$B$5</f>
        <v>6035.0418025158615</v>
      </c>
      <c r="AS81" s="40">
        <f>Commercial!AS86*Commercial!$B$5</f>
        <v>6035.0418025158615</v>
      </c>
      <c r="AT81" s="40">
        <f>Commercial!AT86*Commercial!$B$5</f>
        <v>6035.0418025158615</v>
      </c>
      <c r="AU81" s="40">
        <f>Commercial!AU86*Commercial!$B$5</f>
        <v>6035.0418025158615</v>
      </c>
      <c r="AV81" s="40">
        <f>Commercial!AV86*Commercial!$B$5</f>
        <v>6035.0418025158615</v>
      </c>
      <c r="AW81" s="40">
        <f>Commercial!AW86*Commercial!$B$5</f>
        <v>6035.0418025158615</v>
      </c>
      <c r="AX81" s="40">
        <f>Commercial!AX86*Commercial!$B$5</f>
        <v>6035.0418025158615</v>
      </c>
    </row>
    <row r="82" spans="1:50" x14ac:dyDescent="0.2">
      <c r="A82" s="6" t="s">
        <v>9</v>
      </c>
      <c r="B82" s="11">
        <f>Commercial!B87*Commercial!$B$5</f>
        <v>53061.389567524959</v>
      </c>
      <c r="C82" s="11">
        <f>Commercial!C87*Commercial!$B$5</f>
        <v>53242.82993760908</v>
      </c>
      <c r="D82" s="11">
        <f>Commercial!D87*Commercial!$B$5</f>
        <v>53424.270307693208</v>
      </c>
      <c r="E82" s="11">
        <f>Commercial!E87*Commercial!$B$5</f>
        <v>53605.71067777733</v>
      </c>
      <c r="F82" s="11">
        <f>Commercial!F87*Commercial!$B$5</f>
        <v>54091.061134367672</v>
      </c>
      <c r="G82" s="11">
        <f>Commercial!G87*Commercial!$B$5</f>
        <v>54576.411590958</v>
      </c>
      <c r="H82" s="11">
        <f>Commercial!H87*Commercial!$B$5</f>
        <v>55061.762047548349</v>
      </c>
      <c r="I82" s="11">
        <f>Commercial!I87*Commercial!$B$5</f>
        <v>55547.112504138691</v>
      </c>
      <c r="J82" s="11">
        <f>Commercial!J87*Commercial!$B$5</f>
        <v>56032.462960729026</v>
      </c>
      <c r="K82" s="11">
        <f>Commercial!K87*Commercial!$B$5</f>
        <v>56440.119832213342</v>
      </c>
      <c r="L82" s="11">
        <f>Commercial!L87*Commercial!$B$5</f>
        <v>56847.776703697658</v>
      </c>
      <c r="M82" s="11">
        <f>Commercial!M87*Commercial!$B$5</f>
        <v>57255.433575181967</v>
      </c>
      <c r="N82" s="11">
        <f>Commercial!N87*Commercial!$B$5</f>
        <v>57663.090446666283</v>
      </c>
      <c r="O82" s="11">
        <f>Commercial!O87*Commercial!$B$5</f>
        <v>58070.747318150607</v>
      </c>
      <c r="P82" s="11">
        <f>Commercial!P87*Commercial!$B$5</f>
        <v>58399.812439486137</v>
      </c>
      <c r="Q82" s="11">
        <f>Commercial!Q87*Commercial!$B$5</f>
        <v>58728.877560821653</v>
      </c>
      <c r="R82" s="11">
        <f>Commercial!R87*Commercial!$B$5</f>
        <v>59057.942682157191</v>
      </c>
      <c r="S82" s="11">
        <f>Commercial!S87*Commercial!$B$5</f>
        <v>59387.007803492721</v>
      </c>
      <c r="T82" s="11">
        <f>Commercial!T87*Commercial!$B$5</f>
        <v>59716.072924828259</v>
      </c>
      <c r="U82" s="11">
        <f>Commercial!U87*Commercial!$B$5</f>
        <v>59968.271434783921</v>
      </c>
      <c r="V82" s="11">
        <f>Commercial!V87*Commercial!$B$5</f>
        <v>60220.469944739612</v>
      </c>
      <c r="W82" s="11">
        <f>Commercial!W87*Commercial!$B$5</f>
        <v>60472.668454695267</v>
      </c>
      <c r="X82" s="11">
        <f>Commercial!X87*Commercial!$B$5</f>
        <v>60724.866964650959</v>
      </c>
      <c r="Y82" s="11">
        <f>Commercial!Y87*Commercial!$B$5</f>
        <v>60977.065474606636</v>
      </c>
      <c r="Z82" s="11">
        <f>Commercial!Z87*Commercial!$B$5</f>
        <v>61155.513243941321</v>
      </c>
      <c r="AA82" s="11">
        <f>Commercial!AA87*Commercial!$B$5</f>
        <v>61333.961013276014</v>
      </c>
      <c r="AB82" s="11">
        <f>Commercial!AB87*Commercial!$B$5</f>
        <v>61512.408782610706</v>
      </c>
      <c r="AC82" s="11">
        <f>Commercial!AC87*Commercial!$B$5</f>
        <v>61690.856551945391</v>
      </c>
      <c r="AD82" s="11">
        <f>Commercial!AD87*Commercial!$B$5</f>
        <v>61869.304321280091</v>
      </c>
      <c r="AE82" s="11">
        <f>Commercial!AE87*Commercial!$B$5</f>
        <v>61869.304321280091</v>
      </c>
      <c r="AF82" s="11">
        <f>Commercial!AF87*Commercial!$B$5</f>
        <v>61869.304321280091</v>
      </c>
      <c r="AG82" s="11">
        <f>Commercial!AG87*Commercial!$B$5</f>
        <v>61869.304321280091</v>
      </c>
      <c r="AH82" s="11">
        <f>Commercial!AH87*Commercial!$B$5</f>
        <v>61869.304321280091</v>
      </c>
      <c r="AI82" s="11">
        <f>Commercial!AI87*Commercial!$B$5</f>
        <v>61869.304321280091</v>
      </c>
      <c r="AJ82" s="11">
        <f>Commercial!AJ87*Commercial!$B$5</f>
        <v>61869.304321280091</v>
      </c>
      <c r="AK82" s="11">
        <f>Commercial!AK87*Commercial!$B$5</f>
        <v>61869.304321280091</v>
      </c>
      <c r="AL82" s="11">
        <f>Commercial!AL87*Commercial!$B$5</f>
        <v>61869.304321280091</v>
      </c>
      <c r="AM82" s="11">
        <f>Commercial!AM87*Commercial!$B$5</f>
        <v>61869.304321280091</v>
      </c>
      <c r="AN82" s="11">
        <f>Commercial!AN87*Commercial!$B$5</f>
        <v>61869.304321280091</v>
      </c>
      <c r="AO82" s="40">
        <f>Commercial!AO87*Commercial!$B$5</f>
        <v>61869.304321280091</v>
      </c>
      <c r="AP82" s="40">
        <f>Commercial!AP87*Commercial!$B$5</f>
        <v>61869.304321280091</v>
      </c>
      <c r="AQ82" s="40">
        <f>Commercial!AQ87*Commercial!$B$5</f>
        <v>61869.304321280091</v>
      </c>
      <c r="AR82" s="40">
        <f>Commercial!AR87*Commercial!$B$5</f>
        <v>61869.304321280091</v>
      </c>
      <c r="AS82" s="40">
        <f>Commercial!AS87*Commercial!$B$5</f>
        <v>61869.304321280091</v>
      </c>
      <c r="AT82" s="40">
        <f>Commercial!AT87*Commercial!$B$5</f>
        <v>61869.304321280091</v>
      </c>
      <c r="AU82" s="40">
        <f>Commercial!AU87*Commercial!$B$5</f>
        <v>61869.304321280091</v>
      </c>
      <c r="AV82" s="40">
        <f>Commercial!AV87*Commercial!$B$5</f>
        <v>61869.304321280091</v>
      </c>
      <c r="AW82" s="40">
        <f>Commercial!AW87*Commercial!$B$5</f>
        <v>61869.304321280091</v>
      </c>
      <c r="AX82" s="40">
        <f>Commercial!AX87*Commercial!$B$5</f>
        <v>61869.304321280091</v>
      </c>
    </row>
    <row r="83" spans="1:50" x14ac:dyDescent="0.2">
      <c r="A83" s="6" t="s">
        <v>10</v>
      </c>
      <c r="B83" s="11">
        <f>Commercial!B88*Commercial!$B$5</f>
        <v>46.086082307208905</v>
      </c>
      <c r="C83" s="11">
        <f>Commercial!C88*Commercial!$B$5</f>
        <v>46.243671015263864</v>
      </c>
      <c r="D83" s="11">
        <f>Commercial!D88*Commercial!$B$5</f>
        <v>46.40125972331883</v>
      </c>
      <c r="E83" s="11">
        <f>Commercial!E88*Commercial!$B$5</f>
        <v>46.558848431373796</v>
      </c>
      <c r="F83" s="11">
        <f>Commercial!F88*Commercial!$B$5</f>
        <v>46.980396025068053</v>
      </c>
      <c r="G83" s="11">
        <f>Commercial!G88*Commercial!$B$5</f>
        <v>47.401943618762303</v>
      </c>
      <c r="H83" s="11">
        <f>Commercial!H88*Commercial!$B$5</f>
        <v>47.82349121245656</v>
      </c>
      <c r="I83" s="11">
        <f>Commercial!I88*Commercial!$B$5</f>
        <v>48.245038806150831</v>
      </c>
      <c r="J83" s="11">
        <f>Commercial!J88*Commercial!$B$5</f>
        <v>48.666586399845087</v>
      </c>
      <c r="K83" s="11">
        <f>Commercial!K88*Commercial!$B$5</f>
        <v>49.020653797729892</v>
      </c>
      <c r="L83" s="11">
        <f>Commercial!L88*Commercial!$B$5</f>
        <v>49.374721195614704</v>
      </c>
      <c r="M83" s="11">
        <f>Commercial!M88*Commercial!$B$5</f>
        <v>49.728788593499495</v>
      </c>
      <c r="N83" s="11">
        <f>Commercial!N88*Commercial!$B$5</f>
        <v>50.082855991384299</v>
      </c>
      <c r="O83" s="11">
        <f>Commercial!O88*Commercial!$B$5</f>
        <v>50.436923389269111</v>
      </c>
      <c r="P83" s="11">
        <f>Commercial!P88*Commercial!$B$5</f>
        <v>50.722730496657462</v>
      </c>
      <c r="Q83" s="11">
        <f>Commercial!Q88*Commercial!$B$5</f>
        <v>51.008537604045813</v>
      </c>
      <c r="R83" s="11">
        <f>Commercial!R88*Commercial!$B$5</f>
        <v>51.294344711434171</v>
      </c>
      <c r="S83" s="11">
        <f>Commercial!S88*Commercial!$B$5</f>
        <v>51.580151818822522</v>
      </c>
      <c r="T83" s="11">
        <f>Commercial!T88*Commercial!$B$5</f>
        <v>51.86595892621088</v>
      </c>
      <c r="U83" s="11">
        <f>Commercial!U88*Commercial!$B$5</f>
        <v>52.085004099778786</v>
      </c>
      <c r="V83" s="11">
        <f>Commercial!V88*Commercial!$B$5</f>
        <v>52.304049273346699</v>
      </c>
      <c r="W83" s="11">
        <f>Commercial!W88*Commercial!$B$5</f>
        <v>52.523094446914591</v>
      </c>
      <c r="X83" s="11">
        <f>Commercial!X88*Commercial!$B$5</f>
        <v>52.742139620482497</v>
      </c>
      <c r="Y83" s="11">
        <f>Commercial!Y88*Commercial!$B$5</f>
        <v>52.961184794050403</v>
      </c>
      <c r="Z83" s="11">
        <f>Commercial!Z88*Commercial!$B$5</f>
        <v>53.116174300584731</v>
      </c>
      <c r="AA83" s="11">
        <f>Commercial!AA88*Commercial!$B$5</f>
        <v>53.271163807119059</v>
      </c>
      <c r="AB83" s="11">
        <f>Commercial!AB88*Commercial!$B$5</f>
        <v>53.426153313653394</v>
      </c>
      <c r="AC83" s="11">
        <f>Commercial!AC88*Commercial!$B$5</f>
        <v>53.581142820187708</v>
      </c>
      <c r="AD83" s="11">
        <f>Commercial!AD88*Commercial!$B$5</f>
        <v>53.736132326722043</v>
      </c>
      <c r="AE83" s="11">
        <f>Commercial!AE88*Commercial!$B$5</f>
        <v>53.736132326722043</v>
      </c>
      <c r="AF83" s="11">
        <f>Commercial!AF88*Commercial!$B$5</f>
        <v>53.736132326722043</v>
      </c>
      <c r="AG83" s="11">
        <f>Commercial!AG88*Commercial!$B$5</f>
        <v>53.736132326722043</v>
      </c>
      <c r="AH83" s="11">
        <f>Commercial!AH88*Commercial!$B$5</f>
        <v>53.736132326722043</v>
      </c>
      <c r="AI83" s="11">
        <f>Commercial!AI88*Commercial!$B$5</f>
        <v>53.736132326722043</v>
      </c>
      <c r="AJ83" s="11">
        <f>Commercial!AJ88*Commercial!$B$5</f>
        <v>53.736132326722043</v>
      </c>
      <c r="AK83" s="11">
        <f>Commercial!AK88*Commercial!$B$5</f>
        <v>53.736132326722043</v>
      </c>
      <c r="AL83" s="11">
        <f>Commercial!AL88*Commercial!$B$5</f>
        <v>53.736132326722043</v>
      </c>
      <c r="AM83" s="11">
        <f>Commercial!AM88*Commercial!$B$5</f>
        <v>53.736132326722043</v>
      </c>
      <c r="AN83" s="11">
        <f>Commercial!AN88*Commercial!$B$5</f>
        <v>53.736132326722043</v>
      </c>
      <c r="AO83" s="40">
        <f>Commercial!AO88*Commercial!$B$5</f>
        <v>53.736132326722043</v>
      </c>
      <c r="AP83" s="40">
        <f>Commercial!AP88*Commercial!$B$5</f>
        <v>53.736132326722043</v>
      </c>
      <c r="AQ83" s="40">
        <f>Commercial!AQ88*Commercial!$B$5</f>
        <v>53.736132326722043</v>
      </c>
      <c r="AR83" s="40">
        <f>Commercial!AR88*Commercial!$B$5</f>
        <v>53.736132326722043</v>
      </c>
      <c r="AS83" s="40">
        <f>Commercial!AS88*Commercial!$B$5</f>
        <v>53.736132326722043</v>
      </c>
      <c r="AT83" s="40">
        <f>Commercial!AT88*Commercial!$B$5</f>
        <v>53.736132326722043</v>
      </c>
      <c r="AU83" s="40">
        <f>Commercial!AU88*Commercial!$B$5</f>
        <v>53.736132326722043</v>
      </c>
      <c r="AV83" s="40">
        <f>Commercial!AV88*Commercial!$B$5</f>
        <v>53.736132326722043</v>
      </c>
      <c r="AW83" s="40">
        <f>Commercial!AW88*Commercial!$B$5</f>
        <v>53.736132326722043</v>
      </c>
      <c r="AX83" s="40">
        <f>Commercial!AX88*Commercial!$B$5</f>
        <v>53.736132326722043</v>
      </c>
    </row>
    <row r="84" spans="1:50" x14ac:dyDescent="0.2">
      <c r="A84" s="6" t="s">
        <v>44</v>
      </c>
      <c r="B84" s="11">
        <f>Commercial!B89*Commercial!$B$5</f>
        <v>84149.875013724013</v>
      </c>
      <c r="C84" s="11">
        <f>Commercial!C89*Commercial!$B$5</f>
        <v>84437.620671903453</v>
      </c>
      <c r="D84" s="11">
        <f>Commercial!D89*Commercial!$B$5</f>
        <v>84725.366330082878</v>
      </c>
      <c r="E84" s="11">
        <f>Commercial!E89*Commercial!$B$5</f>
        <v>85013.111988262302</v>
      </c>
      <c r="F84" s="11">
        <f>Commercial!F89*Commercial!$B$5</f>
        <v>85782.827606206236</v>
      </c>
      <c r="G84" s="11">
        <f>Commercial!G89*Commercial!$B$5</f>
        <v>86552.543224150155</v>
      </c>
      <c r="H84" s="11">
        <f>Commercial!H89*Commercial!$B$5</f>
        <v>87322.258842094088</v>
      </c>
      <c r="I84" s="11">
        <f>Commercial!I89*Commercial!$B$5</f>
        <v>88091.974460038022</v>
      </c>
      <c r="J84" s="11">
        <f>Commercial!J89*Commercial!$B$5</f>
        <v>88861.690077981941</v>
      </c>
      <c r="K84" s="11">
        <f>Commercial!K89*Commercial!$B$5</f>
        <v>89508.191706821424</v>
      </c>
      <c r="L84" s="11">
        <f>Commercial!L89*Commercial!$B$5</f>
        <v>90154.693335660908</v>
      </c>
      <c r="M84" s="11">
        <f>Commercial!M89*Commercial!$B$5</f>
        <v>90801.194964500362</v>
      </c>
      <c r="N84" s="11">
        <f>Commercial!N89*Commercial!$B$5</f>
        <v>91447.696593339846</v>
      </c>
      <c r="O84" s="11">
        <f>Commercial!O89*Commercial!$B$5</f>
        <v>92094.19822217933</v>
      </c>
      <c r="P84" s="11">
        <f>Commercial!P89*Commercial!$B$5</f>
        <v>92616.061465065606</v>
      </c>
      <c r="Q84" s="11">
        <f>Commercial!Q89*Commercial!$B$5</f>
        <v>93137.924707951883</v>
      </c>
      <c r="R84" s="11">
        <f>Commercial!R89*Commercial!$B$5</f>
        <v>93659.787950838159</v>
      </c>
      <c r="S84" s="11">
        <f>Commercial!S89*Commercial!$B$5</f>
        <v>94181.65119372445</v>
      </c>
      <c r="T84" s="11">
        <f>Commercial!T89*Commercial!$B$5</f>
        <v>94703.514436610727</v>
      </c>
      <c r="U84" s="11">
        <f>Commercial!U89*Commercial!$B$5</f>
        <v>95103.475185177449</v>
      </c>
      <c r="V84" s="11">
        <f>Commercial!V89*Commercial!$B$5</f>
        <v>95503.435933744186</v>
      </c>
      <c r="W84" s="11">
        <f>Commercial!W89*Commercial!$B$5</f>
        <v>95903.396682310864</v>
      </c>
      <c r="X84" s="11">
        <f>Commercial!X89*Commercial!$B$5</f>
        <v>96303.357430877615</v>
      </c>
      <c r="Y84" s="11">
        <f>Commercial!Y89*Commercial!$B$5</f>
        <v>96703.318179444323</v>
      </c>
      <c r="Z84" s="11">
        <f>Commercial!Z89*Commercial!$B$5</f>
        <v>96986.317882399395</v>
      </c>
      <c r="AA84" s="11">
        <f>Commercial!AA89*Commercial!$B$5</f>
        <v>97269.317585354423</v>
      </c>
      <c r="AB84" s="11">
        <f>Commercial!AB89*Commercial!$B$5</f>
        <v>97552.317288309496</v>
      </c>
      <c r="AC84" s="11">
        <f>Commercial!AC89*Commercial!$B$5</f>
        <v>97835.316991264554</v>
      </c>
      <c r="AD84" s="11">
        <f>Commercial!AD89*Commercial!$B$5</f>
        <v>98118.316694219611</v>
      </c>
      <c r="AE84" s="11">
        <f>Commercial!AE89*Commercial!$B$5</f>
        <v>98118.316694219611</v>
      </c>
      <c r="AF84" s="11">
        <f>Commercial!AF89*Commercial!$B$5</f>
        <v>98118.316694219611</v>
      </c>
      <c r="AG84" s="11">
        <f>Commercial!AG89*Commercial!$B$5</f>
        <v>98118.316694219611</v>
      </c>
      <c r="AH84" s="11">
        <f>Commercial!AH89*Commercial!$B$5</f>
        <v>98118.316694219611</v>
      </c>
      <c r="AI84" s="11">
        <f>Commercial!AI89*Commercial!$B$5</f>
        <v>98118.316694219611</v>
      </c>
      <c r="AJ84" s="11">
        <f>Commercial!AJ89*Commercial!$B$5</f>
        <v>98118.316694219611</v>
      </c>
      <c r="AK84" s="11">
        <f>Commercial!AK89*Commercial!$B$5</f>
        <v>98118.316694219611</v>
      </c>
      <c r="AL84" s="11">
        <f>Commercial!AL89*Commercial!$B$5</f>
        <v>98118.316694219611</v>
      </c>
      <c r="AM84" s="11">
        <f>Commercial!AM89*Commercial!$B$5</f>
        <v>98118.316694219611</v>
      </c>
      <c r="AN84" s="11">
        <f>Commercial!AN89*Commercial!$B$5</f>
        <v>98118.316694219611</v>
      </c>
      <c r="AO84" s="40">
        <f>Commercial!AO89*Commercial!$B$5</f>
        <v>98118.316694219611</v>
      </c>
      <c r="AP84" s="40">
        <f>Commercial!AP89*Commercial!$B$5</f>
        <v>98118.316694219611</v>
      </c>
      <c r="AQ84" s="40">
        <f>Commercial!AQ89*Commercial!$B$5</f>
        <v>98118.316694219611</v>
      </c>
      <c r="AR84" s="40">
        <f>Commercial!AR89*Commercial!$B$5</f>
        <v>98118.316694219611</v>
      </c>
      <c r="AS84" s="40">
        <f>Commercial!AS89*Commercial!$B$5</f>
        <v>98118.316694219611</v>
      </c>
      <c r="AT84" s="40">
        <f>Commercial!AT89*Commercial!$B$5</f>
        <v>98118.316694219611</v>
      </c>
      <c r="AU84" s="40">
        <f>Commercial!AU89*Commercial!$B$5</f>
        <v>98118.316694219611</v>
      </c>
      <c r="AV84" s="40">
        <f>Commercial!AV89*Commercial!$B$5</f>
        <v>98118.316694219611</v>
      </c>
      <c r="AW84" s="40">
        <f>Commercial!AW89*Commercial!$B$5</f>
        <v>98118.316694219611</v>
      </c>
      <c r="AX84" s="40">
        <f>Commercial!AX89*Commercial!$B$5</f>
        <v>98118.316694219611</v>
      </c>
    </row>
    <row r="86" spans="1:50" x14ac:dyDescent="0.2">
      <c r="A86" s="5" t="s">
        <v>66</v>
      </c>
    </row>
    <row r="87" spans="1:50" x14ac:dyDescent="0.2">
      <c r="A87" s="5" t="s">
        <v>4</v>
      </c>
    </row>
    <row r="88" spans="1:50" x14ac:dyDescent="0.2">
      <c r="A88" s="5" t="s">
        <v>56</v>
      </c>
    </row>
    <row r="89" spans="1:50" x14ac:dyDescent="0.2">
      <c r="A89" s="5" t="s">
        <v>6</v>
      </c>
    </row>
    <row r="90" spans="1:50" x14ac:dyDescent="0.2">
      <c r="A90" s="5"/>
    </row>
    <row r="91" spans="1:50" x14ac:dyDescent="0.2">
      <c r="A91" s="6" t="s">
        <v>7</v>
      </c>
      <c r="B91" s="6">
        <v>2022</v>
      </c>
      <c r="C91" s="6">
        <v>2023</v>
      </c>
      <c r="D91" s="6">
        <v>2024</v>
      </c>
      <c r="E91" s="6">
        <v>2025</v>
      </c>
      <c r="F91" s="6">
        <v>2026</v>
      </c>
      <c r="G91" s="6">
        <v>2027</v>
      </c>
      <c r="H91" s="6">
        <v>2028</v>
      </c>
      <c r="I91" s="6">
        <v>2029</v>
      </c>
      <c r="J91" s="6">
        <v>2030</v>
      </c>
      <c r="K91" s="6">
        <v>2031</v>
      </c>
      <c r="L91" s="6">
        <v>2032</v>
      </c>
      <c r="M91" s="6">
        <v>2033</v>
      </c>
      <c r="N91" s="6">
        <v>2034</v>
      </c>
      <c r="O91" s="6">
        <v>2035</v>
      </c>
      <c r="P91" s="6">
        <v>2036</v>
      </c>
      <c r="Q91" s="6">
        <v>2037</v>
      </c>
      <c r="R91" s="6">
        <v>2038</v>
      </c>
      <c r="S91" s="6">
        <v>2039</v>
      </c>
      <c r="T91" s="6">
        <v>2040</v>
      </c>
      <c r="U91" s="6">
        <v>2041</v>
      </c>
      <c r="V91" s="6">
        <v>2042</v>
      </c>
      <c r="W91" s="6">
        <v>2043</v>
      </c>
      <c r="X91" s="6">
        <v>2044</v>
      </c>
      <c r="Y91" s="6">
        <v>2045</v>
      </c>
      <c r="Z91" s="6">
        <v>2046</v>
      </c>
      <c r="AA91" s="6">
        <v>2047</v>
      </c>
      <c r="AB91" s="6">
        <v>2048</v>
      </c>
      <c r="AC91" s="6">
        <v>2049</v>
      </c>
      <c r="AD91" s="6">
        <v>2050</v>
      </c>
      <c r="AE91" s="6">
        <v>2051</v>
      </c>
      <c r="AF91" s="6">
        <v>2052</v>
      </c>
      <c r="AG91" s="6">
        <v>2053</v>
      </c>
      <c r="AH91" s="6">
        <v>2054</v>
      </c>
      <c r="AI91" s="6">
        <v>2055</v>
      </c>
      <c r="AJ91" s="6">
        <v>2056</v>
      </c>
      <c r="AK91" s="6">
        <v>2057</v>
      </c>
      <c r="AL91" s="6">
        <v>2058</v>
      </c>
      <c r="AM91" s="6">
        <v>2059</v>
      </c>
      <c r="AN91" s="6">
        <v>2060</v>
      </c>
      <c r="AO91" s="39">
        <f>AN91+1</f>
        <v>2061</v>
      </c>
      <c r="AP91" s="39">
        <f t="shared" ref="AP91:AX91" si="5">AO91+1</f>
        <v>2062</v>
      </c>
      <c r="AQ91" s="39">
        <f t="shared" si="5"/>
        <v>2063</v>
      </c>
      <c r="AR91" s="39">
        <f t="shared" si="5"/>
        <v>2064</v>
      </c>
      <c r="AS91" s="39">
        <f t="shared" si="5"/>
        <v>2065</v>
      </c>
      <c r="AT91" s="39">
        <f t="shared" si="5"/>
        <v>2066</v>
      </c>
      <c r="AU91" s="39">
        <f t="shared" si="5"/>
        <v>2067</v>
      </c>
      <c r="AV91" s="39">
        <f t="shared" si="5"/>
        <v>2068</v>
      </c>
      <c r="AW91" s="39">
        <f>AV91+1</f>
        <v>2069</v>
      </c>
      <c r="AX91" s="39">
        <f t="shared" si="5"/>
        <v>2070</v>
      </c>
    </row>
    <row r="92" spans="1:50" x14ac:dyDescent="0.2">
      <c r="A92" s="6" t="s">
        <v>40</v>
      </c>
      <c r="B92" s="11">
        <f>Commercial!B97*Commercial!$B$5</f>
        <v>1031261.1174344561</v>
      </c>
      <c r="C92" s="11">
        <f>Commercial!C97*Commercial!$B$5</f>
        <v>1034787.4555180556</v>
      </c>
      <c r="D92" s="11">
        <f>Commercial!D97*Commercial!$B$5</f>
        <v>1038313.7936016549</v>
      </c>
      <c r="E92" s="11">
        <f>Commercial!E97*Commercial!$B$5</f>
        <v>1041840.1316852546</v>
      </c>
      <c r="F92" s="11">
        <f>Commercial!F97*Commercial!$B$5</f>
        <v>1051273.0368219304</v>
      </c>
      <c r="G92" s="11">
        <f>Commercial!G97*Commercial!$B$5</f>
        <v>1060705.9419586067</v>
      </c>
      <c r="H92" s="11">
        <f>Commercial!H97*Commercial!$B$5</f>
        <v>1070138.847095283</v>
      </c>
      <c r="I92" s="11">
        <f>Commercial!I97*Commercial!$B$5</f>
        <v>1079571.752231959</v>
      </c>
      <c r="J92" s="11">
        <f>Commercial!J97*Commercial!$B$5</f>
        <v>1089004.6573686351</v>
      </c>
      <c r="K92" s="11">
        <f>Commercial!K97*Commercial!$B$5</f>
        <v>1096927.5686275223</v>
      </c>
      <c r="L92" s="11">
        <f>Commercial!L97*Commercial!$B$5</f>
        <v>1104850.4798864096</v>
      </c>
      <c r="M92" s="11">
        <f>Commercial!M97*Commercial!$B$5</f>
        <v>1112773.3911452966</v>
      </c>
      <c r="N92" s="11">
        <f>Commercial!N97*Commercial!$B$5</f>
        <v>1120696.3024041841</v>
      </c>
      <c r="O92" s="11">
        <f>Commercial!O97*Commercial!$B$5</f>
        <v>1128619.2136630712</v>
      </c>
      <c r="P92" s="11">
        <f>Commercial!P97*Commercial!$B$5</f>
        <v>1135014.6749863247</v>
      </c>
      <c r="Q92" s="11">
        <f>Commercial!Q97*Commercial!$B$5</f>
        <v>1141410.1363095781</v>
      </c>
      <c r="R92" s="11">
        <f>Commercial!R97*Commercial!$B$5</f>
        <v>1147805.5976328314</v>
      </c>
      <c r="S92" s="11">
        <f>Commercial!S97*Commercial!$B$5</f>
        <v>1154201.0589560848</v>
      </c>
      <c r="T92" s="11">
        <f>Commercial!T97*Commercial!$B$5</f>
        <v>1160596.5202793381</v>
      </c>
      <c r="U92" s="11">
        <f>Commercial!U97*Commercial!$B$5</f>
        <v>1165498.0601619529</v>
      </c>
      <c r="V92" s="11">
        <f>Commercial!V97*Commercial!$B$5</f>
        <v>1170399.6000445681</v>
      </c>
      <c r="W92" s="11">
        <f>Commercial!W97*Commercial!$B$5</f>
        <v>1175301.139927183</v>
      </c>
      <c r="X92" s="11">
        <f>Commercial!X97*Commercial!$B$5</f>
        <v>1180202.6798097985</v>
      </c>
      <c r="Y92" s="11">
        <f>Commercial!Y97*Commercial!$B$5</f>
        <v>1185104.2196924132</v>
      </c>
      <c r="Z92" s="11">
        <f>Commercial!Z97*Commercial!$B$5</f>
        <v>1188572.3958466314</v>
      </c>
      <c r="AA92" s="11">
        <f>Commercial!AA97*Commercial!$B$5</f>
        <v>1192040.5720008498</v>
      </c>
      <c r="AB92" s="11">
        <f>Commercial!AB97*Commercial!$B$5</f>
        <v>1195508.7481550681</v>
      </c>
      <c r="AC92" s="11">
        <f>Commercial!AC97*Commercial!$B$5</f>
        <v>1198976.9243092865</v>
      </c>
      <c r="AD92" s="11">
        <f>Commercial!AD97*Commercial!$B$5</f>
        <v>1202445.1004635049</v>
      </c>
      <c r="AE92" s="11">
        <f>Commercial!AE97*Commercial!$B$5</f>
        <v>1202445.1004635049</v>
      </c>
      <c r="AF92" s="11">
        <f>Commercial!AF97*Commercial!$B$5</f>
        <v>1202445.1004635049</v>
      </c>
      <c r="AG92" s="11">
        <f>Commercial!AG97*Commercial!$B$5</f>
        <v>1202445.1004635049</v>
      </c>
      <c r="AH92" s="11">
        <f>Commercial!AH97*Commercial!$B$5</f>
        <v>1202445.1004635049</v>
      </c>
      <c r="AI92" s="11">
        <f>Commercial!AI97*Commercial!$B$5</f>
        <v>1202445.1004635049</v>
      </c>
      <c r="AJ92" s="11">
        <f>Commercial!AJ97*Commercial!$B$5</f>
        <v>1202445.1004635049</v>
      </c>
      <c r="AK92" s="11">
        <f>Commercial!AK97*Commercial!$B$5</f>
        <v>1202445.1004635049</v>
      </c>
      <c r="AL92" s="11">
        <f>Commercial!AL97*Commercial!$B$5</f>
        <v>1202445.1004635049</v>
      </c>
      <c r="AM92" s="11">
        <f>Commercial!AM97*Commercial!$B$5</f>
        <v>1202445.1004635049</v>
      </c>
      <c r="AN92" s="11">
        <f>Commercial!AN97*Commercial!$B$5</f>
        <v>1202445.1004635049</v>
      </c>
      <c r="AO92" s="40">
        <f>Commercial!AO97*Commercial!$B$5</f>
        <v>1202445.1004635049</v>
      </c>
      <c r="AP92" s="40">
        <f>Commercial!AP97*Commercial!$B$5</f>
        <v>1202445.1004635049</v>
      </c>
      <c r="AQ92" s="40">
        <f>Commercial!AQ97*Commercial!$B$5</f>
        <v>1202445.1004635049</v>
      </c>
      <c r="AR92" s="40">
        <f>Commercial!AR97*Commercial!$B$5</f>
        <v>1202445.1004635049</v>
      </c>
      <c r="AS92" s="40">
        <f>Commercial!AS97*Commercial!$B$5</f>
        <v>1202445.1004635049</v>
      </c>
      <c r="AT92" s="40">
        <f>Commercial!AT97*Commercial!$B$5</f>
        <v>1202445.1004635049</v>
      </c>
      <c r="AU92" s="40">
        <f>Commercial!AU97*Commercial!$B$5</f>
        <v>1202445.1004635049</v>
      </c>
      <c r="AV92" s="40">
        <f>Commercial!AV97*Commercial!$B$5</f>
        <v>1202445.1004635049</v>
      </c>
      <c r="AW92" s="40">
        <f>Commercial!AW97*Commercial!$B$5</f>
        <v>1202445.1004635049</v>
      </c>
      <c r="AX92" s="40">
        <f>Commercial!AX97*Commercial!$B$5</f>
        <v>1202445.1004635049</v>
      </c>
    </row>
    <row r="93" spans="1:50" x14ac:dyDescent="0.2">
      <c r="A93" s="6" t="s">
        <v>41</v>
      </c>
      <c r="B93" s="11">
        <f>Commercial!B98*Commercial!$B$5</f>
        <v>629959.60102099855</v>
      </c>
      <c r="C93" s="11">
        <f>Commercial!C98*Commercial!$B$5</f>
        <v>632113.71164793265</v>
      </c>
      <c r="D93" s="11">
        <f>Commercial!D98*Commercial!$B$5</f>
        <v>634267.82227486675</v>
      </c>
      <c r="E93" s="11">
        <f>Commercial!E98*Commercial!$B$5</f>
        <v>636421.93290180084</v>
      </c>
      <c r="F93" s="11">
        <f>Commercial!F98*Commercial!$B$5</f>
        <v>642184.14875180065</v>
      </c>
      <c r="G93" s="11">
        <f>Commercial!G98*Commercial!$B$5</f>
        <v>647946.36460180057</v>
      </c>
      <c r="H93" s="11">
        <f>Commercial!H98*Commercial!$B$5</f>
        <v>653708.58045180037</v>
      </c>
      <c r="I93" s="11">
        <f>Commercial!I98*Commercial!$B$5</f>
        <v>659470.79630180041</v>
      </c>
      <c r="J93" s="11">
        <f>Commercial!J98*Commercial!$B$5</f>
        <v>665233.0121518001</v>
      </c>
      <c r="K93" s="11">
        <f>Commercial!K98*Commercial!$B$5</f>
        <v>670072.82811227208</v>
      </c>
      <c r="L93" s="11">
        <f>Commercial!L98*Commercial!$B$5</f>
        <v>674912.64407274406</v>
      </c>
      <c r="M93" s="11">
        <f>Commercial!M98*Commercial!$B$5</f>
        <v>679752.46003321605</v>
      </c>
      <c r="N93" s="11">
        <f>Commercial!N98*Commercial!$B$5</f>
        <v>684592.27599368792</v>
      </c>
      <c r="O93" s="11">
        <f>Commercial!O98*Commercial!$B$5</f>
        <v>689432.0919541599</v>
      </c>
      <c r="P93" s="11">
        <f>Commercial!P98*Commercial!$B$5</f>
        <v>693338.84475946776</v>
      </c>
      <c r="Q93" s="11">
        <f>Commercial!Q98*Commercial!$B$5</f>
        <v>697245.59756477561</v>
      </c>
      <c r="R93" s="11">
        <f>Commercial!R98*Commercial!$B$5</f>
        <v>701152.35037008324</v>
      </c>
      <c r="S93" s="11">
        <f>Commercial!S98*Commercial!$B$5</f>
        <v>705059.10317539109</v>
      </c>
      <c r="T93" s="11">
        <f>Commercial!T98*Commercial!$B$5</f>
        <v>708965.85598069883</v>
      </c>
      <c r="U93" s="11">
        <f>Commercial!U98*Commercial!$B$5</f>
        <v>711960.02695896896</v>
      </c>
      <c r="V93" s="11">
        <f>Commercial!V98*Commercial!$B$5</f>
        <v>714954.19793723908</v>
      </c>
      <c r="W93" s="11">
        <f>Commercial!W98*Commercial!$B$5</f>
        <v>717948.36891550908</v>
      </c>
      <c r="X93" s="11">
        <f>Commercial!X98*Commercial!$B$5</f>
        <v>720942.53989377932</v>
      </c>
      <c r="Y93" s="11">
        <f>Commercial!Y98*Commercial!$B$5</f>
        <v>723936.71087204944</v>
      </c>
      <c r="Z93" s="11">
        <f>Commercial!Z98*Commercial!$B$5</f>
        <v>726055.29250908154</v>
      </c>
      <c r="AA93" s="11">
        <f>Commercial!AA98*Commercial!$B$5</f>
        <v>728173.87414611375</v>
      </c>
      <c r="AB93" s="11">
        <f>Commercial!AB98*Commercial!$B$5</f>
        <v>730292.45578314597</v>
      </c>
      <c r="AC93" s="11">
        <f>Commercial!AC98*Commercial!$B$5</f>
        <v>732411.03742017818</v>
      </c>
      <c r="AD93" s="11">
        <f>Commercial!AD98*Commercial!$B$5</f>
        <v>734529.61905721028</v>
      </c>
      <c r="AE93" s="11">
        <f>Commercial!AE98*Commercial!$B$5</f>
        <v>734529.61905721028</v>
      </c>
      <c r="AF93" s="11">
        <f>Commercial!AF98*Commercial!$B$5</f>
        <v>734529.61905721028</v>
      </c>
      <c r="AG93" s="11">
        <f>Commercial!AG98*Commercial!$B$5</f>
        <v>734529.61905721028</v>
      </c>
      <c r="AH93" s="11">
        <f>Commercial!AH98*Commercial!$B$5</f>
        <v>734529.61905721028</v>
      </c>
      <c r="AI93" s="11">
        <f>Commercial!AI98*Commercial!$B$5</f>
        <v>734529.61905721028</v>
      </c>
      <c r="AJ93" s="11">
        <f>Commercial!AJ98*Commercial!$B$5</f>
        <v>734529.61905721028</v>
      </c>
      <c r="AK93" s="11">
        <f>Commercial!AK98*Commercial!$B$5</f>
        <v>734529.61905721028</v>
      </c>
      <c r="AL93" s="11">
        <f>Commercial!AL98*Commercial!$B$5</f>
        <v>734529.61905721028</v>
      </c>
      <c r="AM93" s="11">
        <f>Commercial!AM98*Commercial!$B$5</f>
        <v>734529.61905721028</v>
      </c>
      <c r="AN93" s="11">
        <f>Commercial!AN98*Commercial!$B$5</f>
        <v>734529.61905721028</v>
      </c>
      <c r="AO93" s="40">
        <f>Commercial!AO98*Commercial!$B$5</f>
        <v>734529.61905721028</v>
      </c>
      <c r="AP93" s="40">
        <f>Commercial!AP98*Commercial!$B$5</f>
        <v>734529.61905721028</v>
      </c>
      <c r="AQ93" s="40">
        <f>Commercial!AQ98*Commercial!$B$5</f>
        <v>734529.61905721028</v>
      </c>
      <c r="AR93" s="40">
        <f>Commercial!AR98*Commercial!$B$5</f>
        <v>734529.61905721028</v>
      </c>
      <c r="AS93" s="40">
        <f>Commercial!AS98*Commercial!$B$5</f>
        <v>734529.61905721028</v>
      </c>
      <c r="AT93" s="40">
        <f>Commercial!AT98*Commercial!$B$5</f>
        <v>734529.61905721028</v>
      </c>
      <c r="AU93" s="40">
        <f>Commercial!AU98*Commercial!$B$5</f>
        <v>734529.61905721028</v>
      </c>
      <c r="AV93" s="40">
        <f>Commercial!AV98*Commercial!$B$5</f>
        <v>734529.61905721028</v>
      </c>
      <c r="AW93" s="40">
        <f>Commercial!AW98*Commercial!$B$5</f>
        <v>734529.61905721028</v>
      </c>
      <c r="AX93" s="40">
        <f>Commercial!AX98*Commercial!$B$5</f>
        <v>734529.61905721028</v>
      </c>
    </row>
    <row r="94" spans="1:50" x14ac:dyDescent="0.2">
      <c r="A94" s="6" t="s">
        <v>42</v>
      </c>
      <c r="B94" s="11">
        <f>Commercial!B99*Commercial!$B$5</f>
        <v>489166.73304591927</v>
      </c>
      <c r="C94" s="11">
        <f>Commercial!C99*Commercial!$B$5</f>
        <v>490839.41055776144</v>
      </c>
      <c r="D94" s="11">
        <f>Commercial!D99*Commercial!$B$5</f>
        <v>492512.08806960343</v>
      </c>
      <c r="E94" s="11">
        <f>Commercial!E99*Commercial!$B$5</f>
        <v>494184.76558144554</v>
      </c>
      <c r="F94" s="11">
        <f>Commercial!F99*Commercial!$B$5</f>
        <v>498659.15457064658</v>
      </c>
      <c r="G94" s="11">
        <f>Commercial!G99*Commercial!$B$5</f>
        <v>503133.54355984775</v>
      </c>
      <c r="H94" s="11">
        <f>Commercial!H99*Commercial!$B$5</f>
        <v>507607.93254904868</v>
      </c>
      <c r="I94" s="11">
        <f>Commercial!I99*Commercial!$B$5</f>
        <v>512082.32153824985</v>
      </c>
      <c r="J94" s="11">
        <f>Commercial!J99*Commercial!$B$5</f>
        <v>516556.71052745095</v>
      </c>
      <c r="K94" s="11">
        <f>Commercial!K99*Commercial!$B$5</f>
        <v>520314.8514591718</v>
      </c>
      <c r="L94" s="11">
        <f>Commercial!L99*Commercial!$B$5</f>
        <v>524072.99239089264</v>
      </c>
      <c r="M94" s="11">
        <f>Commercial!M99*Commercial!$B$5</f>
        <v>527831.13332261355</v>
      </c>
      <c r="N94" s="11">
        <f>Commercial!N99*Commercial!$B$5</f>
        <v>531589.27425433428</v>
      </c>
      <c r="O94" s="11">
        <f>Commercial!O99*Commercial!$B$5</f>
        <v>535347.41518605524</v>
      </c>
      <c r="P94" s="11">
        <f>Commercial!P99*Commercial!$B$5</f>
        <v>538381.02798200771</v>
      </c>
      <c r="Q94" s="11">
        <f>Commercial!Q99*Commercial!$B$5</f>
        <v>541414.64077796019</v>
      </c>
      <c r="R94" s="11">
        <f>Commercial!R99*Commercial!$B$5</f>
        <v>544448.25357391255</v>
      </c>
      <c r="S94" s="11">
        <f>Commercial!S99*Commercial!$B$5</f>
        <v>547481.8663698649</v>
      </c>
      <c r="T94" s="11">
        <f>Commercial!T99*Commercial!$B$5</f>
        <v>550515.47916581738</v>
      </c>
      <c r="U94" s="11">
        <f>Commercial!U99*Commercial!$B$5</f>
        <v>552840.46767817193</v>
      </c>
      <c r="V94" s="11">
        <f>Commercial!V99*Commercial!$B$5</f>
        <v>555165.4561905266</v>
      </c>
      <c r="W94" s="11">
        <f>Commercial!W99*Commercial!$B$5</f>
        <v>557490.44470288104</v>
      </c>
      <c r="X94" s="11">
        <f>Commercial!X99*Commercial!$B$5</f>
        <v>559815.43321523571</v>
      </c>
      <c r="Y94" s="11">
        <f>Commercial!Y99*Commercial!$B$5</f>
        <v>562140.42172759026</v>
      </c>
      <c r="Z94" s="11">
        <f>Commercial!Z99*Commercial!$B$5</f>
        <v>563785.51080377621</v>
      </c>
      <c r="AA94" s="11">
        <f>Commercial!AA99*Commercial!$B$5</f>
        <v>565430.59987996216</v>
      </c>
      <c r="AB94" s="11">
        <f>Commercial!AB99*Commercial!$B$5</f>
        <v>567075.68895614822</v>
      </c>
      <c r="AC94" s="11">
        <f>Commercial!AC99*Commercial!$B$5</f>
        <v>568720.77803233417</v>
      </c>
      <c r="AD94" s="11">
        <f>Commercial!AD99*Commercial!$B$5</f>
        <v>570365.86710852012</v>
      </c>
      <c r="AE94" s="11">
        <f>Commercial!AE99*Commercial!$B$5</f>
        <v>570365.86710852012</v>
      </c>
      <c r="AF94" s="11">
        <f>Commercial!AF99*Commercial!$B$5</f>
        <v>570365.86710852012</v>
      </c>
      <c r="AG94" s="11">
        <f>Commercial!AG99*Commercial!$B$5</f>
        <v>570365.86710852012</v>
      </c>
      <c r="AH94" s="11">
        <f>Commercial!AH99*Commercial!$B$5</f>
        <v>570365.86710852012</v>
      </c>
      <c r="AI94" s="11">
        <f>Commercial!AI99*Commercial!$B$5</f>
        <v>570365.86710852012</v>
      </c>
      <c r="AJ94" s="11">
        <f>Commercial!AJ99*Commercial!$B$5</f>
        <v>570365.86710852012</v>
      </c>
      <c r="AK94" s="11">
        <f>Commercial!AK99*Commercial!$B$5</f>
        <v>570365.86710852012</v>
      </c>
      <c r="AL94" s="11">
        <f>Commercial!AL99*Commercial!$B$5</f>
        <v>570365.86710852012</v>
      </c>
      <c r="AM94" s="11">
        <f>Commercial!AM99*Commercial!$B$5</f>
        <v>570365.86710852012</v>
      </c>
      <c r="AN94" s="11">
        <f>Commercial!AN99*Commercial!$B$5</f>
        <v>570365.86710852012</v>
      </c>
      <c r="AO94" s="40">
        <f>Commercial!AO99*Commercial!$B$5</f>
        <v>570365.86710852012</v>
      </c>
      <c r="AP94" s="40">
        <f>Commercial!AP99*Commercial!$B$5</f>
        <v>570365.86710852012</v>
      </c>
      <c r="AQ94" s="40">
        <f>Commercial!AQ99*Commercial!$B$5</f>
        <v>570365.86710852012</v>
      </c>
      <c r="AR94" s="40">
        <f>Commercial!AR99*Commercial!$B$5</f>
        <v>570365.86710852012</v>
      </c>
      <c r="AS94" s="40">
        <f>Commercial!AS99*Commercial!$B$5</f>
        <v>570365.86710852012</v>
      </c>
      <c r="AT94" s="40">
        <f>Commercial!AT99*Commercial!$B$5</f>
        <v>570365.86710852012</v>
      </c>
      <c r="AU94" s="40">
        <f>Commercial!AU99*Commercial!$B$5</f>
        <v>570365.86710852012</v>
      </c>
      <c r="AV94" s="40">
        <f>Commercial!AV99*Commercial!$B$5</f>
        <v>570365.86710852012</v>
      </c>
      <c r="AW94" s="40">
        <f>Commercial!AW99*Commercial!$B$5</f>
        <v>570365.86710852012</v>
      </c>
      <c r="AX94" s="40">
        <f>Commercial!AX99*Commercial!$B$5</f>
        <v>570365.86710852012</v>
      </c>
    </row>
    <row r="95" spans="1:50" x14ac:dyDescent="0.2">
      <c r="A95" s="6" t="s">
        <v>43</v>
      </c>
      <c r="B95" s="11">
        <f>Commercial!B100*Commercial!$B$5</f>
        <v>34305.10609397541</v>
      </c>
      <c r="C95" s="11">
        <f>Commercial!C100*Commercial!$B$5</f>
        <v>34422.410431389064</v>
      </c>
      <c r="D95" s="11">
        <f>Commercial!D100*Commercial!$B$5</f>
        <v>34539.714768802703</v>
      </c>
      <c r="E95" s="11">
        <f>Commercial!E100*Commercial!$B$5</f>
        <v>34657.019106216343</v>
      </c>
      <c r="F95" s="11">
        <f>Commercial!F100*Commercial!$B$5</f>
        <v>34970.806570920846</v>
      </c>
      <c r="G95" s="11">
        <f>Commercial!G100*Commercial!$B$5</f>
        <v>35284.594035625341</v>
      </c>
      <c r="H95" s="11">
        <f>Commercial!H100*Commercial!$B$5</f>
        <v>35598.38150032983</v>
      </c>
      <c r="I95" s="11">
        <f>Commercial!I100*Commercial!$B$5</f>
        <v>35912.168965034325</v>
      </c>
      <c r="J95" s="11">
        <f>Commercial!J100*Commercial!$B$5</f>
        <v>36225.956429738806</v>
      </c>
      <c r="K95" s="11">
        <f>Commercial!K100*Commercial!$B$5</f>
        <v>36489.513647900436</v>
      </c>
      <c r="L95" s="11">
        <f>Commercial!L100*Commercial!$B$5</f>
        <v>36753.070866062073</v>
      </c>
      <c r="M95" s="11">
        <f>Commercial!M100*Commercial!$B$5</f>
        <v>37016.628084223703</v>
      </c>
      <c r="N95" s="11">
        <f>Commercial!N100*Commercial!$B$5</f>
        <v>37280.185302385325</v>
      </c>
      <c r="O95" s="11">
        <f>Commercial!O100*Commercial!$B$5</f>
        <v>37543.742520546963</v>
      </c>
      <c r="P95" s="11">
        <f>Commercial!P100*Commercial!$B$5</f>
        <v>37756.488812931122</v>
      </c>
      <c r="Q95" s="11">
        <f>Commercial!Q100*Commercial!$B$5</f>
        <v>37969.235105315282</v>
      </c>
      <c r="R95" s="11">
        <f>Commercial!R100*Commercial!$B$5</f>
        <v>38181.981397699434</v>
      </c>
      <c r="S95" s="11">
        <f>Commercial!S100*Commercial!$B$5</f>
        <v>38394.727690083593</v>
      </c>
      <c r="T95" s="11">
        <f>Commercial!T100*Commercial!$B$5</f>
        <v>38607.473982467745</v>
      </c>
      <c r="U95" s="11">
        <f>Commercial!U100*Commercial!$B$5</f>
        <v>38770.524681126175</v>
      </c>
      <c r="V95" s="11">
        <f>Commercial!V100*Commercial!$B$5</f>
        <v>38933.575379784605</v>
      </c>
      <c r="W95" s="11">
        <f>Commercial!W100*Commercial!$B$5</f>
        <v>39096.62607844302</v>
      </c>
      <c r="X95" s="11">
        <f>Commercial!X100*Commercial!$B$5</f>
        <v>39259.676777101464</v>
      </c>
      <c r="Y95" s="11">
        <f>Commercial!Y100*Commercial!$B$5</f>
        <v>39422.727475759886</v>
      </c>
      <c r="Z95" s="11">
        <f>Commercial!Z100*Commercial!$B$5</f>
        <v>39538.097045029637</v>
      </c>
      <c r="AA95" s="11">
        <f>Commercial!AA100*Commercial!$B$5</f>
        <v>39653.466614299388</v>
      </c>
      <c r="AB95" s="11">
        <f>Commercial!AB100*Commercial!$B$5</f>
        <v>39768.836183569147</v>
      </c>
      <c r="AC95" s="11">
        <f>Commercial!AC100*Commercial!$B$5</f>
        <v>39884.205752838898</v>
      </c>
      <c r="AD95" s="11">
        <f>Commercial!AD100*Commercial!$B$5</f>
        <v>39999.575322108649</v>
      </c>
      <c r="AE95" s="11">
        <f>Commercial!AE100*Commercial!$B$5</f>
        <v>39999.575322108649</v>
      </c>
      <c r="AF95" s="11">
        <f>Commercial!AF100*Commercial!$B$5</f>
        <v>39999.575322108649</v>
      </c>
      <c r="AG95" s="11">
        <f>Commercial!AG100*Commercial!$B$5</f>
        <v>39999.575322108649</v>
      </c>
      <c r="AH95" s="11">
        <f>Commercial!AH100*Commercial!$B$5</f>
        <v>39999.575322108649</v>
      </c>
      <c r="AI95" s="11">
        <f>Commercial!AI100*Commercial!$B$5</f>
        <v>39999.575322108649</v>
      </c>
      <c r="AJ95" s="11">
        <f>Commercial!AJ100*Commercial!$B$5</f>
        <v>39999.575322108649</v>
      </c>
      <c r="AK95" s="11">
        <f>Commercial!AK100*Commercial!$B$5</f>
        <v>39999.575322108649</v>
      </c>
      <c r="AL95" s="11">
        <f>Commercial!AL100*Commercial!$B$5</f>
        <v>39999.575322108649</v>
      </c>
      <c r="AM95" s="11">
        <f>Commercial!AM100*Commercial!$B$5</f>
        <v>39999.575322108649</v>
      </c>
      <c r="AN95" s="11">
        <f>Commercial!AN100*Commercial!$B$5</f>
        <v>39999.575322108649</v>
      </c>
      <c r="AO95" s="40">
        <f>Commercial!AO100*Commercial!$B$5</f>
        <v>39999.575322108649</v>
      </c>
      <c r="AP95" s="40">
        <f>Commercial!AP100*Commercial!$B$5</f>
        <v>39999.575322108649</v>
      </c>
      <c r="AQ95" s="40">
        <f>Commercial!AQ100*Commercial!$B$5</f>
        <v>39999.575322108649</v>
      </c>
      <c r="AR95" s="40">
        <f>Commercial!AR100*Commercial!$B$5</f>
        <v>39999.575322108649</v>
      </c>
      <c r="AS95" s="40">
        <f>Commercial!AS100*Commercial!$B$5</f>
        <v>39999.575322108649</v>
      </c>
      <c r="AT95" s="40">
        <f>Commercial!AT100*Commercial!$B$5</f>
        <v>39999.575322108649</v>
      </c>
      <c r="AU95" s="40">
        <f>Commercial!AU100*Commercial!$B$5</f>
        <v>39999.575322108649</v>
      </c>
      <c r="AV95" s="40">
        <f>Commercial!AV100*Commercial!$B$5</f>
        <v>39999.575322108649</v>
      </c>
      <c r="AW95" s="40">
        <f>Commercial!AW100*Commercial!$B$5</f>
        <v>39999.575322108649</v>
      </c>
      <c r="AX95" s="40">
        <f>Commercial!AX100*Commercial!$B$5</f>
        <v>39999.575322108649</v>
      </c>
    </row>
    <row r="96" spans="1:50" x14ac:dyDescent="0.2">
      <c r="A96" s="6" t="s">
        <v>8</v>
      </c>
      <c r="B96" s="11">
        <f>Commercial!B101*Commercial!$B$5</f>
        <v>26236.268235154635</v>
      </c>
      <c r="C96" s="11">
        <f>Commercial!C101*Commercial!$B$5</f>
        <v>26325.981645546104</v>
      </c>
      <c r="D96" s="11">
        <f>Commercial!D101*Commercial!$B$5</f>
        <v>26415.695055937562</v>
      </c>
      <c r="E96" s="11">
        <f>Commercial!E101*Commercial!$B$5</f>
        <v>26505.408466329027</v>
      </c>
      <c r="F96" s="11">
        <f>Commercial!F101*Commercial!$B$5</f>
        <v>26745.390586491078</v>
      </c>
      <c r="G96" s="11">
        <f>Commercial!G101*Commercial!$B$5</f>
        <v>26985.372706653125</v>
      </c>
      <c r="H96" s="11">
        <f>Commercial!H101*Commercial!$B$5</f>
        <v>27225.354826815168</v>
      </c>
      <c r="I96" s="11">
        <f>Commercial!I101*Commercial!$B$5</f>
        <v>27465.336946977219</v>
      </c>
      <c r="J96" s="11">
        <f>Commercial!J101*Commercial!$B$5</f>
        <v>27705.319067139266</v>
      </c>
      <c r="K96" s="11">
        <f>Commercial!K101*Commercial!$B$5</f>
        <v>27906.88550019612</v>
      </c>
      <c r="L96" s="11">
        <f>Commercial!L101*Commercial!$B$5</f>
        <v>28108.451933252978</v>
      </c>
      <c r="M96" s="11">
        <f>Commercial!M101*Commercial!$B$5</f>
        <v>28310.01836630984</v>
      </c>
      <c r="N96" s="11">
        <f>Commercial!N101*Commercial!$B$5</f>
        <v>28511.584799366694</v>
      </c>
      <c r="O96" s="11">
        <f>Commercial!O101*Commercial!$B$5</f>
        <v>28713.151232423555</v>
      </c>
      <c r="P96" s="11">
        <f>Commercial!P101*Commercial!$B$5</f>
        <v>28875.857879583749</v>
      </c>
      <c r="Q96" s="11">
        <f>Commercial!Q101*Commercial!$B$5</f>
        <v>29038.564526743936</v>
      </c>
      <c r="R96" s="11">
        <f>Commercial!R101*Commercial!$B$5</f>
        <v>29201.27117390413</v>
      </c>
      <c r="S96" s="11">
        <f>Commercial!S101*Commercial!$B$5</f>
        <v>29363.97782106432</v>
      </c>
      <c r="T96" s="11">
        <f>Commercial!T101*Commercial!$B$5</f>
        <v>29526.68446822451</v>
      </c>
      <c r="U96" s="11">
        <f>Commercial!U101*Commercial!$B$5</f>
        <v>29651.38432643842</v>
      </c>
      <c r="V96" s="11">
        <f>Commercial!V101*Commercial!$B$5</f>
        <v>29776.084184652329</v>
      </c>
      <c r="W96" s="11">
        <f>Commercial!W101*Commercial!$B$5</f>
        <v>29900.784042866238</v>
      </c>
      <c r="X96" s="11">
        <f>Commercial!X101*Commercial!$B$5</f>
        <v>30025.483901080152</v>
      </c>
      <c r="Y96" s="11">
        <f>Commercial!Y101*Commercial!$B$5</f>
        <v>30150.183759294057</v>
      </c>
      <c r="Z96" s="11">
        <f>Commercial!Z101*Commercial!$B$5</f>
        <v>30238.417474626225</v>
      </c>
      <c r="AA96" s="11">
        <f>Commercial!AA101*Commercial!$B$5</f>
        <v>30326.651189958382</v>
      </c>
      <c r="AB96" s="11">
        <f>Commercial!AB101*Commercial!$B$5</f>
        <v>30414.88490529055</v>
      </c>
      <c r="AC96" s="11">
        <f>Commercial!AC101*Commercial!$B$5</f>
        <v>30503.11862062271</v>
      </c>
      <c r="AD96" s="11">
        <f>Commercial!AD101*Commercial!$B$5</f>
        <v>30591.352335954874</v>
      </c>
      <c r="AE96" s="11">
        <f>Commercial!AE101*Commercial!$B$5</f>
        <v>30591.352335954874</v>
      </c>
      <c r="AF96" s="11">
        <f>Commercial!AF101*Commercial!$B$5</f>
        <v>30591.352335954874</v>
      </c>
      <c r="AG96" s="11">
        <f>Commercial!AG101*Commercial!$B$5</f>
        <v>30591.352335954874</v>
      </c>
      <c r="AH96" s="11">
        <f>Commercial!AH101*Commercial!$B$5</f>
        <v>30591.352335954874</v>
      </c>
      <c r="AI96" s="11">
        <f>Commercial!AI101*Commercial!$B$5</f>
        <v>30591.352335954874</v>
      </c>
      <c r="AJ96" s="11">
        <f>Commercial!AJ101*Commercial!$B$5</f>
        <v>30591.352335954874</v>
      </c>
      <c r="AK96" s="11">
        <f>Commercial!AK101*Commercial!$B$5</f>
        <v>30591.352335954874</v>
      </c>
      <c r="AL96" s="11">
        <f>Commercial!AL101*Commercial!$B$5</f>
        <v>30591.352335954874</v>
      </c>
      <c r="AM96" s="11">
        <f>Commercial!AM101*Commercial!$B$5</f>
        <v>30591.352335954874</v>
      </c>
      <c r="AN96" s="11">
        <f>Commercial!AN101*Commercial!$B$5</f>
        <v>30591.352335954874</v>
      </c>
      <c r="AO96" s="40">
        <f>Commercial!AO101*Commercial!$B$5</f>
        <v>30591.352335954874</v>
      </c>
      <c r="AP96" s="40">
        <f>Commercial!AP101*Commercial!$B$5</f>
        <v>30591.352335954874</v>
      </c>
      <c r="AQ96" s="40">
        <f>Commercial!AQ101*Commercial!$B$5</f>
        <v>30591.352335954874</v>
      </c>
      <c r="AR96" s="40">
        <f>Commercial!AR101*Commercial!$B$5</f>
        <v>30591.352335954874</v>
      </c>
      <c r="AS96" s="40">
        <f>Commercial!AS101*Commercial!$B$5</f>
        <v>30591.352335954874</v>
      </c>
      <c r="AT96" s="40">
        <f>Commercial!AT101*Commercial!$B$5</f>
        <v>30591.352335954874</v>
      </c>
      <c r="AU96" s="40">
        <f>Commercial!AU101*Commercial!$B$5</f>
        <v>30591.352335954874</v>
      </c>
      <c r="AV96" s="40">
        <f>Commercial!AV101*Commercial!$B$5</f>
        <v>30591.352335954874</v>
      </c>
      <c r="AW96" s="40">
        <f>Commercial!AW101*Commercial!$B$5</f>
        <v>30591.352335954874</v>
      </c>
      <c r="AX96" s="40">
        <f>Commercial!AX101*Commercial!$B$5</f>
        <v>30591.352335954874</v>
      </c>
    </row>
    <row r="97" spans="1:50" x14ac:dyDescent="0.2">
      <c r="A97" s="6" t="s">
        <v>9</v>
      </c>
      <c r="B97" s="11">
        <f>Commercial!B102*Commercial!$B$5</f>
        <v>268965.76961192768</v>
      </c>
      <c r="C97" s="11">
        <f>Commercial!C102*Commercial!$B$5</f>
        <v>269885.48259298789</v>
      </c>
      <c r="D97" s="11">
        <f>Commercial!D102*Commercial!$B$5</f>
        <v>270805.19557404821</v>
      </c>
      <c r="E97" s="11">
        <f>Commercial!E102*Commercial!$B$5</f>
        <v>271724.90855510841</v>
      </c>
      <c r="F97" s="11">
        <f>Commercial!F102*Commercial!$B$5</f>
        <v>274185.12793783291</v>
      </c>
      <c r="G97" s="11">
        <f>Commercial!G102*Commercial!$B$5</f>
        <v>276645.34732055751</v>
      </c>
      <c r="H97" s="11">
        <f>Commercial!H102*Commercial!$B$5</f>
        <v>279105.56670328201</v>
      </c>
      <c r="I97" s="11">
        <f>Commercial!I102*Commercial!$B$5</f>
        <v>281565.78608600656</v>
      </c>
      <c r="J97" s="11">
        <f>Commercial!J102*Commercial!$B$5</f>
        <v>284026.00546873105</v>
      </c>
      <c r="K97" s="11">
        <f>Commercial!K102*Commercial!$B$5</f>
        <v>286092.39960333687</v>
      </c>
      <c r="L97" s="11">
        <f>Commercial!L102*Commercial!$B$5</f>
        <v>288158.79373794276</v>
      </c>
      <c r="M97" s="11">
        <f>Commercial!M102*Commercial!$B$5</f>
        <v>290225.18787254853</v>
      </c>
      <c r="N97" s="11">
        <f>Commercial!N102*Commercial!$B$5</f>
        <v>292291.58200715436</v>
      </c>
      <c r="O97" s="11">
        <f>Commercial!O102*Commercial!$B$5</f>
        <v>294357.97614176024</v>
      </c>
      <c r="P97" s="11">
        <f>Commercial!P102*Commercial!$B$5</f>
        <v>296025.99227050907</v>
      </c>
      <c r="Q97" s="11">
        <f>Commercial!Q102*Commercial!$B$5</f>
        <v>297694.00839925784</v>
      </c>
      <c r="R97" s="11">
        <f>Commercial!R102*Commercial!$B$5</f>
        <v>299362.02452800656</v>
      </c>
      <c r="S97" s="11">
        <f>Commercial!S102*Commercial!$B$5</f>
        <v>301030.04065675539</v>
      </c>
      <c r="T97" s="11">
        <f>Commercial!T102*Commercial!$B$5</f>
        <v>302698.0567855041</v>
      </c>
      <c r="U97" s="11">
        <f>Commercial!U102*Commercial!$B$5</f>
        <v>303976.43955832778</v>
      </c>
      <c r="V97" s="11">
        <f>Commercial!V102*Commercial!$B$5</f>
        <v>305254.82233115152</v>
      </c>
      <c r="W97" s="11">
        <f>Commercial!W102*Commercial!$B$5</f>
        <v>306533.20510397508</v>
      </c>
      <c r="X97" s="11">
        <f>Commercial!X102*Commercial!$B$5</f>
        <v>307811.58787679888</v>
      </c>
      <c r="Y97" s="11">
        <f>Commercial!Y102*Commercial!$B$5</f>
        <v>309089.9706496225</v>
      </c>
      <c r="Z97" s="11">
        <f>Commercial!Z102*Commercial!$B$5</f>
        <v>309994.51427363663</v>
      </c>
      <c r="AA97" s="11">
        <f>Commercial!AA102*Commercial!$B$5</f>
        <v>310899.05789765081</v>
      </c>
      <c r="AB97" s="11">
        <f>Commercial!AB102*Commercial!$B$5</f>
        <v>311803.601521665</v>
      </c>
      <c r="AC97" s="11">
        <f>Commercial!AC102*Commercial!$B$5</f>
        <v>312708.14514567924</v>
      </c>
      <c r="AD97" s="11">
        <f>Commercial!AD102*Commercial!$B$5</f>
        <v>313612.68876969337</v>
      </c>
      <c r="AE97" s="11">
        <f>Commercial!AE102*Commercial!$B$5</f>
        <v>313612.68876969337</v>
      </c>
      <c r="AF97" s="11">
        <f>Commercial!AF102*Commercial!$B$5</f>
        <v>313612.68876969337</v>
      </c>
      <c r="AG97" s="11">
        <f>Commercial!AG102*Commercial!$B$5</f>
        <v>313612.68876969337</v>
      </c>
      <c r="AH97" s="11">
        <f>Commercial!AH102*Commercial!$B$5</f>
        <v>313612.68876969337</v>
      </c>
      <c r="AI97" s="11">
        <f>Commercial!AI102*Commercial!$B$5</f>
        <v>313612.68876969337</v>
      </c>
      <c r="AJ97" s="11">
        <f>Commercial!AJ102*Commercial!$B$5</f>
        <v>313612.68876969337</v>
      </c>
      <c r="AK97" s="11">
        <f>Commercial!AK102*Commercial!$B$5</f>
        <v>313612.68876969337</v>
      </c>
      <c r="AL97" s="11">
        <f>Commercial!AL102*Commercial!$B$5</f>
        <v>313612.68876969337</v>
      </c>
      <c r="AM97" s="11">
        <f>Commercial!AM102*Commercial!$B$5</f>
        <v>313612.68876969337</v>
      </c>
      <c r="AN97" s="11">
        <f>Commercial!AN102*Commercial!$B$5</f>
        <v>313612.68876969337</v>
      </c>
      <c r="AO97" s="40">
        <f>Commercial!AO102*Commercial!$B$5</f>
        <v>313612.68876969337</v>
      </c>
      <c r="AP97" s="40">
        <f>Commercial!AP102*Commercial!$B$5</f>
        <v>313612.68876969337</v>
      </c>
      <c r="AQ97" s="40">
        <f>Commercial!AQ102*Commercial!$B$5</f>
        <v>313612.68876969337</v>
      </c>
      <c r="AR97" s="40">
        <f>Commercial!AR102*Commercial!$B$5</f>
        <v>313612.68876969337</v>
      </c>
      <c r="AS97" s="40">
        <f>Commercial!AS102*Commercial!$B$5</f>
        <v>313612.68876969337</v>
      </c>
      <c r="AT97" s="40">
        <f>Commercial!AT102*Commercial!$B$5</f>
        <v>313612.68876969337</v>
      </c>
      <c r="AU97" s="40">
        <f>Commercial!AU102*Commercial!$B$5</f>
        <v>313612.68876969337</v>
      </c>
      <c r="AV97" s="40">
        <f>Commercial!AV102*Commercial!$B$5</f>
        <v>313612.68876969337</v>
      </c>
      <c r="AW97" s="40">
        <f>Commercial!AW102*Commercial!$B$5</f>
        <v>313612.68876969337</v>
      </c>
      <c r="AX97" s="40">
        <f>Commercial!AX102*Commercial!$B$5</f>
        <v>313612.68876969337</v>
      </c>
    </row>
    <row r="98" spans="1:50" x14ac:dyDescent="0.2">
      <c r="A98" s="6" t="s">
        <v>10</v>
      </c>
      <c r="B98" s="11">
        <f>Commercial!B103*Commercial!$B$5</f>
        <v>233.60825442626702</v>
      </c>
      <c r="C98" s="11">
        <f>Commercial!C103*Commercial!$B$5</f>
        <v>234.40706441754836</v>
      </c>
      <c r="D98" s="11">
        <f>Commercial!D103*Commercial!$B$5</f>
        <v>235.20587440882963</v>
      </c>
      <c r="E98" s="11">
        <f>Commercial!E103*Commercial!$B$5</f>
        <v>236.00468440011088</v>
      </c>
      <c r="F98" s="11">
        <f>Commercial!F103*Commercial!$B$5</f>
        <v>238.14148997330025</v>
      </c>
      <c r="G98" s="11">
        <f>Commercial!G103*Commercial!$B$5</f>
        <v>240.27829554648969</v>
      </c>
      <c r="H98" s="11">
        <f>Commercial!H103*Commercial!$B$5</f>
        <v>242.41510111967906</v>
      </c>
      <c r="I98" s="11">
        <f>Commercial!I103*Commercial!$B$5</f>
        <v>244.55190669286853</v>
      </c>
      <c r="J98" s="11">
        <f>Commercial!J103*Commercial!$B$5</f>
        <v>246.68871226605788</v>
      </c>
      <c r="K98" s="11">
        <f>Commercial!K103*Commercial!$B$5</f>
        <v>248.48346379685097</v>
      </c>
      <c r="L98" s="11">
        <f>Commercial!L103*Commercial!$B$5</f>
        <v>250.27821532764406</v>
      </c>
      <c r="M98" s="11">
        <f>Commercial!M103*Commercial!$B$5</f>
        <v>252.0729668584371</v>
      </c>
      <c r="N98" s="11">
        <f>Commercial!N103*Commercial!$B$5</f>
        <v>253.86771838923022</v>
      </c>
      <c r="O98" s="11">
        <f>Commercial!O103*Commercial!$B$5</f>
        <v>255.66246992002328</v>
      </c>
      <c r="P98" s="11">
        <f>Commercial!P103*Commercial!$B$5</f>
        <v>257.11121314394393</v>
      </c>
      <c r="Q98" s="11">
        <f>Commercial!Q103*Commercial!$B$5</f>
        <v>258.55995636786446</v>
      </c>
      <c r="R98" s="11">
        <f>Commercial!R103*Commercial!$B$5</f>
        <v>260.00869959178499</v>
      </c>
      <c r="S98" s="11">
        <f>Commercial!S103*Commercial!$B$5</f>
        <v>261.45744281570558</v>
      </c>
      <c r="T98" s="11">
        <f>Commercial!T103*Commercial!$B$5</f>
        <v>262.90618603962611</v>
      </c>
      <c r="U98" s="11">
        <f>Commercial!U103*Commercial!$B$5</f>
        <v>264.01651605849372</v>
      </c>
      <c r="V98" s="11">
        <f>Commercial!V103*Commercial!$B$5</f>
        <v>265.12684607736139</v>
      </c>
      <c r="W98" s="11">
        <f>Commercial!W103*Commercial!$B$5</f>
        <v>266.23717609622889</v>
      </c>
      <c r="X98" s="11">
        <f>Commercial!X103*Commercial!$B$5</f>
        <v>267.34750611509656</v>
      </c>
      <c r="Y98" s="11">
        <f>Commercial!Y103*Commercial!$B$5</f>
        <v>268.45783613396412</v>
      </c>
      <c r="Z98" s="11">
        <f>Commercial!Z103*Commercial!$B$5</f>
        <v>269.24347089099376</v>
      </c>
      <c r="AA98" s="11">
        <f>Commercial!AA103*Commercial!$B$5</f>
        <v>270.02910564802346</v>
      </c>
      <c r="AB98" s="11">
        <f>Commercial!AB103*Commercial!$B$5</f>
        <v>270.8147404050531</v>
      </c>
      <c r="AC98" s="11">
        <f>Commercial!AC103*Commercial!$B$5</f>
        <v>271.60037516208274</v>
      </c>
      <c r="AD98" s="11">
        <f>Commercial!AD103*Commercial!$B$5</f>
        <v>272.38600991911244</v>
      </c>
      <c r="AE98" s="11">
        <f>Commercial!AE103*Commercial!$B$5</f>
        <v>272.38600991911244</v>
      </c>
      <c r="AF98" s="11">
        <f>Commercial!AF103*Commercial!$B$5</f>
        <v>272.38600991911244</v>
      </c>
      <c r="AG98" s="11">
        <f>Commercial!AG103*Commercial!$B$5</f>
        <v>272.38600991911244</v>
      </c>
      <c r="AH98" s="11">
        <f>Commercial!AH103*Commercial!$B$5</f>
        <v>272.38600991911244</v>
      </c>
      <c r="AI98" s="11">
        <f>Commercial!AI103*Commercial!$B$5</f>
        <v>272.38600991911244</v>
      </c>
      <c r="AJ98" s="11">
        <f>Commercial!AJ103*Commercial!$B$5</f>
        <v>272.38600991911244</v>
      </c>
      <c r="AK98" s="11">
        <f>Commercial!AK103*Commercial!$B$5</f>
        <v>272.38600991911244</v>
      </c>
      <c r="AL98" s="11">
        <f>Commercial!AL103*Commercial!$B$5</f>
        <v>272.38600991911244</v>
      </c>
      <c r="AM98" s="11">
        <f>Commercial!AM103*Commercial!$B$5</f>
        <v>272.38600991911244</v>
      </c>
      <c r="AN98" s="11">
        <f>Commercial!AN103*Commercial!$B$5</f>
        <v>272.38600991911244</v>
      </c>
      <c r="AO98" s="40">
        <f>Commercial!AO103*Commercial!$B$5</f>
        <v>272.38600991911244</v>
      </c>
      <c r="AP98" s="40">
        <f>Commercial!AP103*Commercial!$B$5</f>
        <v>272.38600991911244</v>
      </c>
      <c r="AQ98" s="40">
        <f>Commercial!AQ103*Commercial!$B$5</f>
        <v>272.38600991911244</v>
      </c>
      <c r="AR98" s="40">
        <f>Commercial!AR103*Commercial!$B$5</f>
        <v>272.38600991911244</v>
      </c>
      <c r="AS98" s="40">
        <f>Commercial!AS103*Commercial!$B$5</f>
        <v>272.38600991911244</v>
      </c>
      <c r="AT98" s="40">
        <f>Commercial!AT103*Commercial!$B$5</f>
        <v>272.38600991911244</v>
      </c>
      <c r="AU98" s="40">
        <f>Commercial!AU103*Commercial!$B$5</f>
        <v>272.38600991911244</v>
      </c>
      <c r="AV98" s="40">
        <f>Commercial!AV103*Commercial!$B$5</f>
        <v>272.38600991911244</v>
      </c>
      <c r="AW98" s="40">
        <f>Commercial!AW103*Commercial!$B$5</f>
        <v>272.38600991911244</v>
      </c>
      <c r="AX98" s="40">
        <f>Commercial!AX103*Commercial!$B$5</f>
        <v>272.38600991911244</v>
      </c>
    </row>
    <row r="99" spans="1:50" x14ac:dyDescent="0.2">
      <c r="A99" s="6" t="s">
        <v>44</v>
      </c>
      <c r="B99" s="11">
        <f>Commercial!B104*Commercial!$B$5</f>
        <v>426551.88783079496</v>
      </c>
      <c r="C99" s="11">
        <f>Commercial!C104*Commercial!$B$5</f>
        <v>428010.45748038194</v>
      </c>
      <c r="D99" s="11">
        <f>Commercial!D104*Commercial!$B$5</f>
        <v>429469.02712996886</v>
      </c>
      <c r="E99" s="11">
        <f>Commercial!E104*Commercial!$B$5</f>
        <v>430927.59677955578</v>
      </c>
      <c r="F99" s="11">
        <f>Commercial!F104*Commercial!$B$5</f>
        <v>434829.25022673293</v>
      </c>
      <c r="G99" s="11">
        <f>Commercial!G104*Commercial!$B$5</f>
        <v>438730.90367391024</v>
      </c>
      <c r="H99" s="11">
        <f>Commercial!H104*Commercial!$B$5</f>
        <v>442632.55712108745</v>
      </c>
      <c r="I99" s="11">
        <f>Commercial!I104*Commercial!$B$5</f>
        <v>446534.21056826471</v>
      </c>
      <c r="J99" s="11">
        <f>Commercial!J104*Commercial!$B$5</f>
        <v>450435.86401544197</v>
      </c>
      <c r="K99" s="11">
        <f>Commercial!K104*Commercial!$B$5</f>
        <v>453712.95135778422</v>
      </c>
      <c r="L99" s="11">
        <f>Commercial!L104*Commercial!$B$5</f>
        <v>456990.03870012652</v>
      </c>
      <c r="M99" s="11">
        <f>Commercial!M104*Commercial!$B$5</f>
        <v>460267.12604246888</v>
      </c>
      <c r="N99" s="11">
        <f>Commercial!N104*Commercial!$B$5</f>
        <v>463544.21338481113</v>
      </c>
      <c r="O99" s="11">
        <f>Commercial!O104*Commercial!$B$5</f>
        <v>466821.30072715343</v>
      </c>
      <c r="P99" s="11">
        <f>Commercial!P104*Commercial!$B$5</f>
        <v>469466.60176184116</v>
      </c>
      <c r="Q99" s="11">
        <f>Commercial!Q104*Commercial!$B$5</f>
        <v>472111.90279652877</v>
      </c>
      <c r="R99" s="11">
        <f>Commercial!R104*Commercial!$B$5</f>
        <v>474757.2038312165</v>
      </c>
      <c r="S99" s="11">
        <f>Commercial!S104*Commercial!$B$5</f>
        <v>477402.50486590416</v>
      </c>
      <c r="T99" s="11">
        <f>Commercial!T104*Commercial!$B$5</f>
        <v>480047.80590059189</v>
      </c>
      <c r="U99" s="11">
        <f>Commercial!U104*Commercial!$B$5</f>
        <v>482075.1887378394</v>
      </c>
      <c r="V99" s="11">
        <f>Commercial!V104*Commercial!$B$5</f>
        <v>484102.57157508709</v>
      </c>
      <c r="W99" s="11">
        <f>Commercial!W104*Commercial!$B$5</f>
        <v>486129.95441233454</v>
      </c>
      <c r="X99" s="11">
        <f>Commercial!X104*Commercial!$B$5</f>
        <v>488157.33724958223</v>
      </c>
      <c r="Y99" s="11">
        <f>Commercial!Y104*Commercial!$B$5</f>
        <v>490184.72008682968</v>
      </c>
      <c r="Z99" s="11">
        <f>Commercial!Z104*Commercial!$B$5</f>
        <v>491619.2327053136</v>
      </c>
      <c r="AA99" s="11">
        <f>Commercial!AA104*Commercial!$B$5</f>
        <v>493053.74532379763</v>
      </c>
      <c r="AB99" s="11">
        <f>Commercial!AB104*Commercial!$B$5</f>
        <v>494488.25794228149</v>
      </c>
      <c r="AC99" s="11">
        <f>Commercial!AC104*Commercial!$B$5</f>
        <v>495922.77056076552</v>
      </c>
      <c r="AD99" s="11">
        <f>Commercial!AD104*Commercial!$B$5</f>
        <v>497357.28317924938</v>
      </c>
      <c r="AE99" s="11">
        <f>Commercial!AE104*Commercial!$B$5</f>
        <v>497357.28317924938</v>
      </c>
      <c r="AF99" s="11">
        <f>Commercial!AF104*Commercial!$B$5</f>
        <v>497357.28317924938</v>
      </c>
      <c r="AG99" s="11">
        <f>Commercial!AG104*Commercial!$B$5</f>
        <v>497357.28317924938</v>
      </c>
      <c r="AH99" s="11">
        <f>Commercial!AH104*Commercial!$B$5</f>
        <v>497357.28317924938</v>
      </c>
      <c r="AI99" s="11">
        <f>Commercial!AI104*Commercial!$B$5</f>
        <v>497357.28317924938</v>
      </c>
      <c r="AJ99" s="11">
        <f>Commercial!AJ104*Commercial!$B$5</f>
        <v>497357.28317924938</v>
      </c>
      <c r="AK99" s="11">
        <f>Commercial!AK104*Commercial!$B$5</f>
        <v>497357.28317924938</v>
      </c>
      <c r="AL99" s="11">
        <f>Commercial!AL104*Commercial!$B$5</f>
        <v>497357.28317924938</v>
      </c>
      <c r="AM99" s="11">
        <f>Commercial!AM104*Commercial!$B$5</f>
        <v>497357.28317924938</v>
      </c>
      <c r="AN99" s="11">
        <f>Commercial!AN104*Commercial!$B$5</f>
        <v>497357.28317924938</v>
      </c>
      <c r="AO99" s="40">
        <f>Commercial!AO104*Commercial!$B$5</f>
        <v>497357.28317924938</v>
      </c>
      <c r="AP99" s="40">
        <f>Commercial!AP104*Commercial!$B$5</f>
        <v>497357.28317924938</v>
      </c>
      <c r="AQ99" s="40">
        <f>Commercial!AQ104*Commercial!$B$5</f>
        <v>497357.28317924938</v>
      </c>
      <c r="AR99" s="40">
        <f>Commercial!AR104*Commercial!$B$5</f>
        <v>497357.28317924938</v>
      </c>
      <c r="AS99" s="40">
        <f>Commercial!AS104*Commercial!$B$5</f>
        <v>497357.28317924938</v>
      </c>
      <c r="AT99" s="40">
        <f>Commercial!AT104*Commercial!$B$5</f>
        <v>497357.28317924938</v>
      </c>
      <c r="AU99" s="40">
        <f>Commercial!AU104*Commercial!$B$5</f>
        <v>497357.28317924938</v>
      </c>
      <c r="AV99" s="40">
        <f>Commercial!AV104*Commercial!$B$5</f>
        <v>497357.28317924938</v>
      </c>
      <c r="AW99" s="40">
        <f>Commercial!AW104*Commercial!$B$5</f>
        <v>497357.28317924938</v>
      </c>
      <c r="AX99" s="40">
        <f>Commercial!AX104*Commercial!$B$5</f>
        <v>497357.28317924938</v>
      </c>
    </row>
    <row r="101" spans="1:50" x14ac:dyDescent="0.2">
      <c r="A101" s="5" t="s">
        <v>66</v>
      </c>
    </row>
    <row r="102" spans="1:50" x14ac:dyDescent="0.2">
      <c r="A102" s="5" t="s">
        <v>4</v>
      </c>
    </row>
    <row r="103" spans="1:50" x14ac:dyDescent="0.2">
      <c r="A103" s="5" t="s">
        <v>58</v>
      </c>
    </row>
    <row r="104" spans="1:50" x14ac:dyDescent="0.2">
      <c r="A104" s="5" t="s">
        <v>6</v>
      </c>
    </row>
    <row r="105" spans="1:50" x14ac:dyDescent="0.2">
      <c r="A105" s="5"/>
    </row>
    <row r="106" spans="1:50" x14ac:dyDescent="0.2">
      <c r="A106" s="6" t="s">
        <v>7</v>
      </c>
      <c r="B106" s="6">
        <v>2022</v>
      </c>
      <c r="C106" s="6">
        <v>2023</v>
      </c>
      <c r="D106" s="6">
        <v>2024</v>
      </c>
      <c r="E106" s="6">
        <v>2025</v>
      </c>
      <c r="F106" s="6">
        <v>2026</v>
      </c>
      <c r="G106" s="6">
        <v>2027</v>
      </c>
      <c r="H106" s="6">
        <v>2028</v>
      </c>
      <c r="I106" s="6">
        <v>2029</v>
      </c>
      <c r="J106" s="6">
        <v>2030</v>
      </c>
      <c r="K106" s="6">
        <v>2031</v>
      </c>
      <c r="L106" s="6">
        <v>2032</v>
      </c>
      <c r="M106" s="6">
        <v>2033</v>
      </c>
      <c r="N106" s="6">
        <v>2034</v>
      </c>
      <c r="O106" s="6">
        <v>2035</v>
      </c>
      <c r="P106" s="6">
        <v>2036</v>
      </c>
      <c r="Q106" s="6">
        <v>2037</v>
      </c>
      <c r="R106" s="6">
        <v>2038</v>
      </c>
      <c r="S106" s="6">
        <v>2039</v>
      </c>
      <c r="T106" s="6">
        <v>2040</v>
      </c>
      <c r="U106" s="6">
        <v>2041</v>
      </c>
      <c r="V106" s="6">
        <v>2042</v>
      </c>
      <c r="W106" s="6">
        <v>2043</v>
      </c>
      <c r="X106" s="6">
        <v>2044</v>
      </c>
      <c r="Y106" s="6">
        <v>2045</v>
      </c>
      <c r="Z106" s="6">
        <v>2046</v>
      </c>
      <c r="AA106" s="6">
        <v>2047</v>
      </c>
      <c r="AB106" s="6">
        <v>2048</v>
      </c>
      <c r="AC106" s="6">
        <v>2049</v>
      </c>
      <c r="AD106" s="6">
        <v>2050</v>
      </c>
      <c r="AE106" s="6">
        <v>2051</v>
      </c>
      <c r="AF106" s="6">
        <v>2052</v>
      </c>
      <c r="AG106" s="6">
        <v>2053</v>
      </c>
      <c r="AH106" s="6">
        <v>2054</v>
      </c>
      <c r="AI106" s="6">
        <v>2055</v>
      </c>
      <c r="AJ106" s="6">
        <v>2056</v>
      </c>
      <c r="AK106" s="6">
        <v>2057</v>
      </c>
      <c r="AL106" s="6">
        <v>2058</v>
      </c>
      <c r="AM106" s="6">
        <v>2059</v>
      </c>
      <c r="AN106" s="6">
        <v>2060</v>
      </c>
      <c r="AO106" s="39">
        <f>AN106+1</f>
        <v>2061</v>
      </c>
      <c r="AP106" s="39">
        <f t="shared" ref="AP106:AX106" si="6">AO106+1</f>
        <v>2062</v>
      </c>
      <c r="AQ106" s="39">
        <f t="shared" si="6"/>
        <v>2063</v>
      </c>
      <c r="AR106" s="39">
        <f t="shared" si="6"/>
        <v>2064</v>
      </c>
      <c r="AS106" s="39">
        <f t="shared" si="6"/>
        <v>2065</v>
      </c>
      <c r="AT106" s="39">
        <f t="shared" si="6"/>
        <v>2066</v>
      </c>
      <c r="AU106" s="39">
        <f t="shared" si="6"/>
        <v>2067</v>
      </c>
      <c r="AV106" s="39">
        <f t="shared" si="6"/>
        <v>2068</v>
      </c>
      <c r="AW106" s="39">
        <f>AV106+1</f>
        <v>2069</v>
      </c>
      <c r="AX106" s="39">
        <f t="shared" si="6"/>
        <v>2070</v>
      </c>
    </row>
    <row r="107" spans="1:50" x14ac:dyDescent="0.2">
      <c r="A107" s="6" t="s">
        <v>40</v>
      </c>
      <c r="B107" s="11">
        <f>Commercial!B112*Commercial!$B$5</f>
        <v>664472.18850441906</v>
      </c>
      <c r="C107" s="11">
        <f>Commercial!C112*Commercial!$B$5</f>
        <v>666744.31293944584</v>
      </c>
      <c r="D107" s="11">
        <f>Commercial!D112*Commercial!$B$5</f>
        <v>669016.4373744725</v>
      </c>
      <c r="E107" s="11">
        <f>Commercial!E112*Commercial!$B$5</f>
        <v>671288.5618094994</v>
      </c>
      <c r="F107" s="11">
        <f>Commercial!F112*Commercial!$B$5</f>
        <v>677366.46294836409</v>
      </c>
      <c r="G107" s="11">
        <f>Commercial!G112*Commercial!$B$5</f>
        <v>683444.36408722866</v>
      </c>
      <c r="H107" s="11">
        <f>Commercial!H112*Commercial!$B$5</f>
        <v>689522.26522609347</v>
      </c>
      <c r="I107" s="11">
        <f>Commercial!I112*Commercial!$B$5</f>
        <v>695600.16636495816</v>
      </c>
      <c r="J107" s="11">
        <f>Commercial!J112*Commercial!$B$5</f>
        <v>701678.06750382273</v>
      </c>
      <c r="K107" s="11">
        <f>Commercial!K112*Commercial!$B$5</f>
        <v>706783.03470807103</v>
      </c>
      <c r="L107" s="11">
        <f>Commercial!L112*Commercial!$B$5</f>
        <v>711888.0019123191</v>
      </c>
      <c r="M107" s="11">
        <f>Commercial!M112*Commercial!$B$5</f>
        <v>716992.96911656705</v>
      </c>
      <c r="N107" s="11">
        <f>Commercial!N112*Commercial!$B$5</f>
        <v>722097.936320815</v>
      </c>
      <c r="O107" s="11">
        <f>Commercial!O112*Commercial!$B$5</f>
        <v>727202.90352506319</v>
      </c>
      <c r="P107" s="11">
        <f>Commercial!P112*Commercial!$B$5</f>
        <v>731323.68933780643</v>
      </c>
      <c r="Q107" s="11">
        <f>Commercial!Q112*Commercial!$B$5</f>
        <v>735444.47515054955</v>
      </c>
      <c r="R107" s="11">
        <f>Commercial!R112*Commercial!$B$5</f>
        <v>739565.26096329256</v>
      </c>
      <c r="S107" s="11">
        <f>Commercial!S112*Commercial!$B$5</f>
        <v>743686.04677603568</v>
      </c>
      <c r="T107" s="11">
        <f>Commercial!T112*Commercial!$B$5</f>
        <v>747806.83258877881</v>
      </c>
      <c r="U107" s="11">
        <f>Commercial!U112*Commercial!$B$5</f>
        <v>750965.04041585687</v>
      </c>
      <c r="V107" s="11">
        <f>Commercial!V112*Commercial!$B$5</f>
        <v>754123.24824293517</v>
      </c>
      <c r="W107" s="11">
        <f>Commercial!W112*Commercial!$B$5</f>
        <v>757281.45607001346</v>
      </c>
      <c r="X107" s="11">
        <f>Commercial!X112*Commercial!$B$5</f>
        <v>760439.66389709152</v>
      </c>
      <c r="Y107" s="11">
        <f>Commercial!Y112*Commercial!$B$5</f>
        <v>763597.87172416958</v>
      </c>
      <c r="Z107" s="11">
        <f>Commercial!Z112*Commercial!$B$5</f>
        <v>765832.5206994412</v>
      </c>
      <c r="AA107" s="11">
        <f>Commercial!AA112*Commercial!$B$5</f>
        <v>768067.16967471282</v>
      </c>
      <c r="AB107" s="11">
        <f>Commercial!AB112*Commercial!$B$5</f>
        <v>770301.81864998431</v>
      </c>
      <c r="AC107" s="11">
        <f>Commercial!AC112*Commercial!$B$5</f>
        <v>772536.46762525593</v>
      </c>
      <c r="AD107" s="11">
        <f>Commercial!AD112*Commercial!$B$5</f>
        <v>774771.11660052754</v>
      </c>
      <c r="AE107" s="11">
        <f>Commercial!AE112*Commercial!$B$5</f>
        <v>774771.11660052754</v>
      </c>
      <c r="AF107" s="11">
        <f>Commercial!AF112*Commercial!$B$5</f>
        <v>774771.11660052754</v>
      </c>
      <c r="AG107" s="11">
        <f>Commercial!AG112*Commercial!$B$5</f>
        <v>774771.11660052754</v>
      </c>
      <c r="AH107" s="11">
        <f>Commercial!AH112*Commercial!$B$5</f>
        <v>774771.11660052754</v>
      </c>
      <c r="AI107" s="11">
        <f>Commercial!AI112*Commercial!$B$5</f>
        <v>774771.11660052754</v>
      </c>
      <c r="AJ107" s="11">
        <f>Commercial!AJ112*Commercial!$B$5</f>
        <v>774771.11660052754</v>
      </c>
      <c r="AK107" s="11">
        <f>Commercial!AK112*Commercial!$B$5</f>
        <v>774771.11660052754</v>
      </c>
      <c r="AL107" s="11">
        <f>Commercial!AL112*Commercial!$B$5</f>
        <v>774771.11660052754</v>
      </c>
      <c r="AM107" s="11">
        <f>Commercial!AM112*Commercial!$B$5</f>
        <v>774771.11660052754</v>
      </c>
      <c r="AN107" s="11">
        <f>Commercial!AN112*Commercial!$B$5</f>
        <v>774771.11660052754</v>
      </c>
      <c r="AO107" s="40">
        <f>Commercial!AO112*Commercial!$B$5</f>
        <v>774771.11660052754</v>
      </c>
      <c r="AP107" s="40">
        <f>Commercial!AP112*Commercial!$B$5</f>
        <v>774771.11660052754</v>
      </c>
      <c r="AQ107" s="40">
        <f>Commercial!AQ112*Commercial!$B$5</f>
        <v>774771.11660052754</v>
      </c>
      <c r="AR107" s="40">
        <f>Commercial!AR112*Commercial!$B$5</f>
        <v>774771.11660052754</v>
      </c>
      <c r="AS107" s="40">
        <f>Commercial!AS112*Commercial!$B$5</f>
        <v>774771.11660052754</v>
      </c>
      <c r="AT107" s="40">
        <f>Commercial!AT112*Commercial!$B$5</f>
        <v>774771.11660052754</v>
      </c>
      <c r="AU107" s="40">
        <f>Commercial!AU112*Commercial!$B$5</f>
        <v>774771.11660052754</v>
      </c>
      <c r="AV107" s="40">
        <f>Commercial!AV112*Commercial!$B$5</f>
        <v>774771.11660052754</v>
      </c>
      <c r="AW107" s="40">
        <f>Commercial!AW112*Commercial!$B$5</f>
        <v>774771.11660052754</v>
      </c>
      <c r="AX107" s="40">
        <f>Commercial!AX112*Commercial!$B$5</f>
        <v>774771.11660052754</v>
      </c>
    </row>
    <row r="108" spans="1:50" x14ac:dyDescent="0.2">
      <c r="A108" s="6" t="s">
        <v>41</v>
      </c>
      <c r="B108" s="11">
        <f>Commercial!B113*Commercial!$B$5</f>
        <v>405901.69418834959</v>
      </c>
      <c r="C108" s="11">
        <f>Commercial!C113*Commercial!$B$5</f>
        <v>407289.6516883616</v>
      </c>
      <c r="D108" s="11">
        <f>Commercial!D113*Commercial!$B$5</f>
        <v>408677.60918837355</v>
      </c>
      <c r="E108" s="11">
        <f>Commercial!E113*Commercial!$B$5</f>
        <v>410065.56668838556</v>
      </c>
      <c r="F108" s="11">
        <f>Commercial!F113*Commercial!$B$5</f>
        <v>413778.33362138137</v>
      </c>
      <c r="G108" s="11">
        <f>Commercial!G113*Commercial!$B$5</f>
        <v>417491.10055437702</v>
      </c>
      <c r="H108" s="11">
        <f>Commercial!H113*Commercial!$B$5</f>
        <v>421203.86748737271</v>
      </c>
      <c r="I108" s="11">
        <f>Commercial!I113*Commercial!$B$5</f>
        <v>424916.6344203683</v>
      </c>
      <c r="J108" s="11">
        <f>Commercial!J113*Commercial!$B$5</f>
        <v>428629.401353364</v>
      </c>
      <c r="K108" s="11">
        <f>Commercial!K113*Commercial!$B$5</f>
        <v>431747.83862256585</v>
      </c>
      <c r="L108" s="11">
        <f>Commercial!L113*Commercial!$B$5</f>
        <v>434866.27589176758</v>
      </c>
      <c r="M108" s="11">
        <f>Commercial!M113*Commercial!$B$5</f>
        <v>437984.71316096938</v>
      </c>
      <c r="N108" s="11">
        <f>Commercial!N113*Commercial!$B$5</f>
        <v>441103.15043017117</v>
      </c>
      <c r="O108" s="11">
        <f>Commercial!O113*Commercial!$B$5</f>
        <v>444221.58769937302</v>
      </c>
      <c r="P108" s="11">
        <f>Commercial!P113*Commercial!$B$5</f>
        <v>446738.82464580482</v>
      </c>
      <c r="Q108" s="11">
        <f>Commercial!Q113*Commercial!$B$5</f>
        <v>449256.0615922368</v>
      </c>
      <c r="R108" s="11">
        <f>Commercial!R113*Commercial!$B$5</f>
        <v>451773.29853866855</v>
      </c>
      <c r="S108" s="11">
        <f>Commercial!S113*Commercial!$B$5</f>
        <v>454290.53548510035</v>
      </c>
      <c r="T108" s="11">
        <f>Commercial!T113*Commercial!$B$5</f>
        <v>456807.77243153215</v>
      </c>
      <c r="U108" s="11">
        <f>Commercial!U113*Commercial!$B$5</f>
        <v>458737.00578363868</v>
      </c>
      <c r="V108" s="11">
        <f>Commercial!V113*Commercial!$B$5</f>
        <v>460666.23913574521</v>
      </c>
      <c r="W108" s="11">
        <f>Commercial!W113*Commercial!$B$5</f>
        <v>462595.47248785174</v>
      </c>
      <c r="X108" s="11">
        <f>Commercial!X113*Commercial!$B$5</f>
        <v>464524.70583995827</v>
      </c>
      <c r="Y108" s="11">
        <f>Commercial!Y113*Commercial!$B$5</f>
        <v>466453.9391920648</v>
      </c>
      <c r="Z108" s="11">
        <f>Commercial!Z113*Commercial!$B$5</f>
        <v>467819.00430791348</v>
      </c>
      <c r="AA108" s="11">
        <f>Commercial!AA113*Commercial!$B$5</f>
        <v>469184.06942376209</v>
      </c>
      <c r="AB108" s="11">
        <f>Commercial!AB113*Commercial!$B$5</f>
        <v>470549.13453961076</v>
      </c>
      <c r="AC108" s="11">
        <f>Commercial!AC113*Commercial!$B$5</f>
        <v>471914.19965545944</v>
      </c>
      <c r="AD108" s="11">
        <f>Commercial!AD113*Commercial!$B$5</f>
        <v>473279.26477130805</v>
      </c>
      <c r="AE108" s="11">
        <f>Commercial!AE113*Commercial!$B$5</f>
        <v>473279.26477130805</v>
      </c>
      <c r="AF108" s="11">
        <f>Commercial!AF113*Commercial!$B$5</f>
        <v>473279.26477130805</v>
      </c>
      <c r="AG108" s="11">
        <f>Commercial!AG113*Commercial!$B$5</f>
        <v>473279.26477130805</v>
      </c>
      <c r="AH108" s="11">
        <f>Commercial!AH113*Commercial!$B$5</f>
        <v>473279.26477130805</v>
      </c>
      <c r="AI108" s="11">
        <f>Commercial!AI113*Commercial!$B$5</f>
        <v>473279.26477130805</v>
      </c>
      <c r="AJ108" s="11">
        <f>Commercial!AJ113*Commercial!$B$5</f>
        <v>473279.26477130805</v>
      </c>
      <c r="AK108" s="11">
        <f>Commercial!AK113*Commercial!$B$5</f>
        <v>473279.26477130805</v>
      </c>
      <c r="AL108" s="11">
        <f>Commercial!AL113*Commercial!$B$5</f>
        <v>473279.26477130805</v>
      </c>
      <c r="AM108" s="11">
        <f>Commercial!AM113*Commercial!$B$5</f>
        <v>473279.26477130805</v>
      </c>
      <c r="AN108" s="11">
        <f>Commercial!AN113*Commercial!$B$5</f>
        <v>473279.26477130805</v>
      </c>
      <c r="AO108" s="40">
        <f>Commercial!AO113*Commercial!$B$5</f>
        <v>473279.26477130805</v>
      </c>
      <c r="AP108" s="40">
        <f>Commercial!AP113*Commercial!$B$5</f>
        <v>473279.26477130805</v>
      </c>
      <c r="AQ108" s="40">
        <f>Commercial!AQ113*Commercial!$B$5</f>
        <v>473279.26477130805</v>
      </c>
      <c r="AR108" s="40">
        <f>Commercial!AR113*Commercial!$B$5</f>
        <v>473279.26477130805</v>
      </c>
      <c r="AS108" s="40">
        <f>Commercial!AS113*Commercial!$B$5</f>
        <v>473279.26477130805</v>
      </c>
      <c r="AT108" s="40">
        <f>Commercial!AT113*Commercial!$B$5</f>
        <v>473279.26477130805</v>
      </c>
      <c r="AU108" s="40">
        <f>Commercial!AU113*Commercial!$B$5</f>
        <v>473279.26477130805</v>
      </c>
      <c r="AV108" s="40">
        <f>Commercial!AV113*Commercial!$B$5</f>
        <v>473279.26477130805</v>
      </c>
      <c r="AW108" s="40">
        <f>Commercial!AW113*Commercial!$B$5</f>
        <v>473279.26477130805</v>
      </c>
      <c r="AX108" s="40">
        <f>Commercial!AX113*Commercial!$B$5</f>
        <v>473279.26477130805</v>
      </c>
    </row>
    <row r="109" spans="1:50" x14ac:dyDescent="0.2">
      <c r="A109" s="6" t="s">
        <v>42</v>
      </c>
      <c r="B109" s="11">
        <f>Commercial!B114*Commercial!$B$5</f>
        <v>315184.6648301275</v>
      </c>
      <c r="C109" s="11">
        <f>Commercial!C114*Commercial!$B$5</f>
        <v>316262.42066535383</v>
      </c>
      <c r="D109" s="11">
        <f>Commercial!D114*Commercial!$B$5</f>
        <v>317340.17650058004</v>
      </c>
      <c r="E109" s="11">
        <f>Commercial!E114*Commercial!$B$5</f>
        <v>318417.93233580637</v>
      </c>
      <c r="F109" s="11">
        <f>Commercial!F114*Commercial!$B$5</f>
        <v>321300.91414673132</v>
      </c>
      <c r="G109" s="11">
        <f>Commercial!G114*Commercial!$B$5</f>
        <v>324183.89595765626</v>
      </c>
      <c r="H109" s="11">
        <f>Commercial!H114*Commercial!$B$5</f>
        <v>327066.87776858121</v>
      </c>
      <c r="I109" s="11">
        <f>Commercial!I114*Commercial!$B$5</f>
        <v>329949.85957950616</v>
      </c>
      <c r="J109" s="11">
        <f>Commercial!J114*Commercial!$B$5</f>
        <v>332832.84139043104</v>
      </c>
      <c r="K109" s="11">
        <f>Commercial!K114*Commercial!$B$5</f>
        <v>335254.32329001406</v>
      </c>
      <c r="L109" s="11">
        <f>Commercial!L114*Commercial!$B$5</f>
        <v>337675.80518959707</v>
      </c>
      <c r="M109" s="11">
        <f>Commercial!M114*Commercial!$B$5</f>
        <v>340097.28708917991</v>
      </c>
      <c r="N109" s="11">
        <f>Commercial!N114*Commercial!$B$5</f>
        <v>342518.76898876287</v>
      </c>
      <c r="O109" s="11">
        <f>Commercial!O114*Commercial!$B$5</f>
        <v>344940.25088834582</v>
      </c>
      <c r="P109" s="11">
        <f>Commercial!P114*Commercial!$B$5</f>
        <v>346894.89777605009</v>
      </c>
      <c r="Q109" s="11">
        <f>Commercial!Q114*Commercial!$B$5</f>
        <v>348849.54466375441</v>
      </c>
      <c r="R109" s="11">
        <f>Commercial!R114*Commercial!$B$5</f>
        <v>350804.19155145856</v>
      </c>
      <c r="S109" s="11">
        <f>Commercial!S114*Commercial!$B$5</f>
        <v>352758.8384391627</v>
      </c>
      <c r="T109" s="11">
        <f>Commercial!T114*Commercial!$B$5</f>
        <v>354713.48532686703</v>
      </c>
      <c r="U109" s="11">
        <f>Commercial!U114*Commercial!$B$5</f>
        <v>356211.54452733102</v>
      </c>
      <c r="V109" s="11">
        <f>Commercial!V114*Commercial!$B$5</f>
        <v>357709.60372779507</v>
      </c>
      <c r="W109" s="11">
        <f>Commercial!W114*Commercial!$B$5</f>
        <v>359207.66292825912</v>
      </c>
      <c r="X109" s="11">
        <f>Commercial!X114*Commercial!$B$5</f>
        <v>360705.72212872317</v>
      </c>
      <c r="Y109" s="11">
        <f>Commercial!Y114*Commercial!$B$5</f>
        <v>362203.78132918716</v>
      </c>
      <c r="Z109" s="11">
        <f>Commercial!Z114*Commercial!$B$5</f>
        <v>363263.76111535286</v>
      </c>
      <c r="AA109" s="11">
        <f>Commercial!AA114*Commercial!$B$5</f>
        <v>364323.74090151861</v>
      </c>
      <c r="AB109" s="11">
        <f>Commercial!AB114*Commercial!$B$5</f>
        <v>365383.72068768425</v>
      </c>
      <c r="AC109" s="11">
        <f>Commercial!AC114*Commercial!$B$5</f>
        <v>366443.70047384995</v>
      </c>
      <c r="AD109" s="11">
        <f>Commercial!AD114*Commercial!$B$5</f>
        <v>367503.68026001559</v>
      </c>
      <c r="AE109" s="11">
        <f>Commercial!AE114*Commercial!$B$5</f>
        <v>367503.68026001559</v>
      </c>
      <c r="AF109" s="11">
        <f>Commercial!AF114*Commercial!$B$5</f>
        <v>367503.68026001559</v>
      </c>
      <c r="AG109" s="11">
        <f>Commercial!AG114*Commercial!$B$5</f>
        <v>367503.68026001559</v>
      </c>
      <c r="AH109" s="11">
        <f>Commercial!AH114*Commercial!$B$5</f>
        <v>367503.68026001559</v>
      </c>
      <c r="AI109" s="11">
        <f>Commercial!AI114*Commercial!$B$5</f>
        <v>367503.68026001559</v>
      </c>
      <c r="AJ109" s="11">
        <f>Commercial!AJ114*Commercial!$B$5</f>
        <v>367503.68026001559</v>
      </c>
      <c r="AK109" s="11">
        <f>Commercial!AK114*Commercial!$B$5</f>
        <v>367503.68026001559</v>
      </c>
      <c r="AL109" s="11">
        <f>Commercial!AL114*Commercial!$B$5</f>
        <v>367503.68026001559</v>
      </c>
      <c r="AM109" s="11">
        <f>Commercial!AM114*Commercial!$B$5</f>
        <v>367503.68026001559</v>
      </c>
      <c r="AN109" s="11">
        <f>Commercial!AN114*Commercial!$B$5</f>
        <v>367503.68026001559</v>
      </c>
      <c r="AO109" s="40">
        <f>Commercial!AO114*Commercial!$B$5</f>
        <v>367503.68026001559</v>
      </c>
      <c r="AP109" s="40">
        <f>Commercial!AP114*Commercial!$B$5</f>
        <v>367503.68026001559</v>
      </c>
      <c r="AQ109" s="40">
        <f>Commercial!AQ114*Commercial!$B$5</f>
        <v>367503.68026001559</v>
      </c>
      <c r="AR109" s="40">
        <f>Commercial!AR114*Commercial!$B$5</f>
        <v>367503.68026001559</v>
      </c>
      <c r="AS109" s="40">
        <f>Commercial!AS114*Commercial!$B$5</f>
        <v>367503.68026001559</v>
      </c>
      <c r="AT109" s="40">
        <f>Commercial!AT114*Commercial!$B$5</f>
        <v>367503.68026001559</v>
      </c>
      <c r="AU109" s="40">
        <f>Commercial!AU114*Commercial!$B$5</f>
        <v>367503.68026001559</v>
      </c>
      <c r="AV109" s="40">
        <f>Commercial!AV114*Commercial!$B$5</f>
        <v>367503.68026001559</v>
      </c>
      <c r="AW109" s="40">
        <f>Commercial!AW114*Commercial!$B$5</f>
        <v>367503.68026001559</v>
      </c>
      <c r="AX109" s="40">
        <f>Commercial!AX114*Commercial!$B$5</f>
        <v>367503.68026001559</v>
      </c>
    </row>
    <row r="110" spans="1:50" x14ac:dyDescent="0.2">
      <c r="A110" s="6" t="s">
        <v>43</v>
      </c>
      <c r="B110" s="11">
        <f>Commercial!B115*Commercial!$B$5</f>
        <v>22103.79945488086</v>
      </c>
      <c r="C110" s="11">
        <f>Commercial!C115*Commercial!$B$5</f>
        <v>22179.382125935022</v>
      </c>
      <c r="D110" s="11">
        <f>Commercial!D115*Commercial!$B$5</f>
        <v>22254.964796989174</v>
      </c>
      <c r="E110" s="11">
        <f>Commercial!E115*Commercial!$B$5</f>
        <v>22330.547468043336</v>
      </c>
      <c r="F110" s="11">
        <f>Commercial!F115*Commercial!$B$5</f>
        <v>22532.730057780365</v>
      </c>
      <c r="G110" s="11">
        <f>Commercial!G115*Commercial!$B$5</f>
        <v>22734.912647517402</v>
      </c>
      <c r="H110" s="11">
        <f>Commercial!H115*Commercial!$B$5</f>
        <v>22937.095237254431</v>
      </c>
      <c r="I110" s="11">
        <f>Commercial!I115*Commercial!$B$5</f>
        <v>23139.277826991467</v>
      </c>
      <c r="J110" s="11">
        <f>Commercial!J115*Commercial!$B$5</f>
        <v>23341.4604167285</v>
      </c>
      <c r="K110" s="11">
        <f>Commercial!K115*Commercial!$B$5</f>
        <v>23511.278165700689</v>
      </c>
      <c r="L110" s="11">
        <f>Commercial!L115*Commercial!$B$5</f>
        <v>23681.095914672878</v>
      </c>
      <c r="M110" s="11">
        <f>Commercial!M115*Commercial!$B$5</f>
        <v>23850.91366364506</v>
      </c>
      <c r="N110" s="11">
        <f>Commercial!N115*Commercial!$B$5</f>
        <v>24020.731412617246</v>
      </c>
      <c r="O110" s="11">
        <f>Commercial!O115*Commercial!$B$5</f>
        <v>24190.549161589439</v>
      </c>
      <c r="P110" s="11">
        <f>Commercial!P115*Commercial!$B$5</f>
        <v>24327.627920907267</v>
      </c>
      <c r="Q110" s="11">
        <f>Commercial!Q115*Commercial!$B$5</f>
        <v>24464.70668022511</v>
      </c>
      <c r="R110" s="11">
        <f>Commercial!R115*Commercial!$B$5</f>
        <v>24601.785439542939</v>
      </c>
      <c r="S110" s="11">
        <f>Commercial!S115*Commercial!$B$5</f>
        <v>24738.864198860774</v>
      </c>
      <c r="T110" s="11">
        <f>Commercial!T115*Commercial!$B$5</f>
        <v>24875.94295817861</v>
      </c>
      <c r="U110" s="11">
        <f>Commercial!U115*Commercial!$B$5</f>
        <v>24981.001369432346</v>
      </c>
      <c r="V110" s="11">
        <f>Commercial!V115*Commercial!$B$5</f>
        <v>25086.059780686093</v>
      </c>
      <c r="W110" s="11">
        <f>Commercial!W115*Commercial!$B$5</f>
        <v>25191.118191939837</v>
      </c>
      <c r="X110" s="11">
        <f>Commercial!X115*Commercial!$B$5</f>
        <v>25296.176603193577</v>
      </c>
      <c r="Y110" s="11">
        <f>Commercial!Y115*Commercial!$B$5</f>
        <v>25401.235014447317</v>
      </c>
      <c r="Z110" s="11">
        <f>Commercial!Z115*Commercial!$B$5</f>
        <v>25475.571056882192</v>
      </c>
      <c r="AA110" s="11">
        <f>Commercial!AA115*Commercial!$B$5</f>
        <v>25549.907099317064</v>
      </c>
      <c r="AB110" s="11">
        <f>Commercial!AB115*Commercial!$B$5</f>
        <v>25624.24314175194</v>
      </c>
      <c r="AC110" s="11">
        <f>Commercial!AC115*Commercial!$B$5</f>
        <v>25698.579184186812</v>
      </c>
      <c r="AD110" s="11">
        <f>Commercial!AD115*Commercial!$B$5</f>
        <v>25772.915226621688</v>
      </c>
      <c r="AE110" s="11">
        <f>Commercial!AE115*Commercial!$B$5</f>
        <v>25772.915226621688</v>
      </c>
      <c r="AF110" s="11">
        <f>Commercial!AF115*Commercial!$B$5</f>
        <v>25772.915226621688</v>
      </c>
      <c r="AG110" s="11">
        <f>Commercial!AG115*Commercial!$B$5</f>
        <v>25772.915226621688</v>
      </c>
      <c r="AH110" s="11">
        <f>Commercial!AH115*Commercial!$B$5</f>
        <v>25772.915226621688</v>
      </c>
      <c r="AI110" s="11">
        <f>Commercial!AI115*Commercial!$B$5</f>
        <v>25772.915226621688</v>
      </c>
      <c r="AJ110" s="11">
        <f>Commercial!AJ115*Commercial!$B$5</f>
        <v>25772.915226621688</v>
      </c>
      <c r="AK110" s="11">
        <f>Commercial!AK115*Commercial!$B$5</f>
        <v>25772.915226621688</v>
      </c>
      <c r="AL110" s="11">
        <f>Commercial!AL115*Commercial!$B$5</f>
        <v>25772.915226621688</v>
      </c>
      <c r="AM110" s="11">
        <f>Commercial!AM115*Commercial!$B$5</f>
        <v>25772.915226621688</v>
      </c>
      <c r="AN110" s="11">
        <f>Commercial!AN115*Commercial!$B$5</f>
        <v>25772.915226621688</v>
      </c>
      <c r="AO110" s="40">
        <f>Commercial!AO115*Commercial!$B$5</f>
        <v>25772.915226621688</v>
      </c>
      <c r="AP110" s="40">
        <f>Commercial!AP115*Commercial!$B$5</f>
        <v>25772.915226621688</v>
      </c>
      <c r="AQ110" s="40">
        <f>Commercial!AQ115*Commercial!$B$5</f>
        <v>25772.915226621688</v>
      </c>
      <c r="AR110" s="40">
        <f>Commercial!AR115*Commercial!$B$5</f>
        <v>25772.915226621688</v>
      </c>
      <c r="AS110" s="40">
        <f>Commercial!AS115*Commercial!$B$5</f>
        <v>25772.915226621688</v>
      </c>
      <c r="AT110" s="40">
        <f>Commercial!AT115*Commercial!$B$5</f>
        <v>25772.915226621688</v>
      </c>
      <c r="AU110" s="40">
        <f>Commercial!AU115*Commercial!$B$5</f>
        <v>25772.915226621688</v>
      </c>
      <c r="AV110" s="40">
        <f>Commercial!AV115*Commercial!$B$5</f>
        <v>25772.915226621688</v>
      </c>
      <c r="AW110" s="40">
        <f>Commercial!AW115*Commercial!$B$5</f>
        <v>25772.915226621688</v>
      </c>
      <c r="AX110" s="40">
        <f>Commercial!AX115*Commercial!$B$5</f>
        <v>25772.915226621688</v>
      </c>
    </row>
    <row r="111" spans="1:50" x14ac:dyDescent="0.2">
      <c r="A111" s="6" t="s">
        <v>8</v>
      </c>
      <c r="B111" s="11">
        <f>Commercial!B116*Commercial!$B$5</f>
        <v>16904.80739400757</v>
      </c>
      <c r="C111" s="11">
        <f>Commercial!C116*Commercial!$B$5</f>
        <v>16962.612410701793</v>
      </c>
      <c r="D111" s="11">
        <f>Commercial!D116*Commercial!$B$5</f>
        <v>17020.417427396016</v>
      </c>
      <c r="E111" s="11">
        <f>Commercial!E116*Commercial!$B$5</f>
        <v>17078.222444090239</v>
      </c>
      <c r="F111" s="11">
        <f>Commercial!F116*Commercial!$B$5</f>
        <v>17232.850056637253</v>
      </c>
      <c r="G111" s="11">
        <f>Commercial!G116*Commercial!$B$5</f>
        <v>17387.477669184267</v>
      </c>
      <c r="H111" s="11">
        <f>Commercial!H116*Commercial!$B$5</f>
        <v>17542.105281731281</v>
      </c>
      <c r="I111" s="11">
        <f>Commercial!I116*Commercial!$B$5</f>
        <v>17696.732894278291</v>
      </c>
      <c r="J111" s="11">
        <f>Commercial!J116*Commercial!$B$5</f>
        <v>17851.360506825305</v>
      </c>
      <c r="K111" s="11">
        <f>Commercial!K116*Commercial!$B$5</f>
        <v>17981.235750414926</v>
      </c>
      <c r="L111" s="11">
        <f>Commercial!L116*Commercial!$B$5</f>
        <v>18111.11099400455</v>
      </c>
      <c r="M111" s="11">
        <f>Commercial!M116*Commercial!$B$5</f>
        <v>18240.986237594163</v>
      </c>
      <c r="N111" s="11">
        <f>Commercial!N116*Commercial!$B$5</f>
        <v>18370.861481183783</v>
      </c>
      <c r="O111" s="11">
        <f>Commercial!O116*Commercial!$B$5</f>
        <v>18500.736724773404</v>
      </c>
      <c r="P111" s="11">
        <f>Commercial!P116*Commercial!$B$5</f>
        <v>18605.573453355188</v>
      </c>
      <c r="Q111" s="11">
        <f>Commercial!Q116*Commercial!$B$5</f>
        <v>18710.410181936975</v>
      </c>
      <c r="R111" s="11">
        <f>Commercial!R116*Commercial!$B$5</f>
        <v>18815.246910518756</v>
      </c>
      <c r="S111" s="11">
        <f>Commercial!S116*Commercial!$B$5</f>
        <v>18920.083639100536</v>
      </c>
      <c r="T111" s="11">
        <f>Commercial!T116*Commercial!$B$5</f>
        <v>19024.92036768232</v>
      </c>
      <c r="U111" s="11">
        <f>Commercial!U116*Commercial!$B$5</f>
        <v>19105.268192543386</v>
      </c>
      <c r="V111" s="11">
        <f>Commercial!V116*Commercial!$B$5</f>
        <v>19185.616017404456</v>
      </c>
      <c r="W111" s="11">
        <f>Commercial!W116*Commercial!$B$5</f>
        <v>19265.963842265523</v>
      </c>
      <c r="X111" s="11">
        <f>Commercial!X116*Commercial!$B$5</f>
        <v>19346.311667126596</v>
      </c>
      <c r="Y111" s="11">
        <f>Commercial!Y116*Commercial!$B$5</f>
        <v>19426.659491987659</v>
      </c>
      <c r="Z111" s="11">
        <f>Commercial!Z116*Commercial!$B$5</f>
        <v>19483.511097177052</v>
      </c>
      <c r="AA111" s="11">
        <f>Commercial!AA116*Commercial!$B$5</f>
        <v>19540.362702366438</v>
      </c>
      <c r="AB111" s="11">
        <f>Commercial!AB116*Commercial!$B$5</f>
        <v>19597.214307555827</v>
      </c>
      <c r="AC111" s="11">
        <f>Commercial!AC116*Commercial!$B$5</f>
        <v>19654.065912745213</v>
      </c>
      <c r="AD111" s="11">
        <f>Commercial!AD116*Commercial!$B$5</f>
        <v>19710.917517934606</v>
      </c>
      <c r="AE111" s="11">
        <f>Commercial!AE116*Commercial!$B$5</f>
        <v>19710.917517934606</v>
      </c>
      <c r="AF111" s="11">
        <f>Commercial!AF116*Commercial!$B$5</f>
        <v>19710.917517934606</v>
      </c>
      <c r="AG111" s="11">
        <f>Commercial!AG116*Commercial!$B$5</f>
        <v>19710.917517934606</v>
      </c>
      <c r="AH111" s="11">
        <f>Commercial!AH116*Commercial!$B$5</f>
        <v>19710.917517934606</v>
      </c>
      <c r="AI111" s="11">
        <f>Commercial!AI116*Commercial!$B$5</f>
        <v>19710.917517934606</v>
      </c>
      <c r="AJ111" s="11">
        <f>Commercial!AJ116*Commercial!$B$5</f>
        <v>19710.917517934606</v>
      </c>
      <c r="AK111" s="11">
        <f>Commercial!AK116*Commercial!$B$5</f>
        <v>19710.917517934606</v>
      </c>
      <c r="AL111" s="11">
        <f>Commercial!AL116*Commercial!$B$5</f>
        <v>19710.917517934606</v>
      </c>
      <c r="AM111" s="11">
        <f>Commercial!AM116*Commercial!$B$5</f>
        <v>19710.917517934606</v>
      </c>
      <c r="AN111" s="11">
        <f>Commercial!AN116*Commercial!$B$5</f>
        <v>19710.917517934606</v>
      </c>
      <c r="AO111" s="40">
        <f>Commercial!AO116*Commercial!$B$5</f>
        <v>19710.917517934606</v>
      </c>
      <c r="AP111" s="40">
        <f>Commercial!AP116*Commercial!$B$5</f>
        <v>19710.917517934606</v>
      </c>
      <c r="AQ111" s="40">
        <f>Commercial!AQ116*Commercial!$B$5</f>
        <v>19710.917517934606</v>
      </c>
      <c r="AR111" s="40">
        <f>Commercial!AR116*Commercial!$B$5</f>
        <v>19710.917517934606</v>
      </c>
      <c r="AS111" s="40">
        <f>Commercial!AS116*Commercial!$B$5</f>
        <v>19710.917517934606</v>
      </c>
      <c r="AT111" s="40">
        <f>Commercial!AT116*Commercial!$B$5</f>
        <v>19710.917517934606</v>
      </c>
      <c r="AU111" s="40">
        <f>Commercial!AU116*Commercial!$B$5</f>
        <v>19710.917517934606</v>
      </c>
      <c r="AV111" s="40">
        <f>Commercial!AV116*Commercial!$B$5</f>
        <v>19710.917517934606</v>
      </c>
      <c r="AW111" s="40">
        <f>Commercial!AW116*Commercial!$B$5</f>
        <v>19710.917517934606</v>
      </c>
      <c r="AX111" s="40">
        <f>Commercial!AX116*Commercial!$B$5</f>
        <v>19710.917517934606</v>
      </c>
    </row>
    <row r="112" spans="1:50" x14ac:dyDescent="0.2">
      <c r="A112" s="6" t="s">
        <v>9</v>
      </c>
      <c r="B112" s="11">
        <f>Commercial!B117*Commercial!$B$5</f>
        <v>173302.63937080937</v>
      </c>
      <c r="C112" s="11">
        <f>Commercial!C117*Commercial!$B$5</f>
        <v>173895.23777956344</v>
      </c>
      <c r="D112" s="11">
        <f>Commercial!D117*Commercial!$B$5</f>
        <v>174487.83618831745</v>
      </c>
      <c r="E112" s="11">
        <f>Commercial!E117*Commercial!$B$5</f>
        <v>175080.43459707152</v>
      </c>
      <c r="F112" s="11">
        <f>Commercial!F117*Commercial!$B$5</f>
        <v>176665.62706625657</v>
      </c>
      <c r="G112" s="11">
        <f>Commercial!G117*Commercial!$B$5</f>
        <v>178250.81953544158</v>
      </c>
      <c r="H112" s="11">
        <f>Commercial!H117*Commercial!$B$5</f>
        <v>179836.01200462665</v>
      </c>
      <c r="I112" s="11">
        <f>Commercial!I117*Commercial!$B$5</f>
        <v>181421.20447381164</v>
      </c>
      <c r="J112" s="11">
        <f>Commercial!J117*Commercial!$B$5</f>
        <v>183006.39694299668</v>
      </c>
      <c r="K112" s="11">
        <f>Commercial!K117*Commercial!$B$5</f>
        <v>184337.83609982417</v>
      </c>
      <c r="L112" s="11">
        <f>Commercial!L117*Commercial!$B$5</f>
        <v>185669.27525665163</v>
      </c>
      <c r="M112" s="11">
        <f>Commercial!M117*Commercial!$B$5</f>
        <v>187000.71441347903</v>
      </c>
      <c r="N112" s="11">
        <f>Commercial!N117*Commercial!$B$5</f>
        <v>188332.15357030652</v>
      </c>
      <c r="O112" s="11">
        <f>Commercial!O117*Commercial!$B$5</f>
        <v>189663.59272713392</v>
      </c>
      <c r="P112" s="11">
        <f>Commercial!P117*Commercial!$B$5</f>
        <v>190738.34509447915</v>
      </c>
      <c r="Q112" s="11">
        <f>Commercial!Q117*Commercial!$B$5</f>
        <v>191813.09746182436</v>
      </c>
      <c r="R112" s="11">
        <f>Commercial!R117*Commercial!$B$5</f>
        <v>192887.84982916954</v>
      </c>
      <c r="S112" s="11">
        <f>Commercial!S117*Commercial!$B$5</f>
        <v>193962.60219651472</v>
      </c>
      <c r="T112" s="11">
        <f>Commercial!T117*Commercial!$B$5</f>
        <v>195037.3545638599</v>
      </c>
      <c r="U112" s="11">
        <f>Commercial!U117*Commercial!$B$5</f>
        <v>195861.0545795763</v>
      </c>
      <c r="V112" s="11">
        <f>Commercial!V117*Commercial!$B$5</f>
        <v>196684.7545952927</v>
      </c>
      <c r="W112" s="11">
        <f>Commercial!W117*Commercial!$B$5</f>
        <v>197508.4546110091</v>
      </c>
      <c r="X112" s="11">
        <f>Commercial!X117*Commercial!$B$5</f>
        <v>198332.1546267255</v>
      </c>
      <c r="Y112" s="11">
        <f>Commercial!Y117*Commercial!$B$5</f>
        <v>199155.85464244187</v>
      </c>
      <c r="Z112" s="11">
        <f>Commercial!Z117*Commercial!$B$5</f>
        <v>199738.67898359831</v>
      </c>
      <c r="AA112" s="11">
        <f>Commercial!AA117*Commercial!$B$5</f>
        <v>200321.50332475468</v>
      </c>
      <c r="AB112" s="11">
        <f>Commercial!AB117*Commercial!$B$5</f>
        <v>200904.32766591109</v>
      </c>
      <c r="AC112" s="11">
        <f>Commercial!AC117*Commercial!$B$5</f>
        <v>201487.15200706749</v>
      </c>
      <c r="AD112" s="11">
        <f>Commercial!AD117*Commercial!$B$5</f>
        <v>202069.97634822389</v>
      </c>
      <c r="AE112" s="11">
        <f>Commercial!AE117*Commercial!$B$5</f>
        <v>202069.97634822389</v>
      </c>
      <c r="AF112" s="11">
        <f>Commercial!AF117*Commercial!$B$5</f>
        <v>202069.97634822389</v>
      </c>
      <c r="AG112" s="11">
        <f>Commercial!AG117*Commercial!$B$5</f>
        <v>202069.97634822389</v>
      </c>
      <c r="AH112" s="11">
        <f>Commercial!AH117*Commercial!$B$5</f>
        <v>202069.97634822389</v>
      </c>
      <c r="AI112" s="11">
        <f>Commercial!AI117*Commercial!$B$5</f>
        <v>202069.97634822389</v>
      </c>
      <c r="AJ112" s="11">
        <f>Commercial!AJ117*Commercial!$B$5</f>
        <v>202069.97634822389</v>
      </c>
      <c r="AK112" s="11">
        <f>Commercial!AK117*Commercial!$B$5</f>
        <v>202069.97634822389</v>
      </c>
      <c r="AL112" s="11">
        <f>Commercial!AL117*Commercial!$B$5</f>
        <v>202069.97634822389</v>
      </c>
      <c r="AM112" s="11">
        <f>Commercial!AM117*Commercial!$B$5</f>
        <v>202069.97634822389</v>
      </c>
      <c r="AN112" s="11">
        <f>Commercial!AN117*Commercial!$B$5</f>
        <v>202069.97634822389</v>
      </c>
      <c r="AO112" s="40">
        <f>Commercial!AO117*Commercial!$B$5</f>
        <v>202069.97634822389</v>
      </c>
      <c r="AP112" s="40">
        <f>Commercial!AP117*Commercial!$B$5</f>
        <v>202069.97634822389</v>
      </c>
      <c r="AQ112" s="40">
        <f>Commercial!AQ117*Commercial!$B$5</f>
        <v>202069.97634822389</v>
      </c>
      <c r="AR112" s="40">
        <f>Commercial!AR117*Commercial!$B$5</f>
        <v>202069.97634822389</v>
      </c>
      <c r="AS112" s="40">
        <f>Commercial!AS117*Commercial!$B$5</f>
        <v>202069.97634822389</v>
      </c>
      <c r="AT112" s="40">
        <f>Commercial!AT117*Commercial!$B$5</f>
        <v>202069.97634822389</v>
      </c>
      <c r="AU112" s="40">
        <f>Commercial!AU117*Commercial!$B$5</f>
        <v>202069.97634822389</v>
      </c>
      <c r="AV112" s="40">
        <f>Commercial!AV117*Commercial!$B$5</f>
        <v>202069.97634822389</v>
      </c>
      <c r="AW112" s="40">
        <f>Commercial!AW117*Commercial!$B$5</f>
        <v>202069.97634822389</v>
      </c>
      <c r="AX112" s="40">
        <f>Commercial!AX117*Commercial!$B$5</f>
        <v>202069.97634822389</v>
      </c>
    </row>
    <row r="113" spans="1:50" x14ac:dyDescent="0.2">
      <c r="A113" s="6" t="s">
        <v>10</v>
      </c>
      <c r="B113" s="11">
        <f>Commercial!B118*Commercial!$B$5</f>
        <v>150.52074149159378</v>
      </c>
      <c r="C113" s="11">
        <f>Commercial!C118*Commercial!$B$5</f>
        <v>151.03543851072891</v>
      </c>
      <c r="D113" s="11">
        <f>Commercial!D118*Commercial!$B$5</f>
        <v>151.55013552986398</v>
      </c>
      <c r="E113" s="11">
        <f>Commercial!E118*Commercial!$B$5</f>
        <v>152.06483254899908</v>
      </c>
      <c r="F113" s="11">
        <f>Commercial!F118*Commercial!$B$5</f>
        <v>153.4416398886616</v>
      </c>
      <c r="G113" s="11">
        <f>Commercial!G118*Commercial!$B$5</f>
        <v>154.81844722832417</v>
      </c>
      <c r="H113" s="11">
        <f>Commercial!H118*Commercial!$B$5</f>
        <v>156.19525456798672</v>
      </c>
      <c r="I113" s="11">
        <f>Commercial!I118*Commercial!$B$5</f>
        <v>157.57206190764921</v>
      </c>
      <c r="J113" s="11">
        <f>Commercial!J118*Commercial!$B$5</f>
        <v>158.94886924731176</v>
      </c>
      <c r="K113" s="11">
        <f>Commercial!K118*Commercial!$B$5</f>
        <v>160.10528100113282</v>
      </c>
      <c r="L113" s="11">
        <f>Commercial!L118*Commercial!$B$5</f>
        <v>161.26169275495383</v>
      </c>
      <c r="M113" s="11">
        <f>Commercial!M118*Commercial!$B$5</f>
        <v>162.41810450877486</v>
      </c>
      <c r="N113" s="11">
        <f>Commercial!N118*Commercial!$B$5</f>
        <v>163.57451626259589</v>
      </c>
      <c r="O113" s="11">
        <f>Commercial!O118*Commercial!$B$5</f>
        <v>164.73092801641693</v>
      </c>
      <c r="P113" s="11">
        <f>Commercial!P118*Commercial!$B$5</f>
        <v>165.66439633426813</v>
      </c>
      <c r="Q113" s="11">
        <f>Commercial!Q118*Commercial!$B$5</f>
        <v>166.59786465211937</v>
      </c>
      <c r="R113" s="11">
        <f>Commercial!R118*Commercial!$B$5</f>
        <v>167.53133296997055</v>
      </c>
      <c r="S113" s="11">
        <f>Commercial!S118*Commercial!$B$5</f>
        <v>168.46480128782176</v>
      </c>
      <c r="T113" s="11">
        <f>Commercial!T118*Commercial!$B$5</f>
        <v>169.39826960567297</v>
      </c>
      <c r="U113" s="11">
        <f>Commercial!U118*Commercial!$B$5</f>
        <v>170.11368823739377</v>
      </c>
      <c r="V113" s="11">
        <f>Commercial!V118*Commercial!$B$5</f>
        <v>170.82910686911458</v>
      </c>
      <c r="W113" s="11">
        <f>Commercial!W118*Commercial!$B$5</f>
        <v>171.54452550083539</v>
      </c>
      <c r="X113" s="11">
        <f>Commercial!X118*Commercial!$B$5</f>
        <v>172.25994413255623</v>
      </c>
      <c r="Y113" s="11">
        <f>Commercial!Y118*Commercial!$B$5</f>
        <v>172.97536276427704</v>
      </c>
      <c r="Z113" s="11">
        <f>Commercial!Z118*Commercial!$B$5</f>
        <v>173.48157058839735</v>
      </c>
      <c r="AA113" s="11">
        <f>Commercial!AA118*Commercial!$B$5</f>
        <v>173.98777841251768</v>
      </c>
      <c r="AB113" s="11">
        <f>Commercial!AB118*Commercial!$B$5</f>
        <v>174.49398623663802</v>
      </c>
      <c r="AC113" s="11">
        <f>Commercial!AC118*Commercial!$B$5</f>
        <v>175.00019406075839</v>
      </c>
      <c r="AD113" s="11">
        <f>Commercial!AD118*Commercial!$B$5</f>
        <v>175.50640188487876</v>
      </c>
      <c r="AE113" s="11">
        <f>Commercial!AE118*Commercial!$B$5</f>
        <v>175.50640188487876</v>
      </c>
      <c r="AF113" s="11">
        <f>Commercial!AF118*Commercial!$B$5</f>
        <v>175.50640188487876</v>
      </c>
      <c r="AG113" s="11">
        <f>Commercial!AG118*Commercial!$B$5</f>
        <v>175.50640188487876</v>
      </c>
      <c r="AH113" s="11">
        <f>Commercial!AH118*Commercial!$B$5</f>
        <v>175.50640188487876</v>
      </c>
      <c r="AI113" s="11">
        <f>Commercial!AI118*Commercial!$B$5</f>
        <v>175.50640188487876</v>
      </c>
      <c r="AJ113" s="11">
        <f>Commercial!AJ118*Commercial!$B$5</f>
        <v>175.50640188487876</v>
      </c>
      <c r="AK113" s="11">
        <f>Commercial!AK118*Commercial!$B$5</f>
        <v>175.50640188487876</v>
      </c>
      <c r="AL113" s="11">
        <f>Commercial!AL118*Commercial!$B$5</f>
        <v>175.50640188487876</v>
      </c>
      <c r="AM113" s="11">
        <f>Commercial!AM118*Commercial!$B$5</f>
        <v>175.50640188487876</v>
      </c>
      <c r="AN113" s="11">
        <f>Commercial!AN118*Commercial!$B$5</f>
        <v>175.50640188487876</v>
      </c>
      <c r="AO113" s="40">
        <f>Commercial!AO118*Commercial!$B$5</f>
        <v>175.50640188487876</v>
      </c>
      <c r="AP113" s="40">
        <f>Commercial!AP118*Commercial!$B$5</f>
        <v>175.50640188487876</v>
      </c>
      <c r="AQ113" s="40">
        <f>Commercial!AQ118*Commercial!$B$5</f>
        <v>175.50640188487876</v>
      </c>
      <c r="AR113" s="40">
        <f>Commercial!AR118*Commercial!$B$5</f>
        <v>175.50640188487876</v>
      </c>
      <c r="AS113" s="40">
        <f>Commercial!AS118*Commercial!$B$5</f>
        <v>175.50640188487876</v>
      </c>
      <c r="AT113" s="40">
        <f>Commercial!AT118*Commercial!$B$5</f>
        <v>175.50640188487876</v>
      </c>
      <c r="AU113" s="40">
        <f>Commercial!AU118*Commercial!$B$5</f>
        <v>175.50640188487876</v>
      </c>
      <c r="AV113" s="40">
        <f>Commercial!AV118*Commercial!$B$5</f>
        <v>175.50640188487876</v>
      </c>
      <c r="AW113" s="40">
        <f>Commercial!AW118*Commercial!$B$5</f>
        <v>175.50640188487876</v>
      </c>
      <c r="AX113" s="40">
        <f>Commercial!AX118*Commercial!$B$5</f>
        <v>175.50640188487876</v>
      </c>
    </row>
    <row r="114" spans="1:50" x14ac:dyDescent="0.2">
      <c r="A114" s="6" t="s">
        <v>44</v>
      </c>
      <c r="B114" s="11">
        <f>Commercial!B119*Commercial!$B$5</f>
        <v>274840.05915483134</v>
      </c>
      <c r="C114" s="11">
        <f>Commercial!C119*Commercial!$B$5</f>
        <v>275779.85893115524</v>
      </c>
      <c r="D114" s="11">
        <f>Commercial!D119*Commercial!$B$5</f>
        <v>276719.65870747907</v>
      </c>
      <c r="E114" s="11">
        <f>Commercial!E119*Commercial!$B$5</f>
        <v>277659.45848380297</v>
      </c>
      <c r="F114" s="11">
        <f>Commercial!F119*Commercial!$B$5</f>
        <v>280173.40976339317</v>
      </c>
      <c r="G114" s="11">
        <f>Commercial!G119*Commercial!$B$5</f>
        <v>282687.36104298342</v>
      </c>
      <c r="H114" s="11">
        <f>Commercial!H119*Commercial!$B$5</f>
        <v>285201.31232257362</v>
      </c>
      <c r="I114" s="11">
        <f>Commercial!I119*Commercial!$B$5</f>
        <v>287715.26360216382</v>
      </c>
      <c r="J114" s="11">
        <f>Commercial!J119*Commercial!$B$5</f>
        <v>290229.21488175401</v>
      </c>
      <c r="K114" s="11">
        <f>Commercial!K119*Commercial!$B$5</f>
        <v>292340.73965686455</v>
      </c>
      <c r="L114" s="11">
        <f>Commercial!L119*Commercial!$B$5</f>
        <v>294452.26443197514</v>
      </c>
      <c r="M114" s="11">
        <f>Commercial!M119*Commercial!$B$5</f>
        <v>296563.78920708573</v>
      </c>
      <c r="N114" s="11">
        <f>Commercial!N119*Commercial!$B$5</f>
        <v>298675.31398219627</v>
      </c>
      <c r="O114" s="11">
        <f>Commercial!O119*Commercial!$B$5</f>
        <v>300786.83875730686</v>
      </c>
      <c r="P114" s="11">
        <f>Commercial!P119*Commercial!$B$5</f>
        <v>302491.28483666474</v>
      </c>
      <c r="Q114" s="11">
        <f>Commercial!Q119*Commercial!$B$5</f>
        <v>304195.73091602261</v>
      </c>
      <c r="R114" s="11">
        <f>Commercial!R119*Commercial!$B$5</f>
        <v>305900.17699538049</v>
      </c>
      <c r="S114" s="11">
        <f>Commercial!S119*Commercial!$B$5</f>
        <v>307604.62307473837</v>
      </c>
      <c r="T114" s="11">
        <f>Commercial!T119*Commercial!$B$5</f>
        <v>309309.06915409624</v>
      </c>
      <c r="U114" s="11">
        <f>Commercial!U119*Commercial!$B$5</f>
        <v>310615.37217329565</v>
      </c>
      <c r="V114" s="11">
        <f>Commercial!V119*Commercial!$B$5</f>
        <v>311921.67519249517</v>
      </c>
      <c r="W114" s="11">
        <f>Commercial!W119*Commercial!$B$5</f>
        <v>313227.97821169469</v>
      </c>
      <c r="X114" s="11">
        <f>Commercial!X119*Commercial!$B$5</f>
        <v>314534.28123089421</v>
      </c>
      <c r="Y114" s="11">
        <f>Commercial!Y119*Commercial!$B$5</f>
        <v>315840.58425009367</v>
      </c>
      <c r="Z114" s="11">
        <f>Commercial!Z119*Commercial!$B$5</f>
        <v>316764.8833662633</v>
      </c>
      <c r="AA114" s="11">
        <f>Commercial!AA119*Commercial!$B$5</f>
        <v>317689.18248243292</v>
      </c>
      <c r="AB114" s="11">
        <f>Commercial!AB119*Commercial!$B$5</f>
        <v>318613.48159860249</v>
      </c>
      <c r="AC114" s="11">
        <f>Commercial!AC119*Commercial!$B$5</f>
        <v>319537.78071477218</v>
      </c>
      <c r="AD114" s="11">
        <f>Commercial!AD119*Commercial!$B$5</f>
        <v>320462.0798309418</v>
      </c>
      <c r="AE114" s="11">
        <f>Commercial!AE119*Commercial!$B$5</f>
        <v>320462.0798309418</v>
      </c>
      <c r="AF114" s="11">
        <f>Commercial!AF119*Commercial!$B$5</f>
        <v>320462.0798309418</v>
      </c>
      <c r="AG114" s="11">
        <f>Commercial!AG119*Commercial!$B$5</f>
        <v>320462.0798309418</v>
      </c>
      <c r="AH114" s="11">
        <f>Commercial!AH119*Commercial!$B$5</f>
        <v>320462.0798309418</v>
      </c>
      <c r="AI114" s="11">
        <f>Commercial!AI119*Commercial!$B$5</f>
        <v>320462.0798309418</v>
      </c>
      <c r="AJ114" s="11">
        <f>Commercial!AJ119*Commercial!$B$5</f>
        <v>320462.0798309418</v>
      </c>
      <c r="AK114" s="11">
        <f>Commercial!AK119*Commercial!$B$5</f>
        <v>320462.0798309418</v>
      </c>
      <c r="AL114" s="11">
        <f>Commercial!AL119*Commercial!$B$5</f>
        <v>320462.0798309418</v>
      </c>
      <c r="AM114" s="11">
        <f>Commercial!AM119*Commercial!$B$5</f>
        <v>320462.0798309418</v>
      </c>
      <c r="AN114" s="11">
        <f>Commercial!AN119*Commercial!$B$5</f>
        <v>320462.0798309418</v>
      </c>
      <c r="AO114" s="40">
        <f>Commercial!AO119*Commercial!$B$5</f>
        <v>320462.0798309418</v>
      </c>
      <c r="AP114" s="40">
        <f>Commercial!AP119*Commercial!$B$5</f>
        <v>320462.0798309418</v>
      </c>
      <c r="AQ114" s="40">
        <f>Commercial!AQ119*Commercial!$B$5</f>
        <v>320462.0798309418</v>
      </c>
      <c r="AR114" s="40">
        <f>Commercial!AR119*Commercial!$B$5</f>
        <v>320462.0798309418</v>
      </c>
      <c r="AS114" s="40">
        <f>Commercial!AS119*Commercial!$B$5</f>
        <v>320462.0798309418</v>
      </c>
      <c r="AT114" s="40">
        <f>Commercial!AT119*Commercial!$B$5</f>
        <v>320462.0798309418</v>
      </c>
      <c r="AU114" s="40">
        <f>Commercial!AU119*Commercial!$B$5</f>
        <v>320462.0798309418</v>
      </c>
      <c r="AV114" s="40">
        <f>Commercial!AV119*Commercial!$B$5</f>
        <v>320462.0798309418</v>
      </c>
      <c r="AW114" s="40">
        <f>Commercial!AW119*Commercial!$B$5</f>
        <v>320462.0798309418</v>
      </c>
      <c r="AX114" s="40">
        <f>Commercial!AX119*Commercial!$B$5</f>
        <v>320462.0798309418</v>
      </c>
    </row>
    <row r="116" spans="1:50" x14ac:dyDescent="0.2">
      <c r="A116" s="5" t="s">
        <v>66</v>
      </c>
    </row>
    <row r="117" spans="1:50" x14ac:dyDescent="0.2">
      <c r="A117" s="5" t="s">
        <v>4</v>
      </c>
    </row>
    <row r="118" spans="1:50" x14ac:dyDescent="0.2">
      <c r="A118" s="5" t="s">
        <v>60</v>
      </c>
    </row>
    <row r="119" spans="1:50" x14ac:dyDescent="0.2">
      <c r="A119" s="5" t="s">
        <v>6</v>
      </c>
    </row>
    <row r="120" spans="1:50" x14ac:dyDescent="0.2">
      <c r="A120" s="5"/>
    </row>
    <row r="121" spans="1:50" x14ac:dyDescent="0.2">
      <c r="A121" s="6" t="s">
        <v>7</v>
      </c>
      <c r="B121" s="6">
        <v>2022</v>
      </c>
      <c r="C121" s="6">
        <v>2023</v>
      </c>
      <c r="D121" s="6">
        <v>2024</v>
      </c>
      <c r="E121" s="6">
        <v>2025</v>
      </c>
      <c r="F121" s="6">
        <v>2026</v>
      </c>
      <c r="G121" s="6">
        <v>2027</v>
      </c>
      <c r="H121" s="6">
        <v>2028</v>
      </c>
      <c r="I121" s="6">
        <v>2029</v>
      </c>
      <c r="J121" s="6">
        <v>2030</v>
      </c>
      <c r="K121" s="6">
        <v>2031</v>
      </c>
      <c r="L121" s="6">
        <v>2032</v>
      </c>
      <c r="M121" s="6">
        <v>2033</v>
      </c>
      <c r="N121" s="6">
        <v>2034</v>
      </c>
      <c r="O121" s="6">
        <v>2035</v>
      </c>
      <c r="P121" s="6">
        <v>2036</v>
      </c>
      <c r="Q121" s="6">
        <v>2037</v>
      </c>
      <c r="R121" s="6">
        <v>2038</v>
      </c>
      <c r="S121" s="6">
        <v>2039</v>
      </c>
      <c r="T121" s="6">
        <v>2040</v>
      </c>
      <c r="U121" s="6">
        <v>2041</v>
      </c>
      <c r="V121" s="6">
        <v>2042</v>
      </c>
      <c r="W121" s="6">
        <v>2043</v>
      </c>
      <c r="X121" s="6">
        <v>2044</v>
      </c>
      <c r="Y121" s="6">
        <v>2045</v>
      </c>
      <c r="Z121" s="6">
        <v>2046</v>
      </c>
      <c r="AA121" s="6">
        <v>2047</v>
      </c>
      <c r="AB121" s="6">
        <v>2048</v>
      </c>
      <c r="AC121" s="6">
        <v>2049</v>
      </c>
      <c r="AD121" s="6">
        <v>2050</v>
      </c>
      <c r="AE121" s="6">
        <v>2051</v>
      </c>
      <c r="AF121" s="6">
        <v>2052</v>
      </c>
      <c r="AG121" s="6">
        <v>2053</v>
      </c>
      <c r="AH121" s="6">
        <v>2054</v>
      </c>
      <c r="AI121" s="6">
        <v>2055</v>
      </c>
      <c r="AJ121" s="6">
        <v>2056</v>
      </c>
      <c r="AK121" s="6">
        <v>2057</v>
      </c>
      <c r="AL121" s="6">
        <v>2058</v>
      </c>
      <c r="AM121" s="6">
        <v>2059</v>
      </c>
      <c r="AN121" s="6">
        <v>2060</v>
      </c>
      <c r="AO121" s="39">
        <f>AN121+1</f>
        <v>2061</v>
      </c>
      <c r="AP121" s="39">
        <f t="shared" ref="AP121:AX121" si="7">AO121+1</f>
        <v>2062</v>
      </c>
      <c r="AQ121" s="39">
        <f t="shared" si="7"/>
        <v>2063</v>
      </c>
      <c r="AR121" s="39">
        <f t="shared" si="7"/>
        <v>2064</v>
      </c>
      <c r="AS121" s="39">
        <f t="shared" si="7"/>
        <v>2065</v>
      </c>
      <c r="AT121" s="39">
        <f t="shared" si="7"/>
        <v>2066</v>
      </c>
      <c r="AU121" s="39">
        <f t="shared" si="7"/>
        <v>2067</v>
      </c>
      <c r="AV121" s="39">
        <f t="shared" si="7"/>
        <v>2068</v>
      </c>
      <c r="AW121" s="39">
        <f>AV121+1</f>
        <v>2069</v>
      </c>
      <c r="AX121" s="39">
        <f t="shared" si="7"/>
        <v>2070</v>
      </c>
    </row>
    <row r="122" spans="1:50" x14ac:dyDescent="0.2">
      <c r="A122" s="6" t="s">
        <v>40</v>
      </c>
      <c r="B122" s="11">
        <f>Commercial!B127*Commercial!$B$5</f>
        <v>157897.35921763128</v>
      </c>
      <c r="C122" s="11">
        <f>Commercial!C127*Commercial!$B$5</f>
        <v>158437.28015685387</v>
      </c>
      <c r="D122" s="11">
        <f>Commercial!D127*Commercial!$B$5</f>
        <v>158977.20109607637</v>
      </c>
      <c r="E122" s="11">
        <f>Commercial!E127*Commercial!$B$5</f>
        <v>159517.12203529893</v>
      </c>
      <c r="F122" s="11">
        <f>Commercial!F127*Commercial!$B$5</f>
        <v>160961.40300900323</v>
      </c>
      <c r="G122" s="11">
        <f>Commercial!G127*Commercial!$B$5</f>
        <v>162405.6839827075</v>
      </c>
      <c r="H122" s="11">
        <f>Commercial!H127*Commercial!$B$5</f>
        <v>163849.96495641177</v>
      </c>
      <c r="I122" s="11">
        <f>Commercial!I127*Commercial!$B$5</f>
        <v>165294.24593011607</v>
      </c>
      <c r="J122" s="11">
        <f>Commercial!J127*Commercial!$B$5</f>
        <v>166738.52690382031</v>
      </c>
      <c r="K122" s="11">
        <f>Commercial!K127*Commercial!$B$5</f>
        <v>167951.61129529448</v>
      </c>
      <c r="L122" s="11">
        <f>Commercial!L127*Commercial!$B$5</f>
        <v>169164.69568676862</v>
      </c>
      <c r="M122" s="11">
        <f>Commercial!M127*Commercial!$B$5</f>
        <v>170377.78007824279</v>
      </c>
      <c r="N122" s="11">
        <f>Commercial!N127*Commercial!$B$5</f>
        <v>171590.86446971691</v>
      </c>
      <c r="O122" s="11">
        <f>Commercial!O127*Commercial!$B$5</f>
        <v>172803.94886119111</v>
      </c>
      <c r="P122" s="11">
        <f>Commercial!P127*Commercial!$B$5</f>
        <v>173783.16395700737</v>
      </c>
      <c r="Q122" s="11">
        <f>Commercial!Q127*Commercial!$B$5</f>
        <v>174762.3790528237</v>
      </c>
      <c r="R122" s="11">
        <f>Commercial!R127*Commercial!$B$5</f>
        <v>175741.59414864003</v>
      </c>
      <c r="S122" s="11">
        <f>Commercial!S127*Commercial!$B$5</f>
        <v>176720.80924445632</v>
      </c>
      <c r="T122" s="11">
        <f>Commercial!T127*Commercial!$B$5</f>
        <v>177700.02434027259</v>
      </c>
      <c r="U122" s="11">
        <f>Commercial!U127*Commercial!$B$5</f>
        <v>178450.50371982119</v>
      </c>
      <c r="V122" s="11">
        <f>Commercial!V127*Commercial!$B$5</f>
        <v>179200.98309936977</v>
      </c>
      <c r="W122" s="11">
        <f>Commercial!W127*Commercial!$B$5</f>
        <v>179951.46247891837</v>
      </c>
      <c r="X122" s="11">
        <f>Commercial!X127*Commercial!$B$5</f>
        <v>180701.94185846701</v>
      </c>
      <c r="Y122" s="11">
        <f>Commercial!Y127*Commercial!$B$5</f>
        <v>181452.42123801561</v>
      </c>
      <c r="Z122" s="11">
        <f>Commercial!Z127*Commercial!$B$5</f>
        <v>181983.43694955044</v>
      </c>
      <c r="AA122" s="11">
        <f>Commercial!AA127*Commercial!$B$5</f>
        <v>182514.4526610852</v>
      </c>
      <c r="AB122" s="11">
        <f>Commercial!AB127*Commercial!$B$5</f>
        <v>183045.46837262</v>
      </c>
      <c r="AC122" s="11">
        <f>Commercial!AC127*Commercial!$B$5</f>
        <v>183576.48408415483</v>
      </c>
      <c r="AD122" s="11">
        <f>Commercial!AD127*Commercial!$B$5</f>
        <v>184107.49979568966</v>
      </c>
      <c r="AE122" s="11">
        <f>Commercial!AE127*Commercial!$B$5</f>
        <v>184107.49979568966</v>
      </c>
      <c r="AF122" s="11">
        <f>Commercial!AF127*Commercial!$B$5</f>
        <v>184107.49979568966</v>
      </c>
      <c r="AG122" s="11">
        <f>Commercial!AG127*Commercial!$B$5</f>
        <v>184107.49979568966</v>
      </c>
      <c r="AH122" s="11">
        <f>Commercial!AH127*Commercial!$B$5</f>
        <v>184107.49979568966</v>
      </c>
      <c r="AI122" s="11">
        <f>Commercial!AI127*Commercial!$B$5</f>
        <v>184107.49979568966</v>
      </c>
      <c r="AJ122" s="11">
        <f>Commercial!AJ127*Commercial!$B$5</f>
        <v>184107.49979568966</v>
      </c>
      <c r="AK122" s="11">
        <f>Commercial!AK127*Commercial!$B$5</f>
        <v>184107.49979568966</v>
      </c>
      <c r="AL122" s="11">
        <f>Commercial!AL127*Commercial!$B$5</f>
        <v>184107.49979568966</v>
      </c>
      <c r="AM122" s="11">
        <f>Commercial!AM127*Commercial!$B$5</f>
        <v>184107.49979568966</v>
      </c>
      <c r="AN122" s="11">
        <f>Commercial!AN127*Commercial!$B$5</f>
        <v>184107.49979568966</v>
      </c>
      <c r="AO122" s="40">
        <f>Commercial!AO127*Commercial!$B$5</f>
        <v>184107.49979568966</v>
      </c>
      <c r="AP122" s="40">
        <f>Commercial!AP127*Commercial!$B$5</f>
        <v>184107.49979568966</v>
      </c>
      <c r="AQ122" s="40">
        <f>Commercial!AQ127*Commercial!$B$5</f>
        <v>184107.49979568966</v>
      </c>
      <c r="AR122" s="40">
        <f>Commercial!AR127*Commercial!$B$5</f>
        <v>184107.49979568966</v>
      </c>
      <c r="AS122" s="40">
        <f>Commercial!AS127*Commercial!$B$5</f>
        <v>184107.49979568966</v>
      </c>
      <c r="AT122" s="40">
        <f>Commercial!AT127*Commercial!$B$5</f>
        <v>184107.49979568966</v>
      </c>
      <c r="AU122" s="40">
        <f>Commercial!AU127*Commercial!$B$5</f>
        <v>184107.49979568966</v>
      </c>
      <c r="AV122" s="40">
        <f>Commercial!AV127*Commercial!$B$5</f>
        <v>184107.49979568966</v>
      </c>
      <c r="AW122" s="40">
        <f>Commercial!AW127*Commercial!$B$5</f>
        <v>184107.49979568966</v>
      </c>
      <c r="AX122" s="40">
        <f>Commercial!AX127*Commercial!$B$5</f>
        <v>184107.49979568966</v>
      </c>
    </row>
    <row r="123" spans="1:50" x14ac:dyDescent="0.2">
      <c r="A123" s="6" t="s">
        <v>41</v>
      </c>
      <c r="B123" s="11">
        <f>Commercial!B128*Commercial!$B$5</f>
        <v>96453.706751154285</v>
      </c>
      <c r="C123" s="11">
        <f>Commercial!C128*Commercial!$B$5</f>
        <v>96783.524654370791</v>
      </c>
      <c r="D123" s="11">
        <f>Commercial!D128*Commercial!$B$5</f>
        <v>97113.342557587268</v>
      </c>
      <c r="E123" s="11">
        <f>Commercial!E128*Commercial!$B$5</f>
        <v>97443.160460803774</v>
      </c>
      <c r="F123" s="11">
        <f>Commercial!F128*Commercial!$B$5</f>
        <v>98325.41874678267</v>
      </c>
      <c r="G123" s="11">
        <f>Commercial!G128*Commercial!$B$5</f>
        <v>99207.677032761581</v>
      </c>
      <c r="H123" s="11">
        <f>Commercial!H128*Commercial!$B$5</f>
        <v>100089.93531874049</v>
      </c>
      <c r="I123" s="11">
        <f>Commercial!I128*Commercial!$B$5</f>
        <v>100972.19360471939</v>
      </c>
      <c r="J123" s="11">
        <f>Commercial!J128*Commercial!$B$5</f>
        <v>101854.45189069831</v>
      </c>
      <c r="K123" s="11">
        <f>Commercial!K128*Commercial!$B$5</f>
        <v>102595.48066242324</v>
      </c>
      <c r="L123" s="11">
        <f>Commercial!L128*Commercial!$B$5</f>
        <v>103336.50943414817</v>
      </c>
      <c r="M123" s="11">
        <f>Commercial!M128*Commercial!$B$5</f>
        <v>104077.53820587309</v>
      </c>
      <c r="N123" s="11">
        <f>Commercial!N128*Commercial!$B$5</f>
        <v>104818.56697759801</v>
      </c>
      <c r="O123" s="11">
        <f>Commercial!O128*Commercial!$B$5</f>
        <v>105559.59574932295</v>
      </c>
      <c r="P123" s="11">
        <f>Commercial!P128*Commercial!$B$5</f>
        <v>106157.76234416755</v>
      </c>
      <c r="Q123" s="11">
        <f>Commercial!Q128*Commercial!$B$5</f>
        <v>106755.9289390122</v>
      </c>
      <c r="R123" s="11">
        <f>Commercial!R128*Commercial!$B$5</f>
        <v>107354.09553385682</v>
      </c>
      <c r="S123" s="11">
        <f>Commercial!S128*Commercial!$B$5</f>
        <v>107952.26212870146</v>
      </c>
      <c r="T123" s="11">
        <f>Commercial!T128*Commercial!$B$5</f>
        <v>108550.42872354607</v>
      </c>
      <c r="U123" s="11">
        <f>Commercial!U128*Commercial!$B$5</f>
        <v>109008.86905691477</v>
      </c>
      <c r="V123" s="11">
        <f>Commercial!V128*Commercial!$B$5</f>
        <v>109467.30939028348</v>
      </c>
      <c r="W123" s="11">
        <f>Commercial!W128*Commercial!$B$5</f>
        <v>109925.74972365214</v>
      </c>
      <c r="X123" s="11">
        <f>Commercial!X128*Commercial!$B$5</f>
        <v>110384.19005702087</v>
      </c>
      <c r="Y123" s="11">
        <f>Commercial!Y128*Commercial!$B$5</f>
        <v>110842.63039038958</v>
      </c>
      <c r="Z123" s="11">
        <f>Commercial!Z128*Commercial!$B$5</f>
        <v>111167.00841656062</v>
      </c>
      <c r="AA123" s="11">
        <f>Commercial!AA128*Commercial!$B$5</f>
        <v>111491.38644273166</v>
      </c>
      <c r="AB123" s="11">
        <f>Commercial!AB128*Commercial!$B$5</f>
        <v>111815.76446890268</v>
      </c>
      <c r="AC123" s="11">
        <f>Commercial!AC128*Commercial!$B$5</f>
        <v>112140.14249507371</v>
      </c>
      <c r="AD123" s="11">
        <f>Commercial!AD128*Commercial!$B$5</f>
        <v>112464.52052124475</v>
      </c>
      <c r="AE123" s="11">
        <f>Commercial!AE128*Commercial!$B$5</f>
        <v>112464.52052124475</v>
      </c>
      <c r="AF123" s="11">
        <f>Commercial!AF128*Commercial!$B$5</f>
        <v>112464.52052124475</v>
      </c>
      <c r="AG123" s="11">
        <f>Commercial!AG128*Commercial!$B$5</f>
        <v>112464.52052124475</v>
      </c>
      <c r="AH123" s="11">
        <f>Commercial!AH128*Commercial!$B$5</f>
        <v>112464.52052124475</v>
      </c>
      <c r="AI123" s="11">
        <f>Commercial!AI128*Commercial!$B$5</f>
        <v>112464.52052124475</v>
      </c>
      <c r="AJ123" s="11">
        <f>Commercial!AJ128*Commercial!$B$5</f>
        <v>112464.52052124475</v>
      </c>
      <c r="AK123" s="11">
        <f>Commercial!AK128*Commercial!$B$5</f>
        <v>112464.52052124475</v>
      </c>
      <c r="AL123" s="11">
        <f>Commercial!AL128*Commercial!$B$5</f>
        <v>112464.52052124475</v>
      </c>
      <c r="AM123" s="11">
        <f>Commercial!AM128*Commercial!$B$5</f>
        <v>112464.52052124475</v>
      </c>
      <c r="AN123" s="11">
        <f>Commercial!AN128*Commercial!$B$5</f>
        <v>112464.52052124475</v>
      </c>
      <c r="AO123" s="40">
        <f>Commercial!AO128*Commercial!$B$5</f>
        <v>112464.52052124475</v>
      </c>
      <c r="AP123" s="40">
        <f>Commercial!AP128*Commercial!$B$5</f>
        <v>112464.52052124475</v>
      </c>
      <c r="AQ123" s="40">
        <f>Commercial!AQ128*Commercial!$B$5</f>
        <v>112464.52052124475</v>
      </c>
      <c r="AR123" s="40">
        <f>Commercial!AR128*Commercial!$B$5</f>
        <v>112464.52052124475</v>
      </c>
      <c r="AS123" s="40">
        <f>Commercial!AS128*Commercial!$B$5</f>
        <v>112464.52052124475</v>
      </c>
      <c r="AT123" s="40">
        <f>Commercial!AT128*Commercial!$B$5</f>
        <v>112464.52052124475</v>
      </c>
      <c r="AU123" s="40">
        <f>Commercial!AU128*Commercial!$B$5</f>
        <v>112464.52052124475</v>
      </c>
      <c r="AV123" s="40">
        <f>Commercial!AV128*Commercial!$B$5</f>
        <v>112464.52052124475</v>
      </c>
      <c r="AW123" s="40">
        <f>Commercial!AW128*Commercial!$B$5</f>
        <v>112464.52052124475</v>
      </c>
      <c r="AX123" s="40">
        <f>Commercial!AX128*Commercial!$B$5</f>
        <v>112464.52052124475</v>
      </c>
    </row>
    <row r="124" spans="1:50" x14ac:dyDescent="0.2">
      <c r="A124" s="6" t="s">
        <v>42</v>
      </c>
      <c r="B124" s="11">
        <f>Commercial!B129*Commercial!$B$5</f>
        <v>74896.778380725809</v>
      </c>
      <c r="C124" s="11">
        <f>Commercial!C129*Commercial!$B$5</f>
        <v>75152.883607111085</v>
      </c>
      <c r="D124" s="11">
        <f>Commercial!D129*Commercial!$B$5</f>
        <v>75408.988833496333</v>
      </c>
      <c r="E124" s="11">
        <f>Commercial!E129*Commercial!$B$5</f>
        <v>75665.094059881594</v>
      </c>
      <c r="F124" s="11">
        <f>Commercial!F129*Commercial!$B$5</f>
        <v>76350.171964559748</v>
      </c>
      <c r="G124" s="11">
        <f>Commercial!G129*Commercial!$B$5</f>
        <v>77035.249869237887</v>
      </c>
      <c r="H124" s="11">
        <f>Commercial!H129*Commercial!$B$5</f>
        <v>77720.32777391604</v>
      </c>
      <c r="I124" s="11">
        <f>Commercial!I129*Commercial!$B$5</f>
        <v>78405.405678594194</v>
      </c>
      <c r="J124" s="11">
        <f>Commercial!J129*Commercial!$B$5</f>
        <v>79090.483583272333</v>
      </c>
      <c r="K124" s="11">
        <f>Commercial!K129*Commercial!$B$5</f>
        <v>79665.896074497912</v>
      </c>
      <c r="L124" s="11">
        <f>Commercial!L129*Commercial!$B$5</f>
        <v>80241.308565723491</v>
      </c>
      <c r="M124" s="11">
        <f>Commercial!M129*Commercial!$B$5</f>
        <v>80816.721056949085</v>
      </c>
      <c r="N124" s="11">
        <f>Commercial!N129*Commercial!$B$5</f>
        <v>81392.133548174636</v>
      </c>
      <c r="O124" s="11">
        <f>Commercial!O129*Commercial!$B$5</f>
        <v>81967.546039400229</v>
      </c>
      <c r="P124" s="11">
        <f>Commercial!P129*Commercial!$B$5</f>
        <v>82432.025346602124</v>
      </c>
      <c r="Q124" s="11">
        <f>Commercial!Q129*Commercial!$B$5</f>
        <v>82896.504653804019</v>
      </c>
      <c r="R124" s="11">
        <f>Commercial!R129*Commercial!$B$5</f>
        <v>83360.983961005928</v>
      </c>
      <c r="S124" s="11">
        <f>Commercial!S129*Commercial!$B$5</f>
        <v>83825.463268207823</v>
      </c>
      <c r="T124" s="11">
        <f>Commercial!T129*Commercial!$B$5</f>
        <v>84289.942575409732</v>
      </c>
      <c r="U124" s="11">
        <f>Commercial!U129*Commercial!$B$5</f>
        <v>84645.923752345581</v>
      </c>
      <c r="V124" s="11">
        <f>Commercial!V129*Commercial!$B$5</f>
        <v>85001.904929281431</v>
      </c>
      <c r="W124" s="11">
        <f>Commercial!W129*Commercial!$B$5</f>
        <v>85357.88610621728</v>
      </c>
      <c r="X124" s="11">
        <f>Commercial!X129*Commercial!$B$5</f>
        <v>85713.867283153158</v>
      </c>
      <c r="Y124" s="11">
        <f>Commercial!Y129*Commercial!$B$5</f>
        <v>86069.848460088993</v>
      </c>
      <c r="Z124" s="11">
        <f>Commercial!Z129*Commercial!$B$5</f>
        <v>86321.729595154029</v>
      </c>
      <c r="AA124" s="11">
        <f>Commercial!AA129*Commercial!$B$5</f>
        <v>86573.61073021905</v>
      </c>
      <c r="AB124" s="11">
        <f>Commercial!AB129*Commercial!$B$5</f>
        <v>86825.491865284057</v>
      </c>
      <c r="AC124" s="11">
        <f>Commercial!AC129*Commercial!$B$5</f>
        <v>87077.373000349064</v>
      </c>
      <c r="AD124" s="11">
        <f>Commercial!AD129*Commercial!$B$5</f>
        <v>87329.254135414099</v>
      </c>
      <c r="AE124" s="11">
        <f>Commercial!AE129*Commercial!$B$5</f>
        <v>87329.254135414099</v>
      </c>
      <c r="AF124" s="11">
        <f>Commercial!AF129*Commercial!$B$5</f>
        <v>87329.254135414099</v>
      </c>
      <c r="AG124" s="11">
        <f>Commercial!AG129*Commercial!$B$5</f>
        <v>87329.254135414099</v>
      </c>
      <c r="AH124" s="11">
        <f>Commercial!AH129*Commercial!$B$5</f>
        <v>87329.254135414099</v>
      </c>
      <c r="AI124" s="11">
        <f>Commercial!AI129*Commercial!$B$5</f>
        <v>87329.254135414099</v>
      </c>
      <c r="AJ124" s="11">
        <f>Commercial!AJ129*Commercial!$B$5</f>
        <v>87329.254135414099</v>
      </c>
      <c r="AK124" s="11">
        <f>Commercial!AK129*Commercial!$B$5</f>
        <v>87329.254135414099</v>
      </c>
      <c r="AL124" s="11">
        <f>Commercial!AL129*Commercial!$B$5</f>
        <v>87329.254135414099</v>
      </c>
      <c r="AM124" s="11">
        <f>Commercial!AM129*Commercial!$B$5</f>
        <v>87329.254135414099</v>
      </c>
      <c r="AN124" s="11">
        <f>Commercial!AN129*Commercial!$B$5</f>
        <v>87329.254135414099</v>
      </c>
      <c r="AO124" s="40">
        <f>Commercial!AO129*Commercial!$B$5</f>
        <v>87329.254135414099</v>
      </c>
      <c r="AP124" s="40">
        <f>Commercial!AP129*Commercial!$B$5</f>
        <v>87329.254135414099</v>
      </c>
      <c r="AQ124" s="40">
        <f>Commercial!AQ129*Commercial!$B$5</f>
        <v>87329.254135414099</v>
      </c>
      <c r="AR124" s="40">
        <f>Commercial!AR129*Commercial!$B$5</f>
        <v>87329.254135414099</v>
      </c>
      <c r="AS124" s="40">
        <f>Commercial!AS129*Commercial!$B$5</f>
        <v>87329.254135414099</v>
      </c>
      <c r="AT124" s="40">
        <f>Commercial!AT129*Commercial!$B$5</f>
        <v>87329.254135414099</v>
      </c>
      <c r="AU124" s="40">
        <f>Commercial!AU129*Commercial!$B$5</f>
        <v>87329.254135414099</v>
      </c>
      <c r="AV124" s="40">
        <f>Commercial!AV129*Commercial!$B$5</f>
        <v>87329.254135414099</v>
      </c>
      <c r="AW124" s="40">
        <f>Commercial!AW129*Commercial!$B$5</f>
        <v>87329.254135414099</v>
      </c>
      <c r="AX124" s="40">
        <f>Commercial!AX129*Commercial!$B$5</f>
        <v>87329.254135414099</v>
      </c>
    </row>
    <row r="125" spans="1:50" x14ac:dyDescent="0.2">
      <c r="A125" s="6" t="s">
        <v>43</v>
      </c>
      <c r="B125" s="11">
        <f>Commercial!B130*Commercial!$B$5</f>
        <v>5252.4870460828843</v>
      </c>
      <c r="C125" s="11">
        <f>Commercial!C130*Commercial!$B$5</f>
        <v>5270.4476234682652</v>
      </c>
      <c r="D125" s="11">
        <f>Commercial!D130*Commercial!$B$5</f>
        <v>5288.4082008536443</v>
      </c>
      <c r="E125" s="11">
        <f>Commercial!E130*Commercial!$B$5</f>
        <v>5306.3687782390243</v>
      </c>
      <c r="F125" s="11">
        <f>Commercial!F130*Commercial!$B$5</f>
        <v>5354.4130719680261</v>
      </c>
      <c r="G125" s="11">
        <f>Commercial!G130*Commercial!$B$5</f>
        <v>5402.4573656970279</v>
      </c>
      <c r="H125" s="11">
        <f>Commercial!H130*Commercial!$B$5</f>
        <v>5450.5016594260323</v>
      </c>
      <c r="I125" s="11">
        <f>Commercial!I130*Commercial!$B$5</f>
        <v>5498.5459531550341</v>
      </c>
      <c r="J125" s="11">
        <f>Commercial!J130*Commercial!$B$5</f>
        <v>5546.5902468840359</v>
      </c>
      <c r="K125" s="11">
        <f>Commercial!K130*Commercial!$B$5</f>
        <v>5586.9437403407637</v>
      </c>
      <c r="L125" s="11">
        <f>Commercial!L130*Commercial!$B$5</f>
        <v>5627.2972337974916</v>
      </c>
      <c r="M125" s="11">
        <f>Commercial!M130*Commercial!$B$5</f>
        <v>5667.6507272542203</v>
      </c>
      <c r="N125" s="11">
        <f>Commercial!N130*Commercial!$B$5</f>
        <v>5708.0042207109482</v>
      </c>
      <c r="O125" s="11">
        <f>Commercial!O130*Commercial!$B$5</f>
        <v>5748.3577141676769</v>
      </c>
      <c r="P125" s="11">
        <f>Commercial!P130*Commercial!$B$5</f>
        <v>5780.9314990085923</v>
      </c>
      <c r="Q125" s="11">
        <f>Commercial!Q130*Commercial!$B$5</f>
        <v>5813.5052838495085</v>
      </c>
      <c r="R125" s="11">
        <f>Commercial!R130*Commercial!$B$5</f>
        <v>5846.0790686904256</v>
      </c>
      <c r="S125" s="11">
        <f>Commercial!S130*Commercial!$B$5</f>
        <v>5878.65285353134</v>
      </c>
      <c r="T125" s="11">
        <f>Commercial!T130*Commercial!$B$5</f>
        <v>5911.2266383722563</v>
      </c>
      <c r="U125" s="11">
        <f>Commercial!U130*Commercial!$B$5</f>
        <v>5936.1914841363841</v>
      </c>
      <c r="V125" s="11">
        <f>Commercial!V130*Commercial!$B$5</f>
        <v>5961.156329900512</v>
      </c>
      <c r="W125" s="11">
        <f>Commercial!W130*Commercial!$B$5</f>
        <v>5986.1211756646408</v>
      </c>
      <c r="X125" s="11">
        <f>Commercial!X130*Commercial!$B$5</f>
        <v>6011.0860214287695</v>
      </c>
      <c r="Y125" s="11">
        <f>Commercial!Y130*Commercial!$B$5</f>
        <v>6036.0508671928983</v>
      </c>
      <c r="Z125" s="11">
        <f>Commercial!Z130*Commercial!$B$5</f>
        <v>6053.7152104087891</v>
      </c>
      <c r="AA125" s="11">
        <f>Commercial!AA130*Commercial!$B$5</f>
        <v>6071.3795536246807</v>
      </c>
      <c r="AB125" s="11">
        <f>Commercial!AB130*Commercial!$B$5</f>
        <v>6089.0438968405706</v>
      </c>
      <c r="AC125" s="11">
        <f>Commercial!AC130*Commercial!$B$5</f>
        <v>6106.7082400564632</v>
      </c>
      <c r="AD125" s="11">
        <f>Commercial!AD130*Commercial!$B$5</f>
        <v>6124.372583272353</v>
      </c>
      <c r="AE125" s="11">
        <f>Commercial!AE130*Commercial!$B$5</f>
        <v>6124.372583272353</v>
      </c>
      <c r="AF125" s="11">
        <f>Commercial!AF130*Commercial!$B$5</f>
        <v>6124.372583272353</v>
      </c>
      <c r="AG125" s="11">
        <f>Commercial!AG130*Commercial!$B$5</f>
        <v>6124.372583272353</v>
      </c>
      <c r="AH125" s="11">
        <f>Commercial!AH130*Commercial!$B$5</f>
        <v>6124.372583272353</v>
      </c>
      <c r="AI125" s="11">
        <f>Commercial!AI130*Commercial!$B$5</f>
        <v>6124.372583272353</v>
      </c>
      <c r="AJ125" s="11">
        <f>Commercial!AJ130*Commercial!$B$5</f>
        <v>6124.372583272353</v>
      </c>
      <c r="AK125" s="11">
        <f>Commercial!AK130*Commercial!$B$5</f>
        <v>6124.372583272353</v>
      </c>
      <c r="AL125" s="11">
        <f>Commercial!AL130*Commercial!$B$5</f>
        <v>6124.372583272353</v>
      </c>
      <c r="AM125" s="11">
        <f>Commercial!AM130*Commercial!$B$5</f>
        <v>6124.372583272353</v>
      </c>
      <c r="AN125" s="11">
        <f>Commercial!AN130*Commercial!$B$5</f>
        <v>6124.372583272353</v>
      </c>
      <c r="AO125" s="40">
        <f>Commercial!AO130*Commercial!$B$5</f>
        <v>6124.372583272353</v>
      </c>
      <c r="AP125" s="40">
        <f>Commercial!AP130*Commercial!$B$5</f>
        <v>6124.372583272353</v>
      </c>
      <c r="AQ125" s="40">
        <f>Commercial!AQ130*Commercial!$B$5</f>
        <v>6124.372583272353</v>
      </c>
      <c r="AR125" s="40">
        <f>Commercial!AR130*Commercial!$B$5</f>
        <v>6124.372583272353</v>
      </c>
      <c r="AS125" s="40">
        <f>Commercial!AS130*Commercial!$B$5</f>
        <v>6124.372583272353</v>
      </c>
      <c r="AT125" s="40">
        <f>Commercial!AT130*Commercial!$B$5</f>
        <v>6124.372583272353</v>
      </c>
      <c r="AU125" s="40">
        <f>Commercial!AU130*Commercial!$B$5</f>
        <v>6124.372583272353</v>
      </c>
      <c r="AV125" s="40">
        <f>Commercial!AV130*Commercial!$B$5</f>
        <v>6124.372583272353</v>
      </c>
      <c r="AW125" s="40">
        <f>Commercial!AW130*Commercial!$B$5</f>
        <v>6124.372583272353</v>
      </c>
      <c r="AX125" s="40">
        <f>Commercial!AX130*Commercial!$B$5</f>
        <v>6124.372583272353</v>
      </c>
    </row>
    <row r="126" spans="1:50" x14ac:dyDescent="0.2">
      <c r="A126" s="6" t="s">
        <v>8</v>
      </c>
      <c r="B126" s="11">
        <f>Commercial!B131*Commercial!$B$5</f>
        <v>4017.0596930540014</v>
      </c>
      <c r="C126" s="11">
        <f>Commercial!C131*Commercial!$B$5</f>
        <v>4030.7957976546963</v>
      </c>
      <c r="D126" s="11">
        <f>Commercial!D131*Commercial!$B$5</f>
        <v>4044.5319022553904</v>
      </c>
      <c r="E126" s="11">
        <f>Commercial!E131*Commercial!$B$5</f>
        <v>4058.2680068560853</v>
      </c>
      <c r="F126" s="11">
        <f>Commercial!F131*Commercial!$B$5</f>
        <v>4095.0118948708027</v>
      </c>
      <c r="G126" s="11">
        <f>Commercial!G131*Commercial!$B$5</f>
        <v>4131.7557828855197</v>
      </c>
      <c r="H126" s="11">
        <f>Commercial!H131*Commercial!$B$5</f>
        <v>4168.4996709002362</v>
      </c>
      <c r="I126" s="11">
        <f>Commercial!I131*Commercial!$B$5</f>
        <v>4205.2435589149536</v>
      </c>
      <c r="J126" s="11">
        <f>Commercial!J131*Commercial!$B$5</f>
        <v>4241.987446929671</v>
      </c>
      <c r="K126" s="11">
        <f>Commercial!K131*Commercial!$B$5</f>
        <v>4272.8494729788035</v>
      </c>
      <c r="L126" s="11">
        <f>Commercial!L131*Commercial!$B$5</f>
        <v>4303.711499027936</v>
      </c>
      <c r="M126" s="11">
        <f>Commercial!M131*Commercial!$B$5</f>
        <v>4334.5735250770686</v>
      </c>
      <c r="N126" s="11">
        <f>Commercial!N131*Commercial!$B$5</f>
        <v>4365.4355511262002</v>
      </c>
      <c r="O126" s="11">
        <f>Commercial!O131*Commercial!$B$5</f>
        <v>4396.2975771753336</v>
      </c>
      <c r="P126" s="11">
        <f>Commercial!P131*Commercial!$B$5</f>
        <v>4421.2097448754403</v>
      </c>
      <c r="Q126" s="11">
        <f>Commercial!Q131*Commercial!$B$5</f>
        <v>4446.121912575547</v>
      </c>
      <c r="R126" s="11">
        <f>Commercial!R131*Commercial!$B$5</f>
        <v>4471.0340802756546</v>
      </c>
      <c r="S126" s="11">
        <f>Commercial!S131*Commercial!$B$5</f>
        <v>4495.9462479757622</v>
      </c>
      <c r="T126" s="11">
        <f>Commercial!T131*Commercial!$B$5</f>
        <v>4520.8584156758689</v>
      </c>
      <c r="U126" s="11">
        <f>Commercial!U131*Commercial!$B$5</f>
        <v>4539.9513281918889</v>
      </c>
      <c r="V126" s="11">
        <f>Commercial!V131*Commercial!$B$5</f>
        <v>4559.044240707909</v>
      </c>
      <c r="W126" s="11">
        <f>Commercial!W131*Commercial!$B$5</f>
        <v>4578.1371532239282</v>
      </c>
      <c r="X126" s="11">
        <f>Commercial!X131*Commercial!$B$5</f>
        <v>4597.2300657399501</v>
      </c>
      <c r="Y126" s="11">
        <f>Commercial!Y131*Commercial!$B$5</f>
        <v>4616.3229782559702</v>
      </c>
      <c r="Z126" s="11">
        <f>Commercial!Z131*Commercial!$B$5</f>
        <v>4629.8325253551384</v>
      </c>
      <c r="AA126" s="11">
        <f>Commercial!AA131*Commercial!$B$5</f>
        <v>4643.3420724543075</v>
      </c>
      <c r="AB126" s="11">
        <f>Commercial!AB131*Commercial!$B$5</f>
        <v>4656.8516195534748</v>
      </c>
      <c r="AC126" s="11">
        <f>Commercial!AC131*Commercial!$B$5</f>
        <v>4670.3611666526431</v>
      </c>
      <c r="AD126" s="11">
        <f>Commercial!AD131*Commercial!$B$5</f>
        <v>4683.8707137518113</v>
      </c>
      <c r="AE126" s="11">
        <f>Commercial!AE131*Commercial!$B$5</f>
        <v>4683.8707137518113</v>
      </c>
      <c r="AF126" s="11">
        <f>Commercial!AF131*Commercial!$B$5</f>
        <v>4683.8707137518113</v>
      </c>
      <c r="AG126" s="11">
        <f>Commercial!AG131*Commercial!$B$5</f>
        <v>4683.8707137518113</v>
      </c>
      <c r="AH126" s="11">
        <f>Commercial!AH131*Commercial!$B$5</f>
        <v>4683.8707137518113</v>
      </c>
      <c r="AI126" s="11">
        <f>Commercial!AI131*Commercial!$B$5</f>
        <v>4683.8707137518113</v>
      </c>
      <c r="AJ126" s="11">
        <f>Commercial!AJ131*Commercial!$B$5</f>
        <v>4683.8707137518113</v>
      </c>
      <c r="AK126" s="11">
        <f>Commercial!AK131*Commercial!$B$5</f>
        <v>4683.8707137518113</v>
      </c>
      <c r="AL126" s="11">
        <f>Commercial!AL131*Commercial!$B$5</f>
        <v>4683.8707137518113</v>
      </c>
      <c r="AM126" s="11">
        <f>Commercial!AM131*Commercial!$B$5</f>
        <v>4683.8707137518113</v>
      </c>
      <c r="AN126" s="11">
        <f>Commercial!AN131*Commercial!$B$5</f>
        <v>4683.8707137518113</v>
      </c>
      <c r="AO126" s="40">
        <f>Commercial!AO131*Commercial!$B$5</f>
        <v>4683.8707137518113</v>
      </c>
      <c r="AP126" s="40">
        <f>Commercial!AP131*Commercial!$B$5</f>
        <v>4683.8707137518113</v>
      </c>
      <c r="AQ126" s="40">
        <f>Commercial!AQ131*Commercial!$B$5</f>
        <v>4683.8707137518113</v>
      </c>
      <c r="AR126" s="40">
        <f>Commercial!AR131*Commercial!$B$5</f>
        <v>4683.8707137518113</v>
      </c>
      <c r="AS126" s="40">
        <f>Commercial!AS131*Commercial!$B$5</f>
        <v>4683.8707137518113</v>
      </c>
      <c r="AT126" s="40">
        <f>Commercial!AT131*Commercial!$B$5</f>
        <v>4683.8707137518113</v>
      </c>
      <c r="AU126" s="40">
        <f>Commercial!AU131*Commercial!$B$5</f>
        <v>4683.8707137518113</v>
      </c>
      <c r="AV126" s="40">
        <f>Commercial!AV131*Commercial!$B$5</f>
        <v>4683.8707137518113</v>
      </c>
      <c r="AW126" s="40">
        <f>Commercial!AW131*Commercial!$B$5</f>
        <v>4683.8707137518113</v>
      </c>
      <c r="AX126" s="40">
        <f>Commercial!AX131*Commercial!$B$5</f>
        <v>4683.8707137518113</v>
      </c>
    </row>
    <row r="127" spans="1:50" x14ac:dyDescent="0.2">
      <c r="A127" s="6" t="s">
        <v>9</v>
      </c>
      <c r="B127" s="11">
        <f>Commercial!B132*Commercial!$B$5</f>
        <v>41181.601842037533</v>
      </c>
      <c r="C127" s="11">
        <f>Commercial!C132*Commercial!$B$5</f>
        <v>41322.419961196807</v>
      </c>
      <c r="D127" s="11">
        <f>Commercial!D132*Commercial!$B$5</f>
        <v>41463.238080356074</v>
      </c>
      <c r="E127" s="11">
        <f>Commercial!E132*Commercial!$B$5</f>
        <v>41604.05619951534</v>
      </c>
      <c r="F127" s="11">
        <f>Commercial!F132*Commercial!$B$5</f>
        <v>41980.742702075157</v>
      </c>
      <c r="G127" s="11">
        <f>Commercial!G132*Commercial!$B$5</f>
        <v>42357.429204634958</v>
      </c>
      <c r="H127" s="11">
        <f>Commercial!H132*Commercial!$B$5</f>
        <v>42734.115707194782</v>
      </c>
      <c r="I127" s="11">
        <f>Commercial!I132*Commercial!$B$5</f>
        <v>43110.802209754591</v>
      </c>
      <c r="J127" s="11">
        <f>Commercial!J132*Commercial!$B$5</f>
        <v>43487.4887123144</v>
      </c>
      <c r="K127" s="11">
        <f>Commercial!K132*Commercial!$B$5</f>
        <v>43803.876260896664</v>
      </c>
      <c r="L127" s="11">
        <f>Commercial!L132*Commercial!$B$5</f>
        <v>44120.263809478929</v>
      </c>
      <c r="M127" s="11">
        <f>Commercial!M132*Commercial!$B$5</f>
        <v>44436.651358061186</v>
      </c>
      <c r="N127" s="11">
        <f>Commercial!N132*Commercial!$B$5</f>
        <v>44753.038906643436</v>
      </c>
      <c r="O127" s="11">
        <f>Commercial!O132*Commercial!$B$5</f>
        <v>45069.426455225708</v>
      </c>
      <c r="P127" s="11">
        <f>Commercial!P132*Commercial!$B$5</f>
        <v>45324.817972813013</v>
      </c>
      <c r="Q127" s="11">
        <f>Commercial!Q132*Commercial!$B$5</f>
        <v>45580.209490400332</v>
      </c>
      <c r="R127" s="11">
        <f>Commercial!R132*Commercial!$B$5</f>
        <v>45835.601007987643</v>
      </c>
      <c r="S127" s="11">
        <f>Commercial!S132*Commercial!$B$5</f>
        <v>46090.992525574955</v>
      </c>
      <c r="T127" s="11">
        <f>Commercial!T132*Commercial!$B$5</f>
        <v>46346.384043162252</v>
      </c>
      <c r="U127" s="11">
        <f>Commercial!U132*Commercial!$B$5</f>
        <v>46542.118431326599</v>
      </c>
      <c r="V127" s="11">
        <f>Commercial!V132*Commercial!$B$5</f>
        <v>46737.852819490952</v>
      </c>
      <c r="W127" s="11">
        <f>Commercial!W132*Commercial!$B$5</f>
        <v>46933.587207655291</v>
      </c>
      <c r="X127" s="11">
        <f>Commercial!X132*Commercial!$B$5</f>
        <v>47129.32159581966</v>
      </c>
      <c r="Y127" s="11">
        <f>Commercial!Y132*Commercial!$B$5</f>
        <v>47325.055983984006</v>
      </c>
      <c r="Z127" s="11">
        <f>Commercial!Z132*Commercial!$B$5</f>
        <v>47463.551508625133</v>
      </c>
      <c r="AA127" s="11">
        <f>Commercial!AA132*Commercial!$B$5</f>
        <v>47602.047033266252</v>
      </c>
      <c r="AB127" s="11">
        <f>Commercial!AB132*Commercial!$B$5</f>
        <v>47740.542557907364</v>
      </c>
      <c r="AC127" s="11">
        <f>Commercial!AC132*Commercial!$B$5</f>
        <v>47879.038082548475</v>
      </c>
      <c r="AD127" s="11">
        <f>Commercial!AD132*Commercial!$B$5</f>
        <v>48017.533607189602</v>
      </c>
      <c r="AE127" s="11">
        <f>Commercial!AE132*Commercial!$B$5</f>
        <v>48017.533607189602</v>
      </c>
      <c r="AF127" s="11">
        <f>Commercial!AF132*Commercial!$B$5</f>
        <v>48017.533607189602</v>
      </c>
      <c r="AG127" s="11">
        <f>Commercial!AG132*Commercial!$B$5</f>
        <v>48017.533607189602</v>
      </c>
      <c r="AH127" s="11">
        <f>Commercial!AH132*Commercial!$B$5</f>
        <v>48017.533607189602</v>
      </c>
      <c r="AI127" s="11">
        <f>Commercial!AI132*Commercial!$B$5</f>
        <v>48017.533607189602</v>
      </c>
      <c r="AJ127" s="11">
        <f>Commercial!AJ132*Commercial!$B$5</f>
        <v>48017.533607189602</v>
      </c>
      <c r="AK127" s="11">
        <f>Commercial!AK132*Commercial!$B$5</f>
        <v>48017.533607189602</v>
      </c>
      <c r="AL127" s="11">
        <f>Commercial!AL132*Commercial!$B$5</f>
        <v>48017.533607189602</v>
      </c>
      <c r="AM127" s="11">
        <f>Commercial!AM132*Commercial!$B$5</f>
        <v>48017.533607189602</v>
      </c>
      <c r="AN127" s="11">
        <f>Commercial!AN132*Commercial!$B$5</f>
        <v>48017.533607189602</v>
      </c>
      <c r="AO127" s="40">
        <f>Commercial!AO132*Commercial!$B$5</f>
        <v>48017.533607189602</v>
      </c>
      <c r="AP127" s="40">
        <f>Commercial!AP132*Commercial!$B$5</f>
        <v>48017.533607189602</v>
      </c>
      <c r="AQ127" s="40">
        <f>Commercial!AQ132*Commercial!$B$5</f>
        <v>48017.533607189602</v>
      </c>
      <c r="AR127" s="40">
        <f>Commercial!AR132*Commercial!$B$5</f>
        <v>48017.533607189602</v>
      </c>
      <c r="AS127" s="40">
        <f>Commercial!AS132*Commercial!$B$5</f>
        <v>48017.533607189602</v>
      </c>
      <c r="AT127" s="40">
        <f>Commercial!AT132*Commercial!$B$5</f>
        <v>48017.533607189602</v>
      </c>
      <c r="AU127" s="40">
        <f>Commercial!AU132*Commercial!$B$5</f>
        <v>48017.533607189602</v>
      </c>
      <c r="AV127" s="40">
        <f>Commercial!AV132*Commercial!$B$5</f>
        <v>48017.533607189602</v>
      </c>
      <c r="AW127" s="40">
        <f>Commercial!AW132*Commercial!$B$5</f>
        <v>48017.533607189602</v>
      </c>
      <c r="AX127" s="40">
        <f>Commercial!AX132*Commercial!$B$5</f>
        <v>48017.533607189602</v>
      </c>
    </row>
    <row r="128" spans="1:50" x14ac:dyDescent="0.2">
      <c r="A128" s="6" t="s">
        <v>10</v>
      </c>
      <c r="B128" s="11">
        <f>Commercial!B133*Commercial!$B$5</f>
        <v>35.76797945824687</v>
      </c>
      <c r="C128" s="11">
        <f>Commercial!C133*Commercial!$B$5</f>
        <v>35.890286007000313</v>
      </c>
      <c r="D128" s="11">
        <f>Commercial!D133*Commercial!$B$5</f>
        <v>36.012592555753734</v>
      </c>
      <c r="E128" s="11">
        <f>Commercial!E133*Commercial!$B$5</f>
        <v>36.134899104507177</v>
      </c>
      <c r="F128" s="11">
        <f>Commercial!F133*Commercial!$B$5</f>
        <v>36.462067414701579</v>
      </c>
      <c r="G128" s="11">
        <f>Commercial!G133*Commercial!$B$5</f>
        <v>36.789235724895981</v>
      </c>
      <c r="H128" s="11">
        <f>Commercial!H133*Commercial!$B$5</f>
        <v>37.11640403509039</v>
      </c>
      <c r="I128" s="11">
        <f>Commercial!I133*Commercial!$B$5</f>
        <v>37.443572345284785</v>
      </c>
      <c r="J128" s="11">
        <f>Commercial!J133*Commercial!$B$5</f>
        <v>37.770740655479194</v>
      </c>
      <c r="K128" s="11">
        <f>Commercial!K133*Commercial!$B$5</f>
        <v>38.045536749665686</v>
      </c>
      <c r="L128" s="11">
        <f>Commercial!L133*Commercial!$B$5</f>
        <v>38.320332843852192</v>
      </c>
      <c r="M128" s="11">
        <f>Commercial!M133*Commercial!$B$5</f>
        <v>38.595128938038691</v>
      </c>
      <c r="N128" s="11">
        <f>Commercial!N133*Commercial!$B$5</f>
        <v>38.869925032225183</v>
      </c>
      <c r="O128" s="11">
        <f>Commercial!O133*Commercial!$B$5</f>
        <v>39.144721126411689</v>
      </c>
      <c r="P128" s="11">
        <f>Commercial!P133*Commercial!$B$5</f>
        <v>39.366539563438785</v>
      </c>
      <c r="Q128" s="11">
        <f>Commercial!Q133*Commercial!$B$5</f>
        <v>39.588358000465895</v>
      </c>
      <c r="R128" s="11">
        <f>Commercial!R133*Commercial!$B$5</f>
        <v>39.810176437493013</v>
      </c>
      <c r="S128" s="11">
        <f>Commercial!S133*Commercial!$B$5</f>
        <v>40.031994874520116</v>
      </c>
      <c r="T128" s="11">
        <f>Commercial!T133*Commercial!$B$5</f>
        <v>40.253813311547219</v>
      </c>
      <c r="U128" s="11">
        <f>Commercial!U133*Commercial!$B$5</f>
        <v>40.423816984594936</v>
      </c>
      <c r="V128" s="11">
        <f>Commercial!V133*Commercial!$B$5</f>
        <v>40.593820657642659</v>
      </c>
      <c r="W128" s="11">
        <f>Commercial!W133*Commercial!$B$5</f>
        <v>40.763824330690369</v>
      </c>
      <c r="X128" s="11">
        <f>Commercial!X133*Commercial!$B$5</f>
        <v>40.933828003738093</v>
      </c>
      <c r="Y128" s="11">
        <f>Commercial!Y133*Commercial!$B$5</f>
        <v>41.103831676785802</v>
      </c>
      <c r="Z128" s="11">
        <f>Commercial!Z133*Commercial!$B$5</f>
        <v>41.22412095303649</v>
      </c>
      <c r="AA128" s="11">
        <f>Commercial!AA133*Commercial!$B$5</f>
        <v>41.344410229287178</v>
      </c>
      <c r="AB128" s="11">
        <f>Commercial!AB133*Commercial!$B$5</f>
        <v>41.464699505537865</v>
      </c>
      <c r="AC128" s="11">
        <f>Commercial!AC133*Commercial!$B$5</f>
        <v>41.584988781788553</v>
      </c>
      <c r="AD128" s="11">
        <f>Commercial!AD133*Commercial!$B$5</f>
        <v>41.705278058039234</v>
      </c>
      <c r="AE128" s="11">
        <f>Commercial!AE133*Commercial!$B$5</f>
        <v>41.705278058039234</v>
      </c>
      <c r="AF128" s="11">
        <f>Commercial!AF133*Commercial!$B$5</f>
        <v>41.705278058039234</v>
      </c>
      <c r="AG128" s="11">
        <f>Commercial!AG133*Commercial!$B$5</f>
        <v>41.705278058039234</v>
      </c>
      <c r="AH128" s="11">
        <f>Commercial!AH133*Commercial!$B$5</f>
        <v>41.705278058039234</v>
      </c>
      <c r="AI128" s="11">
        <f>Commercial!AI133*Commercial!$B$5</f>
        <v>41.705278058039234</v>
      </c>
      <c r="AJ128" s="11">
        <f>Commercial!AJ133*Commercial!$B$5</f>
        <v>41.705278058039234</v>
      </c>
      <c r="AK128" s="11">
        <f>Commercial!AK133*Commercial!$B$5</f>
        <v>41.705278058039234</v>
      </c>
      <c r="AL128" s="11">
        <f>Commercial!AL133*Commercial!$B$5</f>
        <v>41.705278058039234</v>
      </c>
      <c r="AM128" s="11">
        <f>Commercial!AM133*Commercial!$B$5</f>
        <v>41.705278058039234</v>
      </c>
      <c r="AN128" s="11">
        <f>Commercial!AN133*Commercial!$B$5</f>
        <v>41.705278058039234</v>
      </c>
      <c r="AO128" s="40">
        <f>Commercial!AO133*Commercial!$B$5</f>
        <v>41.705278058039234</v>
      </c>
      <c r="AP128" s="40">
        <f>Commercial!AP133*Commercial!$B$5</f>
        <v>41.705278058039234</v>
      </c>
      <c r="AQ128" s="40">
        <f>Commercial!AQ133*Commercial!$B$5</f>
        <v>41.705278058039234</v>
      </c>
      <c r="AR128" s="40">
        <f>Commercial!AR133*Commercial!$B$5</f>
        <v>41.705278058039234</v>
      </c>
      <c r="AS128" s="40">
        <f>Commercial!AS133*Commercial!$B$5</f>
        <v>41.705278058039234</v>
      </c>
      <c r="AT128" s="40">
        <f>Commercial!AT133*Commercial!$B$5</f>
        <v>41.705278058039234</v>
      </c>
      <c r="AU128" s="40">
        <f>Commercial!AU133*Commercial!$B$5</f>
        <v>41.705278058039234</v>
      </c>
      <c r="AV128" s="40">
        <f>Commercial!AV133*Commercial!$B$5</f>
        <v>41.705278058039234</v>
      </c>
      <c r="AW128" s="40">
        <f>Commercial!AW133*Commercial!$B$5</f>
        <v>41.705278058039234</v>
      </c>
      <c r="AX128" s="40">
        <f>Commercial!AX133*Commercial!$B$5</f>
        <v>41.705278058039234</v>
      </c>
    </row>
    <row r="129" spans="1:50" x14ac:dyDescent="0.2">
      <c r="A129" s="6" t="s">
        <v>44</v>
      </c>
      <c r="B129" s="11">
        <f>Commercial!B134*Commercial!$B$5</f>
        <v>65309.760586731951</v>
      </c>
      <c r="C129" s="11">
        <f>Commercial!C134*Commercial!$B$5</f>
        <v>65533.083557116712</v>
      </c>
      <c r="D129" s="11">
        <f>Commercial!D134*Commercial!$B$5</f>
        <v>65756.406527501458</v>
      </c>
      <c r="E129" s="11">
        <f>Commercial!E134*Commercial!$B$5</f>
        <v>65979.72949788619</v>
      </c>
      <c r="F129" s="11">
        <f>Commercial!F134*Commercial!$B$5</f>
        <v>66577.115325489489</v>
      </c>
      <c r="G129" s="11">
        <f>Commercial!G134*Commercial!$B$5</f>
        <v>67174.501153092773</v>
      </c>
      <c r="H129" s="11">
        <f>Commercial!H134*Commercial!$B$5</f>
        <v>67771.886980696057</v>
      </c>
      <c r="I129" s="11">
        <f>Commercial!I134*Commercial!$B$5</f>
        <v>68369.272808299342</v>
      </c>
      <c r="J129" s="11">
        <f>Commercial!J134*Commercial!$B$5</f>
        <v>68966.658635902626</v>
      </c>
      <c r="K129" s="11">
        <f>Commercial!K134*Commercial!$B$5</f>
        <v>69468.416559982157</v>
      </c>
      <c r="L129" s="11">
        <f>Commercial!L134*Commercial!$B$5</f>
        <v>69970.174484061703</v>
      </c>
      <c r="M129" s="11">
        <f>Commercial!M134*Commercial!$B$5</f>
        <v>70471.932408141234</v>
      </c>
      <c r="N129" s="11">
        <f>Commercial!N134*Commercial!$B$5</f>
        <v>70973.690332220736</v>
      </c>
      <c r="O129" s="11">
        <f>Commercial!O134*Commercial!$B$5</f>
        <v>71475.448256300282</v>
      </c>
      <c r="P129" s="11">
        <f>Commercial!P134*Commercial!$B$5</f>
        <v>71880.472784813959</v>
      </c>
      <c r="Q129" s="11">
        <f>Commercial!Q134*Commercial!$B$5</f>
        <v>72285.497313327651</v>
      </c>
      <c r="R129" s="11">
        <f>Commercial!R134*Commercial!$B$5</f>
        <v>72690.521841841328</v>
      </c>
      <c r="S129" s="11">
        <f>Commercial!S134*Commercial!$B$5</f>
        <v>73095.546370355005</v>
      </c>
      <c r="T129" s="11">
        <f>Commercial!T134*Commercial!$B$5</f>
        <v>73500.570898868682</v>
      </c>
      <c r="U129" s="11">
        <f>Commercial!U134*Commercial!$B$5</f>
        <v>73810.985391210139</v>
      </c>
      <c r="V129" s="11">
        <f>Commercial!V134*Commercial!$B$5</f>
        <v>74121.39988355161</v>
      </c>
      <c r="W129" s="11">
        <f>Commercial!W134*Commercial!$B$5</f>
        <v>74431.814375893053</v>
      </c>
      <c r="X129" s="11">
        <f>Commercial!X134*Commercial!$B$5</f>
        <v>74742.228868234524</v>
      </c>
      <c r="Y129" s="11">
        <f>Commercial!Y134*Commercial!$B$5</f>
        <v>75052.643360575981</v>
      </c>
      <c r="Z129" s="11">
        <f>Commercial!Z134*Commercial!$B$5</f>
        <v>75272.282936310323</v>
      </c>
      <c r="AA129" s="11">
        <f>Commercial!AA134*Commercial!$B$5</f>
        <v>75491.92251204465</v>
      </c>
      <c r="AB129" s="11">
        <f>Commercial!AB134*Commercial!$B$5</f>
        <v>75711.562087778977</v>
      </c>
      <c r="AC129" s="11">
        <f>Commercial!AC134*Commercial!$B$5</f>
        <v>75931.201663513304</v>
      </c>
      <c r="AD129" s="11">
        <f>Commercial!AD134*Commercial!$B$5</f>
        <v>76150.841239247646</v>
      </c>
      <c r="AE129" s="11">
        <f>Commercial!AE134*Commercial!$B$5</f>
        <v>76150.841239247646</v>
      </c>
      <c r="AF129" s="11">
        <f>Commercial!AF134*Commercial!$B$5</f>
        <v>76150.841239247646</v>
      </c>
      <c r="AG129" s="11">
        <f>Commercial!AG134*Commercial!$B$5</f>
        <v>76150.841239247646</v>
      </c>
      <c r="AH129" s="11">
        <f>Commercial!AH134*Commercial!$B$5</f>
        <v>76150.841239247646</v>
      </c>
      <c r="AI129" s="11">
        <f>Commercial!AI134*Commercial!$B$5</f>
        <v>76150.841239247646</v>
      </c>
      <c r="AJ129" s="11">
        <f>Commercial!AJ134*Commercial!$B$5</f>
        <v>76150.841239247646</v>
      </c>
      <c r="AK129" s="11">
        <f>Commercial!AK134*Commercial!$B$5</f>
        <v>76150.841239247646</v>
      </c>
      <c r="AL129" s="11">
        <f>Commercial!AL134*Commercial!$B$5</f>
        <v>76150.841239247646</v>
      </c>
      <c r="AM129" s="11">
        <f>Commercial!AM134*Commercial!$B$5</f>
        <v>76150.841239247646</v>
      </c>
      <c r="AN129" s="11">
        <f>Commercial!AN134*Commercial!$B$5</f>
        <v>76150.841239247646</v>
      </c>
      <c r="AO129" s="40">
        <f>Commercial!AO134*Commercial!$B$5</f>
        <v>76150.841239247646</v>
      </c>
      <c r="AP129" s="40">
        <f>Commercial!AP134*Commercial!$B$5</f>
        <v>76150.841239247646</v>
      </c>
      <c r="AQ129" s="40">
        <f>Commercial!AQ134*Commercial!$B$5</f>
        <v>76150.841239247646</v>
      </c>
      <c r="AR129" s="40">
        <f>Commercial!AR134*Commercial!$B$5</f>
        <v>76150.841239247646</v>
      </c>
      <c r="AS129" s="40">
        <f>Commercial!AS134*Commercial!$B$5</f>
        <v>76150.841239247646</v>
      </c>
      <c r="AT129" s="40">
        <f>Commercial!AT134*Commercial!$B$5</f>
        <v>76150.841239247646</v>
      </c>
      <c r="AU129" s="40">
        <f>Commercial!AU134*Commercial!$B$5</f>
        <v>76150.841239247646</v>
      </c>
      <c r="AV129" s="40">
        <f>Commercial!AV134*Commercial!$B$5</f>
        <v>76150.841239247646</v>
      </c>
      <c r="AW129" s="40">
        <f>Commercial!AW134*Commercial!$B$5</f>
        <v>76150.841239247646</v>
      </c>
      <c r="AX129" s="40">
        <f>Commercial!AX134*Commercial!$B$5</f>
        <v>76150.841239247646</v>
      </c>
    </row>
    <row r="131" spans="1:50" x14ac:dyDescent="0.2">
      <c r="A131" s="5" t="s">
        <v>66</v>
      </c>
    </row>
    <row r="132" spans="1:50" x14ac:dyDescent="0.2">
      <c r="A132" s="5" t="s">
        <v>4</v>
      </c>
    </row>
    <row r="133" spans="1:50" x14ac:dyDescent="0.2">
      <c r="A133" s="5" t="s">
        <v>62</v>
      </c>
    </row>
    <row r="134" spans="1:50" x14ac:dyDescent="0.2">
      <c r="A134" s="5" t="s">
        <v>6</v>
      </c>
    </row>
    <row r="135" spans="1:50" x14ac:dyDescent="0.2">
      <c r="A135" s="5"/>
    </row>
    <row r="136" spans="1:50" x14ac:dyDescent="0.2">
      <c r="A136" s="6" t="s">
        <v>7</v>
      </c>
      <c r="B136" s="6">
        <v>2022</v>
      </c>
      <c r="C136" s="6">
        <v>2023</v>
      </c>
      <c r="D136" s="6">
        <v>2024</v>
      </c>
      <c r="E136" s="6">
        <v>2025</v>
      </c>
      <c r="F136" s="6">
        <v>2026</v>
      </c>
      <c r="G136" s="6">
        <v>2027</v>
      </c>
      <c r="H136" s="6">
        <v>2028</v>
      </c>
      <c r="I136" s="6">
        <v>2029</v>
      </c>
      <c r="J136" s="6">
        <v>2030</v>
      </c>
      <c r="K136" s="6">
        <v>2031</v>
      </c>
      <c r="L136" s="6">
        <v>2032</v>
      </c>
      <c r="M136" s="6">
        <v>2033</v>
      </c>
      <c r="N136" s="6">
        <v>2034</v>
      </c>
      <c r="O136" s="6">
        <v>2035</v>
      </c>
      <c r="P136" s="6">
        <v>2036</v>
      </c>
      <c r="Q136" s="6">
        <v>2037</v>
      </c>
      <c r="R136" s="6">
        <v>2038</v>
      </c>
      <c r="S136" s="6">
        <v>2039</v>
      </c>
      <c r="T136" s="6">
        <v>2040</v>
      </c>
      <c r="U136" s="6">
        <v>2041</v>
      </c>
      <c r="V136" s="6">
        <v>2042</v>
      </c>
      <c r="W136" s="6">
        <v>2043</v>
      </c>
      <c r="X136" s="6">
        <v>2044</v>
      </c>
      <c r="Y136" s="6">
        <v>2045</v>
      </c>
      <c r="Z136" s="6">
        <v>2046</v>
      </c>
      <c r="AA136" s="6">
        <v>2047</v>
      </c>
      <c r="AB136" s="6">
        <v>2048</v>
      </c>
      <c r="AC136" s="6">
        <v>2049</v>
      </c>
      <c r="AD136" s="6">
        <v>2050</v>
      </c>
      <c r="AE136" s="6">
        <v>2051</v>
      </c>
      <c r="AF136" s="6">
        <v>2052</v>
      </c>
      <c r="AG136" s="6">
        <v>2053</v>
      </c>
      <c r="AH136" s="6">
        <v>2054</v>
      </c>
      <c r="AI136" s="6">
        <v>2055</v>
      </c>
      <c r="AJ136" s="6">
        <v>2056</v>
      </c>
      <c r="AK136" s="6">
        <v>2057</v>
      </c>
      <c r="AL136" s="6">
        <v>2058</v>
      </c>
      <c r="AM136" s="6">
        <v>2059</v>
      </c>
      <c r="AN136" s="6">
        <v>2060</v>
      </c>
      <c r="AO136" s="39">
        <f>AN136+1</f>
        <v>2061</v>
      </c>
      <c r="AP136" s="39">
        <f t="shared" ref="AP136:AX136" si="8">AO136+1</f>
        <v>2062</v>
      </c>
      <c r="AQ136" s="39">
        <f t="shared" si="8"/>
        <v>2063</v>
      </c>
      <c r="AR136" s="39">
        <f t="shared" si="8"/>
        <v>2064</v>
      </c>
      <c r="AS136" s="39">
        <f t="shared" si="8"/>
        <v>2065</v>
      </c>
      <c r="AT136" s="39">
        <f t="shared" si="8"/>
        <v>2066</v>
      </c>
      <c r="AU136" s="39">
        <f t="shared" si="8"/>
        <v>2067</v>
      </c>
      <c r="AV136" s="39">
        <f t="shared" si="8"/>
        <v>2068</v>
      </c>
      <c r="AW136" s="39">
        <f>AV136+1</f>
        <v>2069</v>
      </c>
      <c r="AX136" s="39">
        <f t="shared" si="8"/>
        <v>2070</v>
      </c>
    </row>
    <row r="137" spans="1:50" x14ac:dyDescent="0.2">
      <c r="A137" s="6" t="s">
        <v>40</v>
      </c>
      <c r="B137" s="11">
        <f>Commercial!B142*Commercial!$B$5</f>
        <v>688231.98160573875</v>
      </c>
      <c r="C137" s="11">
        <f>Commercial!C142*Commercial!$B$5</f>
        <v>690585.3512868582</v>
      </c>
      <c r="D137" s="11">
        <f>Commercial!D142*Commercial!$B$5</f>
        <v>692938.72096797731</v>
      </c>
      <c r="E137" s="11">
        <f>Commercial!E142*Commercial!$B$5</f>
        <v>695292.09064909676</v>
      </c>
      <c r="F137" s="11">
        <f>Commercial!F142*Commercial!$B$5</f>
        <v>701587.32168686169</v>
      </c>
      <c r="G137" s="11">
        <f>Commercial!G142*Commercial!$B$5</f>
        <v>707882.55272462661</v>
      </c>
      <c r="H137" s="11">
        <f>Commercial!H142*Commercial!$B$5</f>
        <v>714177.78376239154</v>
      </c>
      <c r="I137" s="11">
        <f>Commercial!I142*Commercial!$B$5</f>
        <v>720473.0148001567</v>
      </c>
      <c r="J137" s="11">
        <f>Commercial!J142*Commercial!$B$5</f>
        <v>726768.24583792151</v>
      </c>
      <c r="K137" s="11">
        <f>Commercial!K142*Commercial!$B$5</f>
        <v>732055.75336012489</v>
      </c>
      <c r="L137" s="11">
        <f>Commercial!L142*Commercial!$B$5</f>
        <v>737343.26088232803</v>
      </c>
      <c r="M137" s="11">
        <f>Commercial!M142*Commercial!$B$5</f>
        <v>742630.76840453118</v>
      </c>
      <c r="N137" s="11">
        <f>Commercial!N142*Commercial!$B$5</f>
        <v>747918.27592673444</v>
      </c>
      <c r="O137" s="11">
        <f>Commercial!O142*Commercial!$B$5</f>
        <v>753205.7834489377</v>
      </c>
      <c r="P137" s="11">
        <f>Commercial!P142*Commercial!$B$5</f>
        <v>757473.91781895596</v>
      </c>
      <c r="Q137" s="11">
        <f>Commercial!Q142*Commercial!$B$5</f>
        <v>761742.05218897457</v>
      </c>
      <c r="R137" s="11">
        <f>Commercial!R142*Commercial!$B$5</f>
        <v>766010.18655899283</v>
      </c>
      <c r="S137" s="11">
        <f>Commercial!S142*Commercial!$B$5</f>
        <v>770278.3209290111</v>
      </c>
      <c r="T137" s="11">
        <f>Commercial!T142*Commercial!$B$5</f>
        <v>774546.45529902936</v>
      </c>
      <c r="U137" s="11">
        <f>Commercial!U142*Commercial!$B$5</f>
        <v>777817.59240417299</v>
      </c>
      <c r="V137" s="11">
        <f>Commercial!V142*Commercial!$B$5</f>
        <v>781088.7295093165</v>
      </c>
      <c r="W137" s="11">
        <f>Commercial!W142*Commercial!$B$5</f>
        <v>784359.86661446001</v>
      </c>
      <c r="X137" s="11">
        <f>Commercial!X142*Commercial!$B$5</f>
        <v>787631.00371960388</v>
      </c>
      <c r="Y137" s="11">
        <f>Commercial!Y142*Commercial!$B$5</f>
        <v>790902.1408247475</v>
      </c>
      <c r="Z137" s="11">
        <f>Commercial!Z142*Commercial!$B$5</f>
        <v>793216.69502137369</v>
      </c>
      <c r="AA137" s="11">
        <f>Commercial!AA142*Commercial!$B$5</f>
        <v>795531.24921799998</v>
      </c>
      <c r="AB137" s="11">
        <f>Commercial!AB142*Commercial!$B$5</f>
        <v>797845.80341462616</v>
      </c>
      <c r="AC137" s="11">
        <f>Commercial!AC142*Commercial!$B$5</f>
        <v>800160.35761125246</v>
      </c>
      <c r="AD137" s="11">
        <f>Commercial!AD142*Commercial!$B$5</f>
        <v>802474.91180787887</v>
      </c>
      <c r="AE137" s="11">
        <f>Commercial!AE142*Commercial!$B$5</f>
        <v>802474.91180787887</v>
      </c>
      <c r="AF137" s="11">
        <f>Commercial!AF142*Commercial!$B$5</f>
        <v>802474.91180787887</v>
      </c>
      <c r="AG137" s="11">
        <f>Commercial!AG142*Commercial!$B$5</f>
        <v>802474.91180787887</v>
      </c>
      <c r="AH137" s="11">
        <f>Commercial!AH142*Commercial!$B$5</f>
        <v>802474.91180787887</v>
      </c>
      <c r="AI137" s="11">
        <f>Commercial!AI142*Commercial!$B$5</f>
        <v>802474.91180787887</v>
      </c>
      <c r="AJ137" s="11">
        <f>Commercial!AJ142*Commercial!$B$5</f>
        <v>802474.91180787887</v>
      </c>
      <c r="AK137" s="11">
        <f>Commercial!AK142*Commercial!$B$5</f>
        <v>802474.91180787887</v>
      </c>
      <c r="AL137" s="11">
        <f>Commercial!AL142*Commercial!$B$5</f>
        <v>802474.91180787887</v>
      </c>
      <c r="AM137" s="11">
        <f>Commercial!AM142*Commercial!$B$5</f>
        <v>802474.91180787887</v>
      </c>
      <c r="AN137" s="11">
        <f>Commercial!AN142*Commercial!$B$5</f>
        <v>802474.91180787887</v>
      </c>
      <c r="AO137" s="40">
        <f>Commercial!AO142*Commercial!$B$5</f>
        <v>802474.91180787887</v>
      </c>
      <c r="AP137" s="40">
        <f>Commercial!AP142*Commercial!$B$5</f>
        <v>802474.91180787887</v>
      </c>
      <c r="AQ137" s="40">
        <f>Commercial!AQ142*Commercial!$B$5</f>
        <v>802474.91180787887</v>
      </c>
      <c r="AR137" s="40">
        <f>Commercial!AR142*Commercial!$B$5</f>
        <v>802474.91180787887</v>
      </c>
      <c r="AS137" s="40">
        <f>Commercial!AS142*Commercial!$B$5</f>
        <v>802474.91180787887</v>
      </c>
      <c r="AT137" s="40">
        <f>Commercial!AT142*Commercial!$B$5</f>
        <v>802474.91180787887</v>
      </c>
      <c r="AU137" s="40">
        <f>Commercial!AU142*Commercial!$B$5</f>
        <v>802474.91180787887</v>
      </c>
      <c r="AV137" s="40">
        <f>Commercial!AV142*Commercial!$B$5</f>
        <v>802474.91180787887</v>
      </c>
      <c r="AW137" s="40">
        <f>Commercial!AW142*Commercial!$B$5</f>
        <v>802474.91180787887</v>
      </c>
      <c r="AX137" s="40">
        <f>Commercial!AX142*Commercial!$B$5</f>
        <v>802474.91180787887</v>
      </c>
    </row>
    <row r="138" spans="1:50" x14ac:dyDescent="0.2">
      <c r="A138" s="6" t="s">
        <v>41</v>
      </c>
      <c r="B138" s="11">
        <f>Commercial!B143*Commercial!$B$5</f>
        <v>420415.68053757091</v>
      </c>
      <c r="C138" s="11">
        <f>Commercial!C143*Commercial!$B$5</f>
        <v>421853.26777920983</v>
      </c>
      <c r="D138" s="11">
        <f>Commercial!D143*Commercial!$B$5</f>
        <v>423290.85502084857</v>
      </c>
      <c r="E138" s="11">
        <f>Commercial!E143*Commercial!$B$5</f>
        <v>424728.44226248754</v>
      </c>
      <c r="F138" s="11">
        <f>Commercial!F143*Commercial!$B$5</f>
        <v>428573.96806137339</v>
      </c>
      <c r="G138" s="11">
        <f>Commercial!G143*Commercial!$B$5</f>
        <v>432419.49386025919</v>
      </c>
      <c r="H138" s="11">
        <f>Commercial!H143*Commercial!$B$5</f>
        <v>436265.01965914504</v>
      </c>
      <c r="I138" s="11">
        <f>Commercial!I143*Commercial!$B$5</f>
        <v>440110.54545803095</v>
      </c>
      <c r="J138" s="11">
        <f>Commercial!J143*Commercial!$B$5</f>
        <v>443956.07125691685</v>
      </c>
      <c r="K138" s="11">
        <f>Commercial!K143*Commercial!$B$5</f>
        <v>447186.01571272098</v>
      </c>
      <c r="L138" s="11">
        <f>Commercial!L143*Commercial!$B$5</f>
        <v>450415.96016852517</v>
      </c>
      <c r="M138" s="11">
        <f>Commercial!M143*Commercial!$B$5</f>
        <v>453645.90462432936</v>
      </c>
      <c r="N138" s="11">
        <f>Commercial!N143*Commercial!$B$5</f>
        <v>456875.84908013348</v>
      </c>
      <c r="O138" s="11">
        <f>Commercial!O143*Commercial!$B$5</f>
        <v>460105.79353593779</v>
      </c>
      <c r="P138" s="11">
        <f>Commercial!P143*Commercial!$B$5</f>
        <v>462713.04031283193</v>
      </c>
      <c r="Q138" s="11">
        <f>Commercial!Q143*Commercial!$B$5</f>
        <v>465320.28708972619</v>
      </c>
      <c r="R138" s="11">
        <f>Commercial!R143*Commercial!$B$5</f>
        <v>467927.53386662039</v>
      </c>
      <c r="S138" s="11">
        <f>Commercial!S143*Commercial!$B$5</f>
        <v>470534.78064351447</v>
      </c>
      <c r="T138" s="11">
        <f>Commercial!T143*Commercial!$B$5</f>
        <v>473142.02742040867</v>
      </c>
      <c r="U138" s="11">
        <f>Commercial!U143*Commercial!$B$5</f>
        <v>475140.24512744113</v>
      </c>
      <c r="V138" s="11">
        <f>Commercial!V143*Commercial!$B$5</f>
        <v>477138.4628344737</v>
      </c>
      <c r="W138" s="11">
        <f>Commercial!W143*Commercial!$B$5</f>
        <v>479136.68054150598</v>
      </c>
      <c r="X138" s="11">
        <f>Commercial!X143*Commercial!$B$5</f>
        <v>481134.89824853867</v>
      </c>
      <c r="Y138" s="11">
        <f>Commercial!Y143*Commercial!$B$5</f>
        <v>483133.11595557118</v>
      </c>
      <c r="Z138" s="11">
        <f>Commercial!Z143*Commercial!$B$5</f>
        <v>484546.99224107212</v>
      </c>
      <c r="AA138" s="11">
        <f>Commercial!AA143*Commercial!$B$5</f>
        <v>485960.86852657323</v>
      </c>
      <c r="AB138" s="11">
        <f>Commercial!AB143*Commercial!$B$5</f>
        <v>487374.74481207418</v>
      </c>
      <c r="AC138" s="11">
        <f>Commercial!AC143*Commercial!$B$5</f>
        <v>488788.62109757529</v>
      </c>
      <c r="AD138" s="11">
        <f>Commercial!AD143*Commercial!$B$5</f>
        <v>490202.49738307629</v>
      </c>
      <c r="AE138" s="11">
        <f>Commercial!AE143*Commercial!$B$5</f>
        <v>490202.49738307629</v>
      </c>
      <c r="AF138" s="11">
        <f>Commercial!AF143*Commercial!$B$5</f>
        <v>490202.49738307629</v>
      </c>
      <c r="AG138" s="11">
        <f>Commercial!AG143*Commercial!$B$5</f>
        <v>490202.49738307629</v>
      </c>
      <c r="AH138" s="11">
        <f>Commercial!AH143*Commercial!$B$5</f>
        <v>490202.49738307629</v>
      </c>
      <c r="AI138" s="11">
        <f>Commercial!AI143*Commercial!$B$5</f>
        <v>490202.49738307629</v>
      </c>
      <c r="AJ138" s="11">
        <f>Commercial!AJ143*Commercial!$B$5</f>
        <v>490202.49738307629</v>
      </c>
      <c r="AK138" s="11">
        <f>Commercial!AK143*Commercial!$B$5</f>
        <v>490202.49738307629</v>
      </c>
      <c r="AL138" s="11">
        <f>Commercial!AL143*Commercial!$B$5</f>
        <v>490202.49738307629</v>
      </c>
      <c r="AM138" s="11">
        <f>Commercial!AM143*Commercial!$B$5</f>
        <v>490202.49738307629</v>
      </c>
      <c r="AN138" s="11">
        <f>Commercial!AN143*Commercial!$B$5</f>
        <v>490202.49738307629</v>
      </c>
      <c r="AO138" s="40">
        <f>Commercial!AO143*Commercial!$B$5</f>
        <v>490202.49738307629</v>
      </c>
      <c r="AP138" s="40">
        <f>Commercial!AP143*Commercial!$B$5</f>
        <v>490202.49738307629</v>
      </c>
      <c r="AQ138" s="40">
        <f>Commercial!AQ143*Commercial!$B$5</f>
        <v>490202.49738307629</v>
      </c>
      <c r="AR138" s="40">
        <f>Commercial!AR143*Commercial!$B$5</f>
        <v>490202.49738307629</v>
      </c>
      <c r="AS138" s="40">
        <f>Commercial!AS143*Commercial!$B$5</f>
        <v>490202.49738307629</v>
      </c>
      <c r="AT138" s="40">
        <f>Commercial!AT143*Commercial!$B$5</f>
        <v>490202.49738307629</v>
      </c>
      <c r="AU138" s="40">
        <f>Commercial!AU143*Commercial!$B$5</f>
        <v>490202.49738307629</v>
      </c>
      <c r="AV138" s="40">
        <f>Commercial!AV143*Commercial!$B$5</f>
        <v>490202.49738307629</v>
      </c>
      <c r="AW138" s="40">
        <f>Commercial!AW143*Commercial!$B$5</f>
        <v>490202.49738307629</v>
      </c>
      <c r="AX138" s="40">
        <f>Commercial!AX143*Commercial!$B$5</f>
        <v>490202.49738307629</v>
      </c>
    </row>
    <row r="139" spans="1:50" x14ac:dyDescent="0.2">
      <c r="A139" s="6" t="s">
        <v>42</v>
      </c>
      <c r="B139" s="11">
        <f>Commercial!B144*Commercial!$B$5</f>
        <v>326454.84671979852</v>
      </c>
      <c r="C139" s="11">
        <f>Commercial!C144*Commercial!$B$5</f>
        <v>327571.14029385243</v>
      </c>
      <c r="D139" s="11">
        <f>Commercial!D144*Commercial!$B$5</f>
        <v>328687.43386790622</v>
      </c>
      <c r="E139" s="11">
        <f>Commercial!E144*Commercial!$B$5</f>
        <v>329803.72744196007</v>
      </c>
      <c r="F139" s="11">
        <f>Commercial!F144*Commercial!$B$5</f>
        <v>332789.79716616037</v>
      </c>
      <c r="G139" s="11">
        <f>Commercial!G144*Commercial!$B$5</f>
        <v>335775.86689036066</v>
      </c>
      <c r="H139" s="11">
        <f>Commercial!H144*Commercial!$B$5</f>
        <v>338761.93661456101</v>
      </c>
      <c r="I139" s="11">
        <f>Commercial!I144*Commercial!$B$5</f>
        <v>341748.00633876136</v>
      </c>
      <c r="J139" s="11">
        <f>Commercial!J144*Commercial!$B$5</f>
        <v>344734.07606296166</v>
      </c>
      <c r="K139" s="11">
        <f>Commercial!K144*Commercial!$B$5</f>
        <v>347242.14384217659</v>
      </c>
      <c r="L139" s="11">
        <f>Commercial!L144*Commercial!$B$5</f>
        <v>349750.21162139165</v>
      </c>
      <c r="M139" s="11">
        <f>Commercial!M144*Commercial!$B$5</f>
        <v>352258.27940060658</v>
      </c>
      <c r="N139" s="11">
        <f>Commercial!N144*Commercial!$B$5</f>
        <v>354766.34717982146</v>
      </c>
      <c r="O139" s="11">
        <f>Commercial!O144*Commercial!$B$5</f>
        <v>357274.41495903657</v>
      </c>
      <c r="P139" s="11">
        <f>Commercial!P144*Commercial!$B$5</f>
        <v>359298.95492344355</v>
      </c>
      <c r="Q139" s="11">
        <f>Commercial!Q144*Commercial!$B$5</f>
        <v>361323.4948878506</v>
      </c>
      <c r="R139" s="11">
        <f>Commercial!R144*Commercial!$B$5</f>
        <v>363348.03485225758</v>
      </c>
      <c r="S139" s="11">
        <f>Commercial!S144*Commercial!$B$5</f>
        <v>365372.57481666451</v>
      </c>
      <c r="T139" s="11">
        <f>Commercial!T144*Commercial!$B$5</f>
        <v>367397.11478107155</v>
      </c>
      <c r="U139" s="11">
        <f>Commercial!U144*Commercial!$B$5</f>
        <v>368948.74067292205</v>
      </c>
      <c r="V139" s="11">
        <f>Commercial!V144*Commercial!$B$5</f>
        <v>370500.36656477273</v>
      </c>
      <c r="W139" s="11">
        <f>Commercial!W144*Commercial!$B$5</f>
        <v>372051.99245662324</v>
      </c>
      <c r="X139" s="11">
        <f>Commercial!X144*Commercial!$B$5</f>
        <v>373603.61834847392</v>
      </c>
      <c r="Y139" s="11">
        <f>Commercial!Y144*Commercial!$B$5</f>
        <v>375155.24424032448</v>
      </c>
      <c r="Z139" s="11">
        <f>Commercial!Z144*Commercial!$B$5</f>
        <v>376253.12614014756</v>
      </c>
      <c r="AA139" s="11">
        <f>Commercial!AA144*Commercial!$B$5</f>
        <v>377351.00803997059</v>
      </c>
      <c r="AB139" s="11">
        <f>Commercial!AB144*Commercial!$B$5</f>
        <v>378448.88993979362</v>
      </c>
      <c r="AC139" s="11">
        <f>Commercial!AC144*Commercial!$B$5</f>
        <v>379546.77183961676</v>
      </c>
      <c r="AD139" s="11">
        <f>Commercial!AD144*Commercial!$B$5</f>
        <v>380644.65373943979</v>
      </c>
      <c r="AE139" s="11">
        <f>Commercial!AE144*Commercial!$B$5</f>
        <v>380644.65373943979</v>
      </c>
      <c r="AF139" s="11">
        <f>Commercial!AF144*Commercial!$B$5</f>
        <v>380644.65373943979</v>
      </c>
      <c r="AG139" s="11">
        <f>Commercial!AG144*Commercial!$B$5</f>
        <v>380644.65373943979</v>
      </c>
      <c r="AH139" s="11">
        <f>Commercial!AH144*Commercial!$B$5</f>
        <v>380644.65373943979</v>
      </c>
      <c r="AI139" s="11">
        <f>Commercial!AI144*Commercial!$B$5</f>
        <v>380644.65373943979</v>
      </c>
      <c r="AJ139" s="11">
        <f>Commercial!AJ144*Commercial!$B$5</f>
        <v>380644.65373943979</v>
      </c>
      <c r="AK139" s="11">
        <f>Commercial!AK144*Commercial!$B$5</f>
        <v>380644.65373943979</v>
      </c>
      <c r="AL139" s="11">
        <f>Commercial!AL144*Commercial!$B$5</f>
        <v>380644.65373943979</v>
      </c>
      <c r="AM139" s="11">
        <f>Commercial!AM144*Commercial!$B$5</f>
        <v>380644.65373943979</v>
      </c>
      <c r="AN139" s="11">
        <f>Commercial!AN144*Commercial!$B$5</f>
        <v>380644.65373943979</v>
      </c>
      <c r="AO139" s="40">
        <f>Commercial!AO144*Commercial!$B$5</f>
        <v>380644.65373943979</v>
      </c>
      <c r="AP139" s="40">
        <f>Commercial!AP144*Commercial!$B$5</f>
        <v>380644.65373943979</v>
      </c>
      <c r="AQ139" s="40">
        <f>Commercial!AQ144*Commercial!$B$5</f>
        <v>380644.65373943979</v>
      </c>
      <c r="AR139" s="40">
        <f>Commercial!AR144*Commercial!$B$5</f>
        <v>380644.65373943979</v>
      </c>
      <c r="AS139" s="40">
        <f>Commercial!AS144*Commercial!$B$5</f>
        <v>380644.65373943979</v>
      </c>
      <c r="AT139" s="40">
        <f>Commercial!AT144*Commercial!$B$5</f>
        <v>380644.65373943979</v>
      </c>
      <c r="AU139" s="40">
        <f>Commercial!AU144*Commercial!$B$5</f>
        <v>380644.65373943979</v>
      </c>
      <c r="AV139" s="40">
        <f>Commercial!AV144*Commercial!$B$5</f>
        <v>380644.65373943979</v>
      </c>
      <c r="AW139" s="40">
        <f>Commercial!AW144*Commercial!$B$5</f>
        <v>380644.65373943979</v>
      </c>
      <c r="AX139" s="40">
        <f>Commercial!AX144*Commercial!$B$5</f>
        <v>380644.65373943979</v>
      </c>
    </row>
    <row r="140" spans="1:50" x14ac:dyDescent="0.2">
      <c r="A140" s="6" t="s">
        <v>43</v>
      </c>
      <c r="B140" s="11">
        <f>Commercial!B145*Commercial!$B$5</f>
        <v>22894.173696100952</v>
      </c>
      <c r="C140" s="11">
        <f>Commercial!C145*Commercial!$B$5</f>
        <v>22972.459006418816</v>
      </c>
      <c r="D140" s="11">
        <f>Commercial!D145*Commercial!$B$5</f>
        <v>23050.744316736676</v>
      </c>
      <c r="E140" s="11">
        <f>Commercial!E145*Commercial!$B$5</f>
        <v>23129.02962705454</v>
      </c>
      <c r="F140" s="11">
        <f>Commercial!F145*Commercial!$B$5</f>
        <v>23338.441739086036</v>
      </c>
      <c r="G140" s="11">
        <f>Commercial!G145*Commercial!$B$5</f>
        <v>23547.853851117528</v>
      </c>
      <c r="H140" s="11">
        <f>Commercial!H145*Commercial!$B$5</f>
        <v>23757.265963149021</v>
      </c>
      <c r="I140" s="11">
        <f>Commercial!I145*Commercial!$B$5</f>
        <v>23966.678075180513</v>
      </c>
      <c r="J140" s="11">
        <f>Commercial!J145*Commercial!$B$5</f>
        <v>24176.090187212008</v>
      </c>
      <c r="K140" s="11">
        <f>Commercial!K145*Commercial!$B$5</f>
        <v>24351.980176151967</v>
      </c>
      <c r="L140" s="11">
        <f>Commercial!L145*Commercial!$B$5</f>
        <v>24527.870165091928</v>
      </c>
      <c r="M140" s="11">
        <f>Commercial!M145*Commercial!$B$5</f>
        <v>24703.760154031886</v>
      </c>
      <c r="N140" s="11">
        <f>Commercial!N145*Commercial!$B$5</f>
        <v>24879.650142971848</v>
      </c>
      <c r="O140" s="11">
        <f>Commercial!O145*Commercial!$B$5</f>
        <v>25055.54013191181</v>
      </c>
      <c r="P140" s="11">
        <f>Commercial!P145*Commercial!$B$5</f>
        <v>25197.520470281899</v>
      </c>
      <c r="Q140" s="11">
        <f>Commercial!Q145*Commercial!$B$5</f>
        <v>25339.500808651988</v>
      </c>
      <c r="R140" s="11">
        <f>Commercial!R145*Commercial!$B$5</f>
        <v>25481.481147022077</v>
      </c>
      <c r="S140" s="11">
        <f>Commercial!S145*Commercial!$B$5</f>
        <v>25623.461485392159</v>
      </c>
      <c r="T140" s="11">
        <f>Commercial!T145*Commercial!$B$5</f>
        <v>25765.441823762245</v>
      </c>
      <c r="U140" s="11">
        <f>Commercial!U145*Commercial!$B$5</f>
        <v>25874.256849902395</v>
      </c>
      <c r="V140" s="11">
        <f>Commercial!V145*Commercial!$B$5</f>
        <v>25983.071876042552</v>
      </c>
      <c r="W140" s="11">
        <f>Commercial!W145*Commercial!$B$5</f>
        <v>26091.886902182701</v>
      </c>
      <c r="X140" s="11">
        <f>Commercial!X145*Commercial!$B$5</f>
        <v>26200.701928322862</v>
      </c>
      <c r="Y140" s="11">
        <f>Commercial!Y145*Commercial!$B$5</f>
        <v>26309.516954463015</v>
      </c>
      <c r="Z140" s="11">
        <f>Commercial!Z145*Commercial!$B$5</f>
        <v>26386.511059972279</v>
      </c>
      <c r="AA140" s="11">
        <f>Commercial!AA145*Commercial!$B$5</f>
        <v>26463.505165481543</v>
      </c>
      <c r="AB140" s="11">
        <f>Commercial!AB145*Commercial!$B$5</f>
        <v>26540.499270990804</v>
      </c>
      <c r="AC140" s="11">
        <f>Commercial!AC145*Commercial!$B$5</f>
        <v>26617.493376500068</v>
      </c>
      <c r="AD140" s="11">
        <f>Commercial!AD145*Commercial!$B$5</f>
        <v>26694.487482009332</v>
      </c>
      <c r="AE140" s="11">
        <f>Commercial!AE145*Commercial!$B$5</f>
        <v>26694.487482009332</v>
      </c>
      <c r="AF140" s="11">
        <f>Commercial!AF145*Commercial!$B$5</f>
        <v>26694.487482009332</v>
      </c>
      <c r="AG140" s="11">
        <f>Commercial!AG145*Commercial!$B$5</f>
        <v>26694.487482009332</v>
      </c>
      <c r="AH140" s="11">
        <f>Commercial!AH145*Commercial!$B$5</f>
        <v>26694.487482009332</v>
      </c>
      <c r="AI140" s="11">
        <f>Commercial!AI145*Commercial!$B$5</f>
        <v>26694.487482009332</v>
      </c>
      <c r="AJ140" s="11">
        <f>Commercial!AJ145*Commercial!$B$5</f>
        <v>26694.487482009332</v>
      </c>
      <c r="AK140" s="11">
        <f>Commercial!AK145*Commercial!$B$5</f>
        <v>26694.487482009332</v>
      </c>
      <c r="AL140" s="11">
        <f>Commercial!AL145*Commercial!$B$5</f>
        <v>26694.487482009332</v>
      </c>
      <c r="AM140" s="11">
        <f>Commercial!AM145*Commercial!$B$5</f>
        <v>26694.487482009332</v>
      </c>
      <c r="AN140" s="11">
        <f>Commercial!AN145*Commercial!$B$5</f>
        <v>26694.487482009332</v>
      </c>
      <c r="AO140" s="40">
        <f>Commercial!AO145*Commercial!$B$5</f>
        <v>26694.487482009332</v>
      </c>
      <c r="AP140" s="40">
        <f>Commercial!AP145*Commercial!$B$5</f>
        <v>26694.487482009332</v>
      </c>
      <c r="AQ140" s="40">
        <f>Commercial!AQ145*Commercial!$B$5</f>
        <v>26694.487482009332</v>
      </c>
      <c r="AR140" s="40">
        <f>Commercial!AR145*Commercial!$B$5</f>
        <v>26694.487482009332</v>
      </c>
      <c r="AS140" s="40">
        <f>Commercial!AS145*Commercial!$B$5</f>
        <v>26694.487482009332</v>
      </c>
      <c r="AT140" s="40">
        <f>Commercial!AT145*Commercial!$B$5</f>
        <v>26694.487482009332</v>
      </c>
      <c r="AU140" s="40">
        <f>Commercial!AU145*Commercial!$B$5</f>
        <v>26694.487482009332</v>
      </c>
      <c r="AV140" s="40">
        <f>Commercial!AV145*Commercial!$B$5</f>
        <v>26694.487482009332</v>
      </c>
      <c r="AW140" s="40">
        <f>Commercial!AW145*Commercial!$B$5</f>
        <v>26694.487482009332</v>
      </c>
      <c r="AX140" s="40">
        <f>Commercial!AX145*Commercial!$B$5</f>
        <v>26694.487482009332</v>
      </c>
    </row>
    <row r="141" spans="1:50" x14ac:dyDescent="0.2">
      <c r="A141" s="6" t="s">
        <v>8</v>
      </c>
      <c r="B141" s="11">
        <f>Commercial!B146*Commercial!$B$5</f>
        <v>17509.279233533787</v>
      </c>
      <c r="C141" s="11">
        <f>Commercial!C146*Commercial!$B$5</f>
        <v>17569.151206920313</v>
      </c>
      <c r="D141" s="11">
        <f>Commercial!D146*Commercial!$B$5</f>
        <v>17629.023180306827</v>
      </c>
      <c r="E141" s="11">
        <f>Commercial!E146*Commercial!$B$5</f>
        <v>17688.895153693349</v>
      </c>
      <c r="F141" s="11">
        <f>Commercial!F146*Commercial!$B$5</f>
        <v>17849.0518465321</v>
      </c>
      <c r="G141" s="11">
        <f>Commercial!G146*Commercial!$B$5</f>
        <v>18009.208539370851</v>
      </c>
      <c r="H141" s="11">
        <f>Commercial!H146*Commercial!$B$5</f>
        <v>18169.365232209602</v>
      </c>
      <c r="I141" s="11">
        <f>Commercial!I146*Commercial!$B$5</f>
        <v>18329.521925048353</v>
      </c>
      <c r="J141" s="11">
        <f>Commercial!J146*Commercial!$B$5</f>
        <v>18489.678617887108</v>
      </c>
      <c r="K141" s="11">
        <f>Commercial!K146*Commercial!$B$5</f>
        <v>18624.197861586974</v>
      </c>
      <c r="L141" s="11">
        <f>Commercial!L146*Commercial!$B$5</f>
        <v>18758.717105286843</v>
      </c>
      <c r="M141" s="11">
        <f>Commercial!M146*Commercial!$B$5</f>
        <v>18893.236348986717</v>
      </c>
      <c r="N141" s="11">
        <f>Commercial!N146*Commercial!$B$5</f>
        <v>19027.755592686583</v>
      </c>
      <c r="O141" s="11">
        <f>Commercial!O146*Commercial!$B$5</f>
        <v>19162.274836386456</v>
      </c>
      <c r="P141" s="11">
        <f>Commercial!P146*Commercial!$B$5</f>
        <v>19270.860253060251</v>
      </c>
      <c r="Q141" s="11">
        <f>Commercial!Q146*Commercial!$B$5</f>
        <v>19379.445669734061</v>
      </c>
      <c r="R141" s="11">
        <f>Commercial!R146*Commercial!$B$5</f>
        <v>19488.031086407856</v>
      </c>
      <c r="S141" s="11">
        <f>Commercial!S146*Commercial!$B$5</f>
        <v>19596.616503081656</v>
      </c>
      <c r="T141" s="11">
        <f>Commercial!T146*Commercial!$B$5</f>
        <v>19705.201919755455</v>
      </c>
      <c r="U141" s="11">
        <f>Commercial!U146*Commercial!$B$5</f>
        <v>19788.422773357022</v>
      </c>
      <c r="V141" s="11">
        <f>Commercial!V146*Commercial!$B$5</f>
        <v>19871.643626958601</v>
      </c>
      <c r="W141" s="11">
        <f>Commercial!W146*Commercial!$B$5</f>
        <v>19954.864480560173</v>
      </c>
      <c r="X141" s="11">
        <f>Commercial!X146*Commercial!$B$5</f>
        <v>20038.085334161755</v>
      </c>
      <c r="Y141" s="11">
        <f>Commercial!Y146*Commercial!$B$5</f>
        <v>20121.306187763323</v>
      </c>
      <c r="Z141" s="11">
        <f>Commercial!Z146*Commercial!$B$5</f>
        <v>20180.190658135252</v>
      </c>
      <c r="AA141" s="11">
        <f>Commercial!AA146*Commercial!$B$5</f>
        <v>20239.075128507182</v>
      </c>
      <c r="AB141" s="11">
        <f>Commercial!AB146*Commercial!$B$5</f>
        <v>20297.959598879112</v>
      </c>
      <c r="AC141" s="11">
        <f>Commercial!AC146*Commercial!$B$5</f>
        <v>20356.844069251041</v>
      </c>
      <c r="AD141" s="11">
        <f>Commercial!AD146*Commercial!$B$5</f>
        <v>20415.728539622971</v>
      </c>
      <c r="AE141" s="11">
        <f>Commercial!AE146*Commercial!$B$5</f>
        <v>20415.728539622971</v>
      </c>
      <c r="AF141" s="11">
        <f>Commercial!AF146*Commercial!$B$5</f>
        <v>20415.728539622971</v>
      </c>
      <c r="AG141" s="11">
        <f>Commercial!AG146*Commercial!$B$5</f>
        <v>20415.728539622971</v>
      </c>
      <c r="AH141" s="11">
        <f>Commercial!AH146*Commercial!$B$5</f>
        <v>20415.728539622971</v>
      </c>
      <c r="AI141" s="11">
        <f>Commercial!AI146*Commercial!$B$5</f>
        <v>20415.728539622971</v>
      </c>
      <c r="AJ141" s="11">
        <f>Commercial!AJ146*Commercial!$B$5</f>
        <v>20415.728539622971</v>
      </c>
      <c r="AK141" s="11">
        <f>Commercial!AK146*Commercial!$B$5</f>
        <v>20415.728539622971</v>
      </c>
      <c r="AL141" s="11">
        <f>Commercial!AL146*Commercial!$B$5</f>
        <v>20415.728539622971</v>
      </c>
      <c r="AM141" s="11">
        <f>Commercial!AM146*Commercial!$B$5</f>
        <v>20415.728539622971</v>
      </c>
      <c r="AN141" s="11">
        <f>Commercial!AN146*Commercial!$B$5</f>
        <v>20415.728539622971</v>
      </c>
      <c r="AO141" s="40">
        <f>Commercial!AO146*Commercial!$B$5</f>
        <v>20415.728539622971</v>
      </c>
      <c r="AP141" s="40">
        <f>Commercial!AP146*Commercial!$B$5</f>
        <v>20415.728539622971</v>
      </c>
      <c r="AQ141" s="40">
        <f>Commercial!AQ146*Commercial!$B$5</f>
        <v>20415.728539622971</v>
      </c>
      <c r="AR141" s="40">
        <f>Commercial!AR146*Commercial!$B$5</f>
        <v>20415.728539622971</v>
      </c>
      <c r="AS141" s="40">
        <f>Commercial!AS146*Commercial!$B$5</f>
        <v>20415.728539622971</v>
      </c>
      <c r="AT141" s="40">
        <f>Commercial!AT146*Commercial!$B$5</f>
        <v>20415.728539622971</v>
      </c>
      <c r="AU141" s="40">
        <f>Commercial!AU146*Commercial!$B$5</f>
        <v>20415.728539622971</v>
      </c>
      <c r="AV141" s="40">
        <f>Commercial!AV146*Commercial!$B$5</f>
        <v>20415.728539622971</v>
      </c>
      <c r="AW141" s="40">
        <f>Commercial!AW146*Commercial!$B$5</f>
        <v>20415.728539622971</v>
      </c>
      <c r="AX141" s="40">
        <f>Commercial!AX146*Commercial!$B$5</f>
        <v>20415.728539622971</v>
      </c>
    </row>
    <row r="142" spans="1:50" x14ac:dyDescent="0.2">
      <c r="A142" s="6" t="s">
        <v>9</v>
      </c>
      <c r="B142" s="11">
        <f>Commercial!B147*Commercial!$B$5</f>
        <v>179499.48993370647</v>
      </c>
      <c r="C142" s="11">
        <f>Commercial!C147*Commercial!$B$5</f>
        <v>180113.27811658164</v>
      </c>
      <c r="D142" s="11">
        <f>Commercial!D147*Commercial!$B$5</f>
        <v>180727.06629945675</v>
      </c>
      <c r="E142" s="11">
        <f>Commercial!E147*Commercial!$B$5</f>
        <v>181340.85448233195</v>
      </c>
      <c r="F142" s="11">
        <f>Commercial!F147*Commercial!$B$5</f>
        <v>182982.72930142598</v>
      </c>
      <c r="G142" s="11">
        <f>Commercial!G147*Commercial!$B$5</f>
        <v>184624.60412052003</v>
      </c>
      <c r="H142" s="11">
        <f>Commercial!H147*Commercial!$B$5</f>
        <v>186266.47893961408</v>
      </c>
      <c r="I142" s="11">
        <f>Commercial!I147*Commercial!$B$5</f>
        <v>187908.35375870808</v>
      </c>
      <c r="J142" s="11">
        <f>Commercial!J147*Commercial!$B$5</f>
        <v>189550.22857780213</v>
      </c>
      <c r="K142" s="11">
        <f>Commercial!K147*Commercial!$B$5</f>
        <v>190929.27652765432</v>
      </c>
      <c r="L142" s="11">
        <f>Commercial!L147*Commercial!$B$5</f>
        <v>192308.32447750654</v>
      </c>
      <c r="M142" s="11">
        <f>Commercial!M147*Commercial!$B$5</f>
        <v>193687.37242735873</v>
      </c>
      <c r="N142" s="11">
        <f>Commercial!N147*Commercial!$B$5</f>
        <v>195066.42037721092</v>
      </c>
      <c r="O142" s="11">
        <f>Commercial!O147*Commercial!$B$5</f>
        <v>196445.46832706316</v>
      </c>
      <c r="P142" s="11">
        <f>Commercial!P147*Commercial!$B$5</f>
        <v>197558.65103705483</v>
      </c>
      <c r="Q142" s="11">
        <f>Commercial!Q147*Commercial!$B$5</f>
        <v>198671.83374704653</v>
      </c>
      <c r="R142" s="11">
        <f>Commercial!R147*Commercial!$B$5</f>
        <v>199785.01645703815</v>
      </c>
      <c r="S142" s="11">
        <f>Commercial!S147*Commercial!$B$5</f>
        <v>200898.19916702982</v>
      </c>
      <c r="T142" s="11">
        <f>Commercial!T147*Commercial!$B$5</f>
        <v>202011.38187702151</v>
      </c>
      <c r="U142" s="11">
        <f>Commercial!U147*Commercial!$B$5</f>
        <v>202864.53525781402</v>
      </c>
      <c r="V142" s="11">
        <f>Commercial!V147*Commercial!$B$5</f>
        <v>203717.6886386066</v>
      </c>
      <c r="W142" s="11">
        <f>Commercial!W147*Commercial!$B$5</f>
        <v>204570.8420193991</v>
      </c>
      <c r="X142" s="11">
        <f>Commercial!X147*Commercial!$B$5</f>
        <v>205423.99540019172</v>
      </c>
      <c r="Y142" s="11">
        <f>Commercial!Y147*Commercial!$B$5</f>
        <v>206277.14878098428</v>
      </c>
      <c r="Z142" s="11">
        <f>Commercial!Z147*Commercial!$B$5</f>
        <v>206880.81340108663</v>
      </c>
      <c r="AA142" s="11">
        <f>Commercial!AA147*Commercial!$B$5</f>
        <v>207484.47802118908</v>
      </c>
      <c r="AB142" s="11">
        <f>Commercial!AB147*Commercial!$B$5</f>
        <v>208088.14264129143</v>
      </c>
      <c r="AC142" s="11">
        <f>Commercial!AC147*Commercial!$B$5</f>
        <v>208691.80726139381</v>
      </c>
      <c r="AD142" s="11">
        <f>Commercial!AD147*Commercial!$B$5</f>
        <v>209295.4718814962</v>
      </c>
      <c r="AE142" s="11">
        <f>Commercial!AE147*Commercial!$B$5</f>
        <v>209295.4718814962</v>
      </c>
      <c r="AF142" s="11">
        <f>Commercial!AF147*Commercial!$B$5</f>
        <v>209295.4718814962</v>
      </c>
      <c r="AG142" s="11">
        <f>Commercial!AG147*Commercial!$B$5</f>
        <v>209295.4718814962</v>
      </c>
      <c r="AH142" s="11">
        <f>Commercial!AH147*Commercial!$B$5</f>
        <v>209295.4718814962</v>
      </c>
      <c r="AI142" s="11">
        <f>Commercial!AI147*Commercial!$B$5</f>
        <v>209295.4718814962</v>
      </c>
      <c r="AJ142" s="11">
        <f>Commercial!AJ147*Commercial!$B$5</f>
        <v>209295.4718814962</v>
      </c>
      <c r="AK142" s="11">
        <f>Commercial!AK147*Commercial!$B$5</f>
        <v>209295.4718814962</v>
      </c>
      <c r="AL142" s="11">
        <f>Commercial!AL147*Commercial!$B$5</f>
        <v>209295.4718814962</v>
      </c>
      <c r="AM142" s="11">
        <f>Commercial!AM147*Commercial!$B$5</f>
        <v>209295.4718814962</v>
      </c>
      <c r="AN142" s="11">
        <f>Commercial!AN147*Commercial!$B$5</f>
        <v>209295.4718814962</v>
      </c>
      <c r="AO142" s="40">
        <f>Commercial!AO147*Commercial!$B$5</f>
        <v>209295.4718814962</v>
      </c>
      <c r="AP142" s="40">
        <f>Commercial!AP147*Commercial!$B$5</f>
        <v>209295.4718814962</v>
      </c>
      <c r="AQ142" s="40">
        <f>Commercial!AQ147*Commercial!$B$5</f>
        <v>209295.4718814962</v>
      </c>
      <c r="AR142" s="40">
        <f>Commercial!AR147*Commercial!$B$5</f>
        <v>209295.4718814962</v>
      </c>
      <c r="AS142" s="40">
        <f>Commercial!AS147*Commercial!$B$5</f>
        <v>209295.4718814962</v>
      </c>
      <c r="AT142" s="40">
        <f>Commercial!AT147*Commercial!$B$5</f>
        <v>209295.4718814962</v>
      </c>
      <c r="AU142" s="40">
        <f>Commercial!AU147*Commercial!$B$5</f>
        <v>209295.4718814962</v>
      </c>
      <c r="AV142" s="40">
        <f>Commercial!AV147*Commercial!$B$5</f>
        <v>209295.4718814962</v>
      </c>
      <c r="AW142" s="40">
        <f>Commercial!AW147*Commercial!$B$5</f>
        <v>209295.4718814962</v>
      </c>
      <c r="AX142" s="40">
        <f>Commercial!AX147*Commercial!$B$5</f>
        <v>209295.4718814962</v>
      </c>
    </row>
    <row r="143" spans="1:50" x14ac:dyDescent="0.2">
      <c r="A143" s="6" t="s">
        <v>10</v>
      </c>
      <c r="B143" s="11">
        <f>Commercial!B148*Commercial!$B$5</f>
        <v>155.90297078150141</v>
      </c>
      <c r="C143" s="11">
        <f>Commercial!C148*Commercial!$B$5</f>
        <v>156.43607202416325</v>
      </c>
      <c r="D143" s="11">
        <f>Commercial!D148*Commercial!$B$5</f>
        <v>156.96917326682501</v>
      </c>
      <c r="E143" s="11">
        <f>Commercial!E148*Commercial!$B$5</f>
        <v>157.50227450948685</v>
      </c>
      <c r="F143" s="11">
        <f>Commercial!F148*Commercial!$B$5</f>
        <v>158.92831289011198</v>
      </c>
      <c r="G143" s="11">
        <f>Commercial!G148*Commercial!$B$5</f>
        <v>160.35435127073708</v>
      </c>
      <c r="H143" s="11">
        <f>Commercial!H148*Commercial!$B$5</f>
        <v>161.78038965136221</v>
      </c>
      <c r="I143" s="11">
        <f>Commercial!I148*Commercial!$B$5</f>
        <v>163.20642803198737</v>
      </c>
      <c r="J143" s="11">
        <f>Commercial!J148*Commercial!$B$5</f>
        <v>164.6324664126125</v>
      </c>
      <c r="K143" s="11">
        <f>Commercial!K148*Commercial!$B$5</f>
        <v>165.83022843584442</v>
      </c>
      <c r="L143" s="11">
        <f>Commercial!L148*Commercial!$B$5</f>
        <v>167.02799045907639</v>
      </c>
      <c r="M143" s="11">
        <f>Commercial!M148*Commercial!$B$5</f>
        <v>168.22575248230831</v>
      </c>
      <c r="N143" s="11">
        <f>Commercial!N148*Commercial!$B$5</f>
        <v>169.42351450554023</v>
      </c>
      <c r="O143" s="11">
        <f>Commercial!O148*Commercial!$B$5</f>
        <v>170.6212765287722</v>
      </c>
      <c r="P143" s="11">
        <f>Commercial!P148*Commercial!$B$5</f>
        <v>171.58812324000465</v>
      </c>
      <c r="Q143" s="11">
        <f>Commercial!Q148*Commercial!$B$5</f>
        <v>172.55496995123713</v>
      </c>
      <c r="R143" s="11">
        <f>Commercial!R148*Commercial!$B$5</f>
        <v>173.52181666246952</v>
      </c>
      <c r="S143" s="11">
        <f>Commercial!S148*Commercial!$B$5</f>
        <v>174.48866337370194</v>
      </c>
      <c r="T143" s="11">
        <f>Commercial!T148*Commercial!$B$5</f>
        <v>175.45551008493436</v>
      </c>
      <c r="U143" s="11">
        <f>Commercial!U148*Commercial!$B$5</f>
        <v>176.19651022174236</v>
      </c>
      <c r="V143" s="11">
        <f>Commercial!V148*Commercial!$B$5</f>
        <v>176.93751035855038</v>
      </c>
      <c r="W143" s="11">
        <f>Commercial!W148*Commercial!$B$5</f>
        <v>177.67851049535832</v>
      </c>
      <c r="X143" s="11">
        <f>Commercial!X148*Commercial!$B$5</f>
        <v>178.41951063216635</v>
      </c>
      <c r="Y143" s="11">
        <f>Commercial!Y148*Commercial!$B$5</f>
        <v>179.16051076897432</v>
      </c>
      <c r="Z143" s="11">
        <f>Commercial!Z148*Commercial!$B$5</f>
        <v>179.68481926514002</v>
      </c>
      <c r="AA143" s="11">
        <f>Commercial!AA148*Commercial!$B$5</f>
        <v>180.20912776130569</v>
      </c>
      <c r="AB143" s="11">
        <f>Commercial!AB148*Commercial!$B$5</f>
        <v>180.73343625747137</v>
      </c>
      <c r="AC143" s="11">
        <f>Commercial!AC148*Commercial!$B$5</f>
        <v>181.25774475363707</v>
      </c>
      <c r="AD143" s="11">
        <f>Commercial!AD148*Commercial!$B$5</f>
        <v>181.78205324980271</v>
      </c>
      <c r="AE143" s="11">
        <f>Commercial!AE148*Commercial!$B$5</f>
        <v>181.78205324980271</v>
      </c>
      <c r="AF143" s="11">
        <f>Commercial!AF148*Commercial!$B$5</f>
        <v>181.78205324980271</v>
      </c>
      <c r="AG143" s="11">
        <f>Commercial!AG148*Commercial!$B$5</f>
        <v>181.78205324980271</v>
      </c>
      <c r="AH143" s="11">
        <f>Commercial!AH148*Commercial!$B$5</f>
        <v>181.78205324980271</v>
      </c>
      <c r="AI143" s="11">
        <f>Commercial!AI148*Commercial!$B$5</f>
        <v>181.78205324980271</v>
      </c>
      <c r="AJ143" s="11">
        <f>Commercial!AJ148*Commercial!$B$5</f>
        <v>181.78205324980271</v>
      </c>
      <c r="AK143" s="11">
        <f>Commercial!AK148*Commercial!$B$5</f>
        <v>181.78205324980271</v>
      </c>
      <c r="AL143" s="11">
        <f>Commercial!AL148*Commercial!$B$5</f>
        <v>181.78205324980271</v>
      </c>
      <c r="AM143" s="11">
        <f>Commercial!AM148*Commercial!$B$5</f>
        <v>181.78205324980271</v>
      </c>
      <c r="AN143" s="11">
        <f>Commercial!AN148*Commercial!$B$5</f>
        <v>181.78205324980271</v>
      </c>
      <c r="AO143" s="40">
        <f>Commercial!AO148*Commercial!$B$5</f>
        <v>181.78205324980271</v>
      </c>
      <c r="AP143" s="40">
        <f>Commercial!AP148*Commercial!$B$5</f>
        <v>181.78205324980271</v>
      </c>
      <c r="AQ143" s="40">
        <f>Commercial!AQ148*Commercial!$B$5</f>
        <v>181.78205324980271</v>
      </c>
      <c r="AR143" s="40">
        <f>Commercial!AR148*Commercial!$B$5</f>
        <v>181.78205324980271</v>
      </c>
      <c r="AS143" s="40">
        <f>Commercial!AS148*Commercial!$B$5</f>
        <v>181.78205324980271</v>
      </c>
      <c r="AT143" s="40">
        <f>Commercial!AT148*Commercial!$B$5</f>
        <v>181.78205324980271</v>
      </c>
      <c r="AU143" s="40">
        <f>Commercial!AU148*Commercial!$B$5</f>
        <v>181.78205324980271</v>
      </c>
      <c r="AV143" s="40">
        <f>Commercial!AV148*Commercial!$B$5</f>
        <v>181.78205324980271</v>
      </c>
      <c r="AW143" s="40">
        <f>Commercial!AW148*Commercial!$B$5</f>
        <v>181.78205324980271</v>
      </c>
      <c r="AX143" s="40">
        <f>Commercial!AX148*Commercial!$B$5</f>
        <v>181.78205324980271</v>
      </c>
    </row>
    <row r="144" spans="1:50" x14ac:dyDescent="0.2">
      <c r="A144" s="6" t="s">
        <v>44</v>
      </c>
      <c r="B144" s="11">
        <f>Commercial!B149*Commercial!$B$5</f>
        <v>284667.62312883488</v>
      </c>
      <c r="C144" s="11">
        <f>Commercial!C149*Commercial!$B$5</f>
        <v>285641.02769498806</v>
      </c>
      <c r="D144" s="11">
        <f>Commercial!D149*Commercial!$B$5</f>
        <v>286614.43226114119</v>
      </c>
      <c r="E144" s="11">
        <f>Commercial!E149*Commercial!$B$5</f>
        <v>287587.83682729444</v>
      </c>
      <c r="F144" s="11">
        <f>Commercial!F149*Commercial!$B$5</f>
        <v>290191.68045046687</v>
      </c>
      <c r="G144" s="11">
        <f>Commercial!G149*Commercial!$B$5</f>
        <v>292795.52407363924</v>
      </c>
      <c r="H144" s="11">
        <f>Commercial!H149*Commercial!$B$5</f>
        <v>295399.36769681168</v>
      </c>
      <c r="I144" s="11">
        <f>Commercial!I149*Commercial!$B$5</f>
        <v>298003.21131998411</v>
      </c>
      <c r="J144" s="11">
        <f>Commercial!J149*Commercial!$B$5</f>
        <v>300607.0549431566</v>
      </c>
      <c r="K144" s="11">
        <f>Commercial!K149*Commercial!$B$5</f>
        <v>302794.08233922382</v>
      </c>
      <c r="L144" s="11">
        <f>Commercial!L149*Commercial!$B$5</f>
        <v>304981.1097352911</v>
      </c>
      <c r="M144" s="11">
        <f>Commercial!M149*Commercial!$B$5</f>
        <v>307168.13713135838</v>
      </c>
      <c r="N144" s="11">
        <f>Commercial!N149*Commercial!$B$5</f>
        <v>309355.16452742566</v>
      </c>
      <c r="O144" s="11">
        <f>Commercial!O149*Commercial!$B$5</f>
        <v>311542.191923493</v>
      </c>
      <c r="P144" s="11">
        <f>Commercial!P149*Commercial!$B$5</f>
        <v>313307.58455095097</v>
      </c>
      <c r="Q144" s="11">
        <f>Commercial!Q149*Commercial!$B$5</f>
        <v>315072.97717840906</v>
      </c>
      <c r="R144" s="11">
        <f>Commercial!R149*Commercial!$B$5</f>
        <v>316838.36980586709</v>
      </c>
      <c r="S144" s="11">
        <f>Commercial!S149*Commercial!$B$5</f>
        <v>318603.76243332512</v>
      </c>
      <c r="T144" s="11">
        <f>Commercial!T149*Commercial!$B$5</f>
        <v>320369.15506078315</v>
      </c>
      <c r="U144" s="11">
        <f>Commercial!U149*Commercial!$B$5</f>
        <v>321722.16807025875</v>
      </c>
      <c r="V144" s="11">
        <f>Commercial!V149*Commercial!$B$5</f>
        <v>323075.18107973447</v>
      </c>
      <c r="W144" s="11">
        <f>Commercial!W149*Commercial!$B$5</f>
        <v>324428.19408921001</v>
      </c>
      <c r="X144" s="11">
        <f>Commercial!X149*Commercial!$B$5</f>
        <v>325781.20709868573</v>
      </c>
      <c r="Y144" s="11">
        <f>Commercial!Y149*Commercial!$B$5</f>
        <v>327134.22010816139</v>
      </c>
      <c r="Z144" s="11">
        <f>Commercial!Z149*Commercial!$B$5</f>
        <v>328091.56975096528</v>
      </c>
      <c r="AA144" s="11">
        <f>Commercial!AA149*Commercial!$B$5</f>
        <v>329048.91939376923</v>
      </c>
      <c r="AB144" s="11">
        <f>Commercial!AB149*Commercial!$B$5</f>
        <v>330006.26903657307</v>
      </c>
      <c r="AC144" s="11">
        <f>Commercial!AC149*Commercial!$B$5</f>
        <v>330963.61867937702</v>
      </c>
      <c r="AD144" s="11">
        <f>Commercial!AD149*Commercial!$B$5</f>
        <v>331920.96832218091</v>
      </c>
      <c r="AE144" s="11">
        <f>Commercial!AE149*Commercial!$B$5</f>
        <v>331920.96832218091</v>
      </c>
      <c r="AF144" s="11">
        <f>Commercial!AF149*Commercial!$B$5</f>
        <v>331920.96832218091</v>
      </c>
      <c r="AG144" s="11">
        <f>Commercial!AG149*Commercial!$B$5</f>
        <v>331920.96832218091</v>
      </c>
      <c r="AH144" s="11">
        <f>Commercial!AH149*Commercial!$B$5</f>
        <v>331920.96832218091</v>
      </c>
      <c r="AI144" s="11">
        <f>Commercial!AI149*Commercial!$B$5</f>
        <v>331920.96832218091</v>
      </c>
      <c r="AJ144" s="11">
        <f>Commercial!AJ149*Commercial!$B$5</f>
        <v>331920.96832218091</v>
      </c>
      <c r="AK144" s="11">
        <f>Commercial!AK149*Commercial!$B$5</f>
        <v>331920.96832218091</v>
      </c>
      <c r="AL144" s="11">
        <f>Commercial!AL149*Commercial!$B$5</f>
        <v>331920.96832218091</v>
      </c>
      <c r="AM144" s="11">
        <f>Commercial!AM149*Commercial!$B$5</f>
        <v>331920.96832218091</v>
      </c>
      <c r="AN144" s="11">
        <f>Commercial!AN149*Commercial!$B$5</f>
        <v>331920.96832218091</v>
      </c>
      <c r="AO144" s="40">
        <f>Commercial!AO149*Commercial!$B$5</f>
        <v>331920.96832218091</v>
      </c>
      <c r="AP144" s="40">
        <f>Commercial!AP149*Commercial!$B$5</f>
        <v>331920.96832218091</v>
      </c>
      <c r="AQ144" s="40">
        <f>Commercial!AQ149*Commercial!$B$5</f>
        <v>331920.96832218091</v>
      </c>
      <c r="AR144" s="40">
        <f>Commercial!AR149*Commercial!$B$5</f>
        <v>331920.96832218091</v>
      </c>
      <c r="AS144" s="40">
        <f>Commercial!AS149*Commercial!$B$5</f>
        <v>331920.96832218091</v>
      </c>
      <c r="AT144" s="40">
        <f>Commercial!AT149*Commercial!$B$5</f>
        <v>331920.96832218091</v>
      </c>
      <c r="AU144" s="40">
        <f>Commercial!AU149*Commercial!$B$5</f>
        <v>331920.96832218091</v>
      </c>
      <c r="AV144" s="40">
        <f>Commercial!AV149*Commercial!$B$5</f>
        <v>331920.96832218091</v>
      </c>
      <c r="AW144" s="40">
        <f>Commercial!AW149*Commercial!$B$5</f>
        <v>331920.96832218091</v>
      </c>
      <c r="AX144" s="40">
        <f>Commercial!AX149*Commercial!$B$5</f>
        <v>331920.96832218091</v>
      </c>
    </row>
    <row r="146" spans="1:50" x14ac:dyDescent="0.2">
      <c r="A146" s="5" t="s">
        <v>66</v>
      </c>
    </row>
    <row r="147" spans="1:50" x14ac:dyDescent="0.2">
      <c r="A147" s="5" t="s">
        <v>4</v>
      </c>
    </row>
    <row r="148" spans="1:50" x14ac:dyDescent="0.2">
      <c r="A148" s="5" t="s">
        <v>64</v>
      </c>
    </row>
    <row r="149" spans="1:50" x14ac:dyDescent="0.2">
      <c r="A149" s="5" t="s">
        <v>6</v>
      </c>
    </row>
    <row r="150" spans="1:50" x14ac:dyDescent="0.2">
      <c r="A150" s="5"/>
    </row>
    <row r="151" spans="1:50" x14ac:dyDescent="0.2">
      <c r="A151" s="6" t="s">
        <v>7</v>
      </c>
      <c r="B151" s="6">
        <v>2022</v>
      </c>
      <c r="C151" s="6">
        <v>2023</v>
      </c>
      <c r="D151" s="6">
        <v>2024</v>
      </c>
      <c r="E151" s="6">
        <v>2025</v>
      </c>
      <c r="F151" s="6">
        <v>2026</v>
      </c>
      <c r="G151" s="6">
        <v>2027</v>
      </c>
      <c r="H151" s="6">
        <v>2028</v>
      </c>
      <c r="I151" s="6">
        <v>2029</v>
      </c>
      <c r="J151" s="6">
        <v>2030</v>
      </c>
      <c r="K151" s="6">
        <v>2031</v>
      </c>
      <c r="L151" s="6">
        <v>2032</v>
      </c>
      <c r="M151" s="6">
        <v>2033</v>
      </c>
      <c r="N151" s="6">
        <v>2034</v>
      </c>
      <c r="O151" s="6">
        <v>2035</v>
      </c>
      <c r="P151" s="6">
        <v>2036</v>
      </c>
      <c r="Q151" s="6">
        <v>2037</v>
      </c>
      <c r="R151" s="6">
        <v>2038</v>
      </c>
      <c r="S151" s="6">
        <v>2039</v>
      </c>
      <c r="T151" s="6">
        <v>2040</v>
      </c>
      <c r="U151" s="6">
        <v>2041</v>
      </c>
      <c r="V151" s="6">
        <v>2042</v>
      </c>
      <c r="W151" s="6">
        <v>2043</v>
      </c>
      <c r="X151" s="6">
        <v>2044</v>
      </c>
      <c r="Y151" s="6">
        <v>2045</v>
      </c>
      <c r="Z151" s="6">
        <v>2046</v>
      </c>
      <c r="AA151" s="6">
        <v>2047</v>
      </c>
      <c r="AB151" s="6">
        <v>2048</v>
      </c>
      <c r="AC151" s="6">
        <v>2049</v>
      </c>
      <c r="AD151" s="6">
        <v>2050</v>
      </c>
      <c r="AE151" s="6">
        <v>2051</v>
      </c>
      <c r="AF151" s="6">
        <v>2052</v>
      </c>
      <c r="AG151" s="6">
        <v>2053</v>
      </c>
      <c r="AH151" s="6">
        <v>2054</v>
      </c>
      <c r="AI151" s="6">
        <v>2055</v>
      </c>
      <c r="AJ151" s="6">
        <v>2056</v>
      </c>
      <c r="AK151" s="6">
        <v>2057</v>
      </c>
      <c r="AL151" s="6">
        <v>2058</v>
      </c>
      <c r="AM151" s="6">
        <v>2059</v>
      </c>
      <c r="AN151" s="6">
        <v>2060</v>
      </c>
      <c r="AO151" s="39">
        <f>AN151+1</f>
        <v>2061</v>
      </c>
      <c r="AP151" s="39">
        <f t="shared" ref="AP151:AX151" si="9">AO151+1</f>
        <v>2062</v>
      </c>
      <c r="AQ151" s="39">
        <f t="shared" si="9"/>
        <v>2063</v>
      </c>
      <c r="AR151" s="39">
        <f t="shared" si="9"/>
        <v>2064</v>
      </c>
      <c r="AS151" s="39">
        <f t="shared" si="9"/>
        <v>2065</v>
      </c>
      <c r="AT151" s="39">
        <f t="shared" si="9"/>
        <v>2066</v>
      </c>
      <c r="AU151" s="39">
        <f t="shared" si="9"/>
        <v>2067</v>
      </c>
      <c r="AV151" s="39">
        <f t="shared" si="9"/>
        <v>2068</v>
      </c>
      <c r="AW151" s="39">
        <f>AV151+1</f>
        <v>2069</v>
      </c>
      <c r="AX151" s="39">
        <f t="shared" si="9"/>
        <v>2070</v>
      </c>
    </row>
    <row r="152" spans="1:50" x14ac:dyDescent="0.2">
      <c r="A152" s="6" t="s">
        <v>40</v>
      </c>
      <c r="B152" s="11">
        <f>Commercial!B157*Commercial!$B$5</f>
        <v>1016892.4107920675</v>
      </c>
      <c r="C152" s="11">
        <f>Commercial!C157*Commercial!$B$5</f>
        <v>1020369.6159096429</v>
      </c>
      <c r="D152" s="11">
        <f>Commercial!D157*Commercial!$B$5</f>
        <v>1023846.8210272178</v>
      </c>
      <c r="E152" s="11">
        <f>Commercial!E157*Commercial!$B$5</f>
        <v>1027324.0261447931</v>
      </c>
      <c r="F152" s="11">
        <f>Commercial!F157*Commercial!$B$5</f>
        <v>1036625.5012833794</v>
      </c>
      <c r="G152" s="11">
        <f>Commercial!G157*Commercial!$B$5</f>
        <v>1045926.976421966</v>
      </c>
      <c r="H152" s="11">
        <f>Commercial!H157*Commercial!$B$5</f>
        <v>1055228.4515605525</v>
      </c>
      <c r="I152" s="11">
        <f>Commercial!I157*Commercial!$B$5</f>
        <v>1064529.9266991387</v>
      </c>
      <c r="J152" s="11">
        <f>Commercial!J157*Commercial!$B$5</f>
        <v>1073831.401837725</v>
      </c>
      <c r="K152" s="11">
        <f>Commercial!K157*Commercial!$B$5</f>
        <v>1081643.9220562561</v>
      </c>
      <c r="L152" s="11">
        <f>Commercial!L157*Commercial!$B$5</f>
        <v>1089456.4422747872</v>
      </c>
      <c r="M152" s="11">
        <f>Commercial!M157*Commercial!$B$5</f>
        <v>1097268.9624933179</v>
      </c>
      <c r="N152" s="11">
        <f>Commercial!N157*Commercial!$B$5</f>
        <v>1105081.482711849</v>
      </c>
      <c r="O152" s="11">
        <f>Commercial!O157*Commercial!$B$5</f>
        <v>1112894.0029303799</v>
      </c>
      <c r="P152" s="11">
        <f>Commercial!P157*Commercial!$B$5</f>
        <v>1119200.355388727</v>
      </c>
      <c r="Q152" s="11">
        <f>Commercial!Q157*Commercial!$B$5</f>
        <v>1125506.7078470744</v>
      </c>
      <c r="R152" s="11">
        <f>Commercial!R157*Commercial!$B$5</f>
        <v>1131813.060305421</v>
      </c>
      <c r="S152" s="11">
        <f>Commercial!S157*Commercial!$B$5</f>
        <v>1138119.4127637681</v>
      </c>
      <c r="T152" s="11">
        <f>Commercial!T157*Commercial!$B$5</f>
        <v>1144425.7652221154</v>
      </c>
      <c r="U152" s="11">
        <f>Commercial!U157*Commercial!$B$5</f>
        <v>1149259.0112580229</v>
      </c>
      <c r="V152" s="11">
        <f>Commercial!V157*Commercial!$B$5</f>
        <v>1154092.2572939307</v>
      </c>
      <c r="W152" s="11">
        <f>Commercial!W157*Commercial!$B$5</f>
        <v>1158925.5033298384</v>
      </c>
      <c r="X152" s="11">
        <f>Commercial!X157*Commercial!$B$5</f>
        <v>1163758.749365746</v>
      </c>
      <c r="Y152" s="11">
        <f>Commercial!Y157*Commercial!$B$5</f>
        <v>1168591.9954016535</v>
      </c>
      <c r="Z152" s="11">
        <f>Commercial!Z157*Commercial!$B$5</f>
        <v>1172011.8489682158</v>
      </c>
      <c r="AA152" s="11">
        <f>Commercial!AA157*Commercial!$B$5</f>
        <v>1175431.7025347771</v>
      </c>
      <c r="AB152" s="11">
        <f>Commercial!AB157*Commercial!$B$5</f>
        <v>1178851.5561013389</v>
      </c>
      <c r="AC152" s="11">
        <f>Commercial!AC157*Commercial!$B$5</f>
        <v>1182271.4096679008</v>
      </c>
      <c r="AD152" s="11">
        <f>Commercial!AD157*Commercial!$B$5</f>
        <v>1185691.2632344624</v>
      </c>
      <c r="AE152" s="11">
        <f>Commercial!AE157*Commercial!$B$5</f>
        <v>1185691.2632344624</v>
      </c>
      <c r="AF152" s="11">
        <f>Commercial!AF157*Commercial!$B$5</f>
        <v>1185691.2632344624</v>
      </c>
      <c r="AG152" s="11">
        <f>Commercial!AG157*Commercial!$B$5</f>
        <v>1185691.2632344624</v>
      </c>
      <c r="AH152" s="11">
        <f>Commercial!AH157*Commercial!$B$5</f>
        <v>1185691.2632344624</v>
      </c>
      <c r="AI152" s="11">
        <f>Commercial!AI157*Commercial!$B$5</f>
        <v>1185691.2632344624</v>
      </c>
      <c r="AJ152" s="11">
        <f>Commercial!AJ157*Commercial!$B$5</f>
        <v>1185691.2632344624</v>
      </c>
      <c r="AK152" s="11">
        <f>Commercial!AK157*Commercial!$B$5</f>
        <v>1185691.2632344624</v>
      </c>
      <c r="AL152" s="11">
        <f>Commercial!AL157*Commercial!$B$5</f>
        <v>1185691.2632344624</v>
      </c>
      <c r="AM152" s="11">
        <f>Commercial!AM157*Commercial!$B$5</f>
        <v>1185691.2632344624</v>
      </c>
      <c r="AN152" s="11">
        <f>Commercial!AN157*Commercial!$B$5</f>
        <v>1185691.2632344624</v>
      </c>
      <c r="AO152" s="40">
        <f>Commercial!AO157*Commercial!$B$5</f>
        <v>1185691.2632344624</v>
      </c>
      <c r="AP152" s="40">
        <f>Commercial!AP157*Commercial!$B$5</f>
        <v>1185691.2632344624</v>
      </c>
      <c r="AQ152" s="40">
        <f>Commercial!AQ157*Commercial!$B$5</f>
        <v>1185691.2632344624</v>
      </c>
      <c r="AR152" s="40">
        <f>Commercial!AR157*Commercial!$B$5</f>
        <v>1185691.2632344624</v>
      </c>
      <c r="AS152" s="40">
        <f>Commercial!AS157*Commercial!$B$5</f>
        <v>1185691.2632344624</v>
      </c>
      <c r="AT152" s="40">
        <f>Commercial!AT157*Commercial!$B$5</f>
        <v>1185691.2632344624</v>
      </c>
      <c r="AU152" s="40">
        <f>Commercial!AU157*Commercial!$B$5</f>
        <v>1185691.2632344624</v>
      </c>
      <c r="AV152" s="40">
        <f>Commercial!AV157*Commercial!$B$5</f>
        <v>1185691.2632344624</v>
      </c>
      <c r="AW152" s="40">
        <f>Commercial!AW157*Commercial!$B$5</f>
        <v>1185691.2632344624</v>
      </c>
      <c r="AX152" s="40">
        <f>Commercial!AX157*Commercial!$B$5</f>
        <v>1185691.2632344624</v>
      </c>
    </row>
    <row r="153" spans="1:50" x14ac:dyDescent="0.2">
      <c r="A153" s="6" t="s">
        <v>41</v>
      </c>
      <c r="B153" s="11">
        <f>Commercial!B158*Commercial!$B$5</f>
        <v>621182.28496034385</v>
      </c>
      <c r="C153" s="11">
        <f>Commercial!C158*Commercial!$B$5</f>
        <v>623306.38205978891</v>
      </c>
      <c r="D153" s="11">
        <f>Commercial!D158*Commercial!$B$5</f>
        <v>625430.47915923398</v>
      </c>
      <c r="E153" s="11">
        <f>Commercial!E158*Commercial!$B$5</f>
        <v>627554.57625867915</v>
      </c>
      <c r="F153" s="11">
        <f>Commercial!F158*Commercial!$B$5</f>
        <v>633236.50634171371</v>
      </c>
      <c r="G153" s="11">
        <f>Commercial!G158*Commercial!$B$5</f>
        <v>638918.43642474816</v>
      </c>
      <c r="H153" s="11">
        <f>Commercial!H158*Commercial!$B$5</f>
        <v>644600.36650778272</v>
      </c>
      <c r="I153" s="11">
        <f>Commercial!I158*Commercial!$B$5</f>
        <v>650282.29659081728</v>
      </c>
      <c r="J153" s="11">
        <f>Commercial!J158*Commercial!$B$5</f>
        <v>655964.22667385172</v>
      </c>
      <c r="K153" s="11">
        <f>Commercial!K158*Commercial!$B$5</f>
        <v>660736.60879524646</v>
      </c>
      <c r="L153" s="11">
        <f>Commercial!L158*Commercial!$B$5</f>
        <v>665508.99091664096</v>
      </c>
      <c r="M153" s="11">
        <f>Commercial!M158*Commercial!$B$5</f>
        <v>670281.37303803547</v>
      </c>
      <c r="N153" s="11">
        <f>Commercial!N158*Commercial!$B$5</f>
        <v>675053.75515943009</v>
      </c>
      <c r="O153" s="11">
        <f>Commercial!O158*Commercial!$B$5</f>
        <v>679826.13728082471</v>
      </c>
      <c r="P153" s="11">
        <f>Commercial!P158*Commercial!$B$5</f>
        <v>683678.45674772887</v>
      </c>
      <c r="Q153" s="11">
        <f>Commercial!Q158*Commercial!$B$5</f>
        <v>687530.77621463314</v>
      </c>
      <c r="R153" s="11">
        <f>Commercial!R158*Commercial!$B$5</f>
        <v>691383.09568153706</v>
      </c>
      <c r="S153" s="11">
        <f>Commercial!S158*Commercial!$B$5</f>
        <v>695235.41514844121</v>
      </c>
      <c r="T153" s="11">
        <f>Commercial!T158*Commercial!$B$5</f>
        <v>699087.73461534525</v>
      </c>
      <c r="U153" s="11">
        <f>Commercial!U158*Commercial!$B$5</f>
        <v>702040.18738664885</v>
      </c>
      <c r="V153" s="11">
        <f>Commercial!V158*Commercial!$B$5</f>
        <v>704992.64015795256</v>
      </c>
      <c r="W153" s="11">
        <f>Commercial!W158*Commercial!$B$5</f>
        <v>707945.09292925615</v>
      </c>
      <c r="X153" s="11">
        <f>Commercial!X158*Commercial!$B$5</f>
        <v>710897.54570055974</v>
      </c>
      <c r="Y153" s="11">
        <f>Commercial!Y158*Commercial!$B$5</f>
        <v>713849.99847186322</v>
      </c>
      <c r="Z153" s="11">
        <f>Commercial!Z158*Commercial!$B$5</f>
        <v>715939.06161183899</v>
      </c>
      <c r="AA153" s="11">
        <f>Commercial!AA158*Commercial!$B$5</f>
        <v>718028.12475181452</v>
      </c>
      <c r="AB153" s="11">
        <f>Commercial!AB158*Commercial!$B$5</f>
        <v>720117.18789179029</v>
      </c>
      <c r="AC153" s="11">
        <f>Commercial!AC158*Commercial!$B$5</f>
        <v>722206.25103176571</v>
      </c>
      <c r="AD153" s="11">
        <f>Commercial!AD158*Commercial!$B$5</f>
        <v>724295.31417174137</v>
      </c>
      <c r="AE153" s="11">
        <f>Commercial!AE158*Commercial!$B$5</f>
        <v>724295.31417174137</v>
      </c>
      <c r="AF153" s="11">
        <f>Commercial!AF158*Commercial!$B$5</f>
        <v>724295.31417174137</v>
      </c>
      <c r="AG153" s="11">
        <f>Commercial!AG158*Commercial!$B$5</f>
        <v>724295.31417174137</v>
      </c>
      <c r="AH153" s="11">
        <f>Commercial!AH158*Commercial!$B$5</f>
        <v>724295.31417174137</v>
      </c>
      <c r="AI153" s="11">
        <f>Commercial!AI158*Commercial!$B$5</f>
        <v>724295.31417174137</v>
      </c>
      <c r="AJ153" s="11">
        <f>Commercial!AJ158*Commercial!$B$5</f>
        <v>724295.31417174137</v>
      </c>
      <c r="AK153" s="11">
        <f>Commercial!AK158*Commercial!$B$5</f>
        <v>724295.31417174137</v>
      </c>
      <c r="AL153" s="11">
        <f>Commercial!AL158*Commercial!$B$5</f>
        <v>724295.31417174137</v>
      </c>
      <c r="AM153" s="11">
        <f>Commercial!AM158*Commercial!$B$5</f>
        <v>724295.31417174137</v>
      </c>
      <c r="AN153" s="11">
        <f>Commercial!AN158*Commercial!$B$5</f>
        <v>724295.31417174137</v>
      </c>
      <c r="AO153" s="40">
        <f>Commercial!AO158*Commercial!$B$5</f>
        <v>724295.31417174137</v>
      </c>
      <c r="AP153" s="40">
        <f>Commercial!AP158*Commercial!$B$5</f>
        <v>724295.31417174137</v>
      </c>
      <c r="AQ153" s="40">
        <f>Commercial!AQ158*Commercial!$B$5</f>
        <v>724295.31417174137</v>
      </c>
      <c r="AR153" s="40">
        <f>Commercial!AR158*Commercial!$B$5</f>
        <v>724295.31417174137</v>
      </c>
      <c r="AS153" s="40">
        <f>Commercial!AS158*Commercial!$B$5</f>
        <v>724295.31417174137</v>
      </c>
      <c r="AT153" s="40">
        <f>Commercial!AT158*Commercial!$B$5</f>
        <v>724295.31417174137</v>
      </c>
      <c r="AU153" s="40">
        <f>Commercial!AU158*Commercial!$B$5</f>
        <v>724295.31417174137</v>
      </c>
      <c r="AV153" s="40">
        <f>Commercial!AV158*Commercial!$B$5</f>
        <v>724295.31417174137</v>
      </c>
      <c r="AW153" s="40">
        <f>Commercial!AW158*Commercial!$B$5</f>
        <v>724295.31417174137</v>
      </c>
      <c r="AX153" s="40">
        <f>Commercial!AX158*Commercial!$B$5</f>
        <v>724295.31417174137</v>
      </c>
    </row>
    <row r="154" spans="1:50" x14ac:dyDescent="0.2">
      <c r="A154" s="6" t="s">
        <v>42</v>
      </c>
      <c r="B154" s="11">
        <f>Commercial!B159*Commercial!$B$5</f>
        <v>482351.10394190188</v>
      </c>
      <c r="C154" s="11">
        <f>Commercial!C159*Commercial!$B$5</f>
        <v>484000.47580198728</v>
      </c>
      <c r="D154" s="11">
        <f>Commercial!D159*Commercial!$B$5</f>
        <v>485649.84766207263</v>
      </c>
      <c r="E154" s="11">
        <f>Commercial!E159*Commercial!$B$5</f>
        <v>487299.21952215803</v>
      </c>
      <c r="F154" s="11">
        <f>Commercial!F159*Commercial!$B$5</f>
        <v>491711.26621831814</v>
      </c>
      <c r="G154" s="11">
        <f>Commercial!G159*Commercial!$B$5</f>
        <v>496123.31291447795</v>
      </c>
      <c r="H154" s="11">
        <f>Commercial!H159*Commercial!$B$5</f>
        <v>500535.35961063812</v>
      </c>
      <c r="I154" s="11">
        <f>Commercial!I159*Commercial!$B$5</f>
        <v>504947.40630679805</v>
      </c>
      <c r="J154" s="11">
        <f>Commercial!J159*Commercial!$B$5</f>
        <v>509359.45300295803</v>
      </c>
      <c r="K154" s="11">
        <f>Commercial!K159*Commercial!$B$5</f>
        <v>513065.23122687225</v>
      </c>
      <c r="L154" s="11">
        <f>Commercial!L159*Commercial!$B$5</f>
        <v>516771.00945078646</v>
      </c>
      <c r="M154" s="11">
        <f>Commercial!M159*Commercial!$B$5</f>
        <v>520476.78767470049</v>
      </c>
      <c r="N154" s="11">
        <f>Commercial!N159*Commercial!$B$5</f>
        <v>524182.56589861459</v>
      </c>
      <c r="O154" s="11">
        <f>Commercial!O159*Commercial!$B$5</f>
        <v>527888.3441225288</v>
      </c>
      <c r="P154" s="11">
        <f>Commercial!P159*Commercial!$B$5</f>
        <v>530879.68916340801</v>
      </c>
      <c r="Q154" s="11">
        <f>Commercial!Q159*Commercial!$B$5</f>
        <v>533871.03420428722</v>
      </c>
      <c r="R154" s="11">
        <f>Commercial!R159*Commercial!$B$5</f>
        <v>536862.37924516608</v>
      </c>
      <c r="S154" s="11">
        <f>Commercial!S159*Commercial!$B$5</f>
        <v>539853.7242860453</v>
      </c>
      <c r="T154" s="11">
        <f>Commercial!T159*Commercial!$B$5</f>
        <v>542845.06932692439</v>
      </c>
      <c r="U154" s="11">
        <f>Commercial!U159*Commercial!$B$5</f>
        <v>545137.6634463229</v>
      </c>
      <c r="V154" s="11">
        <f>Commercial!V159*Commercial!$B$5</f>
        <v>547430.25756572152</v>
      </c>
      <c r="W154" s="11">
        <f>Commercial!W159*Commercial!$B$5</f>
        <v>549722.85168511991</v>
      </c>
      <c r="X154" s="11">
        <f>Commercial!X159*Commercial!$B$5</f>
        <v>552015.44580451853</v>
      </c>
      <c r="Y154" s="11">
        <f>Commercial!Y159*Commercial!$B$5</f>
        <v>554308.03992391692</v>
      </c>
      <c r="Z154" s="11">
        <f>Commercial!Z159*Commercial!$B$5</f>
        <v>555930.20774191245</v>
      </c>
      <c r="AA154" s="11">
        <f>Commercial!AA159*Commercial!$B$5</f>
        <v>557552.37555990787</v>
      </c>
      <c r="AB154" s="11">
        <f>Commercial!AB159*Commercial!$B$5</f>
        <v>559174.54337790352</v>
      </c>
      <c r="AC154" s="11">
        <f>Commercial!AC159*Commercial!$B$5</f>
        <v>560796.71119589894</v>
      </c>
      <c r="AD154" s="11">
        <f>Commercial!AD159*Commercial!$B$5</f>
        <v>562418.87901389448</v>
      </c>
      <c r="AE154" s="11">
        <f>Commercial!AE159*Commercial!$B$5</f>
        <v>562418.87901389448</v>
      </c>
      <c r="AF154" s="11">
        <f>Commercial!AF159*Commercial!$B$5</f>
        <v>562418.87901389448</v>
      </c>
      <c r="AG154" s="11">
        <f>Commercial!AG159*Commercial!$B$5</f>
        <v>562418.87901389448</v>
      </c>
      <c r="AH154" s="11">
        <f>Commercial!AH159*Commercial!$B$5</f>
        <v>562418.87901389448</v>
      </c>
      <c r="AI154" s="11">
        <f>Commercial!AI159*Commercial!$B$5</f>
        <v>562418.87901389448</v>
      </c>
      <c r="AJ154" s="11">
        <f>Commercial!AJ159*Commercial!$B$5</f>
        <v>562418.87901389448</v>
      </c>
      <c r="AK154" s="11">
        <f>Commercial!AK159*Commercial!$B$5</f>
        <v>562418.87901389448</v>
      </c>
      <c r="AL154" s="11">
        <f>Commercial!AL159*Commercial!$B$5</f>
        <v>562418.87901389448</v>
      </c>
      <c r="AM154" s="11">
        <f>Commercial!AM159*Commercial!$B$5</f>
        <v>562418.87901389448</v>
      </c>
      <c r="AN154" s="11">
        <f>Commercial!AN159*Commercial!$B$5</f>
        <v>562418.87901389448</v>
      </c>
      <c r="AO154" s="40">
        <f>Commercial!AO159*Commercial!$B$5</f>
        <v>562418.87901389448</v>
      </c>
      <c r="AP154" s="40">
        <f>Commercial!AP159*Commercial!$B$5</f>
        <v>562418.87901389448</v>
      </c>
      <c r="AQ154" s="40">
        <f>Commercial!AQ159*Commercial!$B$5</f>
        <v>562418.87901389448</v>
      </c>
      <c r="AR154" s="40">
        <f>Commercial!AR159*Commercial!$B$5</f>
        <v>562418.87901389448</v>
      </c>
      <c r="AS154" s="40">
        <f>Commercial!AS159*Commercial!$B$5</f>
        <v>562418.87901389448</v>
      </c>
      <c r="AT154" s="40">
        <f>Commercial!AT159*Commercial!$B$5</f>
        <v>562418.87901389448</v>
      </c>
      <c r="AU154" s="40">
        <f>Commercial!AU159*Commercial!$B$5</f>
        <v>562418.87901389448</v>
      </c>
      <c r="AV154" s="40">
        <f>Commercial!AV159*Commercial!$B$5</f>
        <v>562418.87901389448</v>
      </c>
      <c r="AW154" s="40">
        <f>Commercial!AW159*Commercial!$B$5</f>
        <v>562418.87901389448</v>
      </c>
      <c r="AX154" s="40">
        <f>Commercial!AX159*Commercial!$B$5</f>
        <v>562418.87901389448</v>
      </c>
    </row>
    <row r="155" spans="1:50" x14ac:dyDescent="0.2">
      <c r="A155" s="6" t="s">
        <v>43</v>
      </c>
      <c r="B155" s="11">
        <f>Commercial!B160*Commercial!$B$5</f>
        <v>33827.128214243843</v>
      </c>
      <c r="C155" s="11">
        <f>Commercial!C160*Commercial!$B$5</f>
        <v>33942.798133786091</v>
      </c>
      <c r="D155" s="11">
        <f>Commercial!D160*Commercial!$B$5</f>
        <v>34058.468053328332</v>
      </c>
      <c r="E155" s="11">
        <f>Commercial!E160*Commercial!$B$5</f>
        <v>34174.13797287058</v>
      </c>
      <c r="F155" s="11">
        <f>Commercial!F160*Commercial!$B$5</f>
        <v>34483.553392589856</v>
      </c>
      <c r="G155" s="11">
        <f>Commercial!G160*Commercial!$B$5</f>
        <v>34792.968812309118</v>
      </c>
      <c r="H155" s="11">
        <f>Commercial!H160*Commercial!$B$5</f>
        <v>35102.384232028387</v>
      </c>
      <c r="I155" s="11">
        <f>Commercial!I160*Commercial!$B$5</f>
        <v>35411.799651747657</v>
      </c>
      <c r="J155" s="11">
        <f>Commercial!J160*Commercial!$B$5</f>
        <v>35721.215071466919</v>
      </c>
      <c r="K155" s="11">
        <f>Commercial!K160*Commercial!$B$5</f>
        <v>35981.100109750143</v>
      </c>
      <c r="L155" s="11">
        <f>Commercial!L160*Commercial!$B$5</f>
        <v>36240.985148033375</v>
      </c>
      <c r="M155" s="11">
        <f>Commercial!M160*Commercial!$B$5</f>
        <v>36500.870186316599</v>
      </c>
      <c r="N155" s="11">
        <f>Commercial!N160*Commercial!$B$5</f>
        <v>36760.755224599816</v>
      </c>
      <c r="O155" s="11">
        <f>Commercial!O160*Commercial!$B$5</f>
        <v>37020.640262883047</v>
      </c>
      <c r="P155" s="11">
        <f>Commercial!P160*Commercial!$B$5</f>
        <v>37230.422331181268</v>
      </c>
      <c r="Q155" s="11">
        <f>Commercial!Q160*Commercial!$B$5</f>
        <v>37440.20439947948</v>
      </c>
      <c r="R155" s="11">
        <f>Commercial!R160*Commercial!$B$5</f>
        <v>37649.986467777686</v>
      </c>
      <c r="S155" s="11">
        <f>Commercial!S160*Commercial!$B$5</f>
        <v>37859.768536075913</v>
      </c>
      <c r="T155" s="11">
        <f>Commercial!T160*Commercial!$B$5</f>
        <v>38069.550604374119</v>
      </c>
      <c r="U155" s="11">
        <f>Commercial!U160*Commercial!$B$5</f>
        <v>38230.329494660356</v>
      </c>
      <c r="V155" s="11">
        <f>Commercial!V160*Commercial!$B$5</f>
        <v>38391.108384946587</v>
      </c>
      <c r="W155" s="11">
        <f>Commercial!W160*Commercial!$B$5</f>
        <v>38551.88727523281</v>
      </c>
      <c r="X155" s="11">
        <f>Commercial!X160*Commercial!$B$5</f>
        <v>38712.66616551904</v>
      </c>
      <c r="Y155" s="11">
        <f>Commercial!Y160*Commercial!$B$5</f>
        <v>38873.445055805256</v>
      </c>
      <c r="Z155" s="11">
        <f>Commercial!Z160*Commercial!$B$5</f>
        <v>38987.207164600935</v>
      </c>
      <c r="AA155" s="11">
        <f>Commercial!AA160*Commercial!$B$5</f>
        <v>39100.969273396615</v>
      </c>
      <c r="AB155" s="11">
        <f>Commercial!AB160*Commercial!$B$5</f>
        <v>39214.731382192287</v>
      </c>
      <c r="AC155" s="11">
        <f>Commercial!AC160*Commercial!$B$5</f>
        <v>39328.493490987967</v>
      </c>
      <c r="AD155" s="11">
        <f>Commercial!AD160*Commercial!$B$5</f>
        <v>39442.255599783646</v>
      </c>
      <c r="AE155" s="11">
        <f>Commercial!AE160*Commercial!$B$5</f>
        <v>39442.255599783646</v>
      </c>
      <c r="AF155" s="11">
        <f>Commercial!AF160*Commercial!$B$5</f>
        <v>39442.255599783646</v>
      </c>
      <c r="AG155" s="11">
        <f>Commercial!AG160*Commercial!$B$5</f>
        <v>39442.255599783646</v>
      </c>
      <c r="AH155" s="11">
        <f>Commercial!AH160*Commercial!$B$5</f>
        <v>39442.255599783646</v>
      </c>
      <c r="AI155" s="11">
        <f>Commercial!AI160*Commercial!$B$5</f>
        <v>39442.255599783646</v>
      </c>
      <c r="AJ155" s="11">
        <f>Commercial!AJ160*Commercial!$B$5</f>
        <v>39442.255599783646</v>
      </c>
      <c r="AK155" s="11">
        <f>Commercial!AK160*Commercial!$B$5</f>
        <v>39442.255599783646</v>
      </c>
      <c r="AL155" s="11">
        <f>Commercial!AL160*Commercial!$B$5</f>
        <v>39442.255599783646</v>
      </c>
      <c r="AM155" s="11">
        <f>Commercial!AM160*Commercial!$B$5</f>
        <v>39442.255599783646</v>
      </c>
      <c r="AN155" s="11">
        <f>Commercial!AN160*Commercial!$B$5</f>
        <v>39442.255599783646</v>
      </c>
      <c r="AO155" s="40">
        <f>Commercial!AO160*Commercial!$B$5</f>
        <v>39442.255599783646</v>
      </c>
      <c r="AP155" s="40">
        <f>Commercial!AP160*Commercial!$B$5</f>
        <v>39442.255599783646</v>
      </c>
      <c r="AQ155" s="40">
        <f>Commercial!AQ160*Commercial!$B$5</f>
        <v>39442.255599783646</v>
      </c>
      <c r="AR155" s="40">
        <f>Commercial!AR160*Commercial!$B$5</f>
        <v>39442.255599783646</v>
      </c>
      <c r="AS155" s="40">
        <f>Commercial!AS160*Commercial!$B$5</f>
        <v>39442.255599783646</v>
      </c>
      <c r="AT155" s="40">
        <f>Commercial!AT160*Commercial!$B$5</f>
        <v>39442.255599783646</v>
      </c>
      <c r="AU155" s="40">
        <f>Commercial!AU160*Commercial!$B$5</f>
        <v>39442.255599783646</v>
      </c>
      <c r="AV155" s="40">
        <f>Commercial!AV160*Commercial!$B$5</f>
        <v>39442.255599783646</v>
      </c>
      <c r="AW155" s="40">
        <f>Commercial!AW160*Commercial!$B$5</f>
        <v>39442.255599783646</v>
      </c>
      <c r="AX155" s="40">
        <f>Commercial!AX160*Commercial!$B$5</f>
        <v>39442.255599783646</v>
      </c>
    </row>
    <row r="156" spans="1:50" x14ac:dyDescent="0.2">
      <c r="A156" s="6" t="s">
        <v>8</v>
      </c>
      <c r="B156" s="11">
        <f>Commercial!B161*Commercial!$B$5</f>
        <v>25870.714594631379</v>
      </c>
      <c r="C156" s="11">
        <f>Commercial!C161*Commercial!$B$5</f>
        <v>25959.178015371937</v>
      </c>
      <c r="D156" s="11">
        <f>Commercial!D161*Commercial!$B$5</f>
        <v>26047.641436112488</v>
      </c>
      <c r="E156" s="11">
        <f>Commercial!E161*Commercial!$B$5</f>
        <v>26136.104856853053</v>
      </c>
      <c r="F156" s="11">
        <f>Commercial!F161*Commercial!$B$5</f>
        <v>26372.743272152067</v>
      </c>
      <c r="G156" s="11">
        <f>Commercial!G161*Commercial!$B$5</f>
        <v>26609.381687451081</v>
      </c>
      <c r="H156" s="11">
        <f>Commercial!H161*Commercial!$B$5</f>
        <v>26846.020102750095</v>
      </c>
      <c r="I156" s="11">
        <f>Commercial!I161*Commercial!$B$5</f>
        <v>27082.658518049106</v>
      </c>
      <c r="J156" s="11">
        <f>Commercial!J161*Commercial!$B$5</f>
        <v>27319.29693334812</v>
      </c>
      <c r="K156" s="11">
        <f>Commercial!K161*Commercial!$B$5</f>
        <v>27518.054912750264</v>
      </c>
      <c r="L156" s="11">
        <f>Commercial!L161*Commercial!$B$5</f>
        <v>27716.812892152404</v>
      </c>
      <c r="M156" s="11">
        <f>Commercial!M161*Commercial!$B$5</f>
        <v>27915.570871554537</v>
      </c>
      <c r="N156" s="11">
        <f>Commercial!N161*Commercial!$B$5</f>
        <v>28114.328850956677</v>
      </c>
      <c r="O156" s="11">
        <f>Commercial!O161*Commercial!$B$5</f>
        <v>28313.086830358814</v>
      </c>
      <c r="P156" s="11">
        <f>Commercial!P161*Commercial!$B$5</f>
        <v>28473.526462763948</v>
      </c>
      <c r="Q156" s="11">
        <f>Commercial!Q161*Commercial!$B$5</f>
        <v>28633.966095169089</v>
      </c>
      <c r="R156" s="11">
        <f>Commercial!R161*Commercial!$B$5</f>
        <v>28794.405727574213</v>
      </c>
      <c r="S156" s="11">
        <f>Commercial!S161*Commercial!$B$5</f>
        <v>28954.845359979347</v>
      </c>
      <c r="T156" s="11">
        <f>Commercial!T161*Commercial!$B$5</f>
        <v>29115.284992384484</v>
      </c>
      <c r="U156" s="11">
        <f>Commercial!U161*Commercial!$B$5</f>
        <v>29238.247389815697</v>
      </c>
      <c r="V156" s="11">
        <f>Commercial!V161*Commercial!$B$5</f>
        <v>29361.209787246917</v>
      </c>
      <c r="W156" s="11">
        <f>Commercial!W161*Commercial!$B$5</f>
        <v>29484.172184678129</v>
      </c>
      <c r="X156" s="11">
        <f>Commercial!X161*Commercial!$B$5</f>
        <v>29607.134582109346</v>
      </c>
      <c r="Y156" s="11">
        <f>Commercial!Y161*Commercial!$B$5</f>
        <v>29730.096979540558</v>
      </c>
      <c r="Z156" s="11">
        <f>Commercial!Z161*Commercial!$B$5</f>
        <v>29817.101322022612</v>
      </c>
      <c r="AA156" s="11">
        <f>Commercial!AA161*Commercial!$B$5</f>
        <v>29904.105664504663</v>
      </c>
      <c r="AB156" s="11">
        <f>Commercial!AB161*Commercial!$B$5</f>
        <v>29991.110006986717</v>
      </c>
      <c r="AC156" s="11">
        <f>Commercial!AC161*Commercial!$B$5</f>
        <v>30078.114349468768</v>
      </c>
      <c r="AD156" s="11">
        <f>Commercial!AD161*Commercial!$B$5</f>
        <v>30165.118691950815</v>
      </c>
      <c r="AE156" s="11">
        <f>Commercial!AE161*Commercial!$B$5</f>
        <v>30165.118691950815</v>
      </c>
      <c r="AF156" s="11">
        <f>Commercial!AF161*Commercial!$B$5</f>
        <v>30165.118691950815</v>
      </c>
      <c r="AG156" s="11">
        <f>Commercial!AG161*Commercial!$B$5</f>
        <v>30165.118691950815</v>
      </c>
      <c r="AH156" s="11">
        <f>Commercial!AH161*Commercial!$B$5</f>
        <v>30165.118691950815</v>
      </c>
      <c r="AI156" s="11">
        <f>Commercial!AI161*Commercial!$B$5</f>
        <v>30165.118691950815</v>
      </c>
      <c r="AJ156" s="11">
        <f>Commercial!AJ161*Commercial!$B$5</f>
        <v>30165.118691950815</v>
      </c>
      <c r="AK156" s="11">
        <f>Commercial!AK161*Commercial!$B$5</f>
        <v>30165.118691950815</v>
      </c>
      <c r="AL156" s="11">
        <f>Commercial!AL161*Commercial!$B$5</f>
        <v>30165.118691950815</v>
      </c>
      <c r="AM156" s="11">
        <f>Commercial!AM161*Commercial!$B$5</f>
        <v>30165.118691950815</v>
      </c>
      <c r="AN156" s="11">
        <f>Commercial!AN161*Commercial!$B$5</f>
        <v>30165.118691950815</v>
      </c>
      <c r="AO156" s="40">
        <f>Commercial!AO161*Commercial!$B$5</f>
        <v>30165.118691950815</v>
      </c>
      <c r="AP156" s="40">
        <f>Commercial!AP161*Commercial!$B$5</f>
        <v>30165.118691950815</v>
      </c>
      <c r="AQ156" s="40">
        <f>Commercial!AQ161*Commercial!$B$5</f>
        <v>30165.118691950815</v>
      </c>
      <c r="AR156" s="40">
        <f>Commercial!AR161*Commercial!$B$5</f>
        <v>30165.118691950815</v>
      </c>
      <c r="AS156" s="40">
        <f>Commercial!AS161*Commercial!$B$5</f>
        <v>30165.118691950815</v>
      </c>
      <c r="AT156" s="40">
        <f>Commercial!AT161*Commercial!$B$5</f>
        <v>30165.118691950815</v>
      </c>
      <c r="AU156" s="40">
        <f>Commercial!AU161*Commercial!$B$5</f>
        <v>30165.118691950815</v>
      </c>
      <c r="AV156" s="40">
        <f>Commercial!AV161*Commercial!$B$5</f>
        <v>30165.118691950815</v>
      </c>
      <c r="AW156" s="40">
        <f>Commercial!AW161*Commercial!$B$5</f>
        <v>30165.118691950815</v>
      </c>
      <c r="AX156" s="40">
        <f>Commercial!AX161*Commercial!$B$5</f>
        <v>30165.118691950815</v>
      </c>
    </row>
    <row r="157" spans="1:50" x14ac:dyDescent="0.2">
      <c r="A157" s="6" t="s">
        <v>9</v>
      </c>
      <c r="B157" s="11">
        <f>Commercial!B162*Commercial!$B$5</f>
        <v>265218.23154565122</v>
      </c>
      <c r="C157" s="11">
        <f>Commercial!C162*Commercial!$B$5</f>
        <v>266125.13003581349</v>
      </c>
      <c r="D157" s="11">
        <f>Commercial!D162*Commercial!$B$5</f>
        <v>267032.02852597571</v>
      </c>
      <c r="E157" s="11">
        <f>Commercial!E162*Commercial!$B$5</f>
        <v>267938.92701613798</v>
      </c>
      <c r="F157" s="11">
        <f>Commercial!F162*Commercial!$B$5</f>
        <v>270364.86781463429</v>
      </c>
      <c r="G157" s="11">
        <f>Commercial!G162*Commercial!$B$5</f>
        <v>272790.80861313053</v>
      </c>
      <c r="H157" s="11">
        <f>Commercial!H162*Commercial!$B$5</f>
        <v>275216.74941162689</v>
      </c>
      <c r="I157" s="11">
        <f>Commercial!I162*Commercial!$B$5</f>
        <v>277642.6902101232</v>
      </c>
      <c r="J157" s="11">
        <f>Commercial!J162*Commercial!$B$5</f>
        <v>280068.63100861944</v>
      </c>
      <c r="K157" s="11">
        <f>Commercial!K162*Commercial!$B$5</f>
        <v>282106.23378181702</v>
      </c>
      <c r="L157" s="11">
        <f>Commercial!L162*Commercial!$B$5</f>
        <v>284143.83655501454</v>
      </c>
      <c r="M157" s="11">
        <f>Commercial!M162*Commercial!$B$5</f>
        <v>286181.439328212</v>
      </c>
      <c r="N157" s="11">
        <f>Commercial!N162*Commercial!$B$5</f>
        <v>288219.04210140952</v>
      </c>
      <c r="O157" s="11">
        <f>Commercial!O162*Commercial!$B$5</f>
        <v>290256.64487460698</v>
      </c>
      <c r="P157" s="11">
        <f>Commercial!P162*Commercial!$B$5</f>
        <v>291901.42029898416</v>
      </c>
      <c r="Q157" s="11">
        <f>Commercial!Q162*Commercial!$B$5</f>
        <v>293546.19572336128</v>
      </c>
      <c r="R157" s="11">
        <f>Commercial!R162*Commercial!$B$5</f>
        <v>295190.97114773828</v>
      </c>
      <c r="S157" s="11">
        <f>Commercial!S162*Commercial!$B$5</f>
        <v>296835.74657211546</v>
      </c>
      <c r="T157" s="11">
        <f>Commercial!T162*Commercial!$B$5</f>
        <v>298480.52199649258</v>
      </c>
      <c r="U157" s="11">
        <f>Commercial!U162*Commercial!$B$5</f>
        <v>299741.09288153826</v>
      </c>
      <c r="V157" s="11">
        <f>Commercial!V162*Commercial!$B$5</f>
        <v>301001.66376658413</v>
      </c>
      <c r="W157" s="11">
        <f>Commercial!W162*Commercial!$B$5</f>
        <v>302262.23465162981</v>
      </c>
      <c r="X157" s="11">
        <f>Commercial!X162*Commercial!$B$5</f>
        <v>303522.80553667562</v>
      </c>
      <c r="Y157" s="11">
        <f>Commercial!Y162*Commercial!$B$5</f>
        <v>304783.3764217213</v>
      </c>
      <c r="Z157" s="11">
        <f>Commercial!Z162*Commercial!$B$5</f>
        <v>305675.31691163225</v>
      </c>
      <c r="AA157" s="11">
        <f>Commercial!AA162*Commercial!$B$5</f>
        <v>306567.2574015432</v>
      </c>
      <c r="AB157" s="11">
        <f>Commercial!AB162*Commercial!$B$5</f>
        <v>307459.19789145415</v>
      </c>
      <c r="AC157" s="11">
        <f>Commercial!AC162*Commercial!$B$5</f>
        <v>308351.1383813651</v>
      </c>
      <c r="AD157" s="11">
        <f>Commercial!AD162*Commercial!$B$5</f>
        <v>309243.078871276</v>
      </c>
      <c r="AE157" s="11">
        <f>Commercial!AE162*Commercial!$B$5</f>
        <v>309243.078871276</v>
      </c>
      <c r="AF157" s="11">
        <f>Commercial!AF162*Commercial!$B$5</f>
        <v>309243.078871276</v>
      </c>
      <c r="AG157" s="11">
        <f>Commercial!AG162*Commercial!$B$5</f>
        <v>309243.078871276</v>
      </c>
      <c r="AH157" s="11">
        <f>Commercial!AH162*Commercial!$B$5</f>
        <v>309243.078871276</v>
      </c>
      <c r="AI157" s="11">
        <f>Commercial!AI162*Commercial!$B$5</f>
        <v>309243.078871276</v>
      </c>
      <c r="AJ157" s="11">
        <f>Commercial!AJ162*Commercial!$B$5</f>
        <v>309243.078871276</v>
      </c>
      <c r="AK157" s="11">
        <f>Commercial!AK162*Commercial!$B$5</f>
        <v>309243.078871276</v>
      </c>
      <c r="AL157" s="11">
        <f>Commercial!AL162*Commercial!$B$5</f>
        <v>309243.078871276</v>
      </c>
      <c r="AM157" s="11">
        <f>Commercial!AM162*Commercial!$B$5</f>
        <v>309243.078871276</v>
      </c>
      <c r="AN157" s="11">
        <f>Commercial!AN162*Commercial!$B$5</f>
        <v>309243.078871276</v>
      </c>
      <c r="AO157" s="40">
        <f>Commercial!AO162*Commercial!$B$5</f>
        <v>309243.078871276</v>
      </c>
      <c r="AP157" s="40">
        <f>Commercial!AP162*Commercial!$B$5</f>
        <v>309243.078871276</v>
      </c>
      <c r="AQ157" s="40">
        <f>Commercial!AQ162*Commercial!$B$5</f>
        <v>309243.078871276</v>
      </c>
      <c r="AR157" s="40">
        <f>Commercial!AR162*Commercial!$B$5</f>
        <v>309243.078871276</v>
      </c>
      <c r="AS157" s="40">
        <f>Commercial!AS162*Commercial!$B$5</f>
        <v>309243.078871276</v>
      </c>
      <c r="AT157" s="40">
        <f>Commercial!AT162*Commercial!$B$5</f>
        <v>309243.078871276</v>
      </c>
      <c r="AU157" s="40">
        <f>Commercial!AU162*Commercial!$B$5</f>
        <v>309243.078871276</v>
      </c>
      <c r="AV157" s="40">
        <f>Commercial!AV162*Commercial!$B$5</f>
        <v>309243.078871276</v>
      </c>
      <c r="AW157" s="40">
        <f>Commercial!AW162*Commercial!$B$5</f>
        <v>309243.078871276</v>
      </c>
      <c r="AX157" s="40">
        <f>Commercial!AX162*Commercial!$B$5</f>
        <v>309243.078871276</v>
      </c>
    </row>
    <row r="158" spans="1:50" x14ac:dyDescent="0.2">
      <c r="A158" s="6" t="s">
        <v>10</v>
      </c>
      <c r="B158" s="11">
        <f>Commercial!B163*Commercial!$B$5</f>
        <v>230.35335765385233</v>
      </c>
      <c r="C158" s="11">
        <f>Commercial!C163*Commercial!$B$5</f>
        <v>231.1410377128083</v>
      </c>
      <c r="D158" s="11">
        <f>Commercial!D163*Commercial!$B$5</f>
        <v>231.92871777176427</v>
      </c>
      <c r="E158" s="11">
        <f>Commercial!E163*Commercial!$B$5</f>
        <v>232.71639783072033</v>
      </c>
      <c r="F158" s="11">
        <f>Commercial!F163*Commercial!$B$5</f>
        <v>234.82343099034267</v>
      </c>
      <c r="G158" s="11">
        <f>Commercial!G163*Commercial!$B$5</f>
        <v>236.93046414996499</v>
      </c>
      <c r="H158" s="11">
        <f>Commercial!H163*Commercial!$B$5</f>
        <v>239.03749730958739</v>
      </c>
      <c r="I158" s="11">
        <f>Commercial!I163*Commercial!$B$5</f>
        <v>241.14453046920974</v>
      </c>
      <c r="J158" s="11">
        <f>Commercial!J163*Commercial!$B$5</f>
        <v>243.25156362883209</v>
      </c>
      <c r="K158" s="11">
        <f>Commercial!K163*Commercial!$B$5</f>
        <v>245.02130863329671</v>
      </c>
      <c r="L158" s="11">
        <f>Commercial!L163*Commercial!$B$5</f>
        <v>246.79105363776131</v>
      </c>
      <c r="M158" s="11">
        <f>Commercial!M163*Commercial!$B$5</f>
        <v>248.56079864222585</v>
      </c>
      <c r="N158" s="11">
        <f>Commercial!N163*Commercial!$B$5</f>
        <v>250.33054364669044</v>
      </c>
      <c r="O158" s="11">
        <f>Commercial!O163*Commercial!$B$5</f>
        <v>252.10028865115501</v>
      </c>
      <c r="P158" s="11">
        <f>Commercial!P163*Commercial!$B$5</f>
        <v>253.52884633131058</v>
      </c>
      <c r="Q158" s="11">
        <f>Commercial!Q163*Commercial!$B$5</f>
        <v>254.95740401146611</v>
      </c>
      <c r="R158" s="11">
        <f>Commercial!R163*Commercial!$B$5</f>
        <v>256.38596169162156</v>
      </c>
      <c r="S158" s="11">
        <f>Commercial!S163*Commercial!$B$5</f>
        <v>257.81451937177712</v>
      </c>
      <c r="T158" s="11">
        <f>Commercial!T163*Commercial!$B$5</f>
        <v>259.24307705193269</v>
      </c>
      <c r="U158" s="11">
        <f>Commercial!U163*Commercial!$B$5</f>
        <v>260.33793668597326</v>
      </c>
      <c r="V158" s="11">
        <f>Commercial!V163*Commercial!$B$5</f>
        <v>261.43279632001401</v>
      </c>
      <c r="W158" s="11">
        <f>Commercial!W163*Commercial!$B$5</f>
        <v>262.52765595405458</v>
      </c>
      <c r="X158" s="11">
        <f>Commercial!X163*Commercial!$B$5</f>
        <v>263.62251558809527</v>
      </c>
      <c r="Y158" s="11">
        <f>Commercial!Y163*Commercial!$B$5</f>
        <v>264.71737522213584</v>
      </c>
      <c r="Z158" s="11">
        <f>Commercial!Z163*Commercial!$B$5</f>
        <v>265.49206361923814</v>
      </c>
      <c r="AA158" s="11">
        <f>Commercial!AA163*Commercial!$B$5</f>
        <v>266.26675201634043</v>
      </c>
      <c r="AB158" s="11">
        <f>Commercial!AB163*Commercial!$B$5</f>
        <v>267.04144041344279</v>
      </c>
      <c r="AC158" s="11">
        <f>Commercial!AC163*Commercial!$B$5</f>
        <v>267.81612881054508</v>
      </c>
      <c r="AD158" s="11">
        <f>Commercial!AD163*Commercial!$B$5</f>
        <v>268.59081720764738</v>
      </c>
      <c r="AE158" s="11">
        <f>Commercial!AE163*Commercial!$B$5</f>
        <v>268.59081720764738</v>
      </c>
      <c r="AF158" s="11">
        <f>Commercial!AF163*Commercial!$B$5</f>
        <v>268.59081720764738</v>
      </c>
      <c r="AG158" s="11">
        <f>Commercial!AG163*Commercial!$B$5</f>
        <v>268.59081720764738</v>
      </c>
      <c r="AH158" s="11">
        <f>Commercial!AH163*Commercial!$B$5</f>
        <v>268.59081720764738</v>
      </c>
      <c r="AI158" s="11">
        <f>Commercial!AI163*Commercial!$B$5</f>
        <v>268.59081720764738</v>
      </c>
      <c r="AJ158" s="11">
        <f>Commercial!AJ163*Commercial!$B$5</f>
        <v>268.59081720764738</v>
      </c>
      <c r="AK158" s="11">
        <f>Commercial!AK163*Commercial!$B$5</f>
        <v>268.59081720764738</v>
      </c>
      <c r="AL158" s="11">
        <f>Commercial!AL163*Commercial!$B$5</f>
        <v>268.59081720764738</v>
      </c>
      <c r="AM158" s="11">
        <f>Commercial!AM163*Commercial!$B$5</f>
        <v>268.59081720764738</v>
      </c>
      <c r="AN158" s="11">
        <f>Commercial!AN163*Commercial!$B$5</f>
        <v>268.59081720764738</v>
      </c>
      <c r="AO158" s="40">
        <f>Commercial!AO163*Commercial!$B$5</f>
        <v>268.59081720764738</v>
      </c>
      <c r="AP158" s="40">
        <f>Commercial!AP163*Commercial!$B$5</f>
        <v>268.59081720764738</v>
      </c>
      <c r="AQ158" s="40">
        <f>Commercial!AQ163*Commercial!$B$5</f>
        <v>268.59081720764738</v>
      </c>
      <c r="AR158" s="40">
        <f>Commercial!AR163*Commercial!$B$5</f>
        <v>268.59081720764738</v>
      </c>
      <c r="AS158" s="40">
        <f>Commercial!AS163*Commercial!$B$5</f>
        <v>268.59081720764738</v>
      </c>
      <c r="AT158" s="40">
        <f>Commercial!AT163*Commercial!$B$5</f>
        <v>268.59081720764738</v>
      </c>
      <c r="AU158" s="40">
        <f>Commercial!AU163*Commercial!$B$5</f>
        <v>268.59081720764738</v>
      </c>
      <c r="AV158" s="40">
        <f>Commercial!AV163*Commercial!$B$5</f>
        <v>268.59081720764738</v>
      </c>
      <c r="AW158" s="40">
        <f>Commercial!AW163*Commercial!$B$5</f>
        <v>268.59081720764738</v>
      </c>
      <c r="AX158" s="40">
        <f>Commercial!AX163*Commercial!$B$5</f>
        <v>268.59081720764738</v>
      </c>
    </row>
    <row r="159" spans="1:50" x14ac:dyDescent="0.2">
      <c r="A159" s="6" t="s">
        <v>44</v>
      </c>
      <c r="B159" s="11">
        <f>Commercial!B164*Commercial!$B$5</f>
        <v>420608.68035010656</v>
      </c>
      <c r="C159" s="11">
        <f>Commercial!C164*Commercial!$B$5</f>
        <v>422046.92754350498</v>
      </c>
      <c r="D159" s="11">
        <f>Commercial!D164*Commercial!$B$5</f>
        <v>423485.17473690351</v>
      </c>
      <c r="E159" s="11">
        <f>Commercial!E164*Commercial!$B$5</f>
        <v>424923.42193030205</v>
      </c>
      <c r="F159" s="11">
        <f>Commercial!F164*Commercial!$B$5</f>
        <v>428770.71309093019</v>
      </c>
      <c r="G159" s="11">
        <f>Commercial!G164*Commercial!$B$5</f>
        <v>432618.00425155828</v>
      </c>
      <c r="H159" s="11">
        <f>Commercial!H164*Commercial!$B$5</f>
        <v>436465.29541218642</v>
      </c>
      <c r="I159" s="11">
        <f>Commercial!I164*Commercial!$B$5</f>
        <v>440312.58657281456</v>
      </c>
      <c r="J159" s="11">
        <f>Commercial!J164*Commercial!$B$5</f>
        <v>444159.8777334427</v>
      </c>
      <c r="K159" s="11">
        <f>Commercial!K164*Commercial!$B$5</f>
        <v>447391.30495666817</v>
      </c>
      <c r="L159" s="11">
        <f>Commercial!L164*Commercial!$B$5</f>
        <v>450622.73217989359</v>
      </c>
      <c r="M159" s="11">
        <f>Commercial!M164*Commercial!$B$5</f>
        <v>453854.159403119</v>
      </c>
      <c r="N159" s="11">
        <f>Commercial!N164*Commercial!$B$5</f>
        <v>457085.58662634448</v>
      </c>
      <c r="O159" s="11">
        <f>Commercial!O164*Commercial!$B$5</f>
        <v>460317.01384956983</v>
      </c>
      <c r="P159" s="11">
        <f>Commercial!P164*Commercial!$B$5</f>
        <v>462925.45753267495</v>
      </c>
      <c r="Q159" s="11">
        <f>Commercial!Q164*Commercial!$B$5</f>
        <v>465533.90121578</v>
      </c>
      <c r="R159" s="11">
        <f>Commercial!R164*Commercial!$B$5</f>
        <v>468142.34489888488</v>
      </c>
      <c r="S159" s="11">
        <f>Commercial!S164*Commercial!$B$5</f>
        <v>470750.78858199</v>
      </c>
      <c r="T159" s="11">
        <f>Commercial!T164*Commercial!$B$5</f>
        <v>473359.23226509505</v>
      </c>
      <c r="U159" s="11">
        <f>Commercial!U164*Commercial!$B$5</f>
        <v>475358.36729196284</v>
      </c>
      <c r="V159" s="11">
        <f>Commercial!V164*Commercial!$B$5</f>
        <v>477357.50231883075</v>
      </c>
      <c r="W159" s="11">
        <f>Commercial!W164*Commercial!$B$5</f>
        <v>479356.63734569849</v>
      </c>
      <c r="X159" s="11">
        <f>Commercial!X164*Commercial!$B$5</f>
        <v>481355.77237256645</v>
      </c>
      <c r="Y159" s="11">
        <f>Commercial!Y164*Commercial!$B$5</f>
        <v>483354.90739943425</v>
      </c>
      <c r="Z159" s="11">
        <f>Commercial!Z164*Commercial!$B$5</f>
        <v>484769.43275172968</v>
      </c>
      <c r="AA159" s="11">
        <f>Commercial!AA164*Commercial!$B$5</f>
        <v>486183.95810402505</v>
      </c>
      <c r="AB159" s="11">
        <f>Commercial!AB164*Commercial!$B$5</f>
        <v>487598.48345632048</v>
      </c>
      <c r="AC159" s="11">
        <f>Commercial!AC164*Commercial!$B$5</f>
        <v>489013.00880861579</v>
      </c>
      <c r="AD159" s="11">
        <f>Commercial!AD164*Commercial!$B$5</f>
        <v>490427.53416091116</v>
      </c>
      <c r="AE159" s="11">
        <f>Commercial!AE164*Commercial!$B$5</f>
        <v>490427.53416091116</v>
      </c>
      <c r="AF159" s="11">
        <f>Commercial!AF164*Commercial!$B$5</f>
        <v>490427.53416091116</v>
      </c>
      <c r="AG159" s="11">
        <f>Commercial!AG164*Commercial!$B$5</f>
        <v>490427.53416091116</v>
      </c>
      <c r="AH159" s="11">
        <f>Commercial!AH164*Commercial!$B$5</f>
        <v>490427.53416091116</v>
      </c>
      <c r="AI159" s="11">
        <f>Commercial!AI164*Commercial!$B$5</f>
        <v>490427.53416091116</v>
      </c>
      <c r="AJ159" s="11">
        <f>Commercial!AJ164*Commercial!$B$5</f>
        <v>490427.53416091116</v>
      </c>
      <c r="AK159" s="11">
        <f>Commercial!AK164*Commercial!$B$5</f>
        <v>490427.53416091116</v>
      </c>
      <c r="AL159" s="11">
        <f>Commercial!AL164*Commercial!$B$5</f>
        <v>490427.53416091116</v>
      </c>
      <c r="AM159" s="11">
        <f>Commercial!AM164*Commercial!$B$5</f>
        <v>490427.53416091116</v>
      </c>
      <c r="AN159" s="11">
        <f>Commercial!AN164*Commercial!$B$5</f>
        <v>490427.53416091116</v>
      </c>
      <c r="AO159" s="40">
        <f>Commercial!AO164*Commercial!$B$5</f>
        <v>490427.53416091116</v>
      </c>
      <c r="AP159" s="40">
        <f>Commercial!AP164*Commercial!$B$5</f>
        <v>490427.53416091116</v>
      </c>
      <c r="AQ159" s="40">
        <f>Commercial!AQ164*Commercial!$B$5</f>
        <v>490427.53416091116</v>
      </c>
      <c r="AR159" s="40">
        <f>Commercial!AR164*Commercial!$B$5</f>
        <v>490427.53416091116</v>
      </c>
      <c r="AS159" s="40">
        <f>Commercial!AS164*Commercial!$B$5</f>
        <v>490427.53416091116</v>
      </c>
      <c r="AT159" s="40">
        <f>Commercial!AT164*Commercial!$B$5</f>
        <v>490427.53416091116</v>
      </c>
      <c r="AU159" s="40">
        <f>Commercial!AU164*Commercial!$B$5</f>
        <v>490427.53416091116</v>
      </c>
      <c r="AV159" s="40">
        <f>Commercial!AV164*Commercial!$B$5</f>
        <v>490427.53416091116</v>
      </c>
      <c r="AW159" s="40">
        <f>Commercial!AW164*Commercial!$B$5</f>
        <v>490427.53416091116</v>
      </c>
      <c r="AX159" s="40">
        <f>Commercial!AX164*Commercial!$B$5</f>
        <v>490427.53416091116</v>
      </c>
    </row>
    <row r="161" spans="1:50" x14ac:dyDescent="0.2">
      <c r="A161" s="5" t="s">
        <v>66</v>
      </c>
    </row>
    <row r="162" spans="1:50" x14ac:dyDescent="0.2">
      <c r="A162" s="5" t="s">
        <v>4</v>
      </c>
    </row>
    <row r="163" spans="1:50" x14ac:dyDescent="0.2">
      <c r="A163" s="5" t="s">
        <v>67</v>
      </c>
    </row>
    <row r="164" spans="1:50" x14ac:dyDescent="0.2">
      <c r="A164" s="5" t="s">
        <v>6</v>
      </c>
    </row>
    <row r="165" spans="1:50" x14ac:dyDescent="0.2">
      <c r="A165" s="5"/>
    </row>
    <row r="166" spans="1:50" x14ac:dyDescent="0.2">
      <c r="A166" s="6" t="s">
        <v>7</v>
      </c>
      <c r="B166" s="6">
        <v>2022</v>
      </c>
      <c r="C166" s="6">
        <v>2023</v>
      </c>
      <c r="D166" s="6">
        <v>2024</v>
      </c>
      <c r="E166" s="6">
        <v>2025</v>
      </c>
      <c r="F166" s="6">
        <v>2026</v>
      </c>
      <c r="G166" s="6">
        <v>2027</v>
      </c>
      <c r="H166" s="6">
        <v>2028</v>
      </c>
      <c r="I166" s="6">
        <v>2029</v>
      </c>
      <c r="J166" s="6">
        <v>2030</v>
      </c>
      <c r="K166" s="6">
        <v>2031</v>
      </c>
      <c r="L166" s="6">
        <v>2032</v>
      </c>
      <c r="M166" s="6">
        <v>2033</v>
      </c>
      <c r="N166" s="6">
        <v>2034</v>
      </c>
      <c r="O166" s="6">
        <v>2035</v>
      </c>
      <c r="P166" s="6">
        <v>2036</v>
      </c>
      <c r="Q166" s="6">
        <v>2037</v>
      </c>
      <c r="R166" s="6">
        <v>2038</v>
      </c>
      <c r="S166" s="6">
        <v>2039</v>
      </c>
      <c r="T166" s="6">
        <v>2040</v>
      </c>
      <c r="U166" s="6">
        <v>2041</v>
      </c>
      <c r="V166" s="6">
        <v>2042</v>
      </c>
      <c r="W166" s="6">
        <v>2043</v>
      </c>
      <c r="X166" s="6">
        <v>2044</v>
      </c>
      <c r="Y166" s="6">
        <v>2045</v>
      </c>
      <c r="Z166" s="6">
        <v>2046</v>
      </c>
      <c r="AA166" s="6">
        <v>2047</v>
      </c>
      <c r="AB166" s="6">
        <v>2048</v>
      </c>
      <c r="AC166" s="6">
        <v>2049</v>
      </c>
      <c r="AD166" s="6">
        <v>2050</v>
      </c>
      <c r="AE166" s="6">
        <v>2051</v>
      </c>
      <c r="AF166" s="6">
        <v>2052</v>
      </c>
      <c r="AG166" s="6">
        <v>2053</v>
      </c>
      <c r="AH166" s="6">
        <v>2054</v>
      </c>
      <c r="AI166" s="6">
        <v>2055</v>
      </c>
      <c r="AJ166" s="6">
        <v>2056</v>
      </c>
      <c r="AK166" s="6">
        <v>2057</v>
      </c>
      <c r="AL166" s="6">
        <v>2058</v>
      </c>
      <c r="AM166" s="6">
        <v>2059</v>
      </c>
      <c r="AN166" s="6">
        <v>2060</v>
      </c>
      <c r="AO166" s="39">
        <f>AN166+1</f>
        <v>2061</v>
      </c>
      <c r="AP166" s="39">
        <f t="shared" ref="AP166:AX166" si="10">AO166+1</f>
        <v>2062</v>
      </c>
      <c r="AQ166" s="39">
        <f t="shared" si="10"/>
        <v>2063</v>
      </c>
      <c r="AR166" s="39">
        <f t="shared" si="10"/>
        <v>2064</v>
      </c>
      <c r="AS166" s="39">
        <f t="shared" si="10"/>
        <v>2065</v>
      </c>
      <c r="AT166" s="39">
        <f t="shared" si="10"/>
        <v>2066</v>
      </c>
      <c r="AU166" s="39">
        <f t="shared" si="10"/>
        <v>2067</v>
      </c>
      <c r="AV166" s="39">
        <f t="shared" si="10"/>
        <v>2068</v>
      </c>
      <c r="AW166" s="39">
        <f>AV166+1</f>
        <v>2069</v>
      </c>
      <c r="AX166" s="39">
        <f t="shared" si="10"/>
        <v>2070</v>
      </c>
    </row>
    <row r="167" spans="1:50" x14ac:dyDescent="0.2">
      <c r="A167" s="6" t="s">
        <v>8</v>
      </c>
      <c r="B167" s="11">
        <v>134.21016131437409</v>
      </c>
      <c r="C167" s="11">
        <v>134.21016131437409</v>
      </c>
      <c r="D167" s="11">
        <v>134.21016131437409</v>
      </c>
      <c r="E167" s="11">
        <v>134.21016131437409</v>
      </c>
      <c r="F167" s="11">
        <v>134.21016131437409</v>
      </c>
      <c r="G167" s="11">
        <v>134.21016131437409</v>
      </c>
      <c r="H167" s="11">
        <v>134.21016131437409</v>
      </c>
      <c r="I167" s="11">
        <v>134.21016131437409</v>
      </c>
      <c r="J167" s="11">
        <v>134.21016131437409</v>
      </c>
      <c r="K167" s="11">
        <v>134.21016131437409</v>
      </c>
      <c r="L167" s="11">
        <v>134.21016131437409</v>
      </c>
      <c r="M167" s="11">
        <v>134.21016131437409</v>
      </c>
      <c r="N167" s="11">
        <v>134.21016131437409</v>
      </c>
      <c r="O167" s="11">
        <v>134.21016131437409</v>
      </c>
      <c r="P167" s="11">
        <v>134.21016131437409</v>
      </c>
      <c r="Q167" s="11">
        <v>134.21016131437409</v>
      </c>
      <c r="R167" s="11">
        <v>134.21016131437409</v>
      </c>
      <c r="S167" s="11">
        <v>134.21016131437409</v>
      </c>
      <c r="T167" s="11">
        <v>134.21016131437409</v>
      </c>
      <c r="U167" s="11">
        <v>134.21016131437409</v>
      </c>
      <c r="V167" s="11">
        <v>134.21016131437409</v>
      </c>
      <c r="W167" s="11">
        <v>134.21016131437409</v>
      </c>
      <c r="X167" s="11">
        <v>134.21016131437409</v>
      </c>
      <c r="Y167" s="11">
        <v>134.21016131437409</v>
      </c>
      <c r="Z167" s="11">
        <v>134.21016131437409</v>
      </c>
      <c r="AA167" s="11">
        <v>134.21016131437409</v>
      </c>
      <c r="AB167" s="11">
        <v>134.21016131437409</v>
      </c>
      <c r="AC167" s="11">
        <v>134.21016131437409</v>
      </c>
      <c r="AD167" s="11">
        <v>134.21016131437409</v>
      </c>
      <c r="AE167" s="11">
        <v>134.21016131437409</v>
      </c>
      <c r="AF167" s="11">
        <v>134.21016131437409</v>
      </c>
      <c r="AG167" s="11">
        <v>134.21016131437409</v>
      </c>
      <c r="AH167" s="11">
        <v>134.21016131437409</v>
      </c>
      <c r="AI167" s="11">
        <v>134.21016131437409</v>
      </c>
      <c r="AJ167" s="11">
        <v>134.21016131437409</v>
      </c>
      <c r="AK167" s="11">
        <v>134.21016131437409</v>
      </c>
      <c r="AL167" s="11">
        <v>134.21016131437409</v>
      </c>
      <c r="AM167" s="11">
        <v>134.21016131437409</v>
      </c>
      <c r="AN167" s="11">
        <v>134.21016131437409</v>
      </c>
      <c r="AO167" s="40">
        <v>134.21016131437409</v>
      </c>
      <c r="AP167" s="40">
        <v>134.21016131437409</v>
      </c>
      <c r="AQ167" s="40">
        <v>134.21016131437409</v>
      </c>
      <c r="AR167" s="40">
        <v>134.21016131437409</v>
      </c>
      <c r="AS167" s="40">
        <v>134.21016131437409</v>
      </c>
      <c r="AT167" s="40">
        <v>134.21016131437409</v>
      </c>
      <c r="AU167" s="40">
        <v>134.21016131437409</v>
      </c>
      <c r="AV167" s="40">
        <v>134.21016131437409</v>
      </c>
      <c r="AW167" s="40">
        <v>134.21016131437409</v>
      </c>
      <c r="AX167" s="40">
        <v>134.21016131437409</v>
      </c>
    </row>
    <row r="168" spans="1:50" x14ac:dyDescent="0.2">
      <c r="A168" s="6" t="s">
        <v>9</v>
      </c>
      <c r="B168" s="11">
        <v>1377.0514991970265</v>
      </c>
      <c r="C168" s="11">
        <v>1377.0514991970265</v>
      </c>
      <c r="D168" s="11">
        <v>1377.0514991970265</v>
      </c>
      <c r="E168" s="11">
        <v>1377.0514991970265</v>
      </c>
      <c r="F168" s="11">
        <v>1377.0514991970265</v>
      </c>
      <c r="G168" s="11">
        <v>1377.0514991970265</v>
      </c>
      <c r="H168" s="11">
        <v>1377.0514991970265</v>
      </c>
      <c r="I168" s="11">
        <v>1377.0514991970265</v>
      </c>
      <c r="J168" s="11">
        <v>1377.0514991970265</v>
      </c>
      <c r="K168" s="11">
        <v>1377.0514991970265</v>
      </c>
      <c r="L168" s="11">
        <v>1377.0514991970265</v>
      </c>
      <c r="M168" s="11">
        <v>1377.0514991970265</v>
      </c>
      <c r="N168" s="11">
        <v>1377.0514991970265</v>
      </c>
      <c r="O168" s="11">
        <v>1377.0514991970265</v>
      </c>
      <c r="P168" s="11">
        <v>1377.0514991970265</v>
      </c>
      <c r="Q168" s="11">
        <v>1377.0514991970265</v>
      </c>
      <c r="R168" s="11">
        <v>1377.0514991970265</v>
      </c>
      <c r="S168" s="11">
        <v>1377.0514991970265</v>
      </c>
      <c r="T168" s="11">
        <v>1377.0514991970265</v>
      </c>
      <c r="U168" s="11">
        <v>1377.0514991970265</v>
      </c>
      <c r="V168" s="11">
        <v>1377.0514991970265</v>
      </c>
      <c r="W168" s="11">
        <v>1377.0514991970265</v>
      </c>
      <c r="X168" s="11">
        <v>1377.0514991970265</v>
      </c>
      <c r="Y168" s="11">
        <v>1377.0514991970265</v>
      </c>
      <c r="Z168" s="11">
        <v>1377.0514991970265</v>
      </c>
      <c r="AA168" s="11">
        <v>1377.0514991970265</v>
      </c>
      <c r="AB168" s="11">
        <v>1377.0514991970265</v>
      </c>
      <c r="AC168" s="11">
        <v>1377.0514991970265</v>
      </c>
      <c r="AD168" s="11">
        <v>1377.0514991970265</v>
      </c>
      <c r="AE168" s="11">
        <v>1377.0514991970265</v>
      </c>
      <c r="AF168" s="11">
        <v>1377.0514991970265</v>
      </c>
      <c r="AG168" s="11">
        <v>1377.0514991970265</v>
      </c>
      <c r="AH168" s="11">
        <v>1377.0514991970265</v>
      </c>
      <c r="AI168" s="11">
        <v>1377.0514991970265</v>
      </c>
      <c r="AJ168" s="11">
        <v>1377.0514991970265</v>
      </c>
      <c r="AK168" s="11">
        <v>1377.0514991970265</v>
      </c>
      <c r="AL168" s="11">
        <v>1377.0514991970265</v>
      </c>
      <c r="AM168" s="11">
        <v>1377.0514991970265</v>
      </c>
      <c r="AN168" s="11">
        <v>1377.0514991970265</v>
      </c>
      <c r="AO168" s="40">
        <v>1377.0514991970265</v>
      </c>
      <c r="AP168" s="40">
        <v>1377.0514991970265</v>
      </c>
      <c r="AQ168" s="40">
        <v>1377.0514991970265</v>
      </c>
      <c r="AR168" s="40">
        <v>1377.0514991970265</v>
      </c>
      <c r="AS168" s="40">
        <v>1377.0514991970265</v>
      </c>
      <c r="AT168" s="40">
        <v>1377.0514991970265</v>
      </c>
      <c r="AU168" s="40">
        <v>1377.0514991970265</v>
      </c>
      <c r="AV168" s="40">
        <v>1377.0514991970265</v>
      </c>
      <c r="AW168" s="40">
        <v>1377.0514991970265</v>
      </c>
      <c r="AX168" s="40">
        <v>1377.0514991970265</v>
      </c>
    </row>
    <row r="169" spans="1:50" x14ac:dyDescent="0.2">
      <c r="A169" s="6" t="s">
        <v>10</v>
      </c>
      <c r="B169" s="11">
        <v>1.3556581952425419</v>
      </c>
      <c r="C169" s="11">
        <v>1.3556581952425419</v>
      </c>
      <c r="D169" s="11">
        <v>1.3556581952425419</v>
      </c>
      <c r="E169" s="11">
        <v>1.3556581952425419</v>
      </c>
      <c r="F169" s="11">
        <v>1.3556581952425419</v>
      </c>
      <c r="G169" s="11">
        <v>1.3556581952425419</v>
      </c>
      <c r="H169" s="11">
        <v>1.3556581952425419</v>
      </c>
      <c r="I169" s="11">
        <v>1.3556581952425419</v>
      </c>
      <c r="J169" s="11">
        <v>1.3556581952425419</v>
      </c>
      <c r="K169" s="11">
        <v>1.3556581952425419</v>
      </c>
      <c r="L169" s="11">
        <v>1.3556581952425419</v>
      </c>
      <c r="M169" s="11">
        <v>1.3556581952425419</v>
      </c>
      <c r="N169" s="11">
        <v>1.3556581952425419</v>
      </c>
      <c r="O169" s="11">
        <v>1.3556581952425419</v>
      </c>
      <c r="P169" s="11">
        <v>1.3556581952425419</v>
      </c>
      <c r="Q169" s="11">
        <v>1.3556581952425419</v>
      </c>
      <c r="R169" s="11">
        <v>1.3556581952425419</v>
      </c>
      <c r="S169" s="11">
        <v>1.3556581952425419</v>
      </c>
      <c r="T169" s="11">
        <v>1.3556581952425419</v>
      </c>
      <c r="U169" s="11">
        <v>1.3556581952425419</v>
      </c>
      <c r="V169" s="11">
        <v>1.3556581952425419</v>
      </c>
      <c r="W169" s="11">
        <v>1.3556581952425419</v>
      </c>
      <c r="X169" s="11">
        <v>1.3556581952425419</v>
      </c>
      <c r="Y169" s="11">
        <v>1.3556581952425419</v>
      </c>
      <c r="Z169" s="11">
        <v>1.3556581952425419</v>
      </c>
      <c r="AA169" s="11">
        <v>1.3556581952425419</v>
      </c>
      <c r="AB169" s="11">
        <v>1.3556581952425419</v>
      </c>
      <c r="AC169" s="11">
        <v>1.3556581952425419</v>
      </c>
      <c r="AD169" s="11">
        <v>1.3556581952425419</v>
      </c>
      <c r="AE169" s="11">
        <v>1.3556581952425419</v>
      </c>
      <c r="AF169" s="11">
        <v>1.3556581952425419</v>
      </c>
      <c r="AG169" s="11">
        <v>1.3556581952425419</v>
      </c>
      <c r="AH169" s="11">
        <v>1.3556581952425419</v>
      </c>
      <c r="AI169" s="11">
        <v>1.3556581952425419</v>
      </c>
      <c r="AJ169" s="11">
        <v>1.3556581952425419</v>
      </c>
      <c r="AK169" s="11">
        <v>1.3556581952425419</v>
      </c>
      <c r="AL169" s="11">
        <v>1.3556581952425419</v>
      </c>
      <c r="AM169" s="11">
        <v>1.3556581952425419</v>
      </c>
      <c r="AN169" s="11">
        <v>1.3556581952425419</v>
      </c>
      <c r="AO169" s="40">
        <v>1.3556581952425419</v>
      </c>
      <c r="AP169" s="40">
        <v>1.3556581952425419</v>
      </c>
      <c r="AQ169" s="40">
        <v>1.3556581952425419</v>
      </c>
      <c r="AR169" s="40">
        <v>1.3556581952425419</v>
      </c>
      <c r="AS169" s="40">
        <v>1.3556581952425419</v>
      </c>
      <c r="AT169" s="40">
        <v>1.3556581952425419</v>
      </c>
      <c r="AU169" s="40">
        <v>1.3556581952425419</v>
      </c>
      <c r="AV169" s="40">
        <v>1.3556581952425419</v>
      </c>
      <c r="AW169" s="40">
        <v>1.3556581952425419</v>
      </c>
      <c r="AX169" s="40">
        <v>1.3556581952425419</v>
      </c>
    </row>
    <row r="171" spans="1:50" x14ac:dyDescent="0.2">
      <c r="A171" s="5" t="s">
        <v>66</v>
      </c>
    </row>
    <row r="172" spans="1:50" x14ac:dyDescent="0.2">
      <c r="A172" s="5" t="s">
        <v>4</v>
      </c>
    </row>
    <row r="173" spans="1:50" x14ac:dyDescent="0.2">
      <c r="A173" s="5" t="s">
        <v>69</v>
      </c>
    </row>
    <row r="174" spans="1:50" x14ac:dyDescent="0.2">
      <c r="A174" s="5" t="s">
        <v>6</v>
      </c>
    </row>
    <row r="175" spans="1:50" x14ac:dyDescent="0.2">
      <c r="A175" s="5"/>
    </row>
    <row r="176" spans="1:50" x14ac:dyDescent="0.2">
      <c r="A176" s="6" t="s">
        <v>7</v>
      </c>
      <c r="B176" s="6">
        <v>2022</v>
      </c>
      <c r="C176" s="6">
        <v>2023</v>
      </c>
      <c r="D176" s="6">
        <v>2024</v>
      </c>
      <c r="E176" s="6">
        <v>2025</v>
      </c>
      <c r="F176" s="6">
        <v>2026</v>
      </c>
      <c r="G176" s="6">
        <v>2027</v>
      </c>
      <c r="H176" s="6">
        <v>2028</v>
      </c>
      <c r="I176" s="6">
        <v>2029</v>
      </c>
      <c r="J176" s="6">
        <v>2030</v>
      </c>
      <c r="K176" s="6">
        <v>2031</v>
      </c>
      <c r="L176" s="6">
        <v>2032</v>
      </c>
      <c r="M176" s="6">
        <v>2033</v>
      </c>
      <c r="N176" s="6">
        <v>2034</v>
      </c>
      <c r="O176" s="6">
        <v>2035</v>
      </c>
      <c r="P176" s="6">
        <v>2036</v>
      </c>
      <c r="Q176" s="6">
        <v>2037</v>
      </c>
      <c r="R176" s="6">
        <v>2038</v>
      </c>
      <c r="S176" s="6">
        <v>2039</v>
      </c>
      <c r="T176" s="6">
        <v>2040</v>
      </c>
      <c r="U176" s="6">
        <v>2041</v>
      </c>
      <c r="V176" s="6">
        <v>2042</v>
      </c>
      <c r="W176" s="6">
        <v>2043</v>
      </c>
      <c r="X176" s="6">
        <v>2044</v>
      </c>
      <c r="Y176" s="6">
        <v>2045</v>
      </c>
      <c r="Z176" s="6">
        <v>2046</v>
      </c>
      <c r="AA176" s="6">
        <v>2047</v>
      </c>
      <c r="AB176" s="6">
        <v>2048</v>
      </c>
      <c r="AC176" s="6">
        <v>2049</v>
      </c>
      <c r="AD176" s="6">
        <v>2050</v>
      </c>
      <c r="AE176" s="6">
        <v>2051</v>
      </c>
      <c r="AF176" s="6">
        <v>2052</v>
      </c>
      <c r="AG176" s="6">
        <v>2053</v>
      </c>
      <c r="AH176" s="6">
        <v>2054</v>
      </c>
      <c r="AI176" s="6">
        <v>2055</v>
      </c>
      <c r="AJ176" s="6">
        <v>2056</v>
      </c>
      <c r="AK176" s="6">
        <v>2057</v>
      </c>
      <c r="AL176" s="6">
        <v>2058</v>
      </c>
      <c r="AM176" s="6">
        <v>2059</v>
      </c>
      <c r="AN176" s="6">
        <v>2060</v>
      </c>
      <c r="AO176" s="39">
        <f>AN176+1</f>
        <v>2061</v>
      </c>
      <c r="AP176" s="39">
        <f t="shared" ref="AP176:AX176" si="11">AO176+1</f>
        <v>2062</v>
      </c>
      <c r="AQ176" s="39">
        <f t="shared" si="11"/>
        <v>2063</v>
      </c>
      <c r="AR176" s="39">
        <f t="shared" si="11"/>
        <v>2064</v>
      </c>
      <c r="AS176" s="39">
        <f t="shared" si="11"/>
        <v>2065</v>
      </c>
      <c r="AT176" s="39">
        <f t="shared" si="11"/>
        <v>2066</v>
      </c>
      <c r="AU176" s="39">
        <f t="shared" si="11"/>
        <v>2067</v>
      </c>
      <c r="AV176" s="39">
        <f t="shared" si="11"/>
        <v>2068</v>
      </c>
      <c r="AW176" s="39">
        <f>AV176+1</f>
        <v>2069</v>
      </c>
      <c r="AX176" s="39">
        <f t="shared" si="11"/>
        <v>2070</v>
      </c>
    </row>
    <row r="177" spans="1:50" x14ac:dyDescent="0.2">
      <c r="A177" s="6" t="s">
        <v>8</v>
      </c>
      <c r="B177" s="11">
        <f>Commercial!B181*Commercial!$B$5</f>
        <v>199.46428015898613</v>
      </c>
      <c r="C177" s="11">
        <f>Commercial!C181*Commercial!$B$5</f>
        <v>209.43749416693544</v>
      </c>
      <c r="D177" s="11">
        <f>Commercial!D181*Commercial!$B$5</f>
        <v>219.90936887528224</v>
      </c>
      <c r="E177" s="11">
        <f>Commercial!E181*Commercial!$B$5</f>
        <v>230.90483731904632</v>
      </c>
      <c r="F177" s="11">
        <f>Commercial!F181*Commercial!$B$5</f>
        <v>242.45007918499866</v>
      </c>
      <c r="G177" s="11">
        <f>Commercial!G181*Commercial!$B$5</f>
        <v>254.57258314424863</v>
      </c>
      <c r="H177" s="11">
        <f>Commercial!H181*Commercial!$B$5</f>
        <v>267.30121230146108</v>
      </c>
      <c r="I177" s="11">
        <f>Commercial!I181*Commercial!$B$5</f>
        <v>280.66627291653418</v>
      </c>
      <c r="J177" s="11">
        <f>Commercial!J181*Commercial!$B$5</f>
        <v>294.69958656236082</v>
      </c>
      <c r="K177" s="11">
        <f>Commercial!K181*Commercial!$B$5</f>
        <v>309.43456589047889</v>
      </c>
      <c r="L177" s="11">
        <f>Commercial!L181*Commercial!$B$5</f>
        <v>324.90629418500282</v>
      </c>
      <c r="M177" s="11">
        <f>Commercial!M181*Commercial!$B$5</f>
        <v>341.151608894253</v>
      </c>
      <c r="N177" s="11">
        <f>Commercial!N181*Commercial!$B$5</f>
        <v>358.2091893389657</v>
      </c>
      <c r="O177" s="11">
        <f>Commercial!O181*Commercial!$B$5</f>
        <v>376.11964880591398</v>
      </c>
      <c r="P177" s="11">
        <f>Commercial!P181*Commercial!$B$5</f>
        <v>394.92563124620966</v>
      </c>
      <c r="Q177" s="11">
        <f>Commercial!Q181*Commercial!$B$5</f>
        <v>414.67191280852018</v>
      </c>
      <c r="R177" s="11">
        <f>Commercial!R181*Commercial!$B$5</f>
        <v>435.40550844894625</v>
      </c>
      <c r="S177" s="11">
        <f>Commercial!S181*Commercial!$B$5</f>
        <v>457.17578387139338</v>
      </c>
      <c r="T177" s="11">
        <f>Commercial!T181*Commercial!$B$5</f>
        <v>480.03457306496313</v>
      </c>
      <c r="U177" s="11">
        <f>Commercial!U181*Commercial!$B$5</f>
        <v>504.03630171821135</v>
      </c>
      <c r="V177" s="11">
        <f>Commercial!V181*Commercial!$B$5</f>
        <v>529.238116804122</v>
      </c>
      <c r="W177" s="11">
        <f>Commercial!W181*Commercial!$B$5</f>
        <v>555.7000226443281</v>
      </c>
      <c r="X177" s="11">
        <f>Commercial!X181*Commercial!$B$5</f>
        <v>583.48502377654438</v>
      </c>
      <c r="Y177" s="11">
        <f>Commercial!Y181*Commercial!$B$5</f>
        <v>612.65927496537176</v>
      </c>
      <c r="Z177" s="11">
        <f>Commercial!Z181*Commercial!$B$5</f>
        <v>643.29223871364024</v>
      </c>
      <c r="AA177" s="11">
        <f>Commercial!AA181*Commercial!$B$5</f>
        <v>675.45685064932229</v>
      </c>
      <c r="AB177" s="11">
        <f>Commercial!AB181*Commercial!$B$5</f>
        <v>709.22969318178855</v>
      </c>
      <c r="AC177" s="11">
        <f>Commercial!AC181*Commercial!$B$5</f>
        <v>744.69117784087791</v>
      </c>
      <c r="AD177" s="11">
        <f>Commercial!AD181*Commercial!$B$5</f>
        <v>781.92573673292168</v>
      </c>
      <c r="AE177" s="11">
        <f>Commercial!AE181*Commercial!$B$5</f>
        <v>821.02202356956798</v>
      </c>
      <c r="AF177" s="11">
        <f>Commercial!AF181*Commercial!$B$5</f>
        <v>862.07312474804644</v>
      </c>
      <c r="AG177" s="11">
        <f>Commercial!AG181*Commercial!$B$5</f>
        <v>905.17678098544889</v>
      </c>
      <c r="AH177" s="11">
        <f>Commercial!AH181*Commercial!$B$5</f>
        <v>950.43562003472118</v>
      </c>
      <c r="AI177" s="11">
        <f>Commercial!AI181*Commercial!$B$5</f>
        <v>997.95740103645733</v>
      </c>
      <c r="AJ177" s="11">
        <f>Commercial!AJ181*Commercial!$B$5</f>
        <v>1047.8552710882805</v>
      </c>
      <c r="AK177" s="11">
        <f>Commercial!AK181*Commercial!$B$5</f>
        <v>1100.2480346426944</v>
      </c>
      <c r="AL177" s="11">
        <f>Commercial!AL181*Commercial!$B$5</f>
        <v>1155.2604363748292</v>
      </c>
      <c r="AM177" s="11">
        <f>Commercial!AM181*Commercial!$B$5</f>
        <v>1213.0234581935708</v>
      </c>
      <c r="AN177" s="11">
        <f>Commercial!AN181*Commercial!$B$5</f>
        <v>1273.6746311032496</v>
      </c>
      <c r="AO177" s="40">
        <f>Commercial!AO181*Commercial!$B$5</f>
        <v>1337.3583626584125</v>
      </c>
      <c r="AP177" s="40">
        <f>Commercial!AP181*Commercial!$B$5</f>
        <v>1404.2262807913332</v>
      </c>
      <c r="AQ177" s="40">
        <f>Commercial!AQ181*Commercial!$B$5</f>
        <v>1474.4375948309003</v>
      </c>
      <c r="AR177" s="40">
        <f>Commercial!AR181*Commercial!$B$5</f>
        <v>1548.1594745724456</v>
      </c>
      <c r="AS177" s="40">
        <f>Commercial!AS181*Commercial!$B$5</f>
        <v>1625.5674483010682</v>
      </c>
      <c r="AT177" s="40">
        <f>Commercial!AT181*Commercial!$B$5</f>
        <v>1706.845820716122</v>
      </c>
      <c r="AU177" s="40">
        <f>Commercial!AU181*Commercial!$B$5</f>
        <v>1792.1881117519285</v>
      </c>
      <c r="AV177" s="40">
        <f>Commercial!AV181*Commercial!$B$5</f>
        <v>1881.7975173395255</v>
      </c>
      <c r="AW177" s="40">
        <f>Commercial!AW181*Commercial!$B$5</f>
        <v>1975.8873932065019</v>
      </c>
      <c r="AX177" s="40">
        <f>Commercial!AX181*Commercial!$B$5</f>
        <v>2074.6817628668273</v>
      </c>
    </row>
    <row r="178" spans="1:50" x14ac:dyDescent="0.2">
      <c r="A178" s="6" t="s">
        <v>9</v>
      </c>
      <c r="B178" s="11">
        <f>Commercial!B182*Commercial!$B$5</f>
        <v>2046.5856187694342</v>
      </c>
      <c r="C178" s="11">
        <f>Commercial!C182*Commercial!$B$5</f>
        <v>2148.914899707906</v>
      </c>
      <c r="D178" s="11">
        <f>Commercial!D182*Commercial!$B$5</f>
        <v>2256.3606446933013</v>
      </c>
      <c r="E178" s="11">
        <f>Commercial!E182*Commercial!$B$5</f>
        <v>2369.178676927967</v>
      </c>
      <c r="F178" s="11">
        <f>Commercial!F182*Commercial!$B$5</f>
        <v>2487.6376107743658</v>
      </c>
      <c r="G178" s="11">
        <f>Commercial!G182*Commercial!$B$5</f>
        <v>2612.0194913130836</v>
      </c>
      <c r="H178" s="11">
        <f>Commercial!H182*Commercial!$B$5</f>
        <v>2742.6204658787378</v>
      </c>
      <c r="I178" s="11">
        <f>Commercial!I182*Commercial!$B$5</f>
        <v>2879.7514891726751</v>
      </c>
      <c r="J178" s="11">
        <f>Commercial!J182*Commercial!$B$5</f>
        <v>3023.7390636313085</v>
      </c>
      <c r="K178" s="11">
        <f>Commercial!K182*Commercial!$B$5</f>
        <v>3174.9260168128744</v>
      </c>
      <c r="L178" s="11">
        <f>Commercial!L182*Commercial!$B$5</f>
        <v>3333.6723176535179</v>
      </c>
      <c r="M178" s="11">
        <f>Commercial!M182*Commercial!$B$5</f>
        <v>3500.3559335361938</v>
      </c>
      <c r="N178" s="11">
        <f>Commercial!N182*Commercial!$B$5</f>
        <v>3675.3737302130044</v>
      </c>
      <c r="O178" s="11">
        <f>Commercial!O182*Commercial!$B$5</f>
        <v>3859.1424167236546</v>
      </c>
      <c r="P178" s="11">
        <f>Commercial!P182*Commercial!$B$5</f>
        <v>4052.0995375598377</v>
      </c>
      <c r="Q178" s="11">
        <f>Commercial!Q182*Commercial!$B$5</f>
        <v>4254.7045144378299</v>
      </c>
      <c r="R178" s="11">
        <f>Commercial!R182*Commercial!$B$5</f>
        <v>4467.4397401597216</v>
      </c>
      <c r="S178" s="11">
        <f>Commercial!S182*Commercial!$B$5</f>
        <v>4690.8117271677065</v>
      </c>
      <c r="T178" s="11">
        <f>Commercial!T182*Commercial!$B$5</f>
        <v>4925.3523135260912</v>
      </c>
      <c r="U178" s="11">
        <f>Commercial!U182*Commercial!$B$5</f>
        <v>5171.6199292023975</v>
      </c>
      <c r="V178" s="11">
        <f>Commercial!V182*Commercial!$B$5</f>
        <v>5430.2009256625179</v>
      </c>
      <c r="W178" s="11">
        <f>Commercial!W182*Commercial!$B$5</f>
        <v>5701.7109719456439</v>
      </c>
      <c r="X178" s="11">
        <f>Commercial!X182*Commercial!$B$5</f>
        <v>5986.7965205429255</v>
      </c>
      <c r="Y178" s="11">
        <f>Commercial!Y182*Commercial!$B$5</f>
        <v>6286.1363465700724</v>
      </c>
      <c r="Z178" s="11">
        <f>Commercial!Z182*Commercial!$B$5</f>
        <v>6600.4431638985761</v>
      </c>
      <c r="AA178" s="11">
        <f>Commercial!AA182*Commercial!$B$5</f>
        <v>6930.4653220935033</v>
      </c>
      <c r="AB178" s="11">
        <f>Commercial!AB182*Commercial!$B$5</f>
        <v>7276.9885881981809</v>
      </c>
      <c r="AC178" s="11">
        <f>Commercial!AC182*Commercial!$B$5</f>
        <v>7640.83801760809</v>
      </c>
      <c r="AD178" s="11">
        <f>Commercial!AD182*Commercial!$B$5</f>
        <v>8022.879918488492</v>
      </c>
      <c r="AE178" s="11">
        <f>Commercial!AE182*Commercial!$B$5</f>
        <v>8424.0239144129191</v>
      </c>
      <c r="AF178" s="11">
        <f>Commercial!AF182*Commercial!$B$5</f>
        <v>8845.225110133566</v>
      </c>
      <c r="AG178" s="11">
        <f>Commercial!AG182*Commercial!$B$5</f>
        <v>9287.4863656402449</v>
      </c>
      <c r="AH178" s="11">
        <f>Commercial!AH182*Commercial!$B$5</f>
        <v>9751.8606839222557</v>
      </c>
      <c r="AI178" s="11">
        <f>Commercial!AI182*Commercial!$B$5</f>
        <v>10239.45371811837</v>
      </c>
      <c r="AJ178" s="11">
        <f>Commercial!AJ182*Commercial!$B$5</f>
        <v>10751.426404024291</v>
      </c>
      <c r="AK178" s="11">
        <f>Commercial!AK182*Commercial!$B$5</f>
        <v>11288.997724225504</v>
      </c>
      <c r="AL178" s="11">
        <f>Commercial!AL182*Commercial!$B$5</f>
        <v>11853.447610436779</v>
      </c>
      <c r="AM178" s="11">
        <f>Commercial!AM182*Commercial!$B$5</f>
        <v>12446.119990958621</v>
      </c>
      <c r="AN178" s="11">
        <f>Commercial!AN182*Commercial!$B$5</f>
        <v>13068.425990506552</v>
      </c>
      <c r="AO178" s="40">
        <f>Commercial!AO182*Commercial!$B$5</f>
        <v>13721.847290031883</v>
      </c>
      <c r="AP178" s="40">
        <f>Commercial!AP182*Commercial!$B$5</f>
        <v>14407.93965453348</v>
      </c>
      <c r="AQ178" s="40">
        <f>Commercial!AQ182*Commercial!$B$5</f>
        <v>15128.336637260158</v>
      </c>
      <c r="AR178" s="40">
        <f>Commercial!AR182*Commercial!$B$5</f>
        <v>15884.75346912317</v>
      </c>
      <c r="AS178" s="40">
        <f>Commercial!AS182*Commercial!$B$5</f>
        <v>16678.991142579333</v>
      </c>
      <c r="AT178" s="40">
        <f>Commercial!AT182*Commercial!$B$5</f>
        <v>17512.940699708302</v>
      </c>
      <c r="AU178" s="40">
        <f>Commercial!AU182*Commercial!$B$5</f>
        <v>18388.587734693723</v>
      </c>
      <c r="AV178" s="40">
        <f>Commercial!AV182*Commercial!$B$5</f>
        <v>19308.017121428413</v>
      </c>
      <c r="AW178" s="40">
        <f>Commercial!AW182*Commercial!$B$5</f>
        <v>20273.417977499841</v>
      </c>
      <c r="AX178" s="40">
        <f>Commercial!AX182*Commercial!$B$5</f>
        <v>21287.088876374833</v>
      </c>
    </row>
    <row r="179" spans="1:50" x14ac:dyDescent="0.2">
      <c r="A179" s="6" t="s">
        <v>10</v>
      </c>
      <c r="B179" s="11">
        <f>Commercial!B183*Commercial!$B$5</f>
        <v>2.0147907086716774</v>
      </c>
      <c r="C179" s="11">
        <f>Commercial!C183*Commercial!$B$5</f>
        <v>2.1155302441052615</v>
      </c>
      <c r="D179" s="11">
        <f>Commercial!D183*Commercial!$B$5</f>
        <v>2.2213067563105247</v>
      </c>
      <c r="E179" s="11">
        <f>Commercial!E183*Commercial!$B$5</f>
        <v>2.3323720941260508</v>
      </c>
      <c r="F179" s="11">
        <f>Commercial!F183*Commercial!$B$5</f>
        <v>2.448990698832354</v>
      </c>
      <c r="G179" s="11">
        <f>Commercial!G183*Commercial!$B$5</f>
        <v>2.5714402337739717</v>
      </c>
      <c r="H179" s="11">
        <f>Commercial!H183*Commercial!$B$5</f>
        <v>2.7000122454626703</v>
      </c>
      <c r="I179" s="11">
        <f>Commercial!I183*Commercial!$B$5</f>
        <v>2.835012857735804</v>
      </c>
      <c r="J179" s="11">
        <f>Commercial!J183*Commercial!$B$5</f>
        <v>2.9767635006225945</v>
      </c>
      <c r="K179" s="11">
        <f>Commercial!K183*Commercial!$B$5</f>
        <v>3.1256016756537237</v>
      </c>
      <c r="L179" s="11">
        <f>Commercial!L183*Commercial!$B$5</f>
        <v>3.28188175943641</v>
      </c>
      <c r="M179" s="11">
        <f>Commercial!M183*Commercial!$B$5</f>
        <v>3.4459758474082309</v>
      </c>
      <c r="N179" s="11">
        <f>Commercial!N183*Commercial!$B$5</f>
        <v>3.6182746397786425</v>
      </c>
      <c r="O179" s="11">
        <f>Commercial!O183*Commercial!$B$5</f>
        <v>3.7991883717675754</v>
      </c>
      <c r="P179" s="11">
        <f>Commercial!P183*Commercial!$B$5</f>
        <v>3.9891477903559536</v>
      </c>
      <c r="Q179" s="11">
        <f>Commercial!Q183*Commercial!$B$5</f>
        <v>4.1886051798737522</v>
      </c>
      <c r="R179" s="11">
        <f>Commercial!R183*Commercial!$B$5</f>
        <v>4.3980354388674394</v>
      </c>
      <c r="S179" s="11">
        <f>Commercial!S183*Commercial!$B$5</f>
        <v>4.617937210810811</v>
      </c>
      <c r="T179" s="11">
        <f>Commercial!T183*Commercial!$B$5</f>
        <v>4.8488340713513507</v>
      </c>
      <c r="U179" s="11">
        <f>Commercial!U183*Commercial!$B$5</f>
        <v>5.0912757749189197</v>
      </c>
      <c r="V179" s="11">
        <f>Commercial!V183*Commercial!$B$5</f>
        <v>5.3458395636648666</v>
      </c>
      <c r="W179" s="11">
        <f>Commercial!W183*Commercial!$B$5</f>
        <v>5.6131315418481096</v>
      </c>
      <c r="X179" s="11">
        <f>Commercial!X183*Commercial!$B$5</f>
        <v>5.893788118940515</v>
      </c>
      <c r="Y179" s="11">
        <f>Commercial!Y183*Commercial!$B$5</f>
        <v>6.1884775248875403</v>
      </c>
      <c r="Z179" s="11">
        <f>Commercial!Z183*Commercial!$B$5</f>
        <v>6.4979014011319176</v>
      </c>
      <c r="AA179" s="11">
        <f>Commercial!AA183*Commercial!$B$5</f>
        <v>6.8227964711885125</v>
      </c>
      <c r="AB179" s="11">
        <f>Commercial!AB183*Commercial!$B$5</f>
        <v>7.1639362947479395</v>
      </c>
      <c r="AC179" s="11">
        <f>Commercial!AC183*Commercial!$B$5</f>
        <v>7.5221331094853365</v>
      </c>
      <c r="AD179" s="11">
        <f>Commercial!AD183*Commercial!$B$5</f>
        <v>7.8982397649596026</v>
      </c>
      <c r="AE179" s="11">
        <f>Commercial!AE183*Commercial!$B$5</f>
        <v>8.2931517532075834</v>
      </c>
      <c r="AF179" s="11">
        <f>Commercial!AF183*Commercial!$B$5</f>
        <v>8.7078093408679642</v>
      </c>
      <c r="AG179" s="11">
        <f>Commercial!AG183*Commercial!$B$5</f>
        <v>9.1431998079113619</v>
      </c>
      <c r="AH179" s="11">
        <f>Commercial!AH183*Commercial!$B$5</f>
        <v>9.6003597983069326</v>
      </c>
      <c r="AI179" s="11">
        <f>Commercial!AI183*Commercial!$B$5</f>
        <v>10.080377788222279</v>
      </c>
      <c r="AJ179" s="11">
        <f>Commercial!AJ183*Commercial!$B$5</f>
        <v>10.584396677633393</v>
      </c>
      <c r="AK179" s="11">
        <f>Commercial!AK183*Commercial!$B$5</f>
        <v>11.113616511515064</v>
      </c>
      <c r="AL179" s="11">
        <f>Commercial!AL183*Commercial!$B$5</f>
        <v>11.669297337090816</v>
      </c>
      <c r="AM179" s="11">
        <f>Commercial!AM183*Commercial!$B$5</f>
        <v>12.252762203945359</v>
      </c>
      <c r="AN179" s="11">
        <f>Commercial!AN183*Commercial!$B$5</f>
        <v>12.865400314142628</v>
      </c>
      <c r="AO179" s="40">
        <f>Commercial!AO183*Commercial!$B$5</f>
        <v>13.508670329849762</v>
      </c>
      <c r="AP179" s="40">
        <f>Commercial!AP183*Commercial!$B$5</f>
        <v>14.184103846342254</v>
      </c>
      <c r="AQ179" s="40">
        <f>Commercial!AQ183*Commercial!$B$5</f>
        <v>14.893309038659369</v>
      </c>
      <c r="AR179" s="40">
        <f>Commercial!AR183*Commercial!$B$5</f>
        <v>15.63797449059234</v>
      </c>
      <c r="AS179" s="40">
        <f>Commercial!AS183*Commercial!$B$5</f>
        <v>16.41987321512196</v>
      </c>
      <c r="AT179" s="40">
        <f>Commercial!AT183*Commercial!$B$5</f>
        <v>17.240866875878062</v>
      </c>
      <c r="AU179" s="40">
        <f>Commercial!AU183*Commercial!$B$5</f>
        <v>18.102910219671969</v>
      </c>
      <c r="AV179" s="40">
        <f>Commercial!AV183*Commercial!$B$5</f>
        <v>19.00805573065557</v>
      </c>
      <c r="AW179" s="40">
        <f>Commercial!AW183*Commercial!$B$5</f>
        <v>19.958458517188355</v>
      </c>
      <c r="AX179" s="40">
        <f>Commercial!AX183*Commercial!$B$5</f>
        <v>20.956381443047775</v>
      </c>
    </row>
    <row r="181" spans="1:50" x14ac:dyDescent="0.2">
      <c r="A181" s="5" t="s">
        <v>66</v>
      </c>
    </row>
    <row r="182" spans="1:50" x14ac:dyDescent="0.2">
      <c r="A182" s="5" t="s">
        <v>4</v>
      </c>
    </row>
    <row r="183" spans="1:50" x14ac:dyDescent="0.2">
      <c r="A183" s="5" t="s">
        <v>71</v>
      </c>
    </row>
    <row r="184" spans="1:50" x14ac:dyDescent="0.2">
      <c r="A184" s="5" t="s">
        <v>6</v>
      </c>
    </row>
    <row r="185" spans="1:50" x14ac:dyDescent="0.2">
      <c r="A185" s="5"/>
    </row>
    <row r="186" spans="1:50" x14ac:dyDescent="0.2">
      <c r="A186" s="6" t="s">
        <v>7</v>
      </c>
      <c r="B186" s="6">
        <v>2022</v>
      </c>
      <c r="C186" s="6">
        <v>2023</v>
      </c>
      <c r="D186" s="6">
        <v>2024</v>
      </c>
      <c r="E186" s="6">
        <v>2025</v>
      </c>
      <c r="F186" s="6">
        <v>2026</v>
      </c>
      <c r="G186" s="6">
        <v>2027</v>
      </c>
      <c r="H186" s="6">
        <v>2028</v>
      </c>
      <c r="I186" s="6">
        <v>2029</v>
      </c>
      <c r="J186" s="6">
        <v>2030</v>
      </c>
      <c r="K186" s="6">
        <v>2031</v>
      </c>
      <c r="L186" s="6">
        <v>2032</v>
      </c>
      <c r="M186" s="6">
        <v>2033</v>
      </c>
      <c r="N186" s="6">
        <v>2034</v>
      </c>
      <c r="O186" s="6">
        <v>2035</v>
      </c>
      <c r="P186" s="6">
        <v>2036</v>
      </c>
      <c r="Q186" s="6">
        <v>2037</v>
      </c>
      <c r="R186" s="6">
        <v>2038</v>
      </c>
      <c r="S186" s="6">
        <v>2039</v>
      </c>
      <c r="T186" s="6">
        <v>2040</v>
      </c>
      <c r="U186" s="6">
        <v>2041</v>
      </c>
      <c r="V186" s="6">
        <v>2042</v>
      </c>
      <c r="W186" s="6">
        <v>2043</v>
      </c>
      <c r="X186" s="6">
        <v>2044</v>
      </c>
      <c r="Y186" s="6">
        <v>2045</v>
      </c>
      <c r="Z186" s="6">
        <v>2046</v>
      </c>
      <c r="AA186" s="6">
        <v>2047</v>
      </c>
      <c r="AB186" s="6">
        <v>2048</v>
      </c>
      <c r="AC186" s="6">
        <v>2049</v>
      </c>
      <c r="AD186" s="6">
        <v>2050</v>
      </c>
      <c r="AE186" s="6">
        <v>2051</v>
      </c>
      <c r="AF186" s="6">
        <v>2052</v>
      </c>
      <c r="AG186" s="6">
        <v>2053</v>
      </c>
      <c r="AH186" s="6">
        <v>2054</v>
      </c>
      <c r="AI186" s="6">
        <v>2055</v>
      </c>
      <c r="AJ186" s="6">
        <v>2056</v>
      </c>
      <c r="AK186" s="6">
        <v>2057</v>
      </c>
      <c r="AL186" s="6">
        <v>2058</v>
      </c>
      <c r="AM186" s="6">
        <v>2059</v>
      </c>
      <c r="AN186" s="6">
        <v>2060</v>
      </c>
      <c r="AO186" s="39">
        <f>AN186+1</f>
        <v>2061</v>
      </c>
      <c r="AP186" s="39">
        <f t="shared" ref="AP186:AX186" si="12">AO186+1</f>
        <v>2062</v>
      </c>
      <c r="AQ186" s="39">
        <f t="shared" si="12"/>
        <v>2063</v>
      </c>
      <c r="AR186" s="39">
        <f t="shared" si="12"/>
        <v>2064</v>
      </c>
      <c r="AS186" s="39">
        <f t="shared" si="12"/>
        <v>2065</v>
      </c>
      <c r="AT186" s="39">
        <f t="shared" si="12"/>
        <v>2066</v>
      </c>
      <c r="AU186" s="39">
        <f t="shared" si="12"/>
        <v>2067</v>
      </c>
      <c r="AV186" s="39">
        <f t="shared" si="12"/>
        <v>2068</v>
      </c>
      <c r="AW186" s="39">
        <f>AV186+1</f>
        <v>2069</v>
      </c>
      <c r="AX186" s="39">
        <f t="shared" si="12"/>
        <v>2070</v>
      </c>
    </row>
    <row r="187" spans="1:50" x14ac:dyDescent="0.2">
      <c r="A187" s="6" t="s">
        <v>8</v>
      </c>
      <c r="B187" s="11">
        <f>Commercial!B191*Commercial!$B$5</f>
        <v>212.26829653032016</v>
      </c>
      <c r="C187" s="11">
        <f>Commercial!C191*Commercial!$B$5</f>
        <v>222.88171135683618</v>
      </c>
      <c r="D187" s="11">
        <f>Commercial!D191*Commercial!$B$5</f>
        <v>234.02579692467796</v>
      </c>
      <c r="E187" s="11">
        <f>Commercial!E191*Commercial!$B$5</f>
        <v>245.72708677091191</v>
      </c>
      <c r="F187" s="11">
        <f>Commercial!F191*Commercial!$B$5</f>
        <v>258.01344110945757</v>
      </c>
      <c r="G187" s="11">
        <f>Commercial!G191*Commercial!$B$5</f>
        <v>270.91411316493037</v>
      </c>
      <c r="H187" s="11">
        <f>Commercial!H191*Commercial!$B$5</f>
        <v>284.45981882317693</v>
      </c>
      <c r="I187" s="11">
        <f>Commercial!I191*Commercial!$B$5</f>
        <v>298.68280976433579</v>
      </c>
      <c r="J187" s="11">
        <f>Commercial!J191*Commercial!$B$5</f>
        <v>313.61695025255261</v>
      </c>
      <c r="K187" s="11">
        <f>Commercial!K191*Commercial!$B$5</f>
        <v>329.29779776518023</v>
      </c>
      <c r="L187" s="11">
        <f>Commercial!L191*Commercial!$B$5</f>
        <v>345.76268765343923</v>
      </c>
      <c r="M187" s="11">
        <f>Commercial!M191*Commercial!$B$5</f>
        <v>363.05082203611119</v>
      </c>
      <c r="N187" s="11">
        <f>Commercial!N191*Commercial!$B$5</f>
        <v>381.20336313791682</v>
      </c>
      <c r="O187" s="11">
        <f>Commercial!O191*Commercial!$B$5</f>
        <v>400.26353129481271</v>
      </c>
      <c r="P187" s="11">
        <f>Commercial!P191*Commercial!$B$5</f>
        <v>420.27670785955331</v>
      </c>
      <c r="Q187" s="11">
        <f>Commercial!Q191*Commercial!$B$5</f>
        <v>441.29054325253105</v>
      </c>
      <c r="R187" s="11">
        <f>Commercial!R191*Commercial!$B$5</f>
        <v>463.35507041515763</v>
      </c>
      <c r="S187" s="11">
        <f>Commercial!S191*Commercial!$B$5</f>
        <v>486.52282393591543</v>
      </c>
      <c r="T187" s="11">
        <f>Commercial!T191*Commercial!$B$5</f>
        <v>510.84896513271116</v>
      </c>
      <c r="U187" s="11">
        <f>Commercial!U191*Commercial!$B$5</f>
        <v>536.39141338934689</v>
      </c>
      <c r="V187" s="11">
        <f>Commercial!V191*Commercial!$B$5</f>
        <v>563.21098405881423</v>
      </c>
      <c r="W187" s="11">
        <f>Commercial!W191*Commercial!$B$5</f>
        <v>591.37153326175496</v>
      </c>
      <c r="X187" s="11">
        <f>Commercial!X191*Commercial!$B$5</f>
        <v>620.94010992484277</v>
      </c>
      <c r="Y187" s="11">
        <f>Commercial!Y191*Commercial!$B$5</f>
        <v>651.9871154210847</v>
      </c>
      <c r="Z187" s="11">
        <f>Commercial!Z191*Commercial!$B$5</f>
        <v>684.58647119213902</v>
      </c>
      <c r="AA187" s="11">
        <f>Commercial!AA191*Commercial!$B$5</f>
        <v>718.81579475174613</v>
      </c>
      <c r="AB187" s="11">
        <f>Commercial!AB191*Commercial!$B$5</f>
        <v>754.75658448933336</v>
      </c>
      <c r="AC187" s="11">
        <f>Commercial!AC191*Commercial!$B$5</f>
        <v>792.49441371379999</v>
      </c>
      <c r="AD187" s="11">
        <f>Commercial!AD191*Commercial!$B$5</f>
        <v>832.11913439948989</v>
      </c>
      <c r="AE187" s="11">
        <f>Commercial!AE191*Commercial!$B$5</f>
        <v>873.72509111946454</v>
      </c>
      <c r="AF187" s="11">
        <f>Commercial!AF191*Commercial!$B$5</f>
        <v>917.41134567543793</v>
      </c>
      <c r="AG187" s="11">
        <f>Commercial!AG191*Commercial!$B$5</f>
        <v>963.28191295920976</v>
      </c>
      <c r="AH187" s="11">
        <f>Commercial!AH191*Commercial!$B$5</f>
        <v>1011.4460086071704</v>
      </c>
      <c r="AI187" s="11">
        <f>Commercial!AI191*Commercial!$B$5</f>
        <v>1062.018309037529</v>
      </c>
      <c r="AJ187" s="11">
        <f>Commercial!AJ191*Commercial!$B$5</f>
        <v>1115.1192244894055</v>
      </c>
      <c r="AK187" s="11">
        <f>Commercial!AK191*Commercial!$B$5</f>
        <v>1170.8751857138757</v>
      </c>
      <c r="AL187" s="11">
        <f>Commercial!AL191*Commercial!$B$5</f>
        <v>1229.4189449995697</v>
      </c>
      <c r="AM187" s="11">
        <f>Commercial!AM191*Commercial!$B$5</f>
        <v>1290.889892249548</v>
      </c>
      <c r="AN187" s="11">
        <f>Commercial!AN191*Commercial!$B$5</f>
        <v>1355.4343868620258</v>
      </c>
      <c r="AO187" s="40">
        <f>Commercial!AO191*Commercial!$B$5</f>
        <v>1423.2061062051275</v>
      </c>
      <c r="AP187" s="40">
        <f>Commercial!AP191*Commercial!$B$5</f>
        <v>1494.3664115153842</v>
      </c>
      <c r="AQ187" s="40">
        <f>Commercial!AQ191*Commercial!$B$5</f>
        <v>1569.0847320911541</v>
      </c>
      <c r="AR187" s="40">
        <f>Commercial!AR191*Commercial!$B$5</f>
        <v>1647.5389686957124</v>
      </c>
      <c r="AS187" s="40">
        <f>Commercial!AS191*Commercial!$B$5</f>
        <v>1729.9159171304982</v>
      </c>
      <c r="AT187" s="40">
        <f>Commercial!AT191*Commercial!$B$5</f>
        <v>1816.4117129870237</v>
      </c>
      <c r="AU187" s="40">
        <f>Commercial!AU191*Commercial!$B$5</f>
        <v>1907.2322986363754</v>
      </c>
      <c r="AV187" s="40">
        <f>Commercial!AV191*Commercial!$B$5</f>
        <v>2002.5939135681949</v>
      </c>
      <c r="AW187" s="40">
        <f>Commercial!AW191*Commercial!$B$5</f>
        <v>2102.7236092466051</v>
      </c>
      <c r="AX187" s="40">
        <f>Commercial!AX191*Commercial!$B$5</f>
        <v>2207.8597897089362</v>
      </c>
    </row>
    <row r="188" spans="1:50" x14ac:dyDescent="0.2">
      <c r="A188" s="6" t="s">
        <v>9</v>
      </c>
      <c r="B188" s="11">
        <f>Commercial!B192*Commercial!$B$5</f>
        <v>2177.960097177167</v>
      </c>
      <c r="C188" s="11">
        <f>Commercial!C192*Commercial!$B$5</f>
        <v>2286.8581020360257</v>
      </c>
      <c r="D188" s="11">
        <f>Commercial!D192*Commercial!$B$5</f>
        <v>2401.2010071378263</v>
      </c>
      <c r="E188" s="11">
        <f>Commercial!E192*Commercial!$B$5</f>
        <v>2521.2610574947184</v>
      </c>
      <c r="F188" s="11">
        <f>Commercial!F192*Commercial!$B$5</f>
        <v>2647.3241103694545</v>
      </c>
      <c r="G188" s="11">
        <f>Commercial!G192*Commercial!$B$5</f>
        <v>2779.6903158879268</v>
      </c>
      <c r="H188" s="11">
        <f>Commercial!H192*Commercial!$B$5</f>
        <v>2918.6748316823241</v>
      </c>
      <c r="I188" s="11">
        <f>Commercial!I192*Commercial!$B$5</f>
        <v>3064.6085732664401</v>
      </c>
      <c r="J188" s="11">
        <f>Commercial!J192*Commercial!$B$5</f>
        <v>3217.8390019297622</v>
      </c>
      <c r="K188" s="11">
        <f>Commercial!K192*Commercial!$B$5</f>
        <v>3378.7309520262502</v>
      </c>
      <c r="L188" s="11">
        <f>Commercial!L192*Commercial!$B$5</f>
        <v>3547.6674996275624</v>
      </c>
      <c r="M188" s="11">
        <f>Commercial!M192*Commercial!$B$5</f>
        <v>3725.0508746089408</v>
      </c>
      <c r="N188" s="11">
        <f>Commercial!N192*Commercial!$B$5</f>
        <v>3911.3034183393884</v>
      </c>
      <c r="O188" s="11">
        <f>Commercial!O192*Commercial!$B$5</f>
        <v>4106.868589256359</v>
      </c>
      <c r="P188" s="11">
        <f>Commercial!P192*Commercial!$B$5</f>
        <v>4312.2120187191758</v>
      </c>
      <c r="Q188" s="11">
        <f>Commercial!Q192*Commercial!$B$5</f>
        <v>4527.8226196551359</v>
      </c>
      <c r="R188" s="11">
        <f>Commercial!R192*Commercial!$B$5</f>
        <v>4754.2137506378922</v>
      </c>
      <c r="S188" s="11">
        <f>Commercial!S192*Commercial!$B$5</f>
        <v>4991.9244381697863</v>
      </c>
      <c r="T188" s="11">
        <f>Commercial!T192*Commercial!$B$5</f>
        <v>5241.5206600782758</v>
      </c>
      <c r="U188" s="11">
        <f>Commercial!U192*Commercial!$B$5</f>
        <v>5503.5966930821905</v>
      </c>
      <c r="V188" s="11">
        <f>Commercial!V192*Commercial!$B$5</f>
        <v>5778.7765277362996</v>
      </c>
      <c r="W188" s="11">
        <f>Commercial!W192*Commercial!$B$5</f>
        <v>6067.7153541231155</v>
      </c>
      <c r="X188" s="11">
        <f>Commercial!X192*Commercial!$B$5</f>
        <v>6371.1011218292706</v>
      </c>
      <c r="Y188" s="11">
        <f>Commercial!Y192*Commercial!$B$5</f>
        <v>6689.6561779207341</v>
      </c>
      <c r="Z188" s="11">
        <f>Commercial!Z192*Commercial!$B$5</f>
        <v>7024.1389868167707</v>
      </c>
      <c r="AA188" s="11">
        <f>Commercial!AA192*Commercial!$B$5</f>
        <v>7375.3459361576106</v>
      </c>
      <c r="AB188" s="11">
        <f>Commercial!AB192*Commercial!$B$5</f>
        <v>7744.1132329654911</v>
      </c>
      <c r="AC188" s="11">
        <f>Commercial!AC192*Commercial!$B$5</f>
        <v>8131.3188946137643</v>
      </c>
      <c r="AD188" s="11">
        <f>Commercial!AD192*Commercial!$B$5</f>
        <v>8537.8848393444514</v>
      </c>
      <c r="AE188" s="11">
        <f>Commercial!AE192*Commercial!$B$5</f>
        <v>8964.7790813116753</v>
      </c>
      <c r="AF188" s="11">
        <f>Commercial!AF192*Commercial!$B$5</f>
        <v>9413.018035377263</v>
      </c>
      <c r="AG188" s="11">
        <f>Commercial!AG192*Commercial!$B$5</f>
        <v>9883.6689371461252</v>
      </c>
      <c r="AH188" s="11">
        <f>Commercial!AH192*Commercial!$B$5</f>
        <v>10377.852384003432</v>
      </c>
      <c r="AI188" s="11">
        <f>Commercial!AI192*Commercial!$B$5</f>
        <v>10896.745003203603</v>
      </c>
      <c r="AJ188" s="11">
        <f>Commercial!AJ192*Commercial!$B$5</f>
        <v>11441.582253363786</v>
      </c>
      <c r="AK188" s="11">
        <f>Commercial!AK192*Commercial!$B$5</f>
        <v>12013.661366031974</v>
      </c>
      <c r="AL188" s="11">
        <f>Commercial!AL192*Commercial!$B$5</f>
        <v>12614.344434333574</v>
      </c>
      <c r="AM188" s="11">
        <f>Commercial!AM192*Commercial!$B$5</f>
        <v>13245.061656050251</v>
      </c>
      <c r="AN188" s="11">
        <f>Commercial!AN192*Commercial!$B$5</f>
        <v>13907.314738852767</v>
      </c>
      <c r="AO188" s="40">
        <f>Commercial!AO192*Commercial!$B$5</f>
        <v>14602.680475795409</v>
      </c>
      <c r="AP188" s="40">
        <f>Commercial!AP192*Commercial!$B$5</f>
        <v>15332.814499585185</v>
      </c>
      <c r="AQ188" s="40">
        <f>Commercial!AQ192*Commercial!$B$5</f>
        <v>16099.455224564448</v>
      </c>
      <c r="AR188" s="40">
        <f>Commercial!AR192*Commercial!$B$5</f>
        <v>16904.427985792678</v>
      </c>
      <c r="AS188" s="40">
        <f>Commercial!AS192*Commercial!$B$5</f>
        <v>17749.649385082314</v>
      </c>
      <c r="AT188" s="40">
        <f>Commercial!AT192*Commercial!$B$5</f>
        <v>18637.131854336436</v>
      </c>
      <c r="AU188" s="40">
        <f>Commercial!AU192*Commercial!$B$5</f>
        <v>19568.98844705326</v>
      </c>
      <c r="AV188" s="40">
        <f>Commercial!AV192*Commercial!$B$5</f>
        <v>20547.437869405931</v>
      </c>
      <c r="AW188" s="40">
        <f>Commercial!AW192*Commercial!$B$5</f>
        <v>21574.809762876233</v>
      </c>
      <c r="AX188" s="40">
        <f>Commercial!AX192*Commercial!$B$5</f>
        <v>22653.550251020049</v>
      </c>
    </row>
    <row r="189" spans="1:50" x14ac:dyDescent="0.2">
      <c r="A189" s="6" t="s">
        <v>10</v>
      </c>
      <c r="B189" s="11">
        <f>Commercial!B193*Commercial!$B$5</f>
        <v>2.144124207467069</v>
      </c>
      <c r="C189" s="11">
        <f>Commercial!C193*Commercial!$B$5</f>
        <v>2.251330417840423</v>
      </c>
      <c r="D189" s="11">
        <f>Commercial!D193*Commercial!$B$5</f>
        <v>2.3638969387324442</v>
      </c>
      <c r="E189" s="11">
        <f>Commercial!E193*Commercial!$B$5</f>
        <v>2.4820917856690659</v>
      </c>
      <c r="F189" s="11">
        <f>Commercial!F193*Commercial!$B$5</f>
        <v>2.6061963749525199</v>
      </c>
      <c r="G189" s="11">
        <f>Commercial!G193*Commercial!$B$5</f>
        <v>2.736506193700146</v>
      </c>
      <c r="H189" s="11">
        <f>Commercial!H193*Commercial!$B$5</f>
        <v>2.8733315033851534</v>
      </c>
      <c r="I189" s="11">
        <f>Commercial!I193*Commercial!$B$5</f>
        <v>3.0169980785544115</v>
      </c>
      <c r="J189" s="11">
        <f>Commercial!J193*Commercial!$B$5</f>
        <v>3.1678479824821322</v>
      </c>
      <c r="K189" s="11">
        <f>Commercial!K193*Commercial!$B$5</f>
        <v>3.3262403816062385</v>
      </c>
      <c r="L189" s="11">
        <f>Commercial!L193*Commercial!$B$5</f>
        <v>3.49255240068655</v>
      </c>
      <c r="M189" s="11">
        <f>Commercial!M193*Commercial!$B$5</f>
        <v>3.6671800207208776</v>
      </c>
      <c r="N189" s="11">
        <f>Commercial!N193*Commercial!$B$5</f>
        <v>3.8505390217569224</v>
      </c>
      <c r="O189" s="11">
        <f>Commercial!O193*Commercial!$B$5</f>
        <v>4.0430659728447687</v>
      </c>
      <c r="P189" s="11">
        <f>Commercial!P193*Commercial!$B$5</f>
        <v>4.2452192714870067</v>
      </c>
      <c r="Q189" s="11">
        <f>Commercial!Q193*Commercial!$B$5</f>
        <v>4.4574802350613583</v>
      </c>
      <c r="R189" s="11">
        <f>Commercial!R193*Commercial!$B$5</f>
        <v>4.6803542468144261</v>
      </c>
      <c r="S189" s="11">
        <f>Commercial!S193*Commercial!$B$5</f>
        <v>4.9143719591551474</v>
      </c>
      <c r="T189" s="11">
        <f>Commercial!T193*Commercial!$B$5</f>
        <v>5.1600905571129037</v>
      </c>
      <c r="U189" s="11">
        <f>Commercial!U193*Commercial!$B$5</f>
        <v>5.4180950849685505</v>
      </c>
      <c r="V189" s="11">
        <f>Commercial!V193*Commercial!$B$5</f>
        <v>5.6889998392169776</v>
      </c>
      <c r="W189" s="11">
        <f>Commercial!W193*Commercial!$B$5</f>
        <v>5.9734498311778266</v>
      </c>
      <c r="X189" s="11">
        <f>Commercial!X193*Commercial!$B$5</f>
        <v>6.2721223227367187</v>
      </c>
      <c r="Y189" s="11">
        <f>Commercial!Y193*Commercial!$B$5</f>
        <v>6.585728438873554</v>
      </c>
      <c r="Z189" s="11">
        <f>Commercial!Z193*Commercial!$B$5</f>
        <v>6.9150148608172302</v>
      </c>
      <c r="AA189" s="11">
        <f>Commercial!AA193*Commercial!$B$5</f>
        <v>7.2607656038580943</v>
      </c>
      <c r="AB189" s="11">
        <f>Commercial!AB193*Commercial!$B$5</f>
        <v>7.6238038840509992</v>
      </c>
      <c r="AC189" s="11">
        <f>Commercial!AC193*Commercial!$B$5</f>
        <v>8.0049940782535494</v>
      </c>
      <c r="AD189" s="11">
        <f>Commercial!AD193*Commercial!$B$5</f>
        <v>8.4052437821662256</v>
      </c>
      <c r="AE189" s="11">
        <f>Commercial!AE193*Commercial!$B$5</f>
        <v>8.8255059712745378</v>
      </c>
      <c r="AF189" s="11">
        <f>Commercial!AF193*Commercial!$B$5</f>
        <v>9.2667812698382654</v>
      </c>
      <c r="AG189" s="11">
        <f>Commercial!AG193*Commercial!$B$5</f>
        <v>9.7301203333301789</v>
      </c>
      <c r="AH189" s="11">
        <f>Commercial!AH193*Commercial!$B$5</f>
        <v>10.216626349996689</v>
      </c>
      <c r="AI189" s="11">
        <f>Commercial!AI193*Commercial!$B$5</f>
        <v>10.727457667496525</v>
      </c>
      <c r="AJ189" s="11">
        <f>Commercial!AJ193*Commercial!$B$5</f>
        <v>11.263830550871351</v>
      </c>
      <c r="AK189" s="11">
        <f>Commercial!AK193*Commercial!$B$5</f>
        <v>11.82702207841492</v>
      </c>
      <c r="AL189" s="11">
        <f>Commercial!AL193*Commercial!$B$5</f>
        <v>12.418373182335666</v>
      </c>
      <c r="AM189" s="11">
        <f>Commercial!AM193*Commercial!$B$5</f>
        <v>13.039291841452449</v>
      </c>
      <c r="AN189" s="11">
        <f>Commercial!AN193*Commercial!$B$5</f>
        <v>13.691256433525073</v>
      </c>
      <c r="AO189" s="40">
        <f>Commercial!AO193*Commercial!$B$5</f>
        <v>14.37581925520133</v>
      </c>
      <c r="AP189" s="40">
        <f>Commercial!AP193*Commercial!$B$5</f>
        <v>15.094610217961401</v>
      </c>
      <c r="AQ189" s="40">
        <f>Commercial!AQ193*Commercial!$B$5</f>
        <v>15.849340728859476</v>
      </c>
      <c r="AR189" s="40">
        <f>Commercial!AR193*Commercial!$B$5</f>
        <v>16.641807765302456</v>
      </c>
      <c r="AS189" s="40">
        <f>Commercial!AS193*Commercial!$B$5</f>
        <v>17.473898153567585</v>
      </c>
      <c r="AT189" s="40">
        <f>Commercial!AT193*Commercial!$B$5</f>
        <v>18.34759306124597</v>
      </c>
      <c r="AU189" s="40">
        <f>Commercial!AU193*Commercial!$B$5</f>
        <v>19.264972714308275</v>
      </c>
      <c r="AV189" s="40">
        <f>Commercial!AV193*Commercial!$B$5</f>
        <v>20.228221350023695</v>
      </c>
      <c r="AW189" s="40">
        <f>Commercial!AW193*Commercial!$B$5</f>
        <v>21.239632417524888</v>
      </c>
      <c r="AX189" s="40">
        <f>Commercial!AX193*Commercial!$B$5</f>
        <v>22.301614038401137</v>
      </c>
    </row>
    <row r="191" spans="1:50" x14ac:dyDescent="0.2">
      <c r="A191" s="5" t="s">
        <v>66</v>
      </c>
    </row>
    <row r="192" spans="1:50" x14ac:dyDescent="0.2">
      <c r="A192" s="5" t="s">
        <v>4</v>
      </c>
    </row>
    <row r="193" spans="1:50" x14ac:dyDescent="0.2">
      <c r="A193" s="5" t="s">
        <v>73</v>
      </c>
    </row>
    <row r="194" spans="1:50" x14ac:dyDescent="0.2">
      <c r="A194" s="5" t="s">
        <v>6</v>
      </c>
    </row>
    <row r="195" spans="1:50" x14ac:dyDescent="0.2">
      <c r="A195" s="5"/>
    </row>
    <row r="196" spans="1:50" x14ac:dyDescent="0.2">
      <c r="A196" s="6" t="s">
        <v>7</v>
      </c>
      <c r="B196" s="6">
        <v>2022</v>
      </c>
      <c r="C196" s="6">
        <v>2023</v>
      </c>
      <c r="D196" s="6">
        <v>2024</v>
      </c>
      <c r="E196" s="6">
        <v>2025</v>
      </c>
      <c r="F196" s="6">
        <v>2026</v>
      </c>
      <c r="G196" s="6">
        <v>2027</v>
      </c>
      <c r="H196" s="6">
        <v>2028</v>
      </c>
      <c r="I196" s="6">
        <v>2029</v>
      </c>
      <c r="J196" s="6">
        <v>2030</v>
      </c>
      <c r="K196" s="6">
        <v>2031</v>
      </c>
      <c r="L196" s="6">
        <v>2032</v>
      </c>
      <c r="M196" s="6">
        <v>2033</v>
      </c>
      <c r="N196" s="6">
        <v>2034</v>
      </c>
      <c r="O196" s="6">
        <v>2035</v>
      </c>
      <c r="P196" s="6">
        <v>2036</v>
      </c>
      <c r="Q196" s="6">
        <v>2037</v>
      </c>
      <c r="R196" s="6">
        <v>2038</v>
      </c>
      <c r="S196" s="6">
        <v>2039</v>
      </c>
      <c r="T196" s="6">
        <v>2040</v>
      </c>
      <c r="U196" s="6">
        <v>2041</v>
      </c>
      <c r="V196" s="6">
        <v>2042</v>
      </c>
      <c r="W196" s="6">
        <v>2043</v>
      </c>
      <c r="X196" s="6">
        <v>2044</v>
      </c>
      <c r="Y196" s="6">
        <v>2045</v>
      </c>
      <c r="Z196" s="6">
        <v>2046</v>
      </c>
      <c r="AA196" s="6">
        <v>2047</v>
      </c>
      <c r="AB196" s="6">
        <v>2048</v>
      </c>
      <c r="AC196" s="6">
        <v>2049</v>
      </c>
      <c r="AD196" s="6">
        <v>2050</v>
      </c>
      <c r="AE196" s="6">
        <v>2051</v>
      </c>
      <c r="AF196" s="6">
        <v>2052</v>
      </c>
      <c r="AG196" s="6">
        <v>2053</v>
      </c>
      <c r="AH196" s="6">
        <v>2054</v>
      </c>
      <c r="AI196" s="6">
        <v>2055</v>
      </c>
      <c r="AJ196" s="6">
        <v>2056</v>
      </c>
      <c r="AK196" s="6">
        <v>2057</v>
      </c>
      <c r="AL196" s="6">
        <v>2058</v>
      </c>
      <c r="AM196" s="6">
        <v>2059</v>
      </c>
      <c r="AN196" s="6">
        <v>2060</v>
      </c>
      <c r="AO196" s="39">
        <f>AN196+1</f>
        <v>2061</v>
      </c>
      <c r="AP196" s="39">
        <f t="shared" ref="AP196:AX196" si="13">AO196+1</f>
        <v>2062</v>
      </c>
      <c r="AQ196" s="39">
        <f t="shared" si="13"/>
        <v>2063</v>
      </c>
      <c r="AR196" s="39">
        <f t="shared" si="13"/>
        <v>2064</v>
      </c>
      <c r="AS196" s="39">
        <f t="shared" si="13"/>
        <v>2065</v>
      </c>
      <c r="AT196" s="39">
        <f t="shared" si="13"/>
        <v>2066</v>
      </c>
      <c r="AU196" s="39">
        <f t="shared" si="13"/>
        <v>2067</v>
      </c>
      <c r="AV196" s="39">
        <f t="shared" si="13"/>
        <v>2068</v>
      </c>
      <c r="AW196" s="39">
        <f>AV196+1</f>
        <v>2069</v>
      </c>
      <c r="AX196" s="39">
        <f t="shared" si="13"/>
        <v>2070</v>
      </c>
    </row>
    <row r="197" spans="1:50" x14ac:dyDescent="0.2">
      <c r="A197" s="6" t="s">
        <v>8</v>
      </c>
      <c r="B197" s="11">
        <f>Commercial!B201*Commercial!$B$5</f>
        <v>508.81988603167849</v>
      </c>
      <c r="C197" s="11">
        <f>Commercial!C201*Commercial!$B$5</f>
        <v>534.26088033326232</v>
      </c>
      <c r="D197" s="11">
        <f>Commercial!D201*Commercial!$B$5</f>
        <v>560.97392434992548</v>
      </c>
      <c r="E197" s="11">
        <f>Commercial!E201*Commercial!$B$5</f>
        <v>589.02262056742188</v>
      </c>
      <c r="F197" s="11">
        <f>Commercial!F201*Commercial!$B$5</f>
        <v>618.47375159579292</v>
      </c>
      <c r="G197" s="11">
        <f>Commercial!G201*Commercial!$B$5</f>
        <v>649.39743917558258</v>
      </c>
      <c r="H197" s="11">
        <f>Commercial!H201*Commercial!$B$5</f>
        <v>681.86731113436178</v>
      </c>
      <c r="I197" s="11">
        <f>Commercial!I201*Commercial!$B$5</f>
        <v>715.96067669108004</v>
      </c>
      <c r="J197" s="11">
        <f>Commercial!J201*Commercial!$B$5</f>
        <v>751.75871052563377</v>
      </c>
      <c r="K197" s="11">
        <f>Commercial!K201*Commercial!$B$5</f>
        <v>789.34664605191563</v>
      </c>
      <c r="L197" s="11">
        <f>Commercial!L201*Commercial!$B$5</f>
        <v>828.81397835451151</v>
      </c>
      <c r="M197" s="11">
        <f>Commercial!M201*Commercial!$B$5</f>
        <v>870.2546772722369</v>
      </c>
      <c r="N197" s="11">
        <f>Commercial!N201*Commercial!$B$5</f>
        <v>913.76741113584899</v>
      </c>
      <c r="O197" s="11">
        <f>Commercial!O201*Commercial!$B$5</f>
        <v>959.45578169264149</v>
      </c>
      <c r="P197" s="11">
        <f>Commercial!P201*Commercial!$B$5</f>
        <v>1007.4285707772736</v>
      </c>
      <c r="Q197" s="11">
        <f>Commercial!Q201*Commercial!$B$5</f>
        <v>1057.7999993161372</v>
      </c>
      <c r="R197" s="11">
        <f>Commercial!R201*Commercial!$B$5</f>
        <v>1110.6899992819442</v>
      </c>
      <c r="S197" s="11">
        <f>Commercial!S201*Commercial!$B$5</f>
        <v>1166.2244992460414</v>
      </c>
      <c r="T197" s="11">
        <f>Commercial!T201*Commercial!$B$5</f>
        <v>1224.5357242083437</v>
      </c>
      <c r="U197" s="11">
        <f>Commercial!U201*Commercial!$B$5</f>
        <v>1285.7625104187605</v>
      </c>
      <c r="V197" s="11">
        <f>Commercial!V201*Commercial!$B$5</f>
        <v>1350.0506359396986</v>
      </c>
      <c r="W197" s="11">
        <f>Commercial!W201*Commercial!$B$5</f>
        <v>1417.5531677366837</v>
      </c>
      <c r="X197" s="11">
        <f>Commercial!X201*Commercial!$B$5</f>
        <v>1488.430826123518</v>
      </c>
      <c r="Y197" s="11">
        <f>Commercial!Y201*Commercial!$B$5</f>
        <v>1562.8523674296939</v>
      </c>
      <c r="Z197" s="11">
        <f>Commercial!Z201*Commercial!$B$5</f>
        <v>1640.9949858011787</v>
      </c>
      <c r="AA197" s="11">
        <f>Commercial!AA201*Commercial!$B$5</f>
        <v>1723.0447350912375</v>
      </c>
      <c r="AB197" s="11">
        <f>Commercial!AB201*Commercial!$B$5</f>
        <v>1809.1969718457997</v>
      </c>
      <c r="AC197" s="11">
        <f>Commercial!AC201*Commercial!$B$5</f>
        <v>1899.6568204380894</v>
      </c>
      <c r="AD197" s="11">
        <f>Commercial!AD201*Commercial!$B$5</f>
        <v>1994.6396614599937</v>
      </c>
      <c r="AE197" s="11">
        <f>Commercial!AE201*Commercial!$B$5</f>
        <v>2094.3716445329937</v>
      </c>
      <c r="AF197" s="11">
        <f>Commercial!AF201*Commercial!$B$5</f>
        <v>2199.0902267596434</v>
      </c>
      <c r="AG197" s="11">
        <f>Commercial!AG201*Commercial!$B$5</f>
        <v>2309.0447380976257</v>
      </c>
      <c r="AH197" s="11">
        <f>Commercial!AH201*Commercial!$B$5</f>
        <v>2424.4969750025075</v>
      </c>
      <c r="AI197" s="11">
        <f>Commercial!AI201*Commercial!$B$5</f>
        <v>2545.7218237526322</v>
      </c>
      <c r="AJ197" s="11">
        <f>Commercial!AJ201*Commercial!$B$5</f>
        <v>2673.0079149402645</v>
      </c>
      <c r="AK197" s="11">
        <f>Commercial!AK201*Commercial!$B$5</f>
        <v>2806.6583106872781</v>
      </c>
      <c r="AL197" s="11">
        <f>Commercial!AL201*Commercial!$B$5</f>
        <v>2946.9912262216421</v>
      </c>
      <c r="AM197" s="11">
        <f>Commercial!AM201*Commercial!$B$5</f>
        <v>3094.3407875327243</v>
      </c>
      <c r="AN197" s="11">
        <f>Commercial!AN201*Commercial!$B$5</f>
        <v>3249.0578269093608</v>
      </c>
      <c r="AO197" s="40">
        <f>Commercial!AO201*Commercial!$B$5</f>
        <v>3411.5107182548286</v>
      </c>
      <c r="AP197" s="40">
        <f>Commercial!AP201*Commercial!$B$5</f>
        <v>3582.0862541675706</v>
      </c>
      <c r="AQ197" s="40">
        <f>Commercial!AQ201*Commercial!$B$5</f>
        <v>3761.1905668759491</v>
      </c>
      <c r="AR197" s="40">
        <f>Commercial!AR201*Commercial!$B$5</f>
        <v>3949.250095219747</v>
      </c>
      <c r="AS197" s="40">
        <f>Commercial!AS201*Commercial!$B$5</f>
        <v>4146.712599980734</v>
      </c>
      <c r="AT197" s="40">
        <f>Commercial!AT201*Commercial!$B$5</f>
        <v>4354.0482299797713</v>
      </c>
      <c r="AU197" s="40">
        <f>Commercial!AU201*Commercial!$B$5</f>
        <v>4571.7506414787595</v>
      </c>
      <c r="AV197" s="40">
        <f>Commercial!AV201*Commercial!$B$5</f>
        <v>4800.3381735526973</v>
      </c>
      <c r="AW197" s="40">
        <f>Commercial!AW201*Commercial!$B$5</f>
        <v>5040.3550822303323</v>
      </c>
      <c r="AX197" s="40">
        <f>Commercial!AX201*Commercial!$B$5</f>
        <v>5292.3728363418495</v>
      </c>
    </row>
    <row r="198" spans="1:50" x14ac:dyDescent="0.2">
      <c r="A198" s="6" t="s">
        <v>9</v>
      </c>
      <c r="B198" s="11">
        <f>Commercial!B202*Commercial!$B$5</f>
        <v>5220.7014732835387</v>
      </c>
      <c r="C198" s="11">
        <f>Commercial!C202*Commercial!$B$5</f>
        <v>5481.7365469477154</v>
      </c>
      <c r="D198" s="11">
        <f>Commercial!D202*Commercial!$B$5</f>
        <v>5755.8233742951006</v>
      </c>
      <c r="E198" s="11">
        <f>Commercial!E202*Commercial!$B$5</f>
        <v>6043.6145430098568</v>
      </c>
      <c r="F198" s="11">
        <f>Commercial!F202*Commercial!$B$5</f>
        <v>6345.7952701603499</v>
      </c>
      <c r="G198" s="11">
        <f>Commercial!G202*Commercial!$B$5</f>
        <v>6663.085033668367</v>
      </c>
      <c r="H198" s="11">
        <f>Commercial!H202*Commercial!$B$5</f>
        <v>6996.2392853517867</v>
      </c>
      <c r="I198" s="11">
        <f>Commercial!I202*Commercial!$B$5</f>
        <v>7346.051249619376</v>
      </c>
      <c r="J198" s="11">
        <f>Commercial!J202*Commercial!$B$5</f>
        <v>7713.3538121003439</v>
      </c>
      <c r="K198" s="11">
        <f>Commercial!K202*Commercial!$B$5</f>
        <v>8099.0215027053619</v>
      </c>
      <c r="L198" s="11">
        <f>Commercial!L202*Commercial!$B$5</f>
        <v>8503.9725778406319</v>
      </c>
      <c r="M198" s="11">
        <f>Commercial!M202*Commercial!$B$5</f>
        <v>8929.1712067326607</v>
      </c>
      <c r="N198" s="11">
        <f>Commercial!N202*Commercial!$B$5</f>
        <v>9375.6297670692948</v>
      </c>
      <c r="O198" s="11">
        <f>Commercial!O202*Commercial!$B$5</f>
        <v>9844.4112554227613</v>
      </c>
      <c r="P198" s="11">
        <f>Commercial!P202*Commercial!$B$5</f>
        <v>10336.6318181939</v>
      </c>
      <c r="Q198" s="11">
        <f>Commercial!Q202*Commercial!$B$5</f>
        <v>10853.463409103597</v>
      </c>
      <c r="R198" s="11">
        <f>Commercial!R202*Commercial!$B$5</f>
        <v>11396.136579558775</v>
      </c>
      <c r="S198" s="11">
        <f>Commercial!S202*Commercial!$B$5</f>
        <v>11965.943408536714</v>
      </c>
      <c r="T198" s="11">
        <f>Commercial!T202*Commercial!$B$5</f>
        <v>12564.24057896355</v>
      </c>
      <c r="U198" s="11">
        <f>Commercial!U202*Commercial!$B$5</f>
        <v>13192.452607911728</v>
      </c>
      <c r="V198" s="11">
        <f>Commercial!V202*Commercial!$B$5</f>
        <v>13852.075238307314</v>
      </c>
      <c r="W198" s="11">
        <f>Commercial!W202*Commercial!$B$5</f>
        <v>14544.679000222681</v>
      </c>
      <c r="X198" s="11">
        <f>Commercial!X202*Commercial!$B$5</f>
        <v>15271.912950233818</v>
      </c>
      <c r="Y198" s="11">
        <f>Commercial!Y202*Commercial!$B$5</f>
        <v>16035.508597745509</v>
      </c>
      <c r="Z198" s="11">
        <f>Commercial!Z202*Commercial!$B$5</f>
        <v>16837.284027632784</v>
      </c>
      <c r="AA198" s="11">
        <f>Commercial!AA202*Commercial!$B$5</f>
        <v>17679.148229014419</v>
      </c>
      <c r="AB198" s="11">
        <f>Commercial!AB202*Commercial!$B$5</f>
        <v>18563.105640465146</v>
      </c>
      <c r="AC198" s="11">
        <f>Commercial!AC202*Commercial!$B$5</f>
        <v>19491.260922488404</v>
      </c>
      <c r="AD198" s="11">
        <f>Commercial!AD202*Commercial!$B$5</f>
        <v>20465.823968612822</v>
      </c>
      <c r="AE198" s="11">
        <f>Commercial!AE202*Commercial!$B$5</f>
        <v>21489.115167043466</v>
      </c>
      <c r="AF198" s="11">
        <f>Commercial!AF202*Commercial!$B$5</f>
        <v>22563.570925395637</v>
      </c>
      <c r="AG198" s="11">
        <f>Commercial!AG202*Commercial!$B$5</f>
        <v>23691.749471665422</v>
      </c>
      <c r="AH198" s="11">
        <f>Commercial!AH202*Commercial!$B$5</f>
        <v>24876.336945248699</v>
      </c>
      <c r="AI198" s="11">
        <f>Commercial!AI202*Commercial!$B$5</f>
        <v>26120.15379251113</v>
      </c>
      <c r="AJ198" s="11">
        <f>Commercial!AJ202*Commercial!$B$5</f>
        <v>27426.161482136686</v>
      </c>
      <c r="AK198" s="11">
        <f>Commercial!AK202*Commercial!$B$5</f>
        <v>28797.469556243526</v>
      </c>
      <c r="AL198" s="11">
        <f>Commercial!AL202*Commercial!$B$5</f>
        <v>30237.343034055699</v>
      </c>
      <c r="AM198" s="11">
        <f>Commercial!AM202*Commercial!$B$5</f>
        <v>31749.210185758486</v>
      </c>
      <c r="AN198" s="11">
        <f>Commercial!AN202*Commercial!$B$5</f>
        <v>33336.670695046414</v>
      </c>
      <c r="AO198" s="40">
        <f>Commercial!AO202*Commercial!$B$5</f>
        <v>35003.504229798738</v>
      </c>
      <c r="AP198" s="40">
        <f>Commercial!AP202*Commercial!$B$5</f>
        <v>36753.679441288674</v>
      </c>
      <c r="AQ198" s="40">
        <f>Commercial!AQ202*Commercial!$B$5</f>
        <v>38591.363413353109</v>
      </c>
      <c r="AR198" s="40">
        <f>Commercial!AR202*Commercial!$B$5</f>
        <v>40520.931584020764</v>
      </c>
      <c r="AS198" s="40">
        <f>Commercial!AS202*Commercial!$B$5</f>
        <v>42546.978163221807</v>
      </c>
      <c r="AT198" s="40">
        <f>Commercial!AT202*Commercial!$B$5</f>
        <v>44674.327071382904</v>
      </c>
      <c r="AU198" s="40">
        <f>Commercial!AU202*Commercial!$B$5</f>
        <v>46908.043424952055</v>
      </c>
      <c r="AV198" s="40">
        <f>Commercial!AV202*Commercial!$B$5</f>
        <v>49253.445596199665</v>
      </c>
      <c r="AW198" s="40">
        <f>Commercial!AW202*Commercial!$B$5</f>
        <v>51716.117876009645</v>
      </c>
      <c r="AX198" s="40">
        <f>Commercial!AX202*Commercial!$B$5</f>
        <v>54301.923769810128</v>
      </c>
    </row>
    <row r="199" spans="1:50" x14ac:dyDescent="0.2">
      <c r="A199" s="6" t="s">
        <v>10</v>
      </c>
      <c r="B199" s="11">
        <f>Commercial!B203*Commercial!$B$5</f>
        <v>5.1395948086167627</v>
      </c>
      <c r="C199" s="11">
        <f>Commercial!C203*Commercial!$B$5</f>
        <v>5.3965745490476005</v>
      </c>
      <c r="D199" s="11">
        <f>Commercial!D203*Commercial!$B$5</f>
        <v>5.666403276499981</v>
      </c>
      <c r="E199" s="11">
        <f>Commercial!E203*Commercial!$B$5</f>
        <v>5.9497234403249806</v>
      </c>
      <c r="F199" s="11">
        <f>Commercial!F203*Commercial!$B$5</f>
        <v>6.2472096123412291</v>
      </c>
      <c r="G199" s="11">
        <f>Commercial!G203*Commercial!$B$5</f>
        <v>6.5595700929582907</v>
      </c>
      <c r="H199" s="11">
        <f>Commercial!H203*Commercial!$B$5</f>
        <v>6.8875485976062079</v>
      </c>
      <c r="I199" s="11">
        <f>Commercial!I203*Commercial!$B$5</f>
        <v>7.2319260274865176</v>
      </c>
      <c r="J199" s="11">
        <f>Commercial!J203*Commercial!$B$5</f>
        <v>7.5935223288608427</v>
      </c>
      <c r="K199" s="11">
        <f>Commercial!K203*Commercial!$B$5</f>
        <v>7.9731984453038844</v>
      </c>
      <c r="L199" s="11">
        <f>Commercial!L203*Commercial!$B$5</f>
        <v>8.3718583675690805</v>
      </c>
      <c r="M199" s="11">
        <f>Commercial!M203*Commercial!$B$5</f>
        <v>8.790451285947535</v>
      </c>
      <c r="N199" s="11">
        <f>Commercial!N203*Commercial!$B$5</f>
        <v>9.229973850244912</v>
      </c>
      <c r="O199" s="11">
        <f>Commercial!O203*Commercial!$B$5</f>
        <v>9.6914725427571575</v>
      </c>
      <c r="P199" s="11">
        <f>Commercial!P203*Commercial!$B$5</f>
        <v>10.176046169895018</v>
      </c>
      <c r="Q199" s="11">
        <f>Commercial!Q203*Commercial!$B$5</f>
        <v>10.684848478389769</v>
      </c>
      <c r="R199" s="11">
        <f>Commercial!R203*Commercial!$B$5</f>
        <v>11.219090902309256</v>
      </c>
      <c r="S199" s="11">
        <f>Commercial!S203*Commercial!$B$5</f>
        <v>11.780045447424719</v>
      </c>
      <c r="T199" s="11">
        <f>Commercial!T203*Commercial!$B$5</f>
        <v>12.369047719795955</v>
      </c>
      <c r="U199" s="11">
        <f>Commercial!U203*Commercial!$B$5</f>
        <v>12.987500105785752</v>
      </c>
      <c r="V199" s="11">
        <f>Commercial!V203*Commercial!$B$5</f>
        <v>13.636875111075039</v>
      </c>
      <c r="W199" s="11">
        <f>Commercial!W203*Commercial!$B$5</f>
        <v>14.318718866628792</v>
      </c>
      <c r="X199" s="11">
        <f>Commercial!X203*Commercial!$B$5</f>
        <v>15.034654809960236</v>
      </c>
      <c r="Y199" s="11">
        <f>Commercial!Y203*Commercial!$B$5</f>
        <v>15.786387550458244</v>
      </c>
      <c r="Z199" s="11">
        <f>Commercial!Z203*Commercial!$B$5</f>
        <v>16.575706927981159</v>
      </c>
      <c r="AA199" s="11">
        <f>Commercial!AA203*Commercial!$B$5</f>
        <v>17.404492274380214</v>
      </c>
      <c r="AB199" s="11">
        <f>Commercial!AB203*Commercial!$B$5</f>
        <v>18.274716888099228</v>
      </c>
      <c r="AC199" s="11">
        <f>Commercial!AC203*Commercial!$B$5</f>
        <v>19.188452732504192</v>
      </c>
      <c r="AD199" s="11">
        <f>Commercial!AD203*Commercial!$B$5</f>
        <v>20.147875369129395</v>
      </c>
      <c r="AE199" s="11">
        <f>Commercial!AE203*Commercial!$B$5</f>
        <v>21.155269137585872</v>
      </c>
      <c r="AF199" s="11">
        <f>Commercial!AF203*Commercial!$B$5</f>
        <v>22.213032594465162</v>
      </c>
      <c r="AG199" s="11">
        <f>Commercial!AG203*Commercial!$B$5</f>
        <v>23.323684224188423</v>
      </c>
      <c r="AH199" s="11">
        <f>Commercial!AH203*Commercial!$B$5</f>
        <v>24.489868435397852</v>
      </c>
      <c r="AI199" s="11">
        <f>Commercial!AI203*Commercial!$B$5</f>
        <v>25.714361857167738</v>
      </c>
      <c r="AJ199" s="11">
        <f>Commercial!AJ203*Commercial!$B$5</f>
        <v>27.000079950026127</v>
      </c>
      <c r="AK199" s="11">
        <f>Commercial!AK203*Commercial!$B$5</f>
        <v>28.350083947527438</v>
      </c>
      <c r="AL199" s="11">
        <f>Commercial!AL203*Commercial!$B$5</f>
        <v>29.767588144903808</v>
      </c>
      <c r="AM199" s="11">
        <f>Commercial!AM203*Commercial!$B$5</f>
        <v>31.255967552148995</v>
      </c>
      <c r="AN199" s="11">
        <f>Commercial!AN203*Commercial!$B$5</f>
        <v>32.818765929756452</v>
      </c>
      <c r="AO199" s="40">
        <f>Commercial!AO203*Commercial!$B$5</f>
        <v>34.459704226244277</v>
      </c>
      <c r="AP199" s="40">
        <f>Commercial!AP203*Commercial!$B$5</f>
        <v>36.18268943755649</v>
      </c>
      <c r="AQ199" s="40">
        <f>Commercial!AQ203*Commercial!$B$5</f>
        <v>37.991823909434316</v>
      </c>
      <c r="AR199" s="40">
        <f>Commercial!AR203*Commercial!$B$5</f>
        <v>39.891415104906038</v>
      </c>
      <c r="AS199" s="40">
        <f>Commercial!AS203*Commercial!$B$5</f>
        <v>41.885985860151337</v>
      </c>
      <c r="AT199" s="40">
        <f>Commercial!AT203*Commercial!$B$5</f>
        <v>43.98028515315891</v>
      </c>
      <c r="AU199" s="40">
        <f>Commercial!AU203*Commercial!$B$5</f>
        <v>46.17929941081686</v>
      </c>
      <c r="AV199" s="40">
        <f>Commercial!AV203*Commercial!$B$5</f>
        <v>48.488264381357709</v>
      </c>
      <c r="AW199" s="40">
        <f>Commercial!AW203*Commercial!$B$5</f>
        <v>50.912677600425596</v>
      </c>
      <c r="AX199" s="40">
        <f>Commercial!AX203*Commercial!$B$5</f>
        <v>53.458311480446881</v>
      </c>
    </row>
    <row r="201" spans="1:50" x14ac:dyDescent="0.2">
      <c r="A201" s="5" t="s">
        <v>66</v>
      </c>
    </row>
    <row r="202" spans="1:50" x14ac:dyDescent="0.2">
      <c r="A202" s="5" t="s">
        <v>4</v>
      </c>
    </row>
    <row r="203" spans="1:50" x14ac:dyDescent="0.2">
      <c r="A203" s="5" t="s">
        <v>75</v>
      </c>
    </row>
    <row r="204" spans="1:50" x14ac:dyDescent="0.2">
      <c r="A204" s="5" t="s">
        <v>6</v>
      </c>
    </row>
    <row r="205" spans="1:50" x14ac:dyDescent="0.2">
      <c r="A205" s="5"/>
    </row>
    <row r="206" spans="1:50" x14ac:dyDescent="0.2">
      <c r="A206" s="6" t="s">
        <v>7</v>
      </c>
      <c r="B206" s="6">
        <v>2022</v>
      </c>
      <c r="C206" s="6">
        <v>2023</v>
      </c>
      <c r="D206" s="6">
        <v>2024</v>
      </c>
      <c r="E206" s="6">
        <v>2025</v>
      </c>
      <c r="F206" s="6">
        <v>2026</v>
      </c>
      <c r="G206" s="6">
        <v>2027</v>
      </c>
      <c r="H206" s="6">
        <v>2028</v>
      </c>
      <c r="I206" s="6">
        <v>2029</v>
      </c>
      <c r="J206" s="6">
        <v>2030</v>
      </c>
      <c r="K206" s="6">
        <v>2031</v>
      </c>
      <c r="L206" s="6">
        <v>2032</v>
      </c>
      <c r="M206" s="6">
        <v>2033</v>
      </c>
      <c r="N206" s="6">
        <v>2034</v>
      </c>
      <c r="O206" s="6">
        <v>2035</v>
      </c>
      <c r="P206" s="6">
        <v>2036</v>
      </c>
      <c r="Q206" s="6">
        <v>2037</v>
      </c>
      <c r="R206" s="6">
        <v>2038</v>
      </c>
      <c r="S206" s="6">
        <v>2039</v>
      </c>
      <c r="T206" s="6">
        <v>2040</v>
      </c>
      <c r="U206" s="6">
        <v>2041</v>
      </c>
      <c r="V206" s="6">
        <v>2042</v>
      </c>
      <c r="W206" s="6">
        <v>2043</v>
      </c>
      <c r="X206" s="6">
        <v>2044</v>
      </c>
      <c r="Y206" s="6">
        <v>2045</v>
      </c>
      <c r="Z206" s="6">
        <v>2046</v>
      </c>
      <c r="AA206" s="6">
        <v>2047</v>
      </c>
      <c r="AB206" s="6">
        <v>2048</v>
      </c>
      <c r="AC206" s="6">
        <v>2049</v>
      </c>
      <c r="AD206" s="6">
        <v>2050</v>
      </c>
      <c r="AE206" s="6">
        <v>2051</v>
      </c>
      <c r="AF206" s="6">
        <v>2052</v>
      </c>
      <c r="AG206" s="6">
        <v>2053</v>
      </c>
      <c r="AH206" s="6">
        <v>2054</v>
      </c>
      <c r="AI206" s="6">
        <v>2055</v>
      </c>
      <c r="AJ206" s="6">
        <v>2056</v>
      </c>
      <c r="AK206" s="6">
        <v>2057</v>
      </c>
      <c r="AL206" s="6">
        <v>2058</v>
      </c>
      <c r="AM206" s="6">
        <v>2059</v>
      </c>
      <c r="AN206" s="6">
        <v>2060</v>
      </c>
      <c r="AO206" s="39">
        <f>AN206+1</f>
        <v>2061</v>
      </c>
      <c r="AP206" s="39">
        <f t="shared" ref="AP206:AX206" si="14">AO206+1</f>
        <v>2062</v>
      </c>
      <c r="AQ206" s="39">
        <f t="shared" si="14"/>
        <v>2063</v>
      </c>
      <c r="AR206" s="39">
        <f t="shared" si="14"/>
        <v>2064</v>
      </c>
      <c r="AS206" s="39">
        <f t="shared" si="14"/>
        <v>2065</v>
      </c>
      <c r="AT206" s="39">
        <f t="shared" si="14"/>
        <v>2066</v>
      </c>
      <c r="AU206" s="39">
        <f t="shared" si="14"/>
        <v>2067</v>
      </c>
      <c r="AV206" s="39">
        <f t="shared" si="14"/>
        <v>2068</v>
      </c>
      <c r="AW206" s="39">
        <f>AV206+1</f>
        <v>2069</v>
      </c>
      <c r="AX206" s="39">
        <f t="shared" si="14"/>
        <v>2070</v>
      </c>
    </row>
    <row r="207" spans="1:50" x14ac:dyDescent="0.2">
      <c r="A207" s="6" t="s">
        <v>43</v>
      </c>
      <c r="B207" s="11">
        <f>Commercial!B211*Commercial!$B$5</f>
        <v>571869.94739845779</v>
      </c>
      <c r="C207" s="11">
        <f>Commercial!C211*Commercial!$B$5</f>
        <v>573825.42379554524</v>
      </c>
      <c r="D207" s="11">
        <f>Commercial!D211*Commercial!$B$5</f>
        <v>575780.90019263292</v>
      </c>
      <c r="E207" s="11">
        <f>Commercial!E211*Commercial!$B$5</f>
        <v>577736.37658972037</v>
      </c>
      <c r="F207" s="11">
        <f>Commercial!F211*Commercial!$B$5</f>
        <v>582967.24864833697</v>
      </c>
      <c r="G207" s="11">
        <f>Commercial!G211*Commercial!$B$5</f>
        <v>588198.12070695357</v>
      </c>
      <c r="H207" s="11">
        <f>Commercial!H211*Commercial!$B$5</f>
        <v>593428.99276557018</v>
      </c>
      <c r="I207" s="11">
        <f>Commercial!I211*Commercial!$B$5</f>
        <v>598659.86482418666</v>
      </c>
      <c r="J207" s="11">
        <f>Commercial!J211*Commercial!$B$5</f>
        <v>603890.73688280338</v>
      </c>
      <c r="K207" s="11">
        <f>Commercial!K211*Commercial!$B$5</f>
        <v>608284.26512532472</v>
      </c>
      <c r="L207" s="11">
        <f>Commercial!L211*Commercial!$B$5</f>
        <v>612677.79336784629</v>
      </c>
      <c r="M207" s="11">
        <f>Commercial!M211*Commercial!$B$5</f>
        <v>617071.32161036774</v>
      </c>
      <c r="N207" s="11">
        <f>Commercial!N211*Commercial!$B$5</f>
        <v>621464.84985288919</v>
      </c>
      <c r="O207" s="11">
        <f>Commercial!O211*Commercial!$B$5</f>
        <v>625858.37809541065</v>
      </c>
      <c r="P207" s="11">
        <f>Commercial!P211*Commercial!$B$5</f>
        <v>629404.88253418601</v>
      </c>
      <c r="Q207" s="11">
        <f>Commercial!Q211*Commercial!$B$5</f>
        <v>632951.38697296148</v>
      </c>
      <c r="R207" s="11">
        <f>Commercial!R211*Commercial!$B$5</f>
        <v>636497.89141173672</v>
      </c>
      <c r="S207" s="11">
        <f>Commercial!S211*Commercial!$B$5</f>
        <v>640044.39585051208</v>
      </c>
      <c r="T207" s="11">
        <f>Commercial!T211*Commercial!$B$5</f>
        <v>643590.90028928744</v>
      </c>
      <c r="U207" s="11">
        <f>Commercial!U211*Commercial!$B$5</f>
        <v>646308.97363410227</v>
      </c>
      <c r="V207" s="11">
        <f>Commercial!V211*Commercial!$B$5</f>
        <v>649027.04697891697</v>
      </c>
      <c r="W207" s="11">
        <f>Commercial!W211*Commercial!$B$5</f>
        <v>651745.1203237318</v>
      </c>
      <c r="X207" s="11">
        <f>Commercial!X211*Commercial!$B$5</f>
        <v>654463.19366854662</v>
      </c>
      <c r="Y207" s="11">
        <f>Commercial!Y211*Commercial!$B$5</f>
        <v>657181.26701336133</v>
      </c>
      <c r="Z207" s="11">
        <f>Commercial!Z211*Commercial!$B$5</f>
        <v>659104.49060954957</v>
      </c>
      <c r="AA207" s="11">
        <f>Commercial!AA211*Commercial!$B$5</f>
        <v>661027.71420573792</v>
      </c>
      <c r="AB207" s="11">
        <f>Commercial!AB211*Commercial!$B$5</f>
        <v>662950.93780192616</v>
      </c>
      <c r="AC207" s="11">
        <f>Commercial!AC211*Commercial!$B$5</f>
        <v>664874.16139811429</v>
      </c>
      <c r="AD207" s="11">
        <f>Commercial!AD211*Commercial!$B$5</f>
        <v>666797.38499430264</v>
      </c>
      <c r="AE207" s="11">
        <f>Commercial!AE211*Commercial!$B$5</f>
        <v>666797.38499430264</v>
      </c>
      <c r="AF207" s="11">
        <f>Commercial!AF211*Commercial!$B$5</f>
        <v>666797.38499430264</v>
      </c>
      <c r="AG207" s="11">
        <f>Commercial!AG211*Commercial!$B$5</f>
        <v>666797.38499430264</v>
      </c>
      <c r="AH207" s="11">
        <f>Commercial!AH211*Commercial!$B$5</f>
        <v>666797.38499430264</v>
      </c>
      <c r="AI207" s="11">
        <f>Commercial!AI211*Commercial!$B$5</f>
        <v>666797.38499430264</v>
      </c>
      <c r="AJ207" s="11">
        <f>Commercial!AJ211*Commercial!$B$5</f>
        <v>666797.38499430264</v>
      </c>
      <c r="AK207" s="11">
        <f>Commercial!AK211*Commercial!$B$5</f>
        <v>666797.38499430264</v>
      </c>
      <c r="AL207" s="11">
        <f>Commercial!AL211*Commercial!$B$5</f>
        <v>666797.38499430264</v>
      </c>
      <c r="AM207" s="11">
        <f>Commercial!AM211*Commercial!$B$5</f>
        <v>666797.38499430264</v>
      </c>
      <c r="AN207" s="11">
        <f>Commercial!AN211*Commercial!$B$5</f>
        <v>666797.38499430264</v>
      </c>
      <c r="AO207" s="40">
        <f>Commercial!AO211*Commercial!$B$5</f>
        <v>666797.38499430264</v>
      </c>
      <c r="AP207" s="40">
        <f>Commercial!AP211*Commercial!$B$5</f>
        <v>666797.38499430264</v>
      </c>
      <c r="AQ207" s="40">
        <f>Commercial!AQ211*Commercial!$B$5</f>
        <v>666797.38499430264</v>
      </c>
      <c r="AR207" s="40">
        <f>Commercial!AR211*Commercial!$B$5</f>
        <v>666797.38499430264</v>
      </c>
      <c r="AS207" s="40">
        <f>Commercial!AS211*Commercial!$B$5</f>
        <v>666797.38499430264</v>
      </c>
      <c r="AT207" s="40">
        <f>Commercial!AT211*Commercial!$B$5</f>
        <v>666797.38499430264</v>
      </c>
      <c r="AU207" s="40">
        <f>Commercial!AU211*Commercial!$B$5</f>
        <v>666797.38499430264</v>
      </c>
      <c r="AV207" s="40">
        <f>Commercial!AV211*Commercial!$B$5</f>
        <v>666797.38499430264</v>
      </c>
      <c r="AW207" s="40">
        <f>Commercial!AW211*Commercial!$B$5</f>
        <v>666797.38499430264</v>
      </c>
      <c r="AX207" s="40">
        <f>Commercial!AX211*Commercial!$B$5</f>
        <v>666797.38499430264</v>
      </c>
    </row>
    <row r="208" spans="1:50" x14ac:dyDescent="0.2">
      <c r="A208" s="6" t="s">
        <v>8</v>
      </c>
      <c r="B208" s="11">
        <f>Commercial!B212*Commercial!$B$5</f>
        <v>437361.51945510792</v>
      </c>
      <c r="C208" s="11">
        <f>Commercial!C212*Commercial!$B$5</f>
        <v>438857.05201837595</v>
      </c>
      <c r="D208" s="11">
        <f>Commercial!D212*Commercial!$B$5</f>
        <v>440352.5845816441</v>
      </c>
      <c r="E208" s="11">
        <f>Commercial!E212*Commercial!$B$5</f>
        <v>441848.11714491225</v>
      </c>
      <c r="F208" s="11">
        <f>Commercial!F212*Commercial!$B$5</f>
        <v>445848.6458700872</v>
      </c>
      <c r="G208" s="11">
        <f>Commercial!G212*Commercial!$B$5</f>
        <v>449849.1745952621</v>
      </c>
      <c r="H208" s="11">
        <f>Commercial!H212*Commercial!$B$5</f>
        <v>453849.70332043711</v>
      </c>
      <c r="I208" s="11">
        <f>Commercial!I212*Commercial!$B$5</f>
        <v>457850.23204561195</v>
      </c>
      <c r="J208" s="11">
        <f>Commercial!J212*Commercial!$B$5</f>
        <v>461850.7607707869</v>
      </c>
      <c r="K208" s="11">
        <f>Commercial!K212*Commercial!$B$5</f>
        <v>465210.89570471668</v>
      </c>
      <c r="L208" s="11">
        <f>Commercial!L212*Commercial!$B$5</f>
        <v>468571.03063864651</v>
      </c>
      <c r="M208" s="11">
        <f>Commercial!M212*Commercial!$B$5</f>
        <v>471931.16557257611</v>
      </c>
      <c r="N208" s="11">
        <f>Commercial!N212*Commercial!$B$5</f>
        <v>475291.30050650588</v>
      </c>
      <c r="O208" s="11">
        <f>Commercial!O212*Commercial!$B$5</f>
        <v>478651.43544043566</v>
      </c>
      <c r="P208" s="11">
        <f>Commercial!P212*Commercial!$B$5</f>
        <v>481363.7734067046</v>
      </c>
      <c r="Q208" s="11">
        <f>Commercial!Q212*Commercial!$B$5</f>
        <v>484076.11137297365</v>
      </c>
      <c r="R208" s="11">
        <f>Commercial!R212*Commercial!$B$5</f>
        <v>486788.44933924254</v>
      </c>
      <c r="S208" s="11">
        <f>Commercial!S212*Commercial!$B$5</f>
        <v>489500.78730551148</v>
      </c>
      <c r="T208" s="11">
        <f>Commercial!T212*Commercial!$B$5</f>
        <v>492213.12527178059</v>
      </c>
      <c r="U208" s="11">
        <f>Commercial!U212*Commercial!$B$5</f>
        <v>494291.88582474651</v>
      </c>
      <c r="V208" s="11">
        <f>Commercial!V212*Commercial!$B$5</f>
        <v>496370.64637771237</v>
      </c>
      <c r="W208" s="11">
        <f>Commercial!W212*Commercial!$B$5</f>
        <v>498449.40693067835</v>
      </c>
      <c r="X208" s="11">
        <f>Commercial!X212*Commercial!$B$5</f>
        <v>500528.16748364421</v>
      </c>
      <c r="Y208" s="11">
        <f>Commercial!Y212*Commercial!$B$5</f>
        <v>502606.92803661019</v>
      </c>
      <c r="Z208" s="11">
        <f>Commercial!Z212*Commercial!$B$5</f>
        <v>504077.79391810525</v>
      </c>
      <c r="AA208" s="11">
        <f>Commercial!AA212*Commercial!$B$5</f>
        <v>505548.65979960043</v>
      </c>
      <c r="AB208" s="11">
        <f>Commercial!AB212*Commercial!$B$5</f>
        <v>507019.52568109566</v>
      </c>
      <c r="AC208" s="11">
        <f>Commercial!AC212*Commercial!$B$5</f>
        <v>508490.39156259072</v>
      </c>
      <c r="AD208" s="11">
        <f>Commercial!AD212*Commercial!$B$5</f>
        <v>509961.2574440859</v>
      </c>
      <c r="AE208" s="11">
        <f>Commercial!AE212*Commercial!$B$5</f>
        <v>509961.2574440859</v>
      </c>
      <c r="AF208" s="11">
        <f>Commercial!AF212*Commercial!$B$5</f>
        <v>509961.2574440859</v>
      </c>
      <c r="AG208" s="11">
        <f>Commercial!AG212*Commercial!$B$5</f>
        <v>509961.2574440859</v>
      </c>
      <c r="AH208" s="11">
        <f>Commercial!AH212*Commercial!$B$5</f>
        <v>509961.2574440859</v>
      </c>
      <c r="AI208" s="11">
        <f>Commercial!AI212*Commercial!$B$5</f>
        <v>509961.2574440859</v>
      </c>
      <c r="AJ208" s="11">
        <f>Commercial!AJ212*Commercial!$B$5</f>
        <v>509961.2574440859</v>
      </c>
      <c r="AK208" s="11">
        <f>Commercial!AK212*Commercial!$B$5</f>
        <v>509961.2574440859</v>
      </c>
      <c r="AL208" s="11">
        <f>Commercial!AL212*Commercial!$B$5</f>
        <v>509961.2574440859</v>
      </c>
      <c r="AM208" s="11">
        <f>Commercial!AM212*Commercial!$B$5</f>
        <v>509961.2574440859</v>
      </c>
      <c r="AN208" s="11">
        <f>Commercial!AN212*Commercial!$B$5</f>
        <v>509961.2574440859</v>
      </c>
      <c r="AO208" s="40">
        <f>Commercial!AO212*Commercial!$B$5</f>
        <v>509961.2574440859</v>
      </c>
      <c r="AP208" s="40">
        <f>Commercial!AP212*Commercial!$B$5</f>
        <v>509961.2574440859</v>
      </c>
      <c r="AQ208" s="40">
        <f>Commercial!AQ212*Commercial!$B$5</f>
        <v>509961.2574440859</v>
      </c>
      <c r="AR208" s="40">
        <f>Commercial!AR212*Commercial!$B$5</f>
        <v>509961.2574440859</v>
      </c>
      <c r="AS208" s="40">
        <f>Commercial!AS212*Commercial!$B$5</f>
        <v>509961.2574440859</v>
      </c>
      <c r="AT208" s="40">
        <f>Commercial!AT212*Commercial!$B$5</f>
        <v>509961.2574440859</v>
      </c>
      <c r="AU208" s="40">
        <f>Commercial!AU212*Commercial!$B$5</f>
        <v>509961.2574440859</v>
      </c>
      <c r="AV208" s="40">
        <f>Commercial!AV212*Commercial!$B$5</f>
        <v>509961.2574440859</v>
      </c>
      <c r="AW208" s="40">
        <f>Commercial!AW212*Commercial!$B$5</f>
        <v>509961.2574440859</v>
      </c>
      <c r="AX208" s="40">
        <f>Commercial!AX212*Commercial!$B$5</f>
        <v>509961.2574440859</v>
      </c>
    </row>
    <row r="209" spans="1:50" x14ac:dyDescent="0.2">
      <c r="A209" s="6" t="s">
        <v>9</v>
      </c>
      <c r="B209" s="11">
        <f>Commercial!B213*Commercial!$B$5</f>
        <v>4483689.3976312419</v>
      </c>
      <c r="C209" s="11">
        <f>Commercial!C213*Commercial!$B$5</f>
        <v>4499021.1156710256</v>
      </c>
      <c r="D209" s="11">
        <f>Commercial!D213*Commercial!$B$5</f>
        <v>4514352.8337108102</v>
      </c>
      <c r="E209" s="11">
        <f>Commercial!E213*Commercial!$B$5</f>
        <v>4529684.5517505957</v>
      </c>
      <c r="F209" s="11">
        <f>Commercial!F213*Commercial!$B$5</f>
        <v>4570696.6834359188</v>
      </c>
      <c r="G209" s="11">
        <f>Commercial!G213*Commercial!$B$5</f>
        <v>4611708.8151212428</v>
      </c>
      <c r="H209" s="11">
        <f>Commercial!H213*Commercial!$B$5</f>
        <v>4652720.9468065677</v>
      </c>
      <c r="I209" s="11">
        <f>Commercial!I213*Commercial!$B$5</f>
        <v>4693733.0784918899</v>
      </c>
      <c r="J209" s="11">
        <f>Commercial!J213*Commercial!$B$5</f>
        <v>4734745.210177213</v>
      </c>
      <c r="K209" s="11">
        <f>Commercial!K213*Commercial!$B$5</f>
        <v>4769192.2310231281</v>
      </c>
      <c r="L209" s="11">
        <f>Commercial!L213*Commercial!$B$5</f>
        <v>4803639.2518690443</v>
      </c>
      <c r="M209" s="11">
        <f>Commercial!M213*Commercial!$B$5</f>
        <v>4838086.2727149576</v>
      </c>
      <c r="N209" s="11">
        <f>Commercial!N213*Commercial!$B$5</f>
        <v>4872533.2935608728</v>
      </c>
      <c r="O209" s="11">
        <f>Commercial!O213*Commercial!$B$5</f>
        <v>4906980.314406788</v>
      </c>
      <c r="P209" s="11">
        <f>Commercial!P213*Commercial!$B$5</f>
        <v>4934786.3294336796</v>
      </c>
      <c r="Q209" s="11">
        <f>Commercial!Q213*Commercial!$B$5</f>
        <v>4962592.3444605721</v>
      </c>
      <c r="R209" s="11">
        <f>Commercial!R213*Commercial!$B$5</f>
        <v>4990398.3594874637</v>
      </c>
      <c r="S209" s="11">
        <f>Commercial!S213*Commercial!$B$5</f>
        <v>5018204.3745143544</v>
      </c>
      <c r="T209" s="11">
        <f>Commercial!T213*Commercial!$B$5</f>
        <v>5046010.3895412469</v>
      </c>
      <c r="U209" s="11">
        <f>Commercial!U213*Commercial!$B$5</f>
        <v>5067321.1730394373</v>
      </c>
      <c r="V209" s="11">
        <f>Commercial!V213*Commercial!$B$5</f>
        <v>5088631.9565376267</v>
      </c>
      <c r="W209" s="11">
        <f>Commercial!W213*Commercial!$B$5</f>
        <v>5109942.740035818</v>
      </c>
      <c r="X209" s="11">
        <f>Commercial!X213*Commercial!$B$5</f>
        <v>5131253.5235340083</v>
      </c>
      <c r="Y209" s="11">
        <f>Commercial!Y213*Commercial!$B$5</f>
        <v>5152564.3070321996</v>
      </c>
      <c r="Z209" s="11">
        <f>Commercial!Z213*Commercial!$B$5</f>
        <v>5167643.1501970319</v>
      </c>
      <c r="AA209" s="11">
        <f>Commercial!AA213*Commercial!$B$5</f>
        <v>5182721.993361867</v>
      </c>
      <c r="AB209" s="11">
        <f>Commercial!AB213*Commercial!$B$5</f>
        <v>5197800.8365267031</v>
      </c>
      <c r="AC209" s="11">
        <f>Commercial!AC213*Commercial!$B$5</f>
        <v>5212879.6796915364</v>
      </c>
      <c r="AD209" s="11">
        <f>Commercial!AD213*Commercial!$B$5</f>
        <v>5227958.5228563715</v>
      </c>
      <c r="AE209" s="11">
        <f>Commercial!AE213*Commercial!$B$5</f>
        <v>5227958.5228563715</v>
      </c>
      <c r="AF209" s="11">
        <f>Commercial!AF213*Commercial!$B$5</f>
        <v>5227958.5228563715</v>
      </c>
      <c r="AG209" s="11">
        <f>Commercial!AG213*Commercial!$B$5</f>
        <v>5227958.5228563715</v>
      </c>
      <c r="AH209" s="11">
        <f>Commercial!AH213*Commercial!$B$5</f>
        <v>5227958.5228563715</v>
      </c>
      <c r="AI209" s="11">
        <f>Commercial!AI213*Commercial!$B$5</f>
        <v>5227958.5228563715</v>
      </c>
      <c r="AJ209" s="11">
        <f>Commercial!AJ213*Commercial!$B$5</f>
        <v>5227958.5228563715</v>
      </c>
      <c r="AK209" s="11">
        <f>Commercial!AK213*Commercial!$B$5</f>
        <v>5227958.5228563715</v>
      </c>
      <c r="AL209" s="11">
        <f>Commercial!AL213*Commercial!$B$5</f>
        <v>5227958.5228563715</v>
      </c>
      <c r="AM209" s="11">
        <f>Commercial!AM213*Commercial!$B$5</f>
        <v>5227958.5228563715</v>
      </c>
      <c r="AN209" s="11">
        <f>Commercial!AN213*Commercial!$B$5</f>
        <v>5227958.5228563715</v>
      </c>
      <c r="AO209" s="40">
        <f>Commercial!AO213*Commercial!$B$5</f>
        <v>5227958.5228563715</v>
      </c>
      <c r="AP209" s="40">
        <f>Commercial!AP213*Commercial!$B$5</f>
        <v>5227958.5228563715</v>
      </c>
      <c r="AQ209" s="40">
        <f>Commercial!AQ213*Commercial!$B$5</f>
        <v>5227958.5228563715</v>
      </c>
      <c r="AR209" s="40">
        <f>Commercial!AR213*Commercial!$B$5</f>
        <v>5227958.5228563715</v>
      </c>
      <c r="AS209" s="40">
        <f>Commercial!AS213*Commercial!$B$5</f>
        <v>5227958.5228563715</v>
      </c>
      <c r="AT209" s="40">
        <f>Commercial!AT213*Commercial!$B$5</f>
        <v>5227958.5228563715</v>
      </c>
      <c r="AU209" s="40">
        <f>Commercial!AU213*Commercial!$B$5</f>
        <v>5227958.5228563715</v>
      </c>
      <c r="AV209" s="40">
        <f>Commercial!AV213*Commercial!$B$5</f>
        <v>5227958.5228563715</v>
      </c>
      <c r="AW209" s="40">
        <f>Commercial!AW213*Commercial!$B$5</f>
        <v>5227958.5228563715</v>
      </c>
      <c r="AX209" s="40">
        <f>Commercial!AX213*Commercial!$B$5</f>
        <v>5227958.5228563715</v>
      </c>
    </row>
    <row r="210" spans="1:50" x14ac:dyDescent="0.2">
      <c r="A210" s="6" t="s">
        <v>10</v>
      </c>
      <c r="B210" s="11">
        <f>Commercial!B214*Commercial!$B$5</f>
        <v>3894.2756739220517</v>
      </c>
      <c r="C210" s="11">
        <f>Commercial!C214*Commercial!$B$5</f>
        <v>3907.5919256305906</v>
      </c>
      <c r="D210" s="11">
        <f>Commercial!D214*Commercial!$B$5</f>
        <v>3920.908177339129</v>
      </c>
      <c r="E210" s="11">
        <f>Commercial!E214*Commercial!$B$5</f>
        <v>3934.2244290476683</v>
      </c>
      <c r="F210" s="11">
        <f>Commercial!F214*Commercial!$B$5</f>
        <v>3969.8452164381197</v>
      </c>
      <c r="G210" s="11">
        <f>Commercial!G214*Commercial!$B$5</f>
        <v>4005.4660038285715</v>
      </c>
      <c r="H210" s="11">
        <f>Commercial!H214*Commercial!$B$5</f>
        <v>4041.0867912190238</v>
      </c>
      <c r="I210" s="11">
        <f>Commercial!I214*Commercial!$B$5</f>
        <v>4076.7075786094738</v>
      </c>
      <c r="J210" s="11">
        <f>Commercial!J214*Commercial!$B$5</f>
        <v>4112.3283659999252</v>
      </c>
      <c r="K210" s="11">
        <f>Commercial!K214*Commercial!$B$5</f>
        <v>4142.2470743275362</v>
      </c>
      <c r="L210" s="11">
        <f>Commercial!L214*Commercial!$B$5</f>
        <v>4172.1657826551491</v>
      </c>
      <c r="M210" s="11">
        <f>Commercial!M214*Commercial!$B$5</f>
        <v>4202.0844909827592</v>
      </c>
      <c r="N210" s="11">
        <f>Commercial!N214*Commercial!$B$5</f>
        <v>4232.0031993103703</v>
      </c>
      <c r="O210" s="11">
        <f>Commercial!O214*Commercial!$B$5</f>
        <v>4261.9219076379823</v>
      </c>
      <c r="P210" s="11">
        <f>Commercial!P214*Commercial!$B$5</f>
        <v>4286.0726188726057</v>
      </c>
      <c r="Q210" s="11">
        <f>Commercial!Q214*Commercial!$B$5</f>
        <v>4310.2233301072292</v>
      </c>
      <c r="R210" s="11">
        <f>Commercial!R214*Commercial!$B$5</f>
        <v>4334.3740413418518</v>
      </c>
      <c r="S210" s="11">
        <f>Commercial!S214*Commercial!$B$5</f>
        <v>4358.5247525764762</v>
      </c>
      <c r="T210" s="11">
        <f>Commercial!T214*Commercial!$B$5</f>
        <v>4382.6754638110997</v>
      </c>
      <c r="U210" s="11">
        <f>Commercial!U214*Commercial!$B$5</f>
        <v>4401.1847891477446</v>
      </c>
      <c r="V210" s="11">
        <f>Commercial!V214*Commercial!$B$5</f>
        <v>4419.6941144843886</v>
      </c>
      <c r="W210" s="11">
        <f>Commercial!W214*Commercial!$B$5</f>
        <v>4438.2034398210344</v>
      </c>
      <c r="X210" s="11">
        <f>Commercial!X214*Commercial!$B$5</f>
        <v>4456.7127651576793</v>
      </c>
      <c r="Y210" s="11">
        <f>Commercial!Y214*Commercial!$B$5</f>
        <v>4475.2220904943251</v>
      </c>
      <c r="Z210" s="11">
        <f>Commercial!Z214*Commercial!$B$5</f>
        <v>4488.3187095774219</v>
      </c>
      <c r="AA210" s="11">
        <f>Commercial!AA214*Commercial!$B$5</f>
        <v>4501.4153286605197</v>
      </c>
      <c r="AB210" s="11">
        <f>Commercial!AB214*Commercial!$B$5</f>
        <v>4514.5119477436183</v>
      </c>
      <c r="AC210" s="11">
        <f>Commercial!AC214*Commercial!$B$5</f>
        <v>4527.608566826716</v>
      </c>
      <c r="AD210" s="11">
        <f>Commercial!AD214*Commercial!$B$5</f>
        <v>4540.7051859098137</v>
      </c>
      <c r="AE210" s="11">
        <f>Commercial!AE214*Commercial!$B$5</f>
        <v>4540.7051859098137</v>
      </c>
      <c r="AF210" s="11">
        <f>Commercial!AF214*Commercial!$B$5</f>
        <v>4540.7051859098137</v>
      </c>
      <c r="AG210" s="11">
        <f>Commercial!AG214*Commercial!$B$5</f>
        <v>4540.7051859098137</v>
      </c>
      <c r="AH210" s="11">
        <f>Commercial!AH214*Commercial!$B$5</f>
        <v>4540.7051859098137</v>
      </c>
      <c r="AI210" s="11">
        <f>Commercial!AI214*Commercial!$B$5</f>
        <v>4540.7051859098137</v>
      </c>
      <c r="AJ210" s="11">
        <f>Commercial!AJ214*Commercial!$B$5</f>
        <v>4540.7051859098137</v>
      </c>
      <c r="AK210" s="11">
        <f>Commercial!AK214*Commercial!$B$5</f>
        <v>4540.7051859098137</v>
      </c>
      <c r="AL210" s="11">
        <f>Commercial!AL214*Commercial!$B$5</f>
        <v>4540.7051859098137</v>
      </c>
      <c r="AM210" s="11">
        <f>Commercial!AM214*Commercial!$B$5</f>
        <v>4540.7051859098137</v>
      </c>
      <c r="AN210" s="11">
        <f>Commercial!AN214*Commercial!$B$5</f>
        <v>4540.7051859098137</v>
      </c>
      <c r="AO210" s="40">
        <f>Commercial!AO214*Commercial!$B$5</f>
        <v>4540.7051859098137</v>
      </c>
      <c r="AP210" s="40">
        <f>Commercial!AP214*Commercial!$B$5</f>
        <v>4540.7051859098137</v>
      </c>
      <c r="AQ210" s="40">
        <f>Commercial!AQ214*Commercial!$B$5</f>
        <v>4540.7051859098137</v>
      </c>
      <c r="AR210" s="40">
        <f>Commercial!AR214*Commercial!$B$5</f>
        <v>4540.7051859098137</v>
      </c>
      <c r="AS210" s="40">
        <f>Commercial!AS214*Commercial!$B$5</f>
        <v>4540.7051859098137</v>
      </c>
      <c r="AT210" s="40">
        <f>Commercial!AT214*Commercial!$B$5</f>
        <v>4540.7051859098137</v>
      </c>
      <c r="AU210" s="40">
        <f>Commercial!AU214*Commercial!$B$5</f>
        <v>4540.7051859098137</v>
      </c>
      <c r="AV210" s="40">
        <f>Commercial!AV214*Commercial!$B$5</f>
        <v>4540.7051859098137</v>
      </c>
      <c r="AW210" s="40">
        <f>Commercial!AW214*Commercial!$B$5</f>
        <v>4540.7051859098137</v>
      </c>
      <c r="AX210" s="40">
        <f>Commercial!AX214*Commercial!$B$5</f>
        <v>4540.7051859098137</v>
      </c>
    </row>
    <row r="211" spans="1:50" x14ac:dyDescent="0.2">
      <c r="A211" s="6" t="s">
        <v>44</v>
      </c>
      <c r="B211" s="11">
        <f>Commercial!B215*Commercial!$B$5</f>
        <v>7110667.5769762024</v>
      </c>
      <c r="C211" s="11">
        <f>Commercial!C215*Commercial!$B$5</f>
        <v>7134982.0958236558</v>
      </c>
      <c r="D211" s="11">
        <f>Commercial!D215*Commercial!$B$5</f>
        <v>7159296.6146711102</v>
      </c>
      <c r="E211" s="11">
        <f>Commercial!E215*Commercial!$B$5</f>
        <v>7183611.1335185664</v>
      </c>
      <c r="F211" s="11">
        <f>Commercial!F215*Commercial!$B$5</f>
        <v>7248652.1319408854</v>
      </c>
      <c r="G211" s="11">
        <f>Commercial!G215*Commercial!$B$5</f>
        <v>7313693.1303632064</v>
      </c>
      <c r="H211" s="11">
        <f>Commercial!H215*Commercial!$B$5</f>
        <v>7378734.1287855292</v>
      </c>
      <c r="I211" s="11">
        <f>Commercial!I215*Commercial!$B$5</f>
        <v>7443775.1272078473</v>
      </c>
      <c r="J211" s="11">
        <f>Commercial!J215*Commercial!$B$5</f>
        <v>7508816.1256301682</v>
      </c>
      <c r="K211" s="11">
        <f>Commercial!K215*Commercial!$B$5</f>
        <v>7563445.5373779759</v>
      </c>
      <c r="L211" s="11">
        <f>Commercial!L215*Commercial!$B$5</f>
        <v>7618074.9491257817</v>
      </c>
      <c r="M211" s="11">
        <f>Commercial!M215*Commercial!$B$5</f>
        <v>7672704.3608735865</v>
      </c>
      <c r="N211" s="11">
        <f>Commercial!N215*Commercial!$B$5</f>
        <v>7727333.7726213941</v>
      </c>
      <c r="O211" s="11">
        <f>Commercial!O215*Commercial!$B$5</f>
        <v>7781963.1843691999</v>
      </c>
      <c r="P211" s="11">
        <f>Commercial!P215*Commercial!$B$5</f>
        <v>7826060.6478556497</v>
      </c>
      <c r="Q211" s="11">
        <f>Commercial!Q215*Commercial!$B$5</f>
        <v>7870158.1113421032</v>
      </c>
      <c r="R211" s="11">
        <f>Commercial!R215*Commercial!$B$5</f>
        <v>7914255.574828553</v>
      </c>
      <c r="S211" s="11">
        <f>Commercial!S215*Commercial!$B$5</f>
        <v>7958353.0383150047</v>
      </c>
      <c r="T211" s="11">
        <f>Commercial!T215*Commercial!$B$5</f>
        <v>8002450.5018014554</v>
      </c>
      <c r="U211" s="11">
        <f>Commercial!U215*Commercial!$B$5</f>
        <v>8036247.1999716284</v>
      </c>
      <c r="V211" s="11">
        <f>Commercial!V215*Commercial!$B$5</f>
        <v>8070043.8981417986</v>
      </c>
      <c r="W211" s="11">
        <f>Commercial!W215*Commercial!$B$5</f>
        <v>8103840.5963119706</v>
      </c>
      <c r="X211" s="11">
        <f>Commercial!X215*Commercial!$B$5</f>
        <v>8137637.2944821417</v>
      </c>
      <c r="Y211" s="11">
        <f>Commercial!Y215*Commercial!$B$5</f>
        <v>8171433.9926523138</v>
      </c>
      <c r="Z211" s="11">
        <f>Commercial!Z215*Commercial!$B$5</f>
        <v>8195347.4781063106</v>
      </c>
      <c r="AA211" s="11">
        <f>Commercial!AA215*Commercial!$B$5</f>
        <v>8219260.9635603074</v>
      </c>
      <c r="AB211" s="11">
        <f>Commercial!AB215*Commercial!$B$5</f>
        <v>8243174.4490143079</v>
      </c>
      <c r="AC211" s="11">
        <f>Commercial!AC215*Commercial!$B$5</f>
        <v>8267087.9344683057</v>
      </c>
      <c r="AD211" s="11">
        <f>Commercial!AD215*Commercial!$B$5</f>
        <v>8291001.4199223025</v>
      </c>
      <c r="AE211" s="11">
        <f>Commercial!AE215*Commercial!$B$5</f>
        <v>8291001.4199223025</v>
      </c>
      <c r="AF211" s="11">
        <f>Commercial!AF215*Commercial!$B$5</f>
        <v>8291001.4199223025</v>
      </c>
      <c r="AG211" s="11">
        <f>Commercial!AG215*Commercial!$B$5</f>
        <v>8291001.4199223025</v>
      </c>
      <c r="AH211" s="11">
        <f>Commercial!AH215*Commercial!$B$5</f>
        <v>8291001.4199223025</v>
      </c>
      <c r="AI211" s="11">
        <f>Commercial!AI215*Commercial!$B$5</f>
        <v>8291001.4199223025</v>
      </c>
      <c r="AJ211" s="11">
        <f>Commercial!AJ215*Commercial!$B$5</f>
        <v>8291001.4199223025</v>
      </c>
      <c r="AK211" s="11">
        <f>Commercial!AK215*Commercial!$B$5</f>
        <v>8291001.4199223025</v>
      </c>
      <c r="AL211" s="11">
        <f>Commercial!AL215*Commercial!$B$5</f>
        <v>8291001.4199223025</v>
      </c>
      <c r="AM211" s="11">
        <f>Commercial!AM215*Commercial!$B$5</f>
        <v>8291001.4199223025</v>
      </c>
      <c r="AN211" s="11">
        <f>Commercial!AN215*Commercial!$B$5</f>
        <v>8291001.4199223025</v>
      </c>
      <c r="AO211" s="40">
        <f>Commercial!AO215*Commercial!$B$5</f>
        <v>8291001.4199223025</v>
      </c>
      <c r="AP211" s="40">
        <f>Commercial!AP215*Commercial!$B$5</f>
        <v>8291001.4199223025</v>
      </c>
      <c r="AQ211" s="40">
        <f>Commercial!AQ215*Commercial!$B$5</f>
        <v>8291001.4199223025</v>
      </c>
      <c r="AR211" s="40">
        <f>Commercial!AR215*Commercial!$B$5</f>
        <v>8291001.4199223025</v>
      </c>
      <c r="AS211" s="40">
        <f>Commercial!AS215*Commercial!$B$5</f>
        <v>8291001.4199223025</v>
      </c>
      <c r="AT211" s="40">
        <f>Commercial!AT215*Commercial!$B$5</f>
        <v>8291001.4199223025</v>
      </c>
      <c r="AU211" s="40">
        <f>Commercial!AU215*Commercial!$B$5</f>
        <v>8291001.4199223025</v>
      </c>
      <c r="AV211" s="40">
        <f>Commercial!AV215*Commercial!$B$5</f>
        <v>8291001.4199223025</v>
      </c>
      <c r="AW211" s="40">
        <f>Commercial!AW215*Commercial!$B$5</f>
        <v>8291001.4199223025</v>
      </c>
      <c r="AX211" s="40">
        <f>Commercial!AX215*Commercial!$B$5</f>
        <v>8291001.4199223025</v>
      </c>
    </row>
    <row r="216" spans="1:50" x14ac:dyDescent="0.2">
      <c r="A216" s="6" t="s">
        <v>7</v>
      </c>
      <c r="B216" s="6">
        <v>2022</v>
      </c>
      <c r="C216" s="6">
        <v>2023</v>
      </c>
      <c r="D216" s="6">
        <v>2024</v>
      </c>
      <c r="E216" s="6">
        <v>2025</v>
      </c>
      <c r="F216" s="6">
        <v>2026</v>
      </c>
      <c r="G216" s="6">
        <v>2027</v>
      </c>
      <c r="H216" s="6">
        <v>2028</v>
      </c>
      <c r="I216" s="6">
        <v>2029</v>
      </c>
      <c r="J216" s="6">
        <v>2030</v>
      </c>
      <c r="K216" s="6">
        <v>2031</v>
      </c>
      <c r="L216" s="6">
        <v>2032</v>
      </c>
      <c r="M216" s="6">
        <v>2033</v>
      </c>
      <c r="N216" s="6">
        <v>2034</v>
      </c>
      <c r="O216" s="6">
        <v>2035</v>
      </c>
      <c r="P216" s="6">
        <v>2036</v>
      </c>
      <c r="Q216" s="6">
        <v>2037</v>
      </c>
      <c r="R216" s="6">
        <v>2038</v>
      </c>
      <c r="S216" s="6">
        <v>2039</v>
      </c>
      <c r="T216" s="6">
        <v>2040</v>
      </c>
      <c r="U216" s="6">
        <v>2041</v>
      </c>
      <c r="V216" s="6">
        <v>2042</v>
      </c>
      <c r="W216" s="6">
        <v>2043</v>
      </c>
      <c r="X216" s="6">
        <v>2044</v>
      </c>
      <c r="Y216" s="6">
        <v>2045</v>
      </c>
      <c r="Z216" s="6">
        <v>2046</v>
      </c>
      <c r="AA216" s="6">
        <v>2047</v>
      </c>
      <c r="AB216" s="6">
        <v>2048</v>
      </c>
      <c r="AC216" s="6">
        <v>2049</v>
      </c>
      <c r="AD216" s="6">
        <v>2050</v>
      </c>
      <c r="AE216" s="6">
        <v>2051</v>
      </c>
      <c r="AF216" s="6">
        <v>2052</v>
      </c>
      <c r="AG216" s="6">
        <v>2053</v>
      </c>
      <c r="AH216" s="6">
        <v>2054</v>
      </c>
      <c r="AI216" s="6">
        <v>2055</v>
      </c>
      <c r="AJ216" s="6">
        <v>2056</v>
      </c>
      <c r="AK216" s="6">
        <v>2057</v>
      </c>
      <c r="AL216" s="6">
        <v>2058</v>
      </c>
      <c r="AM216" s="6">
        <v>2059</v>
      </c>
      <c r="AN216" s="6">
        <v>2060</v>
      </c>
      <c r="AO216" s="39">
        <f>AN216+1</f>
        <v>2061</v>
      </c>
      <c r="AP216" s="39">
        <f t="shared" ref="AP216:AX216" si="15">AO216+1</f>
        <v>2062</v>
      </c>
      <c r="AQ216" s="39">
        <f t="shared" si="15"/>
        <v>2063</v>
      </c>
      <c r="AR216" s="39">
        <f t="shared" si="15"/>
        <v>2064</v>
      </c>
      <c r="AS216" s="39">
        <f t="shared" si="15"/>
        <v>2065</v>
      </c>
      <c r="AT216" s="39">
        <f t="shared" si="15"/>
        <v>2066</v>
      </c>
      <c r="AU216" s="39">
        <f t="shared" si="15"/>
        <v>2067</v>
      </c>
      <c r="AV216" s="39">
        <f t="shared" si="15"/>
        <v>2068</v>
      </c>
      <c r="AW216" s="39">
        <f>AV216+1</f>
        <v>2069</v>
      </c>
      <c r="AX216" s="39">
        <f t="shared" si="15"/>
        <v>2070</v>
      </c>
    </row>
    <row r="217" spans="1:50" x14ac:dyDescent="0.2">
      <c r="A217" s="6" t="s">
        <v>177</v>
      </c>
      <c r="B217" s="11">
        <v>21962.709867912006</v>
      </c>
      <c r="C217" s="11">
        <v>23396.097935350503</v>
      </c>
      <c r="D217" s="11">
        <v>24923.035540356632</v>
      </c>
      <c r="E217" s="11">
        <v>26549.628158605756</v>
      </c>
      <c r="F217" s="11">
        <v>28282.379737365864</v>
      </c>
      <c r="G217" s="11">
        <v>30128.218701597409</v>
      </c>
      <c r="H217" s="11">
        <v>32094.525657331593</v>
      </c>
      <c r="I217" s="11">
        <v>34189.16290309927</v>
      </c>
      <c r="J217" s="11">
        <v>36420.505867412299</v>
      </c>
      <c r="K217" s="11">
        <v>38797.47659800027</v>
      </c>
      <c r="L217" s="11">
        <v>41329.579436709988</v>
      </c>
      <c r="M217" s="11">
        <v>44026.93902271377</v>
      </c>
      <c r="N217" s="11">
        <v>46900.340775982928</v>
      </c>
      <c r="O217" s="11">
        <v>49961.274022900354</v>
      </c>
      <c r="P217" s="11">
        <v>53221.977936449766</v>
      </c>
      <c r="Q217" s="11">
        <v>56695.490474674385</v>
      </c>
      <c r="R217" s="11">
        <v>60395.700513086078</v>
      </c>
      <c r="S217" s="11">
        <v>64337.403379476367</v>
      </c>
      <c r="T217" s="11">
        <v>68536.360013186437</v>
      </c>
      <c r="U217" s="11">
        <v>73009.35998538477</v>
      </c>
      <c r="V217" s="11">
        <v>77774.288632339667</v>
      </c>
      <c r="W217" s="11">
        <v>82850.198570119668</v>
      </c>
      <c r="X217" s="11">
        <v>88257.385876674496</v>
      </c>
      <c r="Y217" s="11">
        <v>94017.471245910696</v>
      </c>
      <c r="Z217" s="11">
        <v>100153.48643825838</v>
      </c>
      <c r="AA217" s="11">
        <v>106689.96637340084</v>
      </c>
      <c r="AB217" s="11">
        <v>113653.04723340344</v>
      </c>
      <c r="AC217" s="11">
        <v>121070.57096850492</v>
      </c>
      <c r="AD217" s="11">
        <v>128972.19662344141</v>
      </c>
      <c r="AE217" s="11">
        <v>137389.51892944105</v>
      </c>
      <c r="AF217" s="11">
        <v>146356.19463608053</v>
      </c>
      <c r="AG217" s="11">
        <v>155908.07708814373</v>
      </c>
      <c r="AH217" s="11">
        <v>166083.35958558865</v>
      </c>
      <c r="AI217" s="11">
        <v>176922.72809984902</v>
      </c>
      <c r="AJ217" s="11">
        <v>188469.52395710815</v>
      </c>
      <c r="AK217" s="11">
        <v>200769.91713903644</v>
      </c>
      <c r="AL217" s="11">
        <v>213873.09089393661</v>
      </c>
      <c r="AM217" s="11">
        <v>227831.43839646646</v>
      </c>
      <c r="AN217" s="11">
        <v>242700.77224228537</v>
      </c>
      <c r="AO217" s="40">
        <v>242700.77224228537</v>
      </c>
      <c r="AP217" s="40">
        <v>242700.77224228537</v>
      </c>
      <c r="AQ217" s="40">
        <v>242700.77224228537</v>
      </c>
      <c r="AR217" s="40">
        <v>242700.77224228537</v>
      </c>
      <c r="AS217" s="40">
        <v>242700.77224228537</v>
      </c>
      <c r="AT217" s="40">
        <v>242700.77224228537</v>
      </c>
      <c r="AU217" s="40">
        <v>242700.77224228537</v>
      </c>
      <c r="AV217" s="40">
        <v>242700.77224228537</v>
      </c>
      <c r="AW217" s="40">
        <v>242700.77224228537</v>
      </c>
      <c r="AX217" s="40">
        <v>242700.77224228537</v>
      </c>
    </row>
    <row r="218" spans="1:50" x14ac:dyDescent="0.2">
      <c r="A218" s="6" t="s">
        <v>178</v>
      </c>
      <c r="B218" s="11">
        <v>48138.709563875731</v>
      </c>
      <c r="C218" s="11">
        <v>51280.464487823418</v>
      </c>
      <c r="D218" s="11">
        <v>54627.264875007982</v>
      </c>
      <c r="E218" s="11">
        <v>58192.492941105585</v>
      </c>
      <c r="F218" s="11">
        <v>61990.404287106983</v>
      </c>
      <c r="G218" s="11">
        <v>66036.184900484237</v>
      </c>
      <c r="H218" s="11">
        <v>70346.011876517397</v>
      </c>
      <c r="I218" s="11">
        <v>74937.118102575856</v>
      </c>
      <c r="J218" s="11">
        <v>79827.861163995447</v>
      </c>
      <c r="K218" s="11">
        <v>85037.796747071407</v>
      </c>
      <c r="L218" s="11">
        <v>90587.756832670842</v>
      </c>
      <c r="M218" s="11">
        <v>96499.932993121853</v>
      </c>
      <c r="N218" s="11">
        <v>102797.96512544295</v>
      </c>
      <c r="O218" s="11">
        <v>109507.03597571405</v>
      </c>
      <c r="P218" s="11">
        <v>116653.97183254464</v>
      </c>
      <c r="Q218" s="11">
        <v>124267.34979226418</v>
      </c>
      <c r="R218" s="11">
        <v>132377.61202473487</v>
      </c>
      <c r="S218" s="11">
        <v>141017.18749667989</v>
      </c>
      <c r="T218" s="11">
        <v>150220.62163923981</v>
      </c>
      <c r="U218" s="11">
        <v>160024.71447823296</v>
      </c>
      <c r="V218" s="11">
        <v>170468.66777943639</v>
      </c>
      <c r="W218" s="11">
        <v>181594.24179724822</v>
      </c>
      <c r="X218" s="11">
        <v>193445.92225349354</v>
      </c>
      <c r="Y218" s="11">
        <v>206071.09821403879</v>
      </c>
      <c r="Z218" s="11">
        <v>219520.25157445847</v>
      </c>
      <c r="AA218" s="11">
        <v>233847.15891241172</v>
      </c>
      <c r="AB218" s="11">
        <v>249109.10651384006</v>
      </c>
      <c r="AC218" s="11">
        <v>265367.11943276913</v>
      </c>
      <c r="AD218" s="11">
        <v>282686.20550061332</v>
      </c>
      <c r="AE218" s="11">
        <v>301135.61526065634</v>
      </c>
      <c r="AF218" s="11">
        <v>320789.1188670586</v>
      </c>
      <c r="AG218" s="11">
        <v>341725.30105557595</v>
      </c>
      <c r="AH218" s="11">
        <v>364027.87536543078</v>
      </c>
      <c r="AI218" s="11">
        <v>387786.01886875828</v>
      </c>
      <c r="AJ218" s="11">
        <v>413094.72874604276</v>
      </c>
      <c r="AK218" s="11">
        <v>440055.20213331963</v>
      </c>
      <c r="AL218" s="11">
        <v>468775.24075996049</v>
      </c>
      <c r="AM218" s="11">
        <v>499369.68199499452</v>
      </c>
      <c r="AN218" s="11">
        <v>531960.85802550649</v>
      </c>
      <c r="AO218" s="40">
        <v>531960.85802550649</v>
      </c>
      <c r="AP218" s="40">
        <v>531960.85802550649</v>
      </c>
      <c r="AQ218" s="40">
        <v>531960.85802550649</v>
      </c>
      <c r="AR218" s="40">
        <v>531960.85802550649</v>
      </c>
      <c r="AS218" s="40">
        <v>531960.85802550649</v>
      </c>
      <c r="AT218" s="40">
        <v>531960.85802550649</v>
      </c>
      <c r="AU218" s="40">
        <v>531960.85802550649</v>
      </c>
      <c r="AV218" s="40">
        <v>531960.85802550649</v>
      </c>
      <c r="AW218" s="40">
        <v>531960.85802550649</v>
      </c>
      <c r="AX218" s="40">
        <v>531960.85802550649</v>
      </c>
    </row>
    <row r="219" spans="1:50" x14ac:dyDescent="0.2">
      <c r="A219" s="6" t="s">
        <v>179</v>
      </c>
      <c r="B219" s="11">
        <v>36141.731313385033</v>
      </c>
      <c r="C219" s="11">
        <v>38500.507926687329</v>
      </c>
      <c r="D219" s="11">
        <v>41013.229215833126</v>
      </c>
      <c r="E219" s="11">
        <v>43689.942322669987</v>
      </c>
      <c r="F219" s="11">
        <v>46541.350112010572</v>
      </c>
      <c r="G219" s="11">
        <v>49578.853967147348</v>
      </c>
      <c r="H219" s="11">
        <v>52814.599378400708</v>
      </c>
      <c r="I219" s="11">
        <v>56261.524506986461</v>
      </c>
      <c r="J219" s="11">
        <v>59933.411918386308</v>
      </c>
      <c r="K219" s="11">
        <v>63844.943692077162</v>
      </c>
      <c r="L219" s="11">
        <v>68011.76012797658</v>
      </c>
      <c r="M219" s="11">
        <v>72450.522284342471</v>
      </c>
      <c r="N219" s="11">
        <v>77178.978597185269</v>
      </c>
      <c r="O219" s="11">
        <v>82216.035847571577</v>
      </c>
      <c r="P219" s="11">
        <v>87581.834760582016</v>
      </c>
      <c r="Q219" s="11">
        <v>93297.830538207025</v>
      </c>
      <c r="R219" s="11">
        <v>99386.87864819236</v>
      </c>
      <c r="S219" s="11">
        <v>105873.32621186088</v>
      </c>
      <c r="T219" s="11">
        <v>112783.10935632735</v>
      </c>
      <c r="U219" s="11">
        <v>120143.8569203683</v>
      </c>
      <c r="V219" s="11">
        <v>127985.0009286175</v>
      </c>
      <c r="W219" s="11">
        <v>136337.89427581843</v>
      </c>
      <c r="X219" s="11">
        <v>145235.93609169521</v>
      </c>
      <c r="Y219" s="11">
        <v>154714.70528771554</v>
      </c>
      <c r="Z219" s="11">
        <v>164812.10281973318</v>
      </c>
      <c r="AA219" s="11">
        <v>175568.50323534885</v>
      </c>
      <c r="AB219" s="11">
        <v>187026.91611195222</v>
      </c>
      <c r="AC219" s="11">
        <v>199233.15803095914</v>
      </c>
      <c r="AD219" s="11">
        <v>212236.03577588178</v>
      </c>
      <c r="AE219" s="11">
        <v>226087.54148675333</v>
      </c>
      <c r="AF219" s="11">
        <v>240843.06055123344</v>
      </c>
      <c r="AG219" s="11">
        <v>256561.59306364824</v>
      </c>
      <c r="AH219" s="11">
        <v>273305.9897374729</v>
      </c>
      <c r="AI219" s="11">
        <v>291143.20321455505</v>
      </c>
      <c r="AJ219" s="11">
        <v>310144.55577593815</v>
      </c>
      <c r="AK219" s="11">
        <v>330386.02452473552</v>
      </c>
      <c r="AL219" s="11">
        <v>351948.54518135544</v>
      </c>
      <c r="AM219" s="11">
        <v>374918.33570580941</v>
      </c>
      <c r="AN219" s="11">
        <v>399387.24104110972</v>
      </c>
      <c r="AO219" s="40">
        <v>399387.24104110972</v>
      </c>
      <c r="AP219" s="40">
        <v>399387.24104110972</v>
      </c>
      <c r="AQ219" s="40">
        <v>399387.24104110972</v>
      </c>
      <c r="AR219" s="40">
        <v>399387.24104110972</v>
      </c>
      <c r="AS219" s="40">
        <v>399387.24104110972</v>
      </c>
      <c r="AT219" s="40">
        <v>399387.24104110972</v>
      </c>
      <c r="AU219" s="40">
        <v>399387.24104110972</v>
      </c>
      <c r="AV219" s="40">
        <v>399387.24104110972</v>
      </c>
      <c r="AW219" s="40">
        <v>399387.24104110972</v>
      </c>
      <c r="AX219" s="40">
        <v>399387.24104110972</v>
      </c>
    </row>
    <row r="220" spans="1:50" x14ac:dyDescent="0.2">
      <c r="A220" s="6" t="s">
        <v>180</v>
      </c>
      <c r="B220" s="11">
        <v>60451.779913740364</v>
      </c>
      <c r="C220" s="11">
        <v>64397.142781296716</v>
      </c>
      <c r="D220" s="11">
        <v>68599.998284783811</v>
      </c>
      <c r="E220" s="11">
        <v>73077.151585040861</v>
      </c>
      <c r="F220" s="11">
        <v>77846.504625461064</v>
      </c>
      <c r="G220" s="11">
        <v>82927.127713095528</v>
      </c>
      <c r="H220" s="11">
        <v>88339.335771472091</v>
      </c>
      <c r="I220" s="11">
        <v>94104.769570025019</v>
      </c>
      <c r="J220" s="11">
        <v>100246.4822549337</v>
      </c>
      <c r="K220" s="11">
        <v>106789.03152736403</v>
      </c>
      <c r="L220" s="11">
        <v>113758.57783768873</v>
      </c>
      <c r="M220" s="11">
        <v>121182.98898831598</v>
      </c>
      <c r="N220" s="11">
        <v>129091.95156338354</v>
      </c>
      <c r="O220" s="11">
        <v>137517.08963086989</v>
      </c>
      <c r="P220" s="11">
        <v>146492.09119175421</v>
      </c>
      <c r="Q220" s="11">
        <v>156052.84288183408</v>
      </c>
      <c r="R220" s="11">
        <v>166237.57346480666</v>
      </c>
      <c r="S220" s="11">
        <v>177087.00669037231</v>
      </c>
      <c r="T220" s="11">
        <v>188644.52412856603</v>
      </c>
      <c r="U220" s="11">
        <v>200956.33863140942</v>
      </c>
      <c r="V220" s="11">
        <v>214071.67911547411</v>
      </c>
      <c r="W220" s="11">
        <v>228042.98740420924</v>
      </c>
      <c r="X220" s="11">
        <v>242926.12791711075</v>
      </c>
      <c r="Y220" s="11">
        <v>258780.61104417531</v>
      </c>
      <c r="Z220" s="11">
        <v>275669.83109880553</v>
      </c>
      <c r="AA220" s="11">
        <v>293661.31980062212</v>
      </c>
      <c r="AB220" s="11">
        <v>312827.01630173763</v>
      </c>
      <c r="AC220" s="11">
        <v>333243.55483619357</v>
      </c>
      <c r="AD220" s="11">
        <v>354992.5711427317</v>
      </c>
      <c r="AE220" s="11">
        <v>378161.02888613316</v>
      </c>
      <c r="AF220" s="11">
        <v>402841.56738232297</v>
      </c>
      <c r="AG220" s="11">
        <v>429132.87201762572</v>
      </c>
      <c r="AH220" s="11">
        <v>457140.06884329487</v>
      </c>
      <c r="AI220" s="11">
        <v>486975.14492310694</v>
      </c>
      <c r="AJ220" s="11">
        <v>518757.39611478453</v>
      </c>
      <c r="AK220" s="11">
        <v>552613.90407570743</v>
      </c>
      <c r="AL220" s="11">
        <v>588680.04440022225</v>
      </c>
      <c r="AM220" s="11">
        <v>627100.02792034647</v>
      </c>
      <c r="AN220" s="11">
        <v>668027.47733425768</v>
      </c>
      <c r="AO220" s="40">
        <v>668027.47733425768</v>
      </c>
      <c r="AP220" s="40">
        <v>668027.47733425768</v>
      </c>
      <c r="AQ220" s="40">
        <v>668027.47733425768</v>
      </c>
      <c r="AR220" s="40">
        <v>668027.47733425768</v>
      </c>
      <c r="AS220" s="40">
        <v>668027.47733425768</v>
      </c>
      <c r="AT220" s="40">
        <v>668027.47733425768</v>
      </c>
      <c r="AU220" s="40">
        <v>668027.47733425768</v>
      </c>
      <c r="AV220" s="40">
        <v>668027.47733425768</v>
      </c>
      <c r="AW220" s="40">
        <v>668027.47733425768</v>
      </c>
      <c r="AX220" s="40">
        <v>668027.47733425768</v>
      </c>
    </row>
    <row r="221" spans="1:50" x14ac:dyDescent="0.2">
      <c r="A221" s="6" t="s">
        <v>181</v>
      </c>
      <c r="B221" s="11">
        <v>6767.6886961040746</v>
      </c>
      <c r="C221" s="11">
        <v>6790.830418392984</v>
      </c>
      <c r="D221" s="11">
        <v>6813.9721406818935</v>
      </c>
      <c r="E221" s="11">
        <v>6837.1138629708021</v>
      </c>
      <c r="F221" s="11">
        <v>6899.0176469743355</v>
      </c>
      <c r="G221" s="11">
        <v>6960.9214309778663</v>
      </c>
      <c r="H221" s="11">
        <v>7022.8252149814007</v>
      </c>
      <c r="I221" s="11">
        <v>7084.7289989849351</v>
      </c>
      <c r="J221" s="11">
        <v>7146.6327829884685</v>
      </c>
      <c r="K221" s="11">
        <v>7198.6271770953654</v>
      </c>
      <c r="L221" s="11">
        <v>7250.6215712022649</v>
      </c>
      <c r="M221" s="11">
        <v>7302.6159653091618</v>
      </c>
      <c r="N221" s="11">
        <v>7354.6103594160586</v>
      </c>
      <c r="O221" s="11">
        <v>7406.6047535229591</v>
      </c>
      <c r="P221" s="11">
        <v>7448.5752017169425</v>
      </c>
      <c r="Q221" s="11">
        <v>7490.5456499109241</v>
      </c>
      <c r="R221" s="11">
        <v>7532.5160981049085</v>
      </c>
      <c r="S221" s="11">
        <v>7574.4865462988919</v>
      </c>
      <c r="T221" s="11">
        <v>7616.4569944928771</v>
      </c>
      <c r="U221" s="11">
        <v>7648.6235287452291</v>
      </c>
      <c r="V221" s="11">
        <v>7680.7900629975857</v>
      </c>
      <c r="W221" s="11">
        <v>7712.9565972499386</v>
      </c>
      <c r="X221" s="11">
        <v>7745.1231315022942</v>
      </c>
      <c r="Y221" s="11">
        <v>7777.2896657546489</v>
      </c>
      <c r="Z221" s="11">
        <v>7800.0496982606664</v>
      </c>
      <c r="AA221" s="11">
        <v>7822.8097307666858</v>
      </c>
      <c r="AB221" s="11">
        <v>7845.5697632727042</v>
      </c>
      <c r="AC221" s="11">
        <v>7868.3297957787217</v>
      </c>
      <c r="AD221" s="11">
        <v>7891.0898282847411</v>
      </c>
      <c r="AE221" s="11">
        <v>7891.0898282847411</v>
      </c>
      <c r="AF221" s="11">
        <v>7891.0898282847411</v>
      </c>
      <c r="AG221" s="11">
        <v>7891.0898282847411</v>
      </c>
      <c r="AH221" s="11">
        <v>7891.0898282847411</v>
      </c>
      <c r="AI221" s="11">
        <v>7891.0898282847411</v>
      </c>
      <c r="AJ221" s="11">
        <v>7891.0898282847411</v>
      </c>
      <c r="AK221" s="11">
        <v>7891.0898282847411</v>
      </c>
      <c r="AL221" s="11">
        <v>7891.0898282847411</v>
      </c>
      <c r="AM221" s="11">
        <v>7891.0898282847411</v>
      </c>
      <c r="AN221" s="11">
        <v>7891.0898282847411</v>
      </c>
      <c r="AO221" s="40">
        <v>7891.0898282847411</v>
      </c>
      <c r="AP221" s="40">
        <v>7891.0898282847411</v>
      </c>
      <c r="AQ221" s="40">
        <v>7891.0898282847411</v>
      </c>
      <c r="AR221" s="40">
        <v>7891.0898282847411</v>
      </c>
      <c r="AS221" s="40">
        <v>7891.0898282847411</v>
      </c>
      <c r="AT221" s="40">
        <v>7891.0898282847411</v>
      </c>
      <c r="AU221" s="40">
        <v>7891.0898282847411</v>
      </c>
      <c r="AV221" s="40">
        <v>7891.0898282847411</v>
      </c>
      <c r="AW221" s="40">
        <v>7891.0898282847411</v>
      </c>
      <c r="AX221" s="40">
        <v>7891.0898282847411</v>
      </c>
    </row>
    <row r="222" spans="1:50" x14ac:dyDescent="0.2">
      <c r="A222" s="6" t="s">
        <v>182</v>
      </c>
      <c r="B222" s="11">
        <v>34305.10609397541</v>
      </c>
      <c r="C222" s="11">
        <v>34422.410431389064</v>
      </c>
      <c r="D222" s="11">
        <v>34539.714768802703</v>
      </c>
      <c r="E222" s="11">
        <v>34657.019106216343</v>
      </c>
      <c r="F222" s="11">
        <v>34970.806570920846</v>
      </c>
      <c r="G222" s="11">
        <v>35284.594035625341</v>
      </c>
      <c r="H222" s="11">
        <v>35598.38150032983</v>
      </c>
      <c r="I222" s="11">
        <v>35912.168965034325</v>
      </c>
      <c r="J222" s="11">
        <v>36225.956429738806</v>
      </c>
      <c r="K222" s="11">
        <v>36489.513647900436</v>
      </c>
      <c r="L222" s="11">
        <v>36753.070866062073</v>
      </c>
      <c r="M222" s="11">
        <v>37016.628084223703</v>
      </c>
      <c r="N222" s="11">
        <v>37280.185302385325</v>
      </c>
      <c r="O222" s="11">
        <v>37543.742520546963</v>
      </c>
      <c r="P222" s="11">
        <v>37756.488812931122</v>
      </c>
      <c r="Q222" s="11">
        <v>37969.235105315282</v>
      </c>
      <c r="R222" s="11">
        <v>38181.981397699434</v>
      </c>
      <c r="S222" s="11">
        <v>38394.727690083593</v>
      </c>
      <c r="T222" s="11">
        <v>38607.473982467745</v>
      </c>
      <c r="U222" s="11">
        <v>38770.524681126175</v>
      </c>
      <c r="V222" s="11">
        <v>38933.575379784605</v>
      </c>
      <c r="W222" s="11">
        <v>39096.62607844302</v>
      </c>
      <c r="X222" s="11">
        <v>39259.676777101464</v>
      </c>
      <c r="Y222" s="11">
        <v>39422.727475759886</v>
      </c>
      <c r="Z222" s="11">
        <v>39538.097045029637</v>
      </c>
      <c r="AA222" s="11">
        <v>39653.466614299388</v>
      </c>
      <c r="AB222" s="11">
        <v>39768.836183569147</v>
      </c>
      <c r="AC222" s="11">
        <v>39884.205752838898</v>
      </c>
      <c r="AD222" s="11">
        <v>39999.575322108649</v>
      </c>
      <c r="AE222" s="11">
        <v>39999.575322108649</v>
      </c>
      <c r="AF222" s="11">
        <v>39999.575322108649</v>
      </c>
      <c r="AG222" s="11">
        <v>39999.575322108649</v>
      </c>
      <c r="AH222" s="11">
        <v>39999.575322108649</v>
      </c>
      <c r="AI222" s="11">
        <v>39999.575322108649</v>
      </c>
      <c r="AJ222" s="11">
        <v>39999.575322108649</v>
      </c>
      <c r="AK222" s="11">
        <v>39999.575322108649</v>
      </c>
      <c r="AL222" s="11">
        <v>39999.575322108649</v>
      </c>
      <c r="AM222" s="11">
        <v>39999.575322108649</v>
      </c>
      <c r="AN222" s="11">
        <v>39999.575322108649</v>
      </c>
      <c r="AO222" s="40">
        <v>39999.575322108649</v>
      </c>
      <c r="AP222" s="40">
        <v>39999.575322108649</v>
      </c>
      <c r="AQ222" s="40">
        <v>39999.575322108649</v>
      </c>
      <c r="AR222" s="40">
        <v>39999.575322108649</v>
      </c>
      <c r="AS222" s="40">
        <v>39999.575322108649</v>
      </c>
      <c r="AT222" s="40">
        <v>39999.575322108649</v>
      </c>
      <c r="AU222" s="40">
        <v>39999.575322108649</v>
      </c>
      <c r="AV222" s="40">
        <v>39999.575322108649</v>
      </c>
      <c r="AW222" s="40">
        <v>39999.575322108649</v>
      </c>
      <c r="AX222" s="40">
        <v>39999.575322108649</v>
      </c>
    </row>
    <row r="223" spans="1:50" x14ac:dyDescent="0.2">
      <c r="A223" s="6" t="s">
        <v>183</v>
      </c>
      <c r="B223" s="11">
        <v>22103.79945488086</v>
      </c>
      <c r="C223" s="11">
        <v>22179.382125935022</v>
      </c>
      <c r="D223" s="11">
        <v>22254.964796989174</v>
      </c>
      <c r="E223" s="11">
        <v>22330.547468043336</v>
      </c>
      <c r="F223" s="11">
        <v>22532.730057780365</v>
      </c>
      <c r="G223" s="11">
        <v>22734.912647517402</v>
      </c>
      <c r="H223" s="11">
        <v>22937.095237254431</v>
      </c>
      <c r="I223" s="11">
        <v>23139.277826991467</v>
      </c>
      <c r="J223" s="11">
        <v>23341.4604167285</v>
      </c>
      <c r="K223" s="11">
        <v>23511.278165700689</v>
      </c>
      <c r="L223" s="11">
        <v>23681.095914672878</v>
      </c>
      <c r="M223" s="11">
        <v>23850.91366364506</v>
      </c>
      <c r="N223" s="11">
        <v>24020.731412617246</v>
      </c>
      <c r="O223" s="11">
        <v>24190.549161589439</v>
      </c>
      <c r="P223" s="11">
        <v>24327.627920907267</v>
      </c>
      <c r="Q223" s="11">
        <v>24464.70668022511</v>
      </c>
      <c r="R223" s="11">
        <v>24601.785439542939</v>
      </c>
      <c r="S223" s="11">
        <v>24738.864198860774</v>
      </c>
      <c r="T223" s="11">
        <v>24875.94295817861</v>
      </c>
      <c r="U223" s="11">
        <v>24981.001369432346</v>
      </c>
      <c r="V223" s="11">
        <v>25086.059780686093</v>
      </c>
      <c r="W223" s="11">
        <v>25191.118191939837</v>
      </c>
      <c r="X223" s="11">
        <v>25296.176603193577</v>
      </c>
      <c r="Y223" s="11">
        <v>25401.235014447317</v>
      </c>
      <c r="Z223" s="11">
        <v>25475.571056882192</v>
      </c>
      <c r="AA223" s="11">
        <v>25549.907099317064</v>
      </c>
      <c r="AB223" s="11">
        <v>25624.24314175194</v>
      </c>
      <c r="AC223" s="11">
        <v>25698.579184186812</v>
      </c>
      <c r="AD223" s="11">
        <v>25772.915226621688</v>
      </c>
      <c r="AE223" s="11">
        <v>25772.915226621688</v>
      </c>
      <c r="AF223" s="11">
        <v>25772.915226621688</v>
      </c>
      <c r="AG223" s="11">
        <v>25772.915226621688</v>
      </c>
      <c r="AH223" s="11">
        <v>25772.915226621688</v>
      </c>
      <c r="AI223" s="11">
        <v>25772.915226621688</v>
      </c>
      <c r="AJ223" s="11">
        <v>25772.915226621688</v>
      </c>
      <c r="AK223" s="11">
        <v>25772.915226621688</v>
      </c>
      <c r="AL223" s="11">
        <v>25772.915226621688</v>
      </c>
      <c r="AM223" s="11">
        <v>25772.915226621688</v>
      </c>
      <c r="AN223" s="11">
        <v>25772.915226621688</v>
      </c>
      <c r="AO223" s="40">
        <v>25772.915226621688</v>
      </c>
      <c r="AP223" s="40">
        <v>25772.915226621688</v>
      </c>
      <c r="AQ223" s="40">
        <v>25772.915226621688</v>
      </c>
      <c r="AR223" s="40">
        <v>25772.915226621688</v>
      </c>
      <c r="AS223" s="40">
        <v>25772.915226621688</v>
      </c>
      <c r="AT223" s="40">
        <v>25772.915226621688</v>
      </c>
      <c r="AU223" s="40">
        <v>25772.915226621688</v>
      </c>
      <c r="AV223" s="40">
        <v>25772.915226621688</v>
      </c>
      <c r="AW223" s="40">
        <v>25772.915226621688</v>
      </c>
      <c r="AX223" s="40">
        <v>25772.915226621688</v>
      </c>
    </row>
    <row r="224" spans="1:50" x14ac:dyDescent="0.2">
      <c r="A224" s="6" t="s">
        <v>184</v>
      </c>
      <c r="B224" s="11">
        <v>5252.4870460828843</v>
      </c>
      <c r="C224" s="11">
        <v>5270.4476234682652</v>
      </c>
      <c r="D224" s="11">
        <v>5288.4082008536443</v>
      </c>
      <c r="E224" s="11">
        <v>5306.3687782390243</v>
      </c>
      <c r="F224" s="11">
        <v>5354.4130719680261</v>
      </c>
      <c r="G224" s="11">
        <v>5402.4573656970279</v>
      </c>
      <c r="H224" s="11">
        <v>5450.5016594260323</v>
      </c>
      <c r="I224" s="11">
        <v>5498.5459531550341</v>
      </c>
      <c r="J224" s="11">
        <v>5546.5902468840359</v>
      </c>
      <c r="K224" s="11">
        <v>5586.9437403407637</v>
      </c>
      <c r="L224" s="11">
        <v>5627.2972337974916</v>
      </c>
      <c r="M224" s="11">
        <v>5667.6507272542203</v>
      </c>
      <c r="N224" s="11">
        <v>5708.0042207109482</v>
      </c>
      <c r="O224" s="11">
        <v>5748.3577141676769</v>
      </c>
      <c r="P224" s="11">
        <v>5780.9314990085923</v>
      </c>
      <c r="Q224" s="11">
        <v>5813.5052838495085</v>
      </c>
      <c r="R224" s="11">
        <v>5846.0790686904256</v>
      </c>
      <c r="S224" s="11">
        <v>5878.65285353134</v>
      </c>
      <c r="T224" s="11">
        <v>5911.2266383722563</v>
      </c>
      <c r="U224" s="11">
        <v>5936.1914841363841</v>
      </c>
      <c r="V224" s="11">
        <v>5961.156329900512</v>
      </c>
      <c r="W224" s="11">
        <v>5986.1211756646408</v>
      </c>
      <c r="X224" s="11">
        <v>6011.0860214287695</v>
      </c>
      <c r="Y224" s="11">
        <v>6036.0508671928983</v>
      </c>
      <c r="Z224" s="11">
        <v>6053.7152104087891</v>
      </c>
      <c r="AA224" s="11">
        <v>6071.3795536246807</v>
      </c>
      <c r="AB224" s="11">
        <v>6089.0438968405706</v>
      </c>
      <c r="AC224" s="11">
        <v>6106.7082400564632</v>
      </c>
      <c r="AD224" s="11">
        <v>6124.372583272353</v>
      </c>
      <c r="AE224" s="11">
        <v>6124.372583272353</v>
      </c>
      <c r="AF224" s="11">
        <v>6124.372583272353</v>
      </c>
      <c r="AG224" s="11">
        <v>6124.372583272353</v>
      </c>
      <c r="AH224" s="11">
        <v>6124.372583272353</v>
      </c>
      <c r="AI224" s="11">
        <v>6124.372583272353</v>
      </c>
      <c r="AJ224" s="11">
        <v>6124.372583272353</v>
      </c>
      <c r="AK224" s="11">
        <v>6124.372583272353</v>
      </c>
      <c r="AL224" s="11">
        <v>6124.372583272353</v>
      </c>
      <c r="AM224" s="11">
        <v>6124.372583272353</v>
      </c>
      <c r="AN224" s="11">
        <v>6124.372583272353</v>
      </c>
      <c r="AO224" s="40">
        <v>6124.372583272353</v>
      </c>
      <c r="AP224" s="40">
        <v>6124.372583272353</v>
      </c>
      <c r="AQ224" s="40">
        <v>6124.372583272353</v>
      </c>
      <c r="AR224" s="40">
        <v>6124.372583272353</v>
      </c>
      <c r="AS224" s="40">
        <v>6124.372583272353</v>
      </c>
      <c r="AT224" s="40">
        <v>6124.372583272353</v>
      </c>
      <c r="AU224" s="40">
        <v>6124.372583272353</v>
      </c>
      <c r="AV224" s="40">
        <v>6124.372583272353</v>
      </c>
      <c r="AW224" s="40">
        <v>6124.372583272353</v>
      </c>
      <c r="AX224" s="40">
        <v>6124.372583272353</v>
      </c>
    </row>
    <row r="225" spans="1:50" x14ac:dyDescent="0.2">
      <c r="A225" s="6" t="s">
        <v>185</v>
      </c>
      <c r="B225" s="11">
        <v>22894.173696100952</v>
      </c>
      <c r="C225" s="11">
        <v>22972.459006418816</v>
      </c>
      <c r="D225" s="11">
        <v>23050.744316736676</v>
      </c>
      <c r="E225" s="11">
        <v>23129.02962705454</v>
      </c>
      <c r="F225" s="11">
        <v>23338.441739086036</v>
      </c>
      <c r="G225" s="11">
        <v>23547.853851117528</v>
      </c>
      <c r="H225" s="11">
        <v>23757.265963149021</v>
      </c>
      <c r="I225" s="11">
        <v>23966.678075180513</v>
      </c>
      <c r="J225" s="11">
        <v>24176.090187212008</v>
      </c>
      <c r="K225" s="11">
        <v>24351.980176151967</v>
      </c>
      <c r="L225" s="11">
        <v>24527.870165091928</v>
      </c>
      <c r="M225" s="11">
        <v>24703.760154031886</v>
      </c>
      <c r="N225" s="11">
        <v>24879.650142971848</v>
      </c>
      <c r="O225" s="11">
        <v>25055.54013191181</v>
      </c>
      <c r="P225" s="11">
        <v>25197.520470281899</v>
      </c>
      <c r="Q225" s="11">
        <v>25339.500808651988</v>
      </c>
      <c r="R225" s="11">
        <v>25481.481147022077</v>
      </c>
      <c r="S225" s="11">
        <v>25623.461485392159</v>
      </c>
      <c r="T225" s="11">
        <v>25765.441823762245</v>
      </c>
      <c r="U225" s="11">
        <v>25874.256849902395</v>
      </c>
      <c r="V225" s="11">
        <v>25983.071876042552</v>
      </c>
      <c r="W225" s="11">
        <v>26091.886902182701</v>
      </c>
      <c r="X225" s="11">
        <v>26200.701928322862</v>
      </c>
      <c r="Y225" s="11">
        <v>26309.516954463015</v>
      </c>
      <c r="Z225" s="11">
        <v>26386.511059972279</v>
      </c>
      <c r="AA225" s="11">
        <v>26463.505165481543</v>
      </c>
      <c r="AB225" s="11">
        <v>26540.499270990804</v>
      </c>
      <c r="AC225" s="11">
        <v>26617.493376500068</v>
      </c>
      <c r="AD225" s="11">
        <v>26694.487482009332</v>
      </c>
      <c r="AE225" s="11">
        <v>26694.487482009332</v>
      </c>
      <c r="AF225" s="11">
        <v>26694.487482009332</v>
      </c>
      <c r="AG225" s="11">
        <v>26694.487482009332</v>
      </c>
      <c r="AH225" s="11">
        <v>26694.487482009332</v>
      </c>
      <c r="AI225" s="11">
        <v>26694.487482009332</v>
      </c>
      <c r="AJ225" s="11">
        <v>26694.487482009332</v>
      </c>
      <c r="AK225" s="11">
        <v>26694.487482009332</v>
      </c>
      <c r="AL225" s="11">
        <v>26694.487482009332</v>
      </c>
      <c r="AM225" s="11">
        <v>26694.487482009332</v>
      </c>
      <c r="AN225" s="11">
        <v>26694.487482009332</v>
      </c>
      <c r="AO225" s="40">
        <v>26694.487482009332</v>
      </c>
      <c r="AP225" s="40">
        <v>26694.487482009332</v>
      </c>
      <c r="AQ225" s="40">
        <v>26694.487482009332</v>
      </c>
      <c r="AR225" s="40">
        <v>26694.487482009332</v>
      </c>
      <c r="AS225" s="40">
        <v>26694.487482009332</v>
      </c>
      <c r="AT225" s="40">
        <v>26694.487482009332</v>
      </c>
      <c r="AU225" s="40">
        <v>26694.487482009332</v>
      </c>
      <c r="AV225" s="40">
        <v>26694.487482009332</v>
      </c>
      <c r="AW225" s="40">
        <v>26694.487482009332</v>
      </c>
      <c r="AX225" s="40">
        <v>26694.487482009332</v>
      </c>
    </row>
    <row r="226" spans="1:50" x14ac:dyDescent="0.2">
      <c r="A226" s="6" t="s">
        <v>186</v>
      </c>
      <c r="B226" s="11">
        <v>33827.128214243843</v>
      </c>
      <c r="C226" s="11">
        <v>33942.798133786091</v>
      </c>
      <c r="D226" s="11">
        <v>34058.468053328332</v>
      </c>
      <c r="E226" s="11">
        <v>34174.13797287058</v>
      </c>
      <c r="F226" s="11">
        <v>34483.553392589856</v>
      </c>
      <c r="G226" s="11">
        <v>34792.968812309118</v>
      </c>
      <c r="H226" s="11">
        <v>35102.384232028387</v>
      </c>
      <c r="I226" s="11">
        <v>35411.799651747657</v>
      </c>
      <c r="J226" s="11">
        <v>35721.215071466919</v>
      </c>
      <c r="K226" s="11">
        <v>35981.100109750143</v>
      </c>
      <c r="L226" s="11">
        <v>36240.985148033375</v>
      </c>
      <c r="M226" s="11">
        <v>36500.870186316599</v>
      </c>
      <c r="N226" s="11">
        <v>36760.755224599816</v>
      </c>
      <c r="O226" s="11">
        <v>37020.640262883047</v>
      </c>
      <c r="P226" s="11">
        <v>37230.422331181268</v>
      </c>
      <c r="Q226" s="11">
        <v>37440.20439947948</v>
      </c>
      <c r="R226" s="11">
        <v>37649.986467777686</v>
      </c>
      <c r="S226" s="11">
        <v>37859.768536075913</v>
      </c>
      <c r="T226" s="11">
        <v>38069.550604374119</v>
      </c>
      <c r="U226" s="11">
        <v>38230.329494660356</v>
      </c>
      <c r="V226" s="11">
        <v>38391.108384946587</v>
      </c>
      <c r="W226" s="11">
        <v>38551.88727523281</v>
      </c>
      <c r="X226" s="11">
        <v>38712.66616551904</v>
      </c>
      <c r="Y226" s="11">
        <v>38873.445055805256</v>
      </c>
      <c r="Z226" s="11">
        <v>38987.207164600935</v>
      </c>
      <c r="AA226" s="11">
        <v>39100.969273396615</v>
      </c>
      <c r="AB226" s="11">
        <v>39214.731382192287</v>
      </c>
      <c r="AC226" s="11">
        <v>39328.493490987967</v>
      </c>
      <c r="AD226" s="11">
        <v>39442.255599783646</v>
      </c>
      <c r="AE226" s="11">
        <v>39442.255599783646</v>
      </c>
      <c r="AF226" s="11">
        <v>39442.255599783646</v>
      </c>
      <c r="AG226" s="11">
        <v>39442.255599783646</v>
      </c>
      <c r="AH226" s="11">
        <v>39442.255599783646</v>
      </c>
      <c r="AI226" s="11">
        <v>39442.255599783646</v>
      </c>
      <c r="AJ226" s="11">
        <v>39442.255599783646</v>
      </c>
      <c r="AK226" s="11">
        <v>39442.255599783646</v>
      </c>
      <c r="AL226" s="11">
        <v>39442.255599783646</v>
      </c>
      <c r="AM226" s="11">
        <v>39442.255599783646</v>
      </c>
      <c r="AN226" s="11">
        <v>39442.255599783646</v>
      </c>
      <c r="AO226" s="40">
        <v>39442.255599783646</v>
      </c>
      <c r="AP226" s="40">
        <v>39442.255599783646</v>
      </c>
      <c r="AQ226" s="40">
        <v>39442.255599783646</v>
      </c>
      <c r="AR226" s="40">
        <v>39442.255599783646</v>
      </c>
      <c r="AS226" s="40">
        <v>39442.255599783646</v>
      </c>
      <c r="AT226" s="40">
        <v>39442.255599783646</v>
      </c>
      <c r="AU226" s="40">
        <v>39442.255599783646</v>
      </c>
      <c r="AV226" s="40">
        <v>39442.255599783646</v>
      </c>
      <c r="AW226" s="40">
        <v>39442.255599783646</v>
      </c>
      <c r="AX226" s="40">
        <v>39442.255599783646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160D-64AF-C447-88C8-3C4CF643CACB}">
  <sheetPr>
    <tabColor theme="4" tint="0.79998168889431442"/>
  </sheetPr>
  <dimension ref="A1:AX180"/>
  <sheetViews>
    <sheetView topLeftCell="AB1" workbookViewId="0">
      <selection activeCell="AO17" sqref="AO17:AX21"/>
    </sheetView>
  </sheetViews>
  <sheetFormatPr baseColWidth="10" defaultRowHeight="16" x14ac:dyDescent="0.2"/>
  <sheetData>
    <row r="1" spans="1:50" x14ac:dyDescent="0.2">
      <c r="A1" s="5" t="s">
        <v>32</v>
      </c>
    </row>
    <row r="2" spans="1:50" x14ac:dyDescent="0.2">
      <c r="A2" s="5" t="s">
        <v>4</v>
      </c>
    </row>
    <row r="3" spans="1:50" x14ac:dyDescent="0.2">
      <c r="A3" s="5" t="s">
        <v>33</v>
      </c>
    </row>
    <row r="4" spans="1:50" x14ac:dyDescent="0.2">
      <c r="A4" s="5" t="s">
        <v>6</v>
      </c>
    </row>
    <row r="5" spans="1:50" x14ac:dyDescent="0.2">
      <c r="A5" t="s">
        <v>156</v>
      </c>
      <c r="B5">
        <v>1000000</v>
      </c>
    </row>
    <row r="6" spans="1:5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c r="AO6" s="39">
        <f>AN6+1</f>
        <v>2061</v>
      </c>
      <c r="AP6" s="39">
        <f t="shared" ref="AP6:AX6" si="0">AO6+1</f>
        <v>2062</v>
      </c>
      <c r="AQ6" s="39">
        <f t="shared" si="0"/>
        <v>2063</v>
      </c>
      <c r="AR6" s="39">
        <f t="shared" si="0"/>
        <v>2064</v>
      </c>
      <c r="AS6" s="39">
        <f t="shared" si="0"/>
        <v>2065</v>
      </c>
      <c r="AT6" s="39">
        <f t="shared" si="0"/>
        <v>2066</v>
      </c>
      <c r="AU6" s="39">
        <f t="shared" si="0"/>
        <v>2067</v>
      </c>
      <c r="AV6" s="39">
        <f t="shared" si="0"/>
        <v>2068</v>
      </c>
      <c r="AW6" s="39">
        <f>AV6+1</f>
        <v>2069</v>
      </c>
      <c r="AX6" s="39">
        <f t="shared" si="0"/>
        <v>2070</v>
      </c>
    </row>
    <row r="7" spans="1:50" x14ac:dyDescent="0.2">
      <c r="A7" s="6" t="s">
        <v>34</v>
      </c>
      <c r="B7" s="11">
        <v>45.305693438117402</v>
      </c>
      <c r="C7" s="11">
        <v>47.574826293547623</v>
      </c>
      <c r="D7" s="11">
        <v>48.037120061488096</v>
      </c>
      <c r="E7" s="11">
        <v>48.501452705432122</v>
      </c>
      <c r="F7" s="11">
        <v>49.24450397893483</v>
      </c>
      <c r="G7" s="11">
        <v>49.993009217279024</v>
      </c>
      <c r="H7" s="11">
        <v>50.74696842046469</v>
      </c>
      <c r="I7" s="11">
        <v>51.506381588491806</v>
      </c>
      <c r="J7" s="11">
        <v>52.271248721360351</v>
      </c>
      <c r="K7" s="11">
        <v>52.968654936669154</v>
      </c>
      <c r="L7" s="11">
        <v>53.670642060915561</v>
      </c>
      <c r="M7" s="11">
        <v>54.377210094099553</v>
      </c>
      <c r="N7" s="11">
        <v>55.088359036221135</v>
      </c>
      <c r="O7" s="11">
        <v>55.80408888728028</v>
      </c>
      <c r="P7" s="11">
        <v>56.448433971469811</v>
      </c>
      <c r="Q7" s="11">
        <v>57.096476815861202</v>
      </c>
      <c r="R7" s="11">
        <v>57.748217420454402</v>
      </c>
      <c r="S7" s="11">
        <v>58.403655785249448</v>
      </c>
      <c r="T7" s="11">
        <v>59.062791910246283</v>
      </c>
      <c r="U7" s="11">
        <v>59.649168206757068</v>
      </c>
      <c r="V7" s="11">
        <v>60.238378500408906</v>
      </c>
      <c r="W7" s="11">
        <v>60.830422791201748</v>
      </c>
      <c r="X7" s="11">
        <v>61.425301079135629</v>
      </c>
      <c r="Y7" s="11">
        <v>62.023013364210463</v>
      </c>
      <c r="Z7" s="11">
        <v>62.548129474582161</v>
      </c>
      <c r="AA7" s="11">
        <v>63.075250832598684</v>
      </c>
      <c r="AB7" s="11">
        <v>63.604377438260066</v>
      </c>
      <c r="AC7" s="11">
        <v>64.135509291566237</v>
      </c>
      <c r="AD7" s="11">
        <v>64.668646392517218</v>
      </c>
      <c r="AE7" s="11">
        <v>65.01626429000909</v>
      </c>
      <c r="AF7" s="11">
        <v>65.363882187501005</v>
      </c>
      <c r="AG7" s="11">
        <v>65.71150008499292</v>
      </c>
      <c r="AH7" s="11">
        <v>66.059117982484864</v>
      </c>
      <c r="AI7" s="11">
        <v>66.40673587997675</v>
      </c>
      <c r="AJ7" s="11">
        <v>66.754353777468623</v>
      </c>
      <c r="AK7" s="11">
        <v>67.10197167496051</v>
      </c>
      <c r="AL7" s="11">
        <v>67.449589572452481</v>
      </c>
      <c r="AM7" s="11">
        <v>67.797207469944382</v>
      </c>
      <c r="AN7" s="11">
        <v>68.144825367436312</v>
      </c>
      <c r="AO7" s="39">
        <f>(AN7+AN7*$AN$11)</f>
        <v>68.494225612714615</v>
      </c>
      <c r="AP7" s="39">
        <f t="shared" ref="AP7:AX7" si="1">(AO7+AO7*$AN$11)</f>
        <v>68.845417344444641</v>
      </c>
      <c r="AQ7" s="39">
        <f t="shared" si="1"/>
        <v>69.198409748148578</v>
      </c>
      <c r="AR7" s="39">
        <f t="shared" si="1"/>
        <v>69.553212056445716</v>
      </c>
      <c r="AS7" s="39">
        <f t="shared" si="1"/>
        <v>69.909833549293936</v>
      </c>
      <c r="AT7" s="39">
        <f t="shared" si="1"/>
        <v>70.268283554232411</v>
      </c>
      <c r="AU7" s="39">
        <f t="shared" si="1"/>
        <v>70.628571446625585</v>
      </c>
      <c r="AV7" s="39">
        <f t="shared" si="1"/>
        <v>70.99070664990839</v>
      </c>
      <c r="AW7" s="39">
        <f t="shared" si="1"/>
        <v>71.354698635832705</v>
      </c>
      <c r="AX7" s="39">
        <f t="shared" si="1"/>
        <v>71.720556924715098</v>
      </c>
    </row>
    <row r="8" spans="1:50" x14ac:dyDescent="0.2">
      <c r="A8" s="6" t="s">
        <v>35</v>
      </c>
      <c r="B8" s="11">
        <v>17.669927237955303</v>
      </c>
      <c r="C8" s="11">
        <v>18.55492445146163</v>
      </c>
      <c r="D8" s="11">
        <v>18.735226233029678</v>
      </c>
      <c r="E8" s="11">
        <v>18.916323208046851</v>
      </c>
      <c r="F8" s="11">
        <v>19.206124796776454</v>
      </c>
      <c r="G8" s="11">
        <v>19.498053516879494</v>
      </c>
      <c r="H8" s="11">
        <v>19.792109368355959</v>
      </c>
      <c r="I8" s="11">
        <v>20.088292351205851</v>
      </c>
      <c r="J8" s="11">
        <v>20.386602465429153</v>
      </c>
      <c r="K8" s="11">
        <v>20.658601769371746</v>
      </c>
      <c r="L8" s="11">
        <v>20.932387699265036</v>
      </c>
      <c r="M8" s="11">
        <v>21.207960255109025</v>
      </c>
      <c r="N8" s="11">
        <v>21.485319436903715</v>
      </c>
      <c r="O8" s="11">
        <v>21.764465244649095</v>
      </c>
      <c r="P8" s="11">
        <v>22.015769879668415</v>
      </c>
      <c r="Q8" s="11">
        <v>22.268516698853819</v>
      </c>
      <c r="R8" s="11">
        <v>22.522705702205304</v>
      </c>
      <c r="S8" s="11">
        <v>22.778336889722873</v>
      </c>
      <c r="T8" s="11">
        <v>23.035410261406504</v>
      </c>
      <c r="U8" s="11">
        <v>23.264106164881849</v>
      </c>
      <c r="V8" s="11">
        <v>23.493907371454327</v>
      </c>
      <c r="W8" s="11">
        <v>23.724813881123922</v>
      </c>
      <c r="X8" s="11">
        <v>23.956825693890647</v>
      </c>
      <c r="Y8" s="11">
        <v>24.18994280975447</v>
      </c>
      <c r="Z8" s="11">
        <v>24.394746284938435</v>
      </c>
      <c r="AA8" s="11">
        <v>24.600331837987007</v>
      </c>
      <c r="AB8" s="11">
        <v>24.806699468900177</v>
      </c>
      <c r="AC8" s="11">
        <v>25.013849177677937</v>
      </c>
      <c r="AD8" s="11">
        <v>25.221780964320288</v>
      </c>
      <c r="AE8" s="11">
        <v>25.35735736739824</v>
      </c>
      <c r="AF8" s="11">
        <v>25.492933770476206</v>
      </c>
      <c r="AG8" s="11">
        <v>25.628510173554176</v>
      </c>
      <c r="AH8" s="11">
        <v>25.76408657663216</v>
      </c>
      <c r="AI8" s="11">
        <v>25.899662979710126</v>
      </c>
      <c r="AJ8" s="11">
        <v>26.035239382788074</v>
      </c>
      <c r="AK8" s="11">
        <v>26.170815785866036</v>
      </c>
      <c r="AL8" s="11">
        <v>26.306392188944024</v>
      </c>
      <c r="AM8" s="11">
        <v>26.44196859202199</v>
      </c>
      <c r="AN8" s="11">
        <v>26.577544995099963</v>
      </c>
      <c r="AO8" s="39">
        <f t="shared" ref="AO8:AX10" si="2">(AN8+AN8*$AN$11)</f>
        <v>26.713816541620364</v>
      </c>
      <c r="AP8" s="39">
        <f t="shared" si="2"/>
        <v>26.850786795805242</v>
      </c>
      <c r="AQ8" s="39">
        <f t="shared" si="2"/>
        <v>26.98845934015155</v>
      </c>
      <c r="AR8" s="39">
        <f t="shared" si="2"/>
        <v>27.126837775524852</v>
      </c>
      <c r="AS8" s="39">
        <f t="shared" si="2"/>
        <v>27.265925721253485</v>
      </c>
      <c r="AT8" s="39">
        <f t="shared" si="2"/>
        <v>27.405726815223247</v>
      </c>
      <c r="AU8" s="39">
        <f t="shared" si="2"/>
        <v>27.546244713972534</v>
      </c>
      <c r="AV8" s="39">
        <f t="shared" si="2"/>
        <v>27.687483092787978</v>
      </c>
      <c r="AW8" s="39">
        <f t="shared" si="2"/>
        <v>27.829445645800579</v>
      </c>
      <c r="AX8" s="39">
        <f t="shared" si="2"/>
        <v>27.972136086082322</v>
      </c>
    </row>
    <row r="9" spans="1:50" x14ac:dyDescent="0.2">
      <c r="A9" s="6" t="s">
        <v>36</v>
      </c>
      <c r="B9" s="11">
        <v>4.8062202087238433</v>
      </c>
      <c r="C9" s="11">
        <v>5.0469394507975638</v>
      </c>
      <c r="D9" s="11">
        <v>5.0959815353840732</v>
      </c>
      <c r="E9" s="11">
        <v>5.1452399125887434</v>
      </c>
      <c r="F9" s="11">
        <v>5.2240659447231961</v>
      </c>
      <c r="G9" s="11">
        <v>5.3034705565912228</v>
      </c>
      <c r="H9" s="11">
        <v>5.3834537481928217</v>
      </c>
      <c r="I9" s="11">
        <v>5.464015519527992</v>
      </c>
      <c r="J9" s="11">
        <v>5.5451558705967301</v>
      </c>
      <c r="K9" s="11">
        <v>5.6191396812691146</v>
      </c>
      <c r="L9" s="11">
        <v>5.6936094542000903</v>
      </c>
      <c r="M9" s="11">
        <v>5.7685651893896575</v>
      </c>
      <c r="N9" s="11">
        <v>5.8440068868378114</v>
      </c>
      <c r="O9" s="11">
        <v>5.9199345465445541</v>
      </c>
      <c r="P9" s="11">
        <v>5.9882894072698081</v>
      </c>
      <c r="Q9" s="11">
        <v>6.0570365420882393</v>
      </c>
      <c r="R9" s="11">
        <v>6.1261759509998441</v>
      </c>
      <c r="S9" s="11">
        <v>6.1957076340046218</v>
      </c>
      <c r="T9" s="11">
        <v>6.2656315911025695</v>
      </c>
      <c r="U9" s="11">
        <v>6.3278368768478641</v>
      </c>
      <c r="V9" s="11">
        <v>6.3903428050355782</v>
      </c>
      <c r="W9" s="11">
        <v>6.4531493756657072</v>
      </c>
      <c r="X9" s="11">
        <v>6.5162565887382566</v>
      </c>
      <c r="Y9" s="11">
        <v>6.5796644442532166</v>
      </c>
      <c r="Z9" s="11">
        <v>6.6353709895032553</v>
      </c>
      <c r="AA9" s="11">
        <v>6.6912902599324671</v>
      </c>
      <c r="AB9" s="11">
        <v>6.7474222555408483</v>
      </c>
      <c r="AC9" s="11">
        <v>6.8037669763283999</v>
      </c>
      <c r="AD9" s="11">
        <v>6.8603244222951192</v>
      </c>
      <c r="AE9" s="11">
        <v>6.8972012039323216</v>
      </c>
      <c r="AF9" s="11">
        <v>6.9340779855695285</v>
      </c>
      <c r="AG9" s="11">
        <v>6.9709547672067371</v>
      </c>
      <c r="AH9" s="11">
        <v>7.0078315488439493</v>
      </c>
      <c r="AI9" s="11">
        <v>7.0447083304811544</v>
      </c>
      <c r="AJ9" s="11">
        <v>7.0815851121183568</v>
      </c>
      <c r="AK9" s="11">
        <v>7.1184618937555628</v>
      </c>
      <c r="AL9" s="11">
        <v>7.155338675392775</v>
      </c>
      <c r="AM9" s="11">
        <v>7.1922154570299837</v>
      </c>
      <c r="AN9" s="11">
        <v>7.2290922386671896</v>
      </c>
      <c r="AO9" s="39">
        <f t="shared" si="2"/>
        <v>7.2661580993207391</v>
      </c>
      <c r="AP9" s="39">
        <f t="shared" si="2"/>
        <v>7.3034140084590256</v>
      </c>
      <c r="AQ9" s="39">
        <f t="shared" si="2"/>
        <v>7.340860940521222</v>
      </c>
      <c r="AR9" s="39">
        <f t="shared" si="2"/>
        <v>7.3784998749427597</v>
      </c>
      <c r="AS9" s="39">
        <f t="shared" si="2"/>
        <v>7.4163317961809483</v>
      </c>
      <c r="AT9" s="39">
        <f t="shared" si="2"/>
        <v>7.4543576937407243</v>
      </c>
      <c r="AU9" s="39">
        <f t="shared" si="2"/>
        <v>7.4925785622005305</v>
      </c>
      <c r="AV9" s="39">
        <f t="shared" si="2"/>
        <v>7.5309954012383313</v>
      </c>
      <c r="AW9" s="39">
        <f t="shared" si="2"/>
        <v>7.569609215657759</v>
      </c>
      <c r="AX9" s="39">
        <f t="shared" si="2"/>
        <v>7.6084210154143932</v>
      </c>
    </row>
    <row r="10" spans="1:50" x14ac:dyDescent="0.2">
      <c r="A10" s="6" t="s">
        <v>37</v>
      </c>
      <c r="B10" s="11">
        <v>2.8978680670246697</v>
      </c>
      <c r="C10" s="11">
        <v>3.0430076100397074</v>
      </c>
      <c r="D10" s="11">
        <v>3.0725771022168673</v>
      </c>
      <c r="E10" s="11">
        <v>3.1022770061196829</v>
      </c>
      <c r="F10" s="11">
        <v>3.1498044666713385</v>
      </c>
      <c r="G10" s="11">
        <v>3.1976807767682369</v>
      </c>
      <c r="H10" s="11">
        <v>3.2459059364103777</v>
      </c>
      <c r="I10" s="11">
        <v>3.29447994559776</v>
      </c>
      <c r="J10" s="11">
        <v>3.3434028043303812</v>
      </c>
      <c r="K10" s="11">
        <v>3.3880106901769662</v>
      </c>
      <c r="L10" s="11">
        <v>3.4329115826794663</v>
      </c>
      <c r="M10" s="11">
        <v>3.4781054818378814</v>
      </c>
      <c r="N10" s="11">
        <v>3.5235923876522093</v>
      </c>
      <c r="O10" s="11">
        <v>3.5693723001224509</v>
      </c>
      <c r="P10" s="11">
        <v>3.6105862602656198</v>
      </c>
      <c r="Q10" s="11">
        <v>3.6520367386120269</v>
      </c>
      <c r="R10" s="11">
        <v>3.6937237351616705</v>
      </c>
      <c r="S10" s="11">
        <v>3.735647249914551</v>
      </c>
      <c r="T10" s="11">
        <v>3.7778072828706666</v>
      </c>
      <c r="U10" s="11">
        <v>3.815313411040623</v>
      </c>
      <c r="V10" s="11">
        <v>3.8530008089185097</v>
      </c>
      <c r="W10" s="11">
        <v>3.8908694765043239</v>
      </c>
      <c r="X10" s="11">
        <v>3.9289194137980656</v>
      </c>
      <c r="Y10" s="11">
        <v>3.9671506207997327</v>
      </c>
      <c r="Z10" s="11">
        <v>4.0007383907299037</v>
      </c>
      <c r="AA10" s="11">
        <v>4.034454421429869</v>
      </c>
      <c r="AB10" s="11">
        <v>4.0682987128996286</v>
      </c>
      <c r="AC10" s="11">
        <v>4.1022712651391817</v>
      </c>
      <c r="AD10" s="11">
        <v>4.1363720781485274</v>
      </c>
      <c r="AE10" s="11">
        <v>4.1586066082533115</v>
      </c>
      <c r="AF10" s="11">
        <v>4.1808411383580975</v>
      </c>
      <c r="AG10" s="11">
        <v>4.2030756684628852</v>
      </c>
      <c r="AH10" s="11">
        <v>4.2253101985676755</v>
      </c>
      <c r="AI10" s="11">
        <v>4.2475447286724606</v>
      </c>
      <c r="AJ10" s="11">
        <v>4.2697792587772447</v>
      </c>
      <c r="AK10" s="11">
        <v>4.2920137888820298</v>
      </c>
      <c r="AL10" s="11">
        <v>4.3142483189868193</v>
      </c>
      <c r="AM10" s="11">
        <v>4.3364828490916061</v>
      </c>
      <c r="AN10" s="11">
        <v>4.3587173791963938</v>
      </c>
      <c r="AO10" s="39">
        <f t="shared" si="2"/>
        <v>4.3810659128257399</v>
      </c>
      <c r="AP10" s="39">
        <f t="shared" si="2"/>
        <v>4.4035290345120597</v>
      </c>
      <c r="AQ10" s="39">
        <f t="shared" si="2"/>
        <v>4.4261073317848547</v>
      </c>
      <c r="AR10" s="39">
        <f t="shared" si="2"/>
        <v>4.4488013951860763</v>
      </c>
      <c r="AS10" s="39">
        <f t="shared" si="2"/>
        <v>4.471611818285572</v>
      </c>
      <c r="AT10" s="39">
        <f t="shared" si="2"/>
        <v>4.4945391976966134</v>
      </c>
      <c r="AU10" s="39">
        <f t="shared" si="2"/>
        <v>4.5175841330914963</v>
      </c>
      <c r="AV10" s="39">
        <f t="shared" si="2"/>
        <v>4.5407472272172296</v>
      </c>
      <c r="AW10" s="39">
        <f t="shared" si="2"/>
        <v>4.5640290859112964</v>
      </c>
      <c r="AX10" s="39">
        <f t="shared" si="2"/>
        <v>4.5874303181175025</v>
      </c>
    </row>
    <row r="11" spans="1:50" x14ac:dyDescent="0.2">
      <c r="AM11" s="13" t="s">
        <v>187</v>
      </c>
      <c r="AN11" s="13">
        <f>(AN7-AM7)/AM7</f>
        <v>5.1273188153956638E-3</v>
      </c>
    </row>
    <row r="12" spans="1:50" x14ac:dyDescent="0.2">
      <c r="A12" s="5" t="s">
        <v>32</v>
      </c>
      <c r="AM12" s="13" t="s">
        <v>187</v>
      </c>
      <c r="AN12" s="13">
        <f t="shared" ref="AN12:AN14" si="3">(AN8-AM8)/AM8</f>
        <v>5.1273188153955727E-3</v>
      </c>
    </row>
    <row r="13" spans="1:50" x14ac:dyDescent="0.2">
      <c r="A13" s="5" t="s">
        <v>4</v>
      </c>
      <c r="AM13" s="13" t="s">
        <v>187</v>
      </c>
      <c r="AN13" s="13">
        <f t="shared" si="3"/>
        <v>5.1273188153951937E-3</v>
      </c>
    </row>
    <row r="14" spans="1:50" x14ac:dyDescent="0.2">
      <c r="A14" s="5" t="s">
        <v>38</v>
      </c>
      <c r="AM14" s="13" t="s">
        <v>187</v>
      </c>
      <c r="AN14" s="13">
        <f t="shared" si="3"/>
        <v>5.1273188153955996E-3</v>
      </c>
    </row>
    <row r="15" spans="1:50" x14ac:dyDescent="0.2">
      <c r="A15" s="5" t="s">
        <v>6</v>
      </c>
    </row>
    <row r="16" spans="1:50" x14ac:dyDescent="0.2">
      <c r="A16" t="s">
        <v>156</v>
      </c>
      <c r="B16">
        <v>1000000</v>
      </c>
    </row>
    <row r="17" spans="1:50" x14ac:dyDescent="0.2">
      <c r="A17" s="6" t="s">
        <v>7</v>
      </c>
      <c r="B17" s="6">
        <v>2022</v>
      </c>
      <c r="C17" s="6">
        <v>2023</v>
      </c>
      <c r="D17" s="6">
        <v>2024</v>
      </c>
      <c r="E17" s="6">
        <v>2025</v>
      </c>
      <c r="F17" s="6">
        <v>2026</v>
      </c>
      <c r="G17" s="6">
        <v>2027</v>
      </c>
      <c r="H17" s="6">
        <v>2028</v>
      </c>
      <c r="I17" s="6">
        <v>2029</v>
      </c>
      <c r="J17" s="6">
        <v>2030</v>
      </c>
      <c r="K17" s="6">
        <v>2031</v>
      </c>
      <c r="L17" s="6">
        <v>2032</v>
      </c>
      <c r="M17" s="6">
        <v>2033</v>
      </c>
      <c r="N17" s="6">
        <v>2034</v>
      </c>
      <c r="O17" s="6">
        <v>2035</v>
      </c>
      <c r="P17" s="6">
        <v>2036</v>
      </c>
      <c r="Q17" s="6">
        <v>2037</v>
      </c>
      <c r="R17" s="6">
        <v>2038</v>
      </c>
      <c r="S17" s="6">
        <v>2039</v>
      </c>
      <c r="T17" s="6">
        <v>2040</v>
      </c>
      <c r="U17" s="6">
        <v>2041</v>
      </c>
      <c r="V17" s="6">
        <v>2042</v>
      </c>
      <c r="W17" s="6">
        <v>2043</v>
      </c>
      <c r="X17" s="6">
        <v>2044</v>
      </c>
      <c r="Y17" s="6">
        <v>2045</v>
      </c>
      <c r="Z17" s="6">
        <v>2046</v>
      </c>
      <c r="AA17" s="6">
        <v>2047</v>
      </c>
      <c r="AB17" s="6">
        <v>2048</v>
      </c>
      <c r="AC17" s="6">
        <v>2049</v>
      </c>
      <c r="AD17" s="6">
        <v>2050</v>
      </c>
      <c r="AE17" s="6">
        <v>2051</v>
      </c>
      <c r="AF17" s="6">
        <v>2052</v>
      </c>
      <c r="AG17" s="6">
        <v>2053</v>
      </c>
      <c r="AH17" s="6">
        <v>2054</v>
      </c>
      <c r="AI17" s="6">
        <v>2055</v>
      </c>
      <c r="AJ17" s="6">
        <v>2056</v>
      </c>
      <c r="AK17" s="6">
        <v>2057</v>
      </c>
      <c r="AL17" s="6">
        <v>2058</v>
      </c>
      <c r="AM17" s="6">
        <v>2059</v>
      </c>
      <c r="AN17" s="6">
        <v>2060</v>
      </c>
      <c r="AO17" s="39">
        <f>AN17+1</f>
        <v>2061</v>
      </c>
      <c r="AP17" s="39">
        <f t="shared" ref="AP17:AX17" si="4">AO17+1</f>
        <v>2062</v>
      </c>
      <c r="AQ17" s="39">
        <f t="shared" si="4"/>
        <v>2063</v>
      </c>
      <c r="AR17" s="39">
        <f t="shared" si="4"/>
        <v>2064</v>
      </c>
      <c r="AS17" s="39">
        <f t="shared" si="4"/>
        <v>2065</v>
      </c>
      <c r="AT17" s="39">
        <f t="shared" si="4"/>
        <v>2066</v>
      </c>
      <c r="AU17" s="39">
        <f t="shared" si="4"/>
        <v>2067</v>
      </c>
      <c r="AV17" s="39">
        <f t="shared" si="4"/>
        <v>2068</v>
      </c>
      <c r="AW17" s="39">
        <f>AV17+1</f>
        <v>2069</v>
      </c>
      <c r="AX17" s="39">
        <f t="shared" si="4"/>
        <v>2070</v>
      </c>
    </row>
    <row r="18" spans="1:50" x14ac:dyDescent="0.2">
      <c r="A18" s="6" t="s">
        <v>34</v>
      </c>
      <c r="B18" s="11">
        <v>2.3983641969534051</v>
      </c>
      <c r="C18" s="11">
        <v>2.5548925416777233</v>
      </c>
      <c r="D18" s="11">
        <v>2.721636650435403</v>
      </c>
      <c r="E18" s="11">
        <v>2.8992632512555994</v>
      </c>
      <c r="F18" s="11">
        <v>3.0884825859236043</v>
      </c>
      <c r="G18" s="11">
        <v>3.2900512498899035</v>
      </c>
      <c r="H18" s="11">
        <v>3.5047752175248528</v>
      </c>
      <c r="I18" s="11">
        <v>3.7335130648154564</v>
      </c>
      <c r="J18" s="11">
        <v>3.9771794023902656</v>
      </c>
      <c r="K18" s="11">
        <v>4.2367485325993499</v>
      </c>
      <c r="L18" s="11">
        <v>4.5132583452722441</v>
      </c>
      <c r="M18" s="11">
        <v>4.8078144677310766</v>
      </c>
      <c r="N18" s="11">
        <v>5.1215946856527479</v>
      </c>
      <c r="O18" s="11">
        <v>5.4558536524570593</v>
      </c>
      <c r="P18" s="11">
        <v>5.8119279060512596</v>
      </c>
      <c r="Q18" s="11">
        <v>6.1912412129905858</v>
      </c>
      <c r="R18" s="11">
        <v>6.5953102614234451</v>
      </c>
      <c r="S18" s="11">
        <v>7.0257507255845217</v>
      </c>
      <c r="T18" s="11">
        <v>7.484283726084775</v>
      </c>
      <c r="U18" s="11">
        <v>7.9727427118298682</v>
      </c>
      <c r="V18" s="11">
        <v>8.4930807910844166</v>
      </c>
      <c r="W18" s="11">
        <v>9.0473785409954086</v>
      </c>
      <c r="X18" s="11">
        <v>9.6378523268012799</v>
      </c>
      <c r="Y18" s="11">
        <v>10.266863163991045</v>
      </c>
      <c r="Z18" s="11">
        <v>10.936926158848969</v>
      </c>
      <c r="AA18" s="11">
        <v>11.65072056513279</v>
      </c>
      <c r="AB18" s="11">
        <v>12.411100497097413</v>
      </c>
      <c r="AC18" s="11">
        <v>13.221106341699997</v>
      </c>
      <c r="AD18" s="11">
        <v>14.083976915618381</v>
      </c>
      <c r="AE18" s="11">
        <v>15.003162415692831</v>
      </c>
      <c r="AF18" s="11">
        <v>15.982338214573449</v>
      </c>
      <c r="AG18" s="11">
        <v>17.025419556735432</v>
      </c>
      <c r="AH18" s="11">
        <v>18.136577213624271</v>
      </c>
      <c r="AI18" s="11">
        <v>19.320254160528169</v>
      </c>
      <c r="AJ18" s="11">
        <v>20.581183341860243</v>
      </c>
      <c r="AK18" s="11">
        <v>21.924406595885372</v>
      </c>
      <c r="AL18" s="11">
        <v>23.355294814562175</v>
      </c>
      <c r="AM18" s="11">
        <v>24.879569419109608</v>
      </c>
      <c r="AN18" s="11">
        <v>26.503325237168408</v>
      </c>
      <c r="AO18" s="39">
        <f>(AN18+AN18*$AN$22)</f>
        <v>28.233054873031897</v>
      </c>
      <c r="AP18" s="39">
        <f t="shared" ref="AP18:AX18" si="5">(AO18+AO18*$AN$22)</f>
        <v>30.07567466839086</v>
      </c>
      <c r="AQ18" s="39">
        <f t="shared" si="5"/>
        <v>32.038552357396746</v>
      </c>
      <c r="AR18" s="39">
        <f t="shared" si="5"/>
        <v>34.129536526622225</v>
      </c>
      <c r="AS18" s="39">
        <f t="shared" si="5"/>
        <v>36.356987997715109</v>
      </c>
      <c r="AT18" s="39">
        <f t="shared" si="5"/>
        <v>38.72981325822947</v>
      </c>
      <c r="AU18" s="39">
        <f t="shared" si="5"/>
        <v>41.25750007430748</v>
      </c>
      <c r="AV18" s="39">
        <f t="shared" si="5"/>
        <v>43.950155427609637</v>
      </c>
      <c r="AW18" s="39">
        <f t="shared" si="5"/>
        <v>46.818545928184612</v>
      </c>
      <c r="AX18" s="39">
        <f t="shared" si="5"/>
        <v>49.874140864869958</v>
      </c>
    </row>
    <row r="19" spans="1:50" x14ac:dyDescent="0.2">
      <c r="A19" s="6" t="s">
        <v>35</v>
      </c>
      <c r="B19" s="11">
        <v>0.74881054113024859</v>
      </c>
      <c r="C19" s="11">
        <v>0.7976813817907823</v>
      </c>
      <c r="D19" s="11">
        <v>0.84974175963820264</v>
      </c>
      <c r="E19" s="11">
        <v>0.90519983862731379</v>
      </c>
      <c r="F19" s="11">
        <v>0.96427736845578582</v>
      </c>
      <c r="G19" s="11">
        <v>1.0272105712325943</v>
      </c>
      <c r="H19" s="11">
        <v>1.0942510860145467</v>
      </c>
      <c r="I19" s="11">
        <v>1.1656669749876312</v>
      </c>
      <c r="J19" s="11">
        <v>1.2417437953164177</v>
      </c>
      <c r="K19" s="11">
        <v>1.3227857409473081</v>
      </c>
      <c r="L19" s="11">
        <v>1.4091168589311531</v>
      </c>
      <c r="M19" s="11">
        <v>1.5010823451287074</v>
      </c>
      <c r="N19" s="11">
        <v>1.5990499244798173</v>
      </c>
      <c r="O19" s="11">
        <v>1.7034113213553712</v>
      </c>
      <c r="P19" s="11">
        <v>1.8145838258712075</v>
      </c>
      <c r="Q19" s="11">
        <v>1.9330119624269249</v>
      </c>
      <c r="R19" s="11">
        <v>2.0591692671412569</v>
      </c>
      <c r="S19" s="11">
        <v>2.1935601812910952</v>
      </c>
      <c r="T19" s="11">
        <v>2.3367220683251109</v>
      </c>
      <c r="U19" s="11">
        <v>2.4892273625170178</v>
      </c>
      <c r="V19" s="11">
        <v>2.6516858578498859</v>
      </c>
      <c r="W19" s="11">
        <v>2.8247471462836344</v>
      </c>
      <c r="X19" s="11">
        <v>3.0091032151551507</v>
      </c>
      <c r="Y19" s="11">
        <v>3.2054912140967518</v>
      </c>
      <c r="Z19" s="11">
        <v>3.4146964025365567</v>
      </c>
      <c r="AA19" s="11">
        <v>3.6375552895663454</v>
      </c>
      <c r="AB19" s="11">
        <v>3.8749589787317724</v>
      </c>
      <c r="AC19" s="11">
        <v>4.1278567311190031</v>
      </c>
      <c r="AD19" s="11">
        <v>4.397259760984924</v>
      </c>
      <c r="AE19" s="11">
        <v>4.6842452791077163</v>
      </c>
      <c r="AF19" s="11">
        <v>4.9899608000251936</v>
      </c>
      <c r="AG19" s="11">
        <v>5.3156287303834615</v>
      </c>
      <c r="AH19" s="11">
        <v>5.6625512567424208</v>
      </c>
      <c r="AI19" s="11">
        <v>6.0321155523820975</v>
      </c>
      <c r="AJ19" s="11">
        <v>6.4257993239292164</v>
      </c>
      <c r="AK19" s="11">
        <v>6.8451767199823106</v>
      </c>
      <c r="AL19" s="11">
        <v>7.2919246253610401</v>
      </c>
      <c r="AM19" s="11">
        <v>7.7678293661473443</v>
      </c>
      <c r="AN19" s="11">
        <v>8.2747938523285978</v>
      </c>
      <c r="AO19" s="39">
        <f t="shared" ref="AO19:AX21" si="6">(AN19+AN19*$AN$22)</f>
        <v>8.8148451866027191</v>
      </c>
      <c r="AP19" s="39">
        <f t="shared" si="6"/>
        <v>9.390142769769092</v>
      </c>
      <c r="AQ19" s="39">
        <f t="shared" si="6"/>
        <v>10.002986935114821</v>
      </c>
      <c r="AR19" s="39">
        <f t="shared" si="6"/>
        <v>10.655828146320966</v>
      </c>
      <c r="AS19" s="39">
        <f t="shared" si="6"/>
        <v>11.351276795666706</v>
      </c>
      <c r="AT19" s="39">
        <f t="shared" si="6"/>
        <v>12.092113641709652</v>
      </c>
      <c r="AU19" s="39">
        <f t="shared" si="6"/>
        <v>12.881300928177446</v>
      </c>
      <c r="AV19" s="39">
        <f t="shared" si="6"/>
        <v>13.721994228529702</v>
      </c>
      <c r="AW19" s="39">
        <f t="shared" si="6"/>
        <v>14.617555063550849</v>
      </c>
      <c r="AX19" s="39">
        <f t="shared" si="6"/>
        <v>15.571564342425459</v>
      </c>
    </row>
    <row r="20" spans="1:50" x14ac:dyDescent="0.2">
      <c r="A20" s="6" t="s">
        <v>36</v>
      </c>
      <c r="B20" s="11">
        <v>0.22428141811630631</v>
      </c>
      <c r="C20" s="11">
        <v>0.2389190612126981</v>
      </c>
      <c r="D20" s="11">
        <v>0.25451202462593503</v>
      </c>
      <c r="E20" s="11">
        <v>0.27112265698016164</v>
      </c>
      <c r="F20" s="11">
        <v>0.28881737605922086</v>
      </c>
      <c r="G20" s="11">
        <v>0.30766693437884468</v>
      </c>
      <c r="H20" s="11">
        <v>0.32774670209131351</v>
      </c>
      <c r="I20" s="11">
        <v>0.34913696835378327</v>
      </c>
      <c r="J20" s="11">
        <v>0.37192326236530382</v>
      </c>
      <c r="K20" s="11">
        <v>0.39619669535619861</v>
      </c>
      <c r="L20" s="11">
        <v>0.42205432489725353</v>
      </c>
      <c r="M20" s="11">
        <v>0.44959954298540983</v>
      </c>
      <c r="N20" s="11">
        <v>0.478942489457723</v>
      </c>
      <c r="O20" s="11">
        <v>0.5102004923866329</v>
      </c>
      <c r="P20" s="11">
        <v>0.54349853721746311</v>
      </c>
      <c r="Q20" s="11">
        <v>0.57896976652400634</v>
      </c>
      <c r="R20" s="11">
        <v>0.61675601238047306</v>
      </c>
      <c r="S20" s="11">
        <v>0.65700836347849223</v>
      </c>
      <c r="T20" s="11">
        <v>0.69988776925679641</v>
      </c>
      <c r="U20" s="11">
        <v>0.74556568345920338</v>
      </c>
      <c r="V20" s="11">
        <v>0.79422474969416856</v>
      </c>
      <c r="W20" s="11">
        <v>0.84605953173712711</v>
      </c>
      <c r="X20" s="11">
        <v>0.90127729149574554</v>
      </c>
      <c r="Y20" s="11">
        <v>0.96009881774878547</v>
      </c>
      <c r="Z20" s="11">
        <v>1.0227593089723019</v>
      </c>
      <c r="AA20" s="11">
        <v>1.0895093137831566</v>
      </c>
      <c r="AB20" s="11">
        <v>1.1606157327602409</v>
      </c>
      <c r="AC20" s="11">
        <v>1.23636288564917</v>
      </c>
      <c r="AD20" s="11">
        <v>1.3170536482177067</v>
      </c>
      <c r="AE20" s="11">
        <v>1.4030106633076249</v>
      </c>
      <c r="AF20" s="11">
        <v>1.4945776309254204</v>
      </c>
      <c r="AG20" s="11">
        <v>1.592120682530312</v>
      </c>
      <c r="AH20" s="11">
        <v>1.696029845014638</v>
      </c>
      <c r="AI20" s="11">
        <v>1.8067206002303866</v>
      </c>
      <c r="AJ20" s="11">
        <v>1.9246355462976397</v>
      </c>
      <c r="AK20" s="11">
        <v>2.0502461673376966</v>
      </c>
      <c r="AL20" s="11">
        <v>2.1840547187071717</v>
      </c>
      <c r="AM20" s="11">
        <v>2.3265962352711846</v>
      </c>
      <c r="AN20" s="11">
        <v>2.4784406707457638</v>
      </c>
      <c r="AO20" s="39">
        <f t="shared" si="6"/>
        <v>2.6401951766636165</v>
      </c>
      <c r="AP20" s="39">
        <f t="shared" si="6"/>
        <v>2.8125065300757672</v>
      </c>
      <c r="AQ20" s="39">
        <f t="shared" si="6"/>
        <v>2.996063719696227</v>
      </c>
      <c r="AR20" s="39">
        <f t="shared" si="6"/>
        <v>3.1916007008304343</v>
      </c>
      <c r="AS20" s="39">
        <f t="shared" si="6"/>
        <v>3.399899330103072</v>
      </c>
      <c r="AT20" s="39">
        <f t="shared" si="6"/>
        <v>3.6217924917197997</v>
      </c>
      <c r="AU20" s="39">
        <f t="shared" si="6"/>
        <v>3.8581674277632936</v>
      </c>
      <c r="AV20" s="39">
        <f t="shared" si="6"/>
        <v>4.1099692858398154</v>
      </c>
      <c r="AW20" s="39">
        <f t="shared" si="6"/>
        <v>4.3782048982616084</v>
      </c>
      <c r="AX20" s="39">
        <f t="shared" si="6"/>
        <v>4.6639468078762265</v>
      </c>
    </row>
    <row r="21" spans="1:50" x14ac:dyDescent="0.2">
      <c r="A21" s="6" t="s">
        <v>37</v>
      </c>
      <c r="B21" s="11">
        <v>0.24598607148240051</v>
      </c>
      <c r="C21" s="11">
        <v>0.26204026068489467</v>
      </c>
      <c r="D21" s="11">
        <v>0.27914222055747717</v>
      </c>
      <c r="E21" s="11">
        <v>0.29736033346211277</v>
      </c>
      <c r="F21" s="11">
        <v>0.3167674447101132</v>
      </c>
      <c r="G21" s="11">
        <v>0.3374411538348619</v>
      </c>
      <c r="H21" s="11">
        <v>0.35946412487434387</v>
      </c>
      <c r="I21" s="11">
        <v>0.38292441690414936</v>
      </c>
      <c r="J21" s="11">
        <v>0.4079158361425913</v>
      </c>
      <c r="K21" s="11">
        <v>0.43453831103583068</v>
      </c>
      <c r="L21" s="11">
        <v>0.46289829182279418</v>
      </c>
      <c r="M21" s="11">
        <v>0.49310917617754635</v>
      </c>
      <c r="N21" s="11">
        <v>0.52529176263105104</v>
      </c>
      <c r="O21" s="11">
        <v>0.55957473358533938</v>
      </c>
      <c r="P21" s="11">
        <v>0.5960951698514112</v>
      </c>
      <c r="Q21" s="11">
        <v>0.6349990987682651</v>
      </c>
      <c r="R21" s="11">
        <v>0.67644207809471235</v>
      </c>
      <c r="S21" s="11">
        <v>0.72058981800866895</v>
      </c>
      <c r="T21" s="11">
        <v>0.76761884370100253</v>
      </c>
      <c r="U21" s="11">
        <v>0.81771720121331981</v>
      </c>
      <c r="V21" s="11">
        <v>0.8710852093419913</v>
      </c>
      <c r="W21" s="11">
        <v>0.92793626061491374</v>
      </c>
      <c r="X21" s="11">
        <v>0.98849767454372106</v>
      </c>
      <c r="Y21" s="11">
        <v>1.0530116065631843</v>
      </c>
      <c r="Z21" s="11">
        <v>1.1217360162922021</v>
      </c>
      <c r="AA21" s="11">
        <v>1.1949456989879783</v>
      </c>
      <c r="AB21" s="11">
        <v>1.2729333843176835</v>
      </c>
      <c r="AC21" s="11">
        <v>1.3560109068410253</v>
      </c>
      <c r="AD21" s="11">
        <v>1.4445104528839365</v>
      </c>
      <c r="AE21" s="11">
        <v>1.5387858887890082</v>
      </c>
      <c r="AF21" s="11">
        <v>1.6392141758536869</v>
      </c>
      <c r="AG21" s="11">
        <v>1.7461968776138908</v>
      </c>
      <c r="AH21" s="11">
        <v>1.8601617654999254</v>
      </c>
      <c r="AI21" s="11">
        <v>1.9815645292849402</v>
      </c>
      <c r="AJ21" s="11">
        <v>2.1108905991651534</v>
      </c>
      <c r="AK21" s="11">
        <v>2.2486570867574742</v>
      </c>
      <c r="AL21" s="11">
        <v>2.3954148527756076</v>
      </c>
      <c r="AM21" s="11">
        <v>2.5517507096522674</v>
      </c>
      <c r="AN21" s="11">
        <v>2.7182897679147082</v>
      </c>
      <c r="AO21" s="39">
        <f t="shared" si="6"/>
        <v>2.895697935695579</v>
      </c>
      <c r="AP21" s="39">
        <f t="shared" si="6"/>
        <v>3.0846845813734216</v>
      </c>
      <c r="AQ21" s="39">
        <f t="shared" si="6"/>
        <v>3.2860053699894096</v>
      </c>
      <c r="AR21" s="39">
        <f t="shared" si="6"/>
        <v>3.5004652847817659</v>
      </c>
      <c r="AS21" s="39">
        <f t="shared" si="6"/>
        <v>3.7289218459194973</v>
      </c>
      <c r="AT21" s="39">
        <f t="shared" si="6"/>
        <v>3.9722885393055853</v>
      </c>
      <c r="AU21" s="39">
        <f t="shared" si="6"/>
        <v>4.23153846915974</v>
      </c>
      <c r="AV21" s="39">
        <f t="shared" si="6"/>
        <v>4.507708248985602</v>
      </c>
      <c r="AW21" s="39">
        <f t="shared" si="6"/>
        <v>4.8019021464804714</v>
      </c>
      <c r="AX21" s="39">
        <f t="shared" si="6"/>
        <v>5.1152964989610199</v>
      </c>
    </row>
    <row r="22" spans="1:50" x14ac:dyDescent="0.2">
      <c r="AM22" s="13" t="s">
        <v>187</v>
      </c>
      <c r="AN22" s="13">
        <f>(AN18-AM18)/AM18</f>
        <v>6.52646270000002E-2</v>
      </c>
    </row>
    <row r="23" spans="1:50" x14ac:dyDescent="0.2">
      <c r="A23" s="5" t="s">
        <v>32</v>
      </c>
      <c r="AM23" s="13" t="s">
        <v>187</v>
      </c>
      <c r="AN23" s="13">
        <f t="shared" ref="AN23:AN25" si="7">(AN19-AM19)/AM19</f>
        <v>6.5264627000000075E-2</v>
      </c>
    </row>
    <row r="24" spans="1:50" x14ac:dyDescent="0.2">
      <c r="A24" s="5" t="s">
        <v>4</v>
      </c>
      <c r="AM24" s="13" t="s">
        <v>187</v>
      </c>
      <c r="AN24" s="13">
        <f t="shared" si="7"/>
        <v>6.526462700000045E-2</v>
      </c>
    </row>
    <row r="25" spans="1:50" x14ac:dyDescent="0.2">
      <c r="A25" s="5" t="s">
        <v>45</v>
      </c>
      <c r="AM25" s="13" t="s">
        <v>187</v>
      </c>
      <c r="AN25" s="13">
        <f t="shared" si="7"/>
        <v>6.5264627000000131E-2</v>
      </c>
    </row>
    <row r="26" spans="1:50" x14ac:dyDescent="0.2">
      <c r="A26" s="5" t="s">
        <v>6</v>
      </c>
    </row>
    <row r="27" spans="1:50" x14ac:dyDescent="0.2">
      <c r="A27" t="s">
        <v>156</v>
      </c>
      <c r="B27">
        <v>1000000</v>
      </c>
    </row>
    <row r="28" spans="1:50" x14ac:dyDescent="0.2">
      <c r="A28" s="6" t="s">
        <v>7</v>
      </c>
      <c r="B28" s="6">
        <v>2022</v>
      </c>
      <c r="C28" s="6">
        <v>2023</v>
      </c>
      <c r="D28" s="6">
        <v>2024</v>
      </c>
      <c r="E28" s="6">
        <v>2025</v>
      </c>
      <c r="F28" s="6">
        <v>2026</v>
      </c>
      <c r="G28" s="6">
        <v>2027</v>
      </c>
      <c r="H28" s="6">
        <v>2028</v>
      </c>
      <c r="I28" s="6">
        <v>2029</v>
      </c>
      <c r="J28" s="6">
        <v>2030</v>
      </c>
      <c r="K28" s="6">
        <v>2031</v>
      </c>
      <c r="L28" s="6">
        <v>2032</v>
      </c>
      <c r="M28" s="6">
        <v>2033</v>
      </c>
      <c r="N28" s="6">
        <v>2034</v>
      </c>
      <c r="O28" s="6">
        <v>2035</v>
      </c>
      <c r="P28" s="6">
        <v>2036</v>
      </c>
      <c r="Q28" s="6">
        <v>2037</v>
      </c>
      <c r="R28" s="6">
        <v>2038</v>
      </c>
      <c r="S28" s="6">
        <v>2039</v>
      </c>
      <c r="T28" s="6">
        <v>2040</v>
      </c>
      <c r="U28" s="6">
        <v>2041</v>
      </c>
      <c r="V28" s="6">
        <v>2042</v>
      </c>
      <c r="W28" s="6">
        <v>2043</v>
      </c>
      <c r="X28" s="6">
        <v>2044</v>
      </c>
      <c r="Y28" s="6">
        <v>2045</v>
      </c>
      <c r="Z28" s="6">
        <v>2046</v>
      </c>
      <c r="AA28" s="6">
        <v>2047</v>
      </c>
      <c r="AB28" s="6">
        <v>2048</v>
      </c>
      <c r="AC28" s="6">
        <v>2049</v>
      </c>
      <c r="AD28" s="6">
        <v>2050</v>
      </c>
      <c r="AE28" s="6">
        <v>2051</v>
      </c>
      <c r="AF28" s="6">
        <v>2052</v>
      </c>
      <c r="AG28" s="6">
        <v>2053</v>
      </c>
      <c r="AH28" s="6">
        <v>2054</v>
      </c>
      <c r="AI28" s="6">
        <v>2055</v>
      </c>
      <c r="AJ28" s="6">
        <v>2056</v>
      </c>
      <c r="AK28" s="6">
        <v>2057</v>
      </c>
      <c r="AL28" s="6">
        <v>2058</v>
      </c>
      <c r="AM28" s="6">
        <v>2059</v>
      </c>
      <c r="AN28" s="6">
        <v>2060</v>
      </c>
      <c r="AO28" s="39">
        <f>AN28+1</f>
        <v>2061</v>
      </c>
      <c r="AP28" s="39">
        <f t="shared" ref="AP28:AX28" si="8">AO28+1</f>
        <v>2062</v>
      </c>
      <c r="AQ28" s="39">
        <f t="shared" si="8"/>
        <v>2063</v>
      </c>
      <c r="AR28" s="39">
        <f t="shared" si="8"/>
        <v>2064</v>
      </c>
      <c r="AS28" s="39">
        <f t="shared" si="8"/>
        <v>2065</v>
      </c>
      <c r="AT28" s="39">
        <f t="shared" si="8"/>
        <v>2066</v>
      </c>
      <c r="AU28" s="39">
        <f t="shared" si="8"/>
        <v>2067</v>
      </c>
      <c r="AV28" s="39">
        <f t="shared" si="8"/>
        <v>2068</v>
      </c>
      <c r="AW28" s="39">
        <f>AV28+1</f>
        <v>2069</v>
      </c>
      <c r="AX28" s="39">
        <f t="shared" si="8"/>
        <v>2070</v>
      </c>
    </row>
    <row r="29" spans="1:50" x14ac:dyDescent="0.2">
      <c r="A29" s="6" t="s">
        <v>34</v>
      </c>
      <c r="B29" s="11">
        <v>5.2568266025942689</v>
      </c>
      <c r="C29" s="11">
        <v>5.5999114300162605</v>
      </c>
      <c r="D29" s="11">
        <v>5.9653875607293108</v>
      </c>
      <c r="E29" s="11">
        <v>6.3547163547907521</v>
      </c>
      <c r="F29" s="11">
        <v>6.7694545473769701</v>
      </c>
      <c r="G29" s="11">
        <v>7.2112604734049839</v>
      </c>
      <c r="H29" s="11">
        <v>7.6819006984016047</v>
      </c>
      <c r="I29" s="11">
        <v>8.1832570821338244</v>
      </c>
      <c r="J29" s="11">
        <v>8.7173343032443995</v>
      </c>
      <c r="K29" s="11">
        <v>9.2862678749799521</v>
      </c>
      <c r="L29" s="11">
        <v>9.8923326840626018</v>
      </c>
      <c r="M29" s="11">
        <v>10.537952086847861</v>
      </c>
      <c r="N29" s="11">
        <v>11.225707599139858</v>
      </c>
      <c r="O29" s="11">
        <v>11.958349218408795</v>
      </c>
      <c r="P29" s="11">
        <v>12.738806419683987</v>
      </c>
      <c r="Q29" s="11">
        <v>13.570199869089869</v>
      </c>
      <c r="R29" s="11">
        <v>14.455853901861474</v>
      </c>
      <c r="S29" s="11">
        <v>15.399309814732955</v>
      </c>
      <c r="T29" s="11">
        <v>16.404340025848949</v>
      </c>
      <c r="U29" s="11">
        <v>17.474963158817157</v>
      </c>
      <c r="V29" s="11">
        <v>18.615460111216102</v>
      </c>
      <c r="W29" s="11">
        <v>19.830391171807999</v>
      </c>
      <c r="X29" s="11">
        <v>21.124614254900148</v>
      </c>
      <c r="Y29" s="11">
        <v>22.503304324765089</v>
      </c>
      <c r="Z29" s="11">
        <v>23.971974087788382</v>
      </c>
      <c r="AA29" s="11">
        <v>25.536496035081562</v>
      </c>
      <c r="AB29" s="11">
        <v>27.203125923698142</v>
      </c>
      <c r="AC29" s="11">
        <v>28.978527790342334</v>
      </c>
      <c r="AD29" s="11">
        <v>30.869800597588171</v>
      </c>
      <c r="AE29" s="11">
        <v>32.884506619154152</v>
      </c>
      <c r="AF29" s="11">
        <v>35.030701677732289</v>
      </c>
      <c r="AG29" s="11">
        <v>37.316967356277765</v>
      </c>
      <c r="AH29" s="11">
        <v>39.752445311556407</v>
      </c>
      <c r="AI29" s="11">
        <v>42.346873827153047</v>
      </c>
      <c r="AJ29" s="11">
        <v>45.110626752098263</v>
      </c>
      <c r="AK29" s="11">
        <v>48.054754980810202</v>
      </c>
      <c r="AL29" s="11">
        <v>51.191030640209185</v>
      </c>
      <c r="AM29" s="11">
        <v>54.531994160688008</v>
      </c>
      <c r="AN29" s="11">
        <v>58.091004419151496</v>
      </c>
      <c r="AO29" s="39">
        <f>(AN29+AN29*$AN$33)</f>
        <v>61.882292154622775</v>
      </c>
      <c r="AP29" s="39">
        <f t="shared" ref="AP29:AX29" si="9">(AO29+AO29*$AN$33)</f>
        <v>65.921016869999264</v>
      </c>
      <c r="AQ29" s="39">
        <f t="shared" si="9"/>
        <v>70.223327447480486</v>
      </c>
      <c r="AR29" s="39">
        <f t="shared" si="9"/>
        <v>74.80642672003917</v>
      </c>
      <c r="AS29" s="39">
        <f t="shared" si="9"/>
        <v>79.688640257125371</v>
      </c>
      <c r="AT29" s="39">
        <f t="shared" si="9"/>
        <v>84.889489639643855</v>
      </c>
      <c r="AU29" s="39">
        <f t="shared" si="9"/>
        <v>90.429770517195593</v>
      </c>
      <c r="AV29" s="39">
        <f t="shared" si="9"/>
        <v>96.33163575969597</v>
      </c>
      <c r="AW29" s="39">
        <f t="shared" si="9"/>
        <v>102.6186840358524</v>
      </c>
      <c r="AX29" s="39">
        <f t="shared" si="9"/>
        <v>109.31605417268317</v>
      </c>
    </row>
    <row r="30" spans="1:50" x14ac:dyDescent="0.2">
      <c r="A30" s="6" t="s">
        <v>35</v>
      </c>
      <c r="B30" s="11">
        <v>1.6412716542036403</v>
      </c>
      <c r="C30" s="11">
        <v>1.7483886365209138</v>
      </c>
      <c r="D30" s="11">
        <v>1.8624965687344908</v>
      </c>
      <c r="E30" s="11">
        <v>1.9840517125817274</v>
      </c>
      <c r="F30" s="11">
        <v>2.1135401075520854</v>
      </c>
      <c r="G30" s="11">
        <v>2.2514795143210127</v>
      </c>
      <c r="H30" s="11">
        <v>2.3984214850213155</v>
      </c>
      <c r="I30" s="11">
        <v>2.5549535686300175</v>
      </c>
      <c r="J30" s="11">
        <v>2.721701660288975</v>
      </c>
      <c r="K30" s="11">
        <v>2.8993325039530164</v>
      </c>
      <c r="L30" s="11">
        <v>3.0885563583724869</v>
      </c>
      <c r="M30" s="11">
        <v>3.2901298370701459</v>
      </c>
      <c r="N30" s="11">
        <v>3.5048589336681002</v>
      </c>
      <c r="O30" s="11">
        <v>3.7336022446615691</v>
      </c>
      <c r="P30" s="11">
        <v>3.9772744025257696</v>
      </c>
      <c r="Q30" s="11">
        <v>4.2368497328832619</v>
      </c>
      <c r="R30" s="11">
        <v>4.5133661503549396</v>
      </c>
      <c r="S30" s="11">
        <v>4.8079293086722812</v>
      </c>
      <c r="T30" s="11">
        <v>5.1217170216451455</v>
      </c>
      <c r="U30" s="11">
        <v>5.4559839726623691</v>
      </c>
      <c r="V30" s="11">
        <v>5.8120667315561576</v>
      </c>
      <c r="W30" s="11">
        <v>6.1913890988902791</v>
      </c>
      <c r="X30" s="11">
        <v>6.5954677990412227</v>
      </c>
      <c r="Y30" s="11">
        <v>7.0259185448361592</v>
      </c>
      <c r="Z30" s="11">
        <v>7.4844624979972769</v>
      </c>
      <c r="AA30" s="11">
        <v>7.9729331512245585</v>
      </c>
      <c r="AB30" s="11">
        <v>8.4932836594351677</v>
      </c>
      <c r="AC30" s="11">
        <v>9.0475946494733996</v>
      </c>
      <c r="AD30" s="11">
        <v>9.6380825395184768</v>
      </c>
      <c r="AE30" s="11">
        <v>10.267108401455369</v>
      </c>
      <c r="AF30" s="11">
        <v>10.937187401644923</v>
      </c>
      <c r="AG30" s="11">
        <v>11.65099885784238</v>
      </c>
      <c r="AH30" s="11">
        <v>12.411396952476885</v>
      </c>
      <c r="AI30" s="11">
        <v>13.221422145129232</v>
      </c>
      <c r="AJ30" s="11">
        <v>14.084313329840635</v>
      </c>
      <c r="AK30" s="11">
        <v>15.003520785863817</v>
      </c>
      <c r="AL30" s="11">
        <v>15.982719973639966</v>
      </c>
      <c r="AM30" s="11">
        <v>17.025826231165031</v>
      </c>
      <c r="AN30" s="11">
        <v>18.137010429508837</v>
      </c>
      <c r="AO30" s="39">
        <f t="shared" ref="AO30:AX32" si="10">(AN30+AN30*$AN$33)</f>
        <v>19.320715650085845</v>
      </c>
      <c r="AP30" s="39">
        <f t="shared" si="10"/>
        <v>20.581674950361762</v>
      </c>
      <c r="AQ30" s="39">
        <f t="shared" si="10"/>
        <v>21.924930289032368</v>
      </c>
      <c r="AR30" s="39">
        <f t="shared" si="10"/>
        <v>23.35585268634707</v>
      </c>
      <c r="AS30" s="39">
        <f t="shared" si="10"/>
        <v>24.880163700188461</v>
      </c>
      <c r="AT30" s="39">
        <f t="shared" si="10"/>
        <v>26.503958303780205</v>
      </c>
      <c r="AU30" s="39">
        <f t="shared" si="10"/>
        <v>28.233729256499977</v>
      </c>
      <c r="AV30" s="39">
        <f t="shared" si="10"/>
        <v>30.076393065244439</v>
      </c>
      <c r="AW30" s="39">
        <f t="shared" si="10"/>
        <v>32.039317640153008</v>
      </c>
      <c r="AX30" s="39">
        <f t="shared" si="10"/>
        <v>34.130351755272116</v>
      </c>
    </row>
    <row r="31" spans="1:50" x14ac:dyDescent="0.2">
      <c r="A31" s="6" t="s">
        <v>36</v>
      </c>
      <c r="B31" s="11">
        <v>0.49158861140398885</v>
      </c>
      <c r="C31" s="11">
        <v>0.52367195876471817</v>
      </c>
      <c r="D31" s="11">
        <v>0.55784921382385699</v>
      </c>
      <c r="E31" s="11">
        <v>0.59425703468631452</v>
      </c>
      <c r="F31" s="11">
        <v>0.63304099839724293</v>
      </c>
      <c r="G31" s="11">
        <v>0.67435618303334677</v>
      </c>
      <c r="H31" s="11">
        <v>0.7183677877841621</v>
      </c>
      <c r="I31" s="11">
        <v>0.76525179350271055</v>
      </c>
      <c r="J31" s="11">
        <v>0.81519566636674623</v>
      </c>
      <c r="K31" s="11">
        <v>0.86839910746418847</v>
      </c>
      <c r="L31" s="11">
        <v>0.9250748512999718</v>
      </c>
      <c r="M31" s="11">
        <v>0.9854495164171454</v>
      </c>
      <c r="N31" s="11">
        <v>1.0497645115334406</v>
      </c>
      <c r="O31" s="11">
        <v>1.1182770008165086</v>
      </c>
      <c r="P31" s="11">
        <v>1.191260932157477</v>
      </c>
      <c r="Q31" s="11">
        <v>1.2690081325544069</v>
      </c>
      <c r="R31" s="11">
        <v>1.3518294749855375</v>
      </c>
      <c r="S31" s="11">
        <v>1.4400561214380745</v>
      </c>
      <c r="T31" s="11">
        <v>1.5340408470627973</v>
      </c>
      <c r="U31" s="11">
        <v>1.6341594507491153</v>
      </c>
      <c r="V31" s="11">
        <v>1.7408122577607816</v>
      </c>
      <c r="W31" s="11">
        <v>1.8544257204405667</v>
      </c>
      <c r="X31" s="11">
        <v>1.9754541233843277</v>
      </c>
      <c r="Y31" s="11">
        <v>2.1043813999026177</v>
      </c>
      <c r="Z31" s="11">
        <v>2.2417230670330004</v>
      </c>
      <c r="AA31" s="11">
        <v>2.3880282868402061</v>
      </c>
      <c r="AB31" s="11">
        <v>2.5438820622462814</v>
      </c>
      <c r="AC31" s="11">
        <v>2.7099075761707767</v>
      </c>
      <c r="AD31" s="11">
        <v>2.8867686833340369</v>
      </c>
      <c r="AE31" s="11">
        <v>3.0751725646871146</v>
      </c>
      <c r="AF31" s="11">
        <v>3.2758725550820538</v>
      </c>
      <c r="AG31" s="11">
        <v>3.4896711554890221</v>
      </c>
      <c r="AH31" s="11">
        <v>3.7174232418046711</v>
      </c>
      <c r="AI31" s="11">
        <v>3.9600394830821855</v>
      </c>
      <c r="AJ31" s="11">
        <v>4.2184899828508176</v>
      </c>
      <c r="AK31" s="11">
        <v>4.4938081580848142</v>
      </c>
      <c r="AL31" s="11">
        <v>4.787094871331778</v>
      </c>
      <c r="AM31" s="11">
        <v>5.0995228325228599</v>
      </c>
      <c r="AN31" s="11">
        <v>5.432341288065448</v>
      </c>
      <c r="AO31" s="39">
        <f t="shared" si="10"/>
        <v>5.7868810159677402</v>
      </c>
      <c r="AP31" s="39">
        <f t="shared" si="10"/>
        <v>6.1645596469682564</v>
      </c>
      <c r="AQ31" s="39">
        <f t="shared" si="10"/>
        <v>6.5668873329468918</v>
      </c>
      <c r="AR31" s="39">
        <f t="shared" si="10"/>
        <v>6.9954727852826961</v>
      </c>
      <c r="AS31" s="39">
        <f t="shared" si="10"/>
        <v>7.452029707302823</v>
      </c>
      <c r="AT31" s="39">
        <f t="shared" si="10"/>
        <v>7.9383836465428619</v>
      </c>
      <c r="AU31" s="39">
        <f t="shared" si="10"/>
        <v>8.4564792942173828</v>
      </c>
      <c r="AV31" s="39">
        <f t="shared" si="10"/>
        <v>9.0083882610877044</v>
      </c>
      <c r="AW31" s="39">
        <f t="shared" si="10"/>
        <v>9.5963173608187731</v>
      </c>
      <c r="AX31" s="39">
        <f t="shared" si="10"/>
        <v>10.222617433946237</v>
      </c>
    </row>
    <row r="32" spans="1:50" x14ac:dyDescent="0.2">
      <c r="A32" s="6" t="s">
        <v>37</v>
      </c>
      <c r="B32" s="11">
        <v>0.53916170283018139</v>
      </c>
      <c r="C32" s="11">
        <v>0.57434989025807792</v>
      </c>
      <c r="D32" s="11">
        <v>0.61183462161326274</v>
      </c>
      <c r="E32" s="11">
        <v>0.65176577997853835</v>
      </c>
      <c r="F32" s="11">
        <v>0.69430303050020192</v>
      </c>
      <c r="G32" s="11">
        <v>0.73961645881076754</v>
      </c>
      <c r="H32" s="11">
        <v>0.78788725111811331</v>
      </c>
      <c r="I32" s="11">
        <v>0.83930841868039208</v>
      </c>
      <c r="J32" s="11">
        <v>0.89408556956352803</v>
      </c>
      <c r="K32" s="11">
        <v>0.95243773076717442</v>
      </c>
      <c r="L32" s="11">
        <v>1.0145982240064206</v>
      </c>
      <c r="M32" s="11">
        <v>1.0808155986510628</v>
      </c>
      <c r="N32" s="11">
        <v>1.1513546255528058</v>
      </c>
      <c r="O32" s="11">
        <v>1.2264973557342354</v>
      </c>
      <c r="P32" s="11">
        <v>1.3065442481727165</v>
      </c>
      <c r="Q32" s="11">
        <v>1.3918153711887045</v>
      </c>
      <c r="R32" s="11">
        <v>1.4826516822422022</v>
      </c>
      <c r="S32" s="11">
        <v>1.5794163912546622</v>
      </c>
      <c r="T32" s="11">
        <v>1.6824964129075841</v>
      </c>
      <c r="U32" s="11">
        <v>1.7923039137248362</v>
      </c>
      <c r="V32" s="11">
        <v>1.9092779601247281</v>
      </c>
      <c r="W32" s="11">
        <v>2.0338862740315897</v>
      </c>
      <c r="X32" s="11">
        <v>2.1666271030666819</v>
      </c>
      <c r="Y32" s="11">
        <v>2.3080312127964193</v>
      </c>
      <c r="Z32" s="11">
        <v>2.4586640090039364</v>
      </c>
      <c r="AA32" s="11">
        <v>2.6191277984699028</v>
      </c>
      <c r="AB32" s="11">
        <v>2.7900641973023732</v>
      </c>
      <c r="AC32" s="11">
        <v>2.9721566964453676</v>
      </c>
      <c r="AD32" s="11">
        <v>3.1661333946244272</v>
      </c>
      <c r="AE32" s="11">
        <v>3.3727699096568355</v>
      </c>
      <c r="AF32" s="11">
        <v>3.5928924797674138</v>
      </c>
      <c r="AG32" s="11">
        <v>3.8273812673105398</v>
      </c>
      <c r="AH32" s="11">
        <v>4.0771738781083489</v>
      </c>
      <c r="AI32" s="11">
        <v>4.3432691104772347</v>
      </c>
      <c r="AJ32" s="11">
        <v>4.6267309489331545</v>
      </c>
      <c r="AK32" s="11">
        <v>4.9286928185446346</v>
      </c>
      <c r="AL32" s="11">
        <v>5.2503621169445314</v>
      </c>
      <c r="AM32" s="11">
        <v>5.5930250421218464</v>
      </c>
      <c r="AN32" s="11">
        <v>5.9580517352975884</v>
      </c>
      <c r="AO32" s="39">
        <f t="shared" si="10"/>
        <v>6.3469017594484889</v>
      </c>
      <c r="AP32" s="39">
        <f t="shared" si="10"/>
        <v>6.7611299353845391</v>
      </c>
      <c r="AQ32" s="39">
        <f t="shared" si="10"/>
        <v>7.2023925587159461</v>
      </c>
      <c r="AR32" s="39">
        <f t="shared" si="10"/>
        <v>7.672454022568119</v>
      </c>
      <c r="AS32" s="39">
        <f t="shared" si="10"/>
        <v>8.1731938725256779</v>
      </c>
      <c r="AT32" s="39">
        <f t="shared" si="10"/>
        <v>8.7066143220147527</v>
      </c>
      <c r="AU32" s="39">
        <f t="shared" si="10"/>
        <v>9.274848258173904</v>
      </c>
      <c r="AV32" s="39">
        <f t="shared" si="10"/>
        <v>9.8801677702252242</v>
      </c>
      <c r="AW32" s="39">
        <f t="shared" si="10"/>
        <v>10.524993234446397</v>
      </c>
      <c r="AX32" s="39">
        <f t="shared" si="10"/>
        <v>11.211902992070065</v>
      </c>
    </row>
    <row r="33" spans="1:50" x14ac:dyDescent="0.2">
      <c r="AM33" s="13" t="s">
        <v>187</v>
      </c>
      <c r="AN33" s="13">
        <f>(AN29-AM29)/AM29</f>
        <v>6.5264627000000131E-2</v>
      </c>
    </row>
    <row r="34" spans="1:50" x14ac:dyDescent="0.2">
      <c r="A34" s="5" t="s">
        <v>32</v>
      </c>
      <c r="AM34" s="13" t="s">
        <v>187</v>
      </c>
      <c r="AN34" s="13">
        <f t="shared" ref="AN34:AN36" si="11">(AN30-AM30)/AM30</f>
        <v>6.5264627000000311E-2</v>
      </c>
    </row>
    <row r="35" spans="1:50" x14ac:dyDescent="0.2">
      <c r="A35" s="5" t="s">
        <v>4</v>
      </c>
      <c r="AM35" s="13" t="s">
        <v>187</v>
      </c>
      <c r="AN35" s="13">
        <f t="shared" si="11"/>
        <v>6.5264627000000047E-2</v>
      </c>
    </row>
    <row r="36" spans="1:50" x14ac:dyDescent="0.2">
      <c r="A36" s="5" t="s">
        <v>48</v>
      </c>
      <c r="AM36" s="13" t="s">
        <v>187</v>
      </c>
      <c r="AN36" s="13">
        <f t="shared" si="11"/>
        <v>6.5264627000000075E-2</v>
      </c>
    </row>
    <row r="37" spans="1:50" x14ac:dyDescent="0.2">
      <c r="A37" s="5" t="s">
        <v>6</v>
      </c>
    </row>
    <row r="38" spans="1:50" x14ac:dyDescent="0.2">
      <c r="A38" t="s">
        <v>156</v>
      </c>
      <c r="B38">
        <v>1000000</v>
      </c>
    </row>
    <row r="39" spans="1:50" x14ac:dyDescent="0.2">
      <c r="A39" s="6" t="s">
        <v>7</v>
      </c>
      <c r="B39" s="6">
        <v>2022</v>
      </c>
      <c r="C39" s="6">
        <v>2023</v>
      </c>
      <c r="D39" s="6">
        <v>2024</v>
      </c>
      <c r="E39" s="6">
        <v>2025</v>
      </c>
      <c r="F39" s="6">
        <v>2026</v>
      </c>
      <c r="G39" s="6">
        <v>2027</v>
      </c>
      <c r="H39" s="6">
        <v>2028</v>
      </c>
      <c r="I39" s="6">
        <v>2029</v>
      </c>
      <c r="J39" s="6">
        <v>2030</v>
      </c>
      <c r="K39" s="6">
        <v>2031</v>
      </c>
      <c r="L39" s="6">
        <v>2032</v>
      </c>
      <c r="M39" s="6">
        <v>2033</v>
      </c>
      <c r="N39" s="6">
        <v>2034</v>
      </c>
      <c r="O39" s="6">
        <v>2035</v>
      </c>
      <c r="P39" s="6">
        <v>2036</v>
      </c>
      <c r="Q39" s="6">
        <v>2037</v>
      </c>
      <c r="R39" s="6">
        <v>2038</v>
      </c>
      <c r="S39" s="6">
        <v>2039</v>
      </c>
      <c r="T39" s="6">
        <v>2040</v>
      </c>
      <c r="U39" s="6">
        <v>2041</v>
      </c>
      <c r="V39" s="6">
        <v>2042</v>
      </c>
      <c r="W39" s="6">
        <v>2043</v>
      </c>
      <c r="X39" s="6">
        <v>2044</v>
      </c>
      <c r="Y39" s="6">
        <v>2045</v>
      </c>
      <c r="Z39" s="6">
        <v>2046</v>
      </c>
      <c r="AA39" s="6">
        <v>2047</v>
      </c>
      <c r="AB39" s="6">
        <v>2048</v>
      </c>
      <c r="AC39" s="6">
        <v>2049</v>
      </c>
      <c r="AD39" s="6">
        <v>2050</v>
      </c>
      <c r="AE39" s="6">
        <v>2051</v>
      </c>
      <c r="AF39" s="6">
        <v>2052</v>
      </c>
      <c r="AG39" s="6">
        <v>2053</v>
      </c>
      <c r="AH39" s="6">
        <v>2054</v>
      </c>
      <c r="AI39" s="6">
        <v>2055</v>
      </c>
      <c r="AJ39" s="6">
        <v>2056</v>
      </c>
      <c r="AK39" s="6">
        <v>2057</v>
      </c>
      <c r="AL39" s="6">
        <v>2058</v>
      </c>
      <c r="AM39" s="6">
        <v>2059</v>
      </c>
      <c r="AN39" s="6">
        <v>2060</v>
      </c>
      <c r="AO39" s="39">
        <f>AN39+1</f>
        <v>2061</v>
      </c>
      <c r="AP39" s="39">
        <f t="shared" ref="AP39:AX39" si="12">AO39+1</f>
        <v>2062</v>
      </c>
      <c r="AQ39" s="39">
        <f t="shared" si="12"/>
        <v>2063</v>
      </c>
      <c r="AR39" s="39">
        <f t="shared" si="12"/>
        <v>2064</v>
      </c>
      <c r="AS39" s="39">
        <f t="shared" si="12"/>
        <v>2065</v>
      </c>
      <c r="AT39" s="39">
        <f t="shared" si="12"/>
        <v>2066</v>
      </c>
      <c r="AU39" s="39">
        <f t="shared" si="12"/>
        <v>2067</v>
      </c>
      <c r="AV39" s="39">
        <f t="shared" si="12"/>
        <v>2068</v>
      </c>
      <c r="AW39" s="39">
        <f>AV39+1</f>
        <v>2069</v>
      </c>
      <c r="AX39" s="39">
        <f t="shared" si="12"/>
        <v>2070</v>
      </c>
    </row>
    <row r="40" spans="1:50" x14ac:dyDescent="0.2">
      <c r="A40" s="6" t="s">
        <v>34</v>
      </c>
      <c r="B40" s="11">
        <v>3.9467367614551505</v>
      </c>
      <c r="C40" s="11">
        <v>4.2043190640587094</v>
      </c>
      <c r="D40" s="11">
        <v>4.4787123795634907</v>
      </c>
      <c r="E40" s="11">
        <v>4.7710138724559856</v>
      </c>
      <c r="F40" s="11">
        <v>5.0823923132536519</v>
      </c>
      <c r="G40" s="11">
        <v>5.4140927518458186</v>
      </c>
      <c r="H40" s="11">
        <v>5.7674414958384421</v>
      </c>
      <c r="I40" s="11">
        <v>6.14385141380866</v>
      </c>
      <c r="J40" s="11">
        <v>6.5448275846743069</v>
      </c>
      <c r="K40" s="11">
        <v>6.9719733157673867</v>
      </c>
      <c r="L40" s="11">
        <v>7.4269965536748996</v>
      </c>
      <c r="M40" s="11">
        <v>7.9117167134807804</v>
      </c>
      <c r="N40" s="11">
        <v>8.4280719537157704</v>
      </c>
      <c r="O40" s="11">
        <v>8.9781269261041956</v>
      </c>
      <c r="P40" s="11">
        <v>9.5640810310950446</v>
      </c>
      <c r="Q40" s="11">
        <v>10.188277212187238</v>
      </c>
      <c r="R40" s="11">
        <v>10.853211324213245</v>
      </c>
      <c r="S40" s="11">
        <v>11.561542113040193</v>
      </c>
      <c r="T40" s="11">
        <v>12.316101846592559</v>
      </c>
      <c r="U40" s="11">
        <v>13.119907639704438</v>
      </c>
      <c r="V40" s="11">
        <v>13.976173518084199</v>
      </c>
      <c r="W40" s="11">
        <v>14.888323269629247</v>
      </c>
      <c r="X40" s="11">
        <v>15.860004134477027</v>
      </c>
      <c r="Y40" s="11">
        <v>16.89510138853213</v>
      </c>
      <c r="Z40" s="11">
        <v>17.997753878781854</v>
      </c>
      <c r="AA40" s="11">
        <v>19.172370572518371</v>
      </c>
      <c r="AB40" s="11">
        <v>20.423648186639561</v>
      </c>
      <c r="AC40" s="11">
        <v>21.756589967519826</v>
      </c>
      <c r="AD40" s="11">
        <v>23.176525696541955</v>
      </c>
      <c r="AE40" s="11">
        <v>24.689133001282681</v>
      </c>
      <c r="AF40" s="11">
        <v>26.300460057564795</v>
      </c>
      <c r="AG40" s="11">
        <v>28.016949773150174</v>
      </c>
      <c r="AH40" s="11">
        <v>29.845465549772541</v>
      </c>
      <c r="AI40" s="11">
        <v>31.793318726519811</v>
      </c>
      <c r="AJ40" s="11">
        <v>33.868297814298245</v>
      </c>
      <c r="AK40" s="11">
        <v>36.078699638273335</v>
      </c>
      <c r="AL40" s="11">
        <v>38.433362512810298</v>
      </c>
      <c r="AM40" s="11">
        <v>40.941701581564665</v>
      </c>
      <c r="AN40" s="11">
        <v>43.613746464030783</v>
      </c>
      <c r="AO40" s="39">
        <f>(AN40+AN40*$AN$44)</f>
        <v>46.460181359078312</v>
      </c>
      <c r="AP40" s="39">
        <f t="shared" ref="AP40:AX40" si="13">(AO40+AO40*$AN$44)</f>
        <v>49.492387765830898</v>
      </c>
      <c r="AQ40" s="39">
        <f t="shared" si="13"/>
        <v>52.722489992707203</v>
      </c>
      <c r="AR40" s="39">
        <f t="shared" si="13"/>
        <v>56.163403636592456</v>
      </c>
      <c r="AS40" s="39">
        <f t="shared" si="13"/>
        <v>59.828887225985092</v>
      </c>
      <c r="AT40" s="39">
        <f t="shared" si="13"/>
        <v>63.733597234614059</v>
      </c>
      <c r="AU40" s="39">
        <f t="shared" si="13"/>
        <v>67.89314668549936</v>
      </c>
      <c r="AV40" s="39">
        <f t="shared" si="13"/>
        <v>72.324167579784742</v>
      </c>
      <c r="AW40" s="39">
        <f t="shared" si="13"/>
        <v>77.044377399964873</v>
      </c>
      <c r="AX40" s="39">
        <f t="shared" si="13"/>
        <v>82.072649953420793</v>
      </c>
    </row>
    <row r="41" spans="1:50" x14ac:dyDescent="0.2">
      <c r="A41" s="6" t="s">
        <v>35</v>
      </c>
      <c r="B41" s="11">
        <v>1.2322390793683498</v>
      </c>
      <c r="C41" s="11">
        <v>1.3126607032581485</v>
      </c>
      <c r="D41" s="11">
        <v>1.3983310144338499</v>
      </c>
      <c r="E41" s="11">
        <v>1.4895925665134071</v>
      </c>
      <c r="F41" s="11">
        <v>1.5868102697488777</v>
      </c>
      <c r="G41" s="11">
        <v>1.6903728501238076</v>
      </c>
      <c r="H41" s="11">
        <v>1.8006944036780654</v>
      </c>
      <c r="I41" s="11">
        <v>1.9182160522751017</v>
      </c>
      <c r="J41" s="11">
        <v>2.043407707432249</v>
      </c>
      <c r="K41" s="11">
        <v>2.1767699492667405</v>
      </c>
      <c r="L41" s="11">
        <v>2.3188360280704439</v>
      </c>
      <c r="M41" s="11">
        <v>2.4701739965166234</v>
      </c>
      <c r="N41" s="11">
        <v>2.6313889810243802</v>
      </c>
      <c r="O41" s="11">
        <v>2.8031256013628472</v>
      </c>
      <c r="P41" s="11">
        <v>2.9860705481699461</v>
      </c>
      <c r="Q41" s="11">
        <v>3.1809553286919425</v>
      </c>
      <c r="R41" s="11">
        <v>3.3885591917226865</v>
      </c>
      <c r="S41" s="11">
        <v>3.6097122434378885</v>
      </c>
      <c r="T41" s="11">
        <v>3.8452987665831961</v>
      </c>
      <c r="U41" s="11">
        <v>4.0962607562878102</v>
      </c>
      <c r="V41" s="11">
        <v>4.3636016866416725</v>
      </c>
      <c r="W41" s="11">
        <v>4.6483905230969134</v>
      </c>
      <c r="X41" s="11">
        <v>4.9517659967371701</v>
      </c>
      <c r="Y41" s="11">
        <v>5.2749411575055047</v>
      </c>
      <c r="Z41" s="11">
        <v>5.6192082245970489</v>
      </c>
      <c r="AA41" s="11">
        <v>5.9859437534107132</v>
      </c>
      <c r="AB41" s="11">
        <v>6.3766141397200435</v>
      </c>
      <c r="AC41" s="11">
        <v>6.7927814830718001</v>
      </c>
      <c r="AD41" s="11">
        <v>7.2361098328569886</v>
      </c>
      <c r="AE41" s="11">
        <v>7.7083718420294325</v>
      </c>
      <c r="AF41" s="11">
        <v>8.2114558550767907</v>
      </c>
      <c r="AG41" s="11">
        <v>8.7473734585853471</v>
      </c>
      <c r="AH41" s="11">
        <v>9.3182675245896167</v>
      </c>
      <c r="AI41" s="11">
        <v>9.9264207788681755</v>
      </c>
      <c r="AJ41" s="11">
        <v>10.574264928446055</v>
      </c>
      <c r="AK41" s="11">
        <v>11.264390384800272</v>
      </c>
      <c r="AL41" s="11">
        <v>11.999556621646654</v>
      </c>
      <c r="AM41" s="11">
        <v>12.782703208723808</v>
      </c>
      <c r="AN41" s="11">
        <v>13.616961565692868</v>
      </c>
      <c r="AO41" s="39">
        <f t="shared" ref="AO41:AX43" si="14">(AN41+AN41*$AN$44)</f>
        <v>14.505667483151147</v>
      </c>
      <c r="AP41" s="39">
        <f t="shared" si="14"/>
        <v>15.45237446082503</v>
      </c>
      <c r="AQ41" s="39">
        <f t="shared" si="14"/>
        <v>16.460867916275099</v>
      </c>
      <c r="AR41" s="39">
        <f t="shared" si="14"/>
        <v>17.535180320927054</v>
      </c>
      <c r="AS41" s="39">
        <f t="shared" si="14"/>
        <v>18.679607323950094</v>
      </c>
      <c r="AT41" s="39">
        <f t="shared" si="14"/>
        <v>19.898724928454161</v>
      </c>
      <c r="AU41" s="39">
        <f t="shared" si="14"/>
        <v>21.197407788685318</v>
      </c>
      <c r="AV41" s="39">
        <f t="shared" si="14"/>
        <v>22.580848701380756</v>
      </c>
      <c r="AW41" s="39">
        <f t="shared" si="14"/>
        <v>24.054579369219798</v>
      </c>
      <c r="AX41" s="39">
        <f t="shared" si="14"/>
        <v>25.624492519393819</v>
      </c>
    </row>
    <row r="42" spans="1:50" x14ac:dyDescent="0.2">
      <c r="A42" s="6" t="s">
        <v>36</v>
      </c>
      <c r="B42" s="11">
        <v>0.36907643923109995</v>
      </c>
      <c r="C42" s="11">
        <v>0.39316407537200587</v>
      </c>
      <c r="D42" s="11">
        <v>0.41882378210095983</v>
      </c>
      <c r="E42" s="11">
        <v>0.44615816001850839</v>
      </c>
      <c r="F42" s="11">
        <v>0.47527650591512283</v>
      </c>
      <c r="G42" s="11">
        <v>0.50629524979553653</v>
      </c>
      <c r="H42" s="11">
        <v>0.53933842042531421</v>
      </c>
      <c r="I42" s="11">
        <v>0.57453814126114156</v>
      </c>
      <c r="J42" s="11">
        <v>0.61203515874782344</v>
      </c>
      <c r="K42" s="11">
        <v>0.65197940509438612</v>
      </c>
      <c r="L42" s="11">
        <v>0.69453059777955317</v>
      </c>
      <c r="M42" s="11">
        <v>0.73985887818372309</v>
      </c>
      <c r="N42" s="11">
        <v>0.78814549190102212</v>
      </c>
      <c r="O42" s="11">
        <v>0.83958351345167415</v>
      </c>
      <c r="P42" s="11">
        <v>0.89437861829244758</v>
      </c>
      <c r="Q42" s="11">
        <v>0.95274990521207947</v>
      </c>
      <c r="R42" s="11">
        <v>1.0149307724000316</v>
      </c>
      <c r="S42" s="11">
        <v>1.0811698506915413</v>
      </c>
      <c r="T42" s="11">
        <v>1.1517319977205707</v>
      </c>
      <c r="U42" s="11">
        <v>1.2268993569557693</v>
      </c>
      <c r="V42" s="11">
        <v>1.3069724858540275</v>
      </c>
      <c r="W42" s="11">
        <v>1.3922715576425539</v>
      </c>
      <c r="X42" s="11">
        <v>1.4831376415348045</v>
      </c>
      <c r="Y42" s="11">
        <v>1.5799340664992332</v>
      </c>
      <c r="Z42" s="11">
        <v>1.6830478740338988</v>
      </c>
      <c r="AA42" s="11">
        <v>1.7928913657558656</v>
      </c>
      <c r="AB42" s="11">
        <v>1.909903751993443</v>
      </c>
      <c r="AC42" s="11">
        <v>2.0345529079731959</v>
      </c>
      <c r="AD42" s="11">
        <v>2.1673372446238321</v>
      </c>
      <c r="AE42" s="11">
        <v>2.3087877014774145</v>
      </c>
      <c r="AF42" s="11">
        <v>2.4594698696365263</v>
      </c>
      <c r="AG42" s="11">
        <v>2.6199862532960938</v>
      </c>
      <c r="AH42" s="11">
        <v>2.7909786788625905</v>
      </c>
      <c r="AI42" s="11">
        <v>2.9731308613035115</v>
      </c>
      <c r="AJ42" s="11">
        <v>3.167171137988674</v>
      </c>
      <c r="AK42" s="11">
        <v>3.3738753809546709</v>
      </c>
      <c r="AL42" s="11">
        <v>3.5940700992371624</v>
      </c>
      <c r="AM42" s="11">
        <v>3.8286357436757297</v>
      </c>
      <c r="AN42" s="11">
        <v>4.0785102274055927</v>
      </c>
      <c r="AO42" s="39">
        <f t="shared" si="14"/>
        <v>4.3446926761129028</v>
      </c>
      <c r="AP42" s="39">
        <f t="shared" si="14"/>
        <v>4.628247423049042</v>
      </c>
      <c r="AQ42" s="39">
        <f t="shared" si="14"/>
        <v>4.9303082647780476</v>
      </c>
      <c r="AR42" s="39">
        <f t="shared" si="14"/>
        <v>5.2520829946738026</v>
      </c>
      <c r="AS42" s="39">
        <f t="shared" si="14"/>
        <v>5.5948582322942295</v>
      </c>
      <c r="AT42" s="39">
        <f t="shared" si="14"/>
        <v>5.9600045679427902</v>
      </c>
      <c r="AU42" s="39">
        <f t="shared" si="14"/>
        <v>6.3489820429878714</v>
      </c>
      <c r="AV42" s="39">
        <f t="shared" si="14"/>
        <v>6.763345987853171</v>
      </c>
      <c r="AW42" s="39">
        <f t="shared" si="14"/>
        <v>7.2047532410223534</v>
      </c>
      <c r="AX42" s="39">
        <f t="shared" si="14"/>
        <v>7.6749687739247161</v>
      </c>
    </row>
    <row r="43" spans="1:50" x14ac:dyDescent="0.2">
      <c r="A43" s="6" t="s">
        <v>37</v>
      </c>
      <c r="B43" s="11">
        <v>0.40479351399539998</v>
      </c>
      <c r="C43" s="11">
        <v>0.43121221169832907</v>
      </c>
      <c r="D43" s="11">
        <v>0.4593551158526657</v>
      </c>
      <c r="E43" s="11">
        <v>0.48933475614933175</v>
      </c>
      <c r="F43" s="11">
        <v>0.52127100648755398</v>
      </c>
      <c r="G43" s="11">
        <v>0.55529156429187887</v>
      </c>
      <c r="H43" s="11">
        <v>0.59153246111163493</v>
      </c>
      <c r="I43" s="11">
        <v>0.63013860654447784</v>
      </c>
      <c r="J43" s="11">
        <v>0.67126436765890307</v>
      </c>
      <c r="K43" s="11">
        <v>0.71507418623255248</v>
      </c>
      <c r="L43" s="11">
        <v>0.7617432362743487</v>
      </c>
      <c r="M43" s="11">
        <v>0.81145812445956722</v>
      </c>
      <c r="N43" s="11">
        <v>0.8644176362785404</v>
      </c>
      <c r="O43" s="11">
        <v>0.92083353088248132</v>
      </c>
      <c r="P43" s="11">
        <v>0.98093138780461986</v>
      </c>
      <c r="Q43" s="11">
        <v>1.0449515089422809</v>
      </c>
      <c r="R43" s="11">
        <v>1.1131498794064865</v>
      </c>
      <c r="S43" s="11">
        <v>1.1857991910810455</v>
      </c>
      <c r="T43" s="11">
        <v>1.2631899329838521</v>
      </c>
      <c r="U43" s="11">
        <v>1.3456315527901987</v>
      </c>
      <c r="V43" s="11">
        <v>1.433453694162482</v>
      </c>
      <c r="W43" s="11">
        <v>1.5270075148337687</v>
      </c>
      <c r="X43" s="11">
        <v>1.6266670907155922</v>
      </c>
      <c r="Y43" s="11">
        <v>1.7328309116443206</v>
      </c>
      <c r="Z43" s="11">
        <v>1.8459234747468569</v>
      </c>
      <c r="AA43" s="11">
        <v>1.9663969817967561</v>
      </c>
      <c r="AB43" s="11">
        <v>2.0947331473476472</v>
      </c>
      <c r="AC43" s="11">
        <v>2.2314451248738281</v>
      </c>
      <c r="AD43" s="11">
        <v>2.3770795586196871</v>
      </c>
      <c r="AE43" s="11">
        <v>2.5322187693623261</v>
      </c>
      <c r="AF43" s="11">
        <v>2.6974830828271581</v>
      </c>
      <c r="AG43" s="11">
        <v>2.8735333100666836</v>
      </c>
      <c r="AH43" s="11">
        <v>3.06107338972026</v>
      </c>
      <c r="AI43" s="11">
        <v>3.2608532027199804</v>
      </c>
      <c r="AJ43" s="11">
        <v>3.4736715706972556</v>
      </c>
      <c r="AK43" s="11">
        <v>3.7003794500793168</v>
      </c>
      <c r="AL43" s="11">
        <v>3.9418833346472102</v>
      </c>
      <c r="AM43" s="11">
        <v>4.1991488801604779</v>
      </c>
      <c r="AN43" s="11">
        <v>4.4732047655416185</v>
      </c>
      <c r="AO43" s="39">
        <f t="shared" si="14"/>
        <v>4.7651468060593132</v>
      </c>
      <c r="AP43" s="39">
        <f t="shared" si="14"/>
        <v>5.0761423349570141</v>
      </c>
      <c r="AQ43" s="39">
        <f t="shared" si="14"/>
        <v>5.4074348710468918</v>
      </c>
      <c r="AR43" s="39">
        <f t="shared" si="14"/>
        <v>5.760349090932559</v>
      </c>
      <c r="AS43" s="39">
        <f t="shared" si="14"/>
        <v>6.1362961257420601</v>
      </c>
      <c r="AT43" s="39">
        <f t="shared" si="14"/>
        <v>6.5367792035501591</v>
      </c>
      <c r="AU43" s="39">
        <f t="shared" si="14"/>
        <v>6.9633996600512154</v>
      </c>
      <c r="AV43" s="39">
        <f t="shared" si="14"/>
        <v>7.4178633415163828</v>
      </c>
      <c r="AW43" s="39">
        <f t="shared" si="14"/>
        <v>7.9019874256374214</v>
      </c>
      <c r="AX43" s="39">
        <f t="shared" si="14"/>
        <v>8.4177076875303367</v>
      </c>
    </row>
    <row r="44" spans="1:50" x14ac:dyDescent="0.2">
      <c r="AM44" s="13" t="s">
        <v>187</v>
      </c>
      <c r="AN44" s="13">
        <f>(AN40-AM40)/AM40</f>
        <v>6.5264626999999742E-2</v>
      </c>
    </row>
    <row r="45" spans="1:50" x14ac:dyDescent="0.2">
      <c r="A45" s="5" t="s">
        <v>32</v>
      </c>
      <c r="AM45" s="13" t="s">
        <v>187</v>
      </c>
      <c r="AN45" s="13">
        <f t="shared" ref="AN45:AN47" si="15">(AN41-AM41)/AM41</f>
        <v>6.5264626999999867E-2</v>
      </c>
    </row>
    <row r="46" spans="1:50" x14ac:dyDescent="0.2">
      <c r="A46" s="5" t="s">
        <v>4</v>
      </c>
      <c r="AM46" s="13" t="s">
        <v>187</v>
      </c>
      <c r="AN46" s="13">
        <f t="shared" si="15"/>
        <v>6.52646269999997E-2</v>
      </c>
    </row>
    <row r="47" spans="1:50" x14ac:dyDescent="0.2">
      <c r="A47" s="5" t="s">
        <v>50</v>
      </c>
      <c r="AM47" s="13" t="s">
        <v>187</v>
      </c>
      <c r="AN47" s="13">
        <f t="shared" si="15"/>
        <v>6.5264626999999825E-2</v>
      </c>
    </row>
    <row r="48" spans="1:50" x14ac:dyDescent="0.2">
      <c r="A48" s="5" t="s">
        <v>6</v>
      </c>
    </row>
    <row r="49" spans="1:50" x14ac:dyDescent="0.2">
      <c r="A49" t="s">
        <v>156</v>
      </c>
      <c r="B49">
        <v>1000000</v>
      </c>
    </row>
    <row r="50" spans="1:50" x14ac:dyDescent="0.2">
      <c r="A50" s="6" t="s">
        <v>7</v>
      </c>
      <c r="B50" s="6">
        <v>2022</v>
      </c>
      <c r="C50" s="6">
        <v>2023</v>
      </c>
      <c r="D50" s="6">
        <v>2024</v>
      </c>
      <c r="E50" s="6">
        <v>2025</v>
      </c>
      <c r="F50" s="6">
        <v>2026</v>
      </c>
      <c r="G50" s="6">
        <v>2027</v>
      </c>
      <c r="H50" s="6">
        <v>2028</v>
      </c>
      <c r="I50" s="6">
        <v>2029</v>
      </c>
      <c r="J50" s="6">
        <v>2030</v>
      </c>
      <c r="K50" s="6">
        <v>2031</v>
      </c>
      <c r="L50" s="6">
        <v>2032</v>
      </c>
      <c r="M50" s="6">
        <v>2033</v>
      </c>
      <c r="N50" s="6">
        <v>2034</v>
      </c>
      <c r="O50" s="6">
        <v>2035</v>
      </c>
      <c r="P50" s="6">
        <v>2036</v>
      </c>
      <c r="Q50" s="6">
        <v>2037</v>
      </c>
      <c r="R50" s="6">
        <v>2038</v>
      </c>
      <c r="S50" s="6">
        <v>2039</v>
      </c>
      <c r="T50" s="6">
        <v>2040</v>
      </c>
      <c r="U50" s="6">
        <v>2041</v>
      </c>
      <c r="V50" s="6">
        <v>2042</v>
      </c>
      <c r="W50" s="6">
        <v>2043</v>
      </c>
      <c r="X50" s="6">
        <v>2044</v>
      </c>
      <c r="Y50" s="6">
        <v>2045</v>
      </c>
      <c r="Z50" s="6">
        <v>2046</v>
      </c>
      <c r="AA50" s="6">
        <v>2047</v>
      </c>
      <c r="AB50" s="6">
        <v>2048</v>
      </c>
      <c r="AC50" s="6">
        <v>2049</v>
      </c>
      <c r="AD50" s="6">
        <v>2050</v>
      </c>
      <c r="AE50" s="6">
        <v>2051</v>
      </c>
      <c r="AF50" s="6">
        <v>2052</v>
      </c>
      <c r="AG50" s="6">
        <v>2053</v>
      </c>
      <c r="AH50" s="6">
        <v>2054</v>
      </c>
      <c r="AI50" s="6">
        <v>2055</v>
      </c>
      <c r="AJ50" s="6">
        <v>2056</v>
      </c>
      <c r="AK50" s="6">
        <v>2057</v>
      </c>
      <c r="AL50" s="6">
        <v>2058</v>
      </c>
      <c r="AM50" s="6">
        <v>2059</v>
      </c>
      <c r="AN50" s="6">
        <v>2060</v>
      </c>
      <c r="AO50" s="39">
        <f>AN50+1</f>
        <v>2061</v>
      </c>
      <c r="AP50" s="39">
        <f t="shared" ref="AP50:AX50" si="16">AO50+1</f>
        <v>2062</v>
      </c>
      <c r="AQ50" s="39">
        <f t="shared" si="16"/>
        <v>2063</v>
      </c>
      <c r="AR50" s="39">
        <f t="shared" si="16"/>
        <v>2064</v>
      </c>
      <c r="AS50" s="39">
        <f t="shared" si="16"/>
        <v>2065</v>
      </c>
      <c r="AT50" s="39">
        <f t="shared" si="16"/>
        <v>2066</v>
      </c>
      <c r="AU50" s="39">
        <f t="shared" si="16"/>
        <v>2067</v>
      </c>
      <c r="AV50" s="39">
        <f t="shared" si="16"/>
        <v>2068</v>
      </c>
      <c r="AW50" s="39">
        <f>AV50+1</f>
        <v>2069</v>
      </c>
      <c r="AX50" s="39">
        <f t="shared" si="16"/>
        <v>2070</v>
      </c>
    </row>
    <row r="51" spans="1:50" x14ac:dyDescent="0.2">
      <c r="A51" s="6" t="s">
        <v>34</v>
      </c>
      <c r="B51" s="11">
        <v>6.6014342236457324</v>
      </c>
      <c r="C51" s="11">
        <v>7.0322743659170053</v>
      </c>
      <c r="D51" s="11">
        <v>7.4912331293702428</v>
      </c>
      <c r="E51" s="11">
        <v>7.9801456653286351</v>
      </c>
      <c r="F51" s="11">
        <v>8.5009668955819802</v>
      </c>
      <c r="G51" s="11">
        <v>9.0557793291614832</v>
      </c>
      <c r="H51" s="11">
        <v>9.6468013892735218</v>
      </c>
      <c r="I51" s="11">
        <v>10.276396283687543</v>
      </c>
      <c r="J51" s="11">
        <v>10.947081454046604</v>
      </c>
      <c r="K51" s="11">
        <v>11.661538641883567</v>
      </c>
      <c r="L51" s="11">
        <v>12.422624611592189</v>
      </c>
      <c r="M51" s="11">
        <v>13.233382573228777</v>
      </c>
      <c r="N51" s="11">
        <v>14.097054350818855</v>
      </c>
      <c r="O51" s="11">
        <v>15.017093344823781</v>
      </c>
      <c r="P51" s="11">
        <v>15.997178340597888</v>
      </c>
      <c r="Q51" s="11">
        <v>17.041228218049493</v>
      </c>
      <c r="R51" s="11">
        <v>18.153417621322376</v>
      </c>
      <c r="S51" s="11">
        <v>19.338193651153205</v>
      </c>
      <c r="T51" s="11">
        <v>20.60029364664949</v>
      </c>
      <c r="U51" s="11">
        <v>21.944764127588552</v>
      </c>
      <c r="V51" s="11">
        <v>23.3769809729786</v>
      </c>
      <c r="W51" s="11">
        <v>24.902670916566148</v>
      </c>
      <c r="X51" s="11">
        <v>26.527934445239591</v>
      </c>
      <c r="Y51" s="11">
        <v>28.259270191888614</v>
      </c>
      <c r="Z51" s="11">
        <v>30.103600920254443</v>
      </c>
      <c r="AA51" s="11">
        <v>32.068301205671716</v>
      </c>
      <c r="AB51" s="11">
        <v>34.161226922383548</v>
      </c>
      <c r="AC51" s="11">
        <v>36.390746655335278</v>
      </c>
      <c r="AD51" s="11">
        <v>38.765775162047227</v>
      </c>
      <c r="AE51" s="11">
        <v>41.295809018364118</v>
      </c>
      <c r="AF51" s="11">
        <v>43.990964590610901</v>
      </c>
      <c r="AG51" s="11">
        <v>46.862018485987342</v>
      </c>
      <c r="AH51" s="11">
        <v>49.920450642942406</v>
      </c>
      <c r="AI51" s="11">
        <v>53.178490233825976</v>
      </c>
      <c r="AJ51" s="11">
        <v>56.649164563359768</v>
      </c>
      <c r="AK51" s="11">
        <v>60.346351158449089</v>
      </c>
      <c r="AL51" s="11">
        <v>64.284833257616299</v>
      </c>
      <c r="AM51" s="11">
        <v>68.480358921931852</v>
      </c>
      <c r="AN51" s="11">
        <v>72.949704003797862</v>
      </c>
      <c r="AO51" s="39">
        <f>(AN51+AN51*$AN$55)</f>
        <v>77.71073922536614</v>
      </c>
      <c r="AP51" s="39">
        <f t="shared" ref="AP51:AX51" si="17">(AO51+AO51*$AN$55)</f>
        <v>82.782501634803936</v>
      </c>
      <c r="AQ51" s="39">
        <f t="shared" si="17"/>
        <v>88.185270726126305</v>
      </c>
      <c r="AR51" s="39">
        <f t="shared" si="17"/>
        <v>93.940649526960968</v>
      </c>
      <c r="AS51" s="39">
        <f t="shared" si="17"/>
        <v>100.07165097847582</v>
      </c>
      <c r="AT51" s="39">
        <f t="shared" si="17"/>
        <v>106.60278995286023</v>
      </c>
      <c r="AU51" s="39">
        <f t="shared" si="17"/>
        <v>113.56018127629301</v>
      </c>
      <c r="AV51" s="39">
        <f t="shared" si="17"/>
        <v>120.97164414934267</v>
      </c>
      <c r="AW51" s="39">
        <f t="shared" si="17"/>
        <v>128.86681338232626</v>
      </c>
      <c r="AX51" s="39">
        <f t="shared" si="17"/>
        <v>137.27725789040241</v>
      </c>
    </row>
    <row r="52" spans="1:50" x14ac:dyDescent="0.2">
      <c r="A52" s="6" t="s">
        <v>35</v>
      </c>
      <c r="B52" s="11">
        <v>2.0610812734459527</v>
      </c>
      <c r="C52" s="11">
        <v>2.1955969739740877</v>
      </c>
      <c r="D52" s="11">
        <v>2.338891791522836</v>
      </c>
      <c r="E52" s="11">
        <v>2.4915386918899358</v>
      </c>
      <c r="F52" s="11">
        <v>2.6541480352722013</v>
      </c>
      <c r="G52" s="11">
        <v>2.8273700167970248</v>
      </c>
      <c r="H52" s="11">
        <v>3.0118972663342665</v>
      </c>
      <c r="I52" s="11">
        <v>3.2084676179838936</v>
      </c>
      <c r="J52" s="11">
        <v>3.4178670603131929</v>
      </c>
      <c r="K52" s="11">
        <v>3.6409328791401183</v>
      </c>
      <c r="L52" s="11">
        <v>3.8785570054292351</v>
      </c>
      <c r="M52" s="11">
        <v>4.1316895816868122</v>
      </c>
      <c r="N52" s="11">
        <v>4.4013427611153899</v>
      </c>
      <c r="O52" s="11">
        <v>4.6885947547187365</v>
      </c>
      <c r="P52" s="11">
        <v>4.9945941425396132</v>
      </c>
      <c r="Q52" s="11">
        <v>5.3205644662688458</v>
      </c>
      <c r="R52" s="11">
        <v>5.6678091215893396</v>
      </c>
      <c r="S52" s="11">
        <v>6.0377165698170634</v>
      </c>
      <c r="T52" s="11">
        <v>6.4317658896778944</v>
      </c>
      <c r="U52" s="11">
        <v>6.8515326914190489</v>
      </c>
      <c r="V52" s="11">
        <v>7.2986954169028193</v>
      </c>
      <c r="W52" s="11">
        <v>7.7750420508735925</v>
      </c>
      <c r="X52" s="11">
        <v>8.2824772702331746</v>
      </c>
      <c r="Y52" s="11">
        <v>8.8230300599109253</v>
      </c>
      <c r="Z52" s="11">
        <v>9.3988618257807985</v>
      </c>
      <c r="AA52" s="11">
        <v>10.012275037064923</v>
      </c>
      <c r="AB52" s="11">
        <v>10.665722432780381</v>
      </c>
      <c r="AC52" s="11">
        <v>11.361816829041331</v>
      </c>
      <c r="AD52" s="11">
        <v>12.103341566431034</v>
      </c>
      <c r="AE52" s="11">
        <v>12.893261639217755</v>
      </c>
      <c r="AF52" s="11">
        <v>13.734735550914715</v>
      </c>
      <c r="AG52" s="11">
        <v>14.631127943588806</v>
      </c>
      <c r="AH52" s="11">
        <v>15.586023051416404</v>
      </c>
      <c r="AI52" s="11">
        <v>16.603239032280506</v>
      </c>
      <c r="AJ52" s="11">
        <v>17.686843234714136</v>
      </c>
      <c r="AK52" s="11">
        <v>18.841168461235238</v>
      </c>
      <c r="AL52" s="11">
        <v>20.070830293101917</v>
      </c>
      <c r="AM52" s="11">
        <v>21.380745545761524</v>
      </c>
      <c r="AN52" s="11">
        <v>22.776151928787566</v>
      </c>
      <c r="AO52" s="39">
        <f t="shared" ref="AO52:AX54" si="18">(AN52+AN52*$AN$55)</f>
        <v>24.262628988915218</v>
      </c>
      <c r="AP52" s="39">
        <f t="shared" si="18"/>
        <v>25.846120419916158</v>
      </c>
      <c r="AQ52" s="39">
        <f t="shared" si="18"/>
        <v>27.53295782851907</v>
      </c>
      <c r="AR52" s="39">
        <f t="shared" si="18"/>
        <v>29.329886051404099</v>
      </c>
      <c r="AS52" s="39">
        <f t="shared" si="18"/>
        <v>31.244090124501493</v>
      </c>
      <c r="AT52" s="39">
        <f t="shared" si="18"/>
        <v>33.283224012431468</v>
      </c>
      <c r="AU52" s="39">
        <f t="shared" si="18"/>
        <v>35.455441212960253</v>
      </c>
      <c r="AV52" s="39">
        <f t="shared" si="18"/>
        <v>37.769427358844531</v>
      </c>
      <c r="AW52" s="39">
        <f t="shared" si="18"/>
        <v>40.234434947423118</v>
      </c>
      <c r="AX52" s="39">
        <f t="shared" si="18"/>
        <v>42.860320336822454</v>
      </c>
    </row>
    <row r="53" spans="1:50" x14ac:dyDescent="0.2">
      <c r="A53" s="6" t="s">
        <v>36</v>
      </c>
      <c r="B53" s="11">
        <v>0.61732869059733841</v>
      </c>
      <c r="C53" s="11">
        <v>0.65761841732557225</v>
      </c>
      <c r="D53" s="11">
        <v>0.70053763804065605</v>
      </c>
      <c r="E53" s="11">
        <v>0.74625796568684055</v>
      </c>
      <c r="F53" s="11">
        <v>0.79496221346317153</v>
      </c>
      <c r="G53" s="11">
        <v>0.84684512580393967</v>
      </c>
      <c r="H53" s="11">
        <v>0.90211415706630205</v>
      </c>
      <c r="I53" s="11">
        <v>0.9609903010386539</v>
      </c>
      <c r="J53" s="11">
        <v>1.02370897458656</v>
      </c>
      <c r="K53" s="11">
        <v>1.0905209589695042</v>
      </c>
      <c r="L53" s="11">
        <v>1.1616934025923313</v>
      </c>
      <c r="M53" s="11">
        <v>1.237510889200881</v>
      </c>
      <c r="N53" s="11">
        <v>1.3182765757930153</v>
      </c>
      <c r="O53" s="11">
        <v>1.4043134047949841</v>
      </c>
      <c r="P53" s="11">
        <v>1.4959653953500287</v>
      </c>
      <c r="Q53" s="11">
        <v>1.5935990188824563</v>
      </c>
      <c r="R53" s="11">
        <v>1.6976046644373863</v>
      </c>
      <c r="S53" s="11">
        <v>1.8083981996553524</v>
      </c>
      <c r="T53" s="11">
        <v>1.9264226336233308</v>
      </c>
      <c r="U53" s="11">
        <v>2.0521498882511162</v>
      </c>
      <c r="V53" s="11">
        <v>2.1860826852559172</v>
      </c>
      <c r="W53" s="11">
        <v>2.3287565563003034</v>
      </c>
      <c r="X53" s="11">
        <v>2.4807419843210474</v>
      </c>
      <c r="Y53" s="11">
        <v>2.6426466846110017</v>
      </c>
      <c r="Z53" s="11">
        <v>2.8151180347749252</v>
      </c>
      <c r="AA53" s="11">
        <v>2.9988456632754841</v>
      </c>
      <c r="AB53" s="11">
        <v>3.1945642069197282</v>
      </c>
      <c r="AC53" s="11">
        <v>3.4030562483118958</v>
      </c>
      <c r="AD53" s="11">
        <v>3.6251554450179913</v>
      </c>
      <c r="AE53" s="11">
        <v>3.8617498629541105</v>
      </c>
      <c r="AF53" s="11">
        <v>4.1137855273271127</v>
      </c>
      <c r="AG53" s="11">
        <v>4.3822702053261153</v>
      </c>
      <c r="AH53" s="11">
        <v>4.6682774356899381</v>
      </c>
      <c r="AI53" s="11">
        <v>4.97295082126276</v>
      </c>
      <c r="AJ53" s="11">
        <v>5.2975086017018187</v>
      </c>
      <c r="AK53" s="11">
        <v>5.6432485246211819</v>
      </c>
      <c r="AL53" s="11">
        <v>6.0115530346488848</v>
      </c>
      <c r="AM53" s="11">
        <v>6.403894801145964</v>
      </c>
      <c r="AN53" s="11">
        <v>6.8218426066899962</v>
      </c>
      <c r="AO53" s="39">
        <f t="shared" si="18"/>
        <v>7.2670676198683273</v>
      </c>
      <c r="AP53" s="39">
        <f t="shared" si="18"/>
        <v>7.7413500774628119</v>
      </c>
      <c r="AQ53" s="39">
        <f t="shared" si="18"/>
        <v>8.2465864027448443</v>
      </c>
      <c r="AR53" s="39">
        <f t="shared" si="18"/>
        <v>8.7847967883432592</v>
      </c>
      <c r="AS53" s="39">
        <f t="shared" si="18"/>
        <v>9.3581332740052812</v>
      </c>
      <c r="AT53" s="39">
        <f t="shared" si="18"/>
        <v>9.9688883515495252</v>
      </c>
      <c r="AU53" s="39">
        <f t="shared" si="18"/>
        <v>10.619504131418051</v>
      </c>
      <c r="AV53" s="39">
        <f t="shared" si="18"/>
        <v>11.31258210748001</v>
      </c>
      <c r="AW53" s="39">
        <f t="shared" si="18"/>
        <v>12.050893559131568</v>
      </c>
      <c r="AX53" s="39">
        <f t="shared" si="18"/>
        <v>12.837390632284993</v>
      </c>
    </row>
    <row r="54" spans="1:50" x14ac:dyDescent="0.2">
      <c r="A54" s="6" t="s">
        <v>37</v>
      </c>
      <c r="B54" s="11">
        <v>0.67707017678417769</v>
      </c>
      <c r="C54" s="11">
        <v>0.72125890932482106</v>
      </c>
      <c r="D54" s="11">
        <v>0.7683316030123325</v>
      </c>
      <c r="E54" s="11">
        <v>0.81847647849524463</v>
      </c>
      <c r="F54" s="11">
        <v>0.87189404057251063</v>
      </c>
      <c r="G54" s="11">
        <v>0.92879787991399843</v>
      </c>
      <c r="H54" s="11">
        <v>0.98941552710497649</v>
      </c>
      <c r="I54" s="11">
        <v>1.0539893624294914</v>
      </c>
      <c r="J54" s="11">
        <v>1.1227775850304207</v>
      </c>
      <c r="K54" s="11">
        <v>1.1960552453213915</v>
      </c>
      <c r="L54" s="11">
        <v>1.2741153447786862</v>
      </c>
      <c r="M54" s="11">
        <v>1.3572700075106436</v>
      </c>
      <c r="N54" s="11">
        <v>1.4458517282891135</v>
      </c>
      <c r="O54" s="11">
        <v>1.5402147020332082</v>
      </c>
      <c r="P54" s="11">
        <v>1.6407362400613219</v>
      </c>
      <c r="Q54" s="11">
        <v>1.7478182787743068</v>
      </c>
      <c r="R54" s="11">
        <v>1.8618889868022948</v>
      </c>
      <c r="S54" s="11">
        <v>1.9834044770413541</v>
      </c>
      <c r="T54" s="11">
        <v>2.1128506304255885</v>
      </c>
      <c r="U54" s="11">
        <v>2.2507450387270307</v>
      </c>
      <c r="V54" s="11">
        <v>2.3976390741516509</v>
      </c>
      <c r="W54" s="11">
        <v>2.5541200940067843</v>
      </c>
      <c r="X54" s="11">
        <v>2.7208137892553426</v>
      </c>
      <c r="Y54" s="11">
        <v>2.8983866863475503</v>
      </c>
      <c r="Z54" s="11">
        <v>3.0875488123337891</v>
      </c>
      <c r="AA54" s="11">
        <v>3.2890565339150473</v>
      </c>
      <c r="AB54" s="11">
        <v>3.5037155817829277</v>
      </c>
      <c r="AC54" s="11">
        <v>3.7323842723420793</v>
      </c>
      <c r="AD54" s="11">
        <v>3.9759769396971509</v>
      </c>
      <c r="AE54" s="11">
        <v>4.2354675916270885</v>
      </c>
      <c r="AF54" s="11">
        <v>4.5118938041652212</v>
      </c>
      <c r="AG54" s="11">
        <v>4.8063608703576755</v>
      </c>
      <c r="AH54" s="11">
        <v>5.1200462197889651</v>
      </c>
      <c r="AI54" s="11">
        <v>5.4542041265462533</v>
      </c>
      <c r="AJ54" s="11">
        <v>5.810170724447155</v>
      </c>
      <c r="AK54" s="11">
        <v>6.1893693495845223</v>
      </c>
      <c r="AL54" s="11">
        <v>6.5933162315503901</v>
      </c>
      <c r="AM54" s="11">
        <v>7.0236265560955733</v>
      </c>
      <c r="AN54" s="11">
        <v>7.4820209234664468</v>
      </c>
      <c r="AO54" s="39">
        <f t="shared" si="18"/>
        <v>7.9703322282426807</v>
      </c>
      <c r="AP54" s="39">
        <f t="shared" si="18"/>
        <v>8.490512988185019</v>
      </c>
      <c r="AQ54" s="39">
        <f t="shared" si="18"/>
        <v>9.0446431513975707</v>
      </c>
      <c r="AR54" s="39">
        <f t="shared" si="18"/>
        <v>9.6349384130216382</v>
      </c>
      <c r="AS54" s="39">
        <f t="shared" si="18"/>
        <v>10.263759074715468</v>
      </c>
      <c r="AT54" s="39">
        <f t="shared" si="18"/>
        <v>10.933619482344639</v>
      </c>
      <c r="AU54" s="39">
        <f t="shared" si="18"/>
        <v>11.647198079619796</v>
      </c>
      <c r="AV54" s="39">
        <f t="shared" si="18"/>
        <v>12.4073481178813</v>
      </c>
      <c r="AW54" s="39">
        <f t="shared" si="18"/>
        <v>13.217109064853975</v>
      </c>
      <c r="AX54" s="39">
        <f t="shared" si="18"/>
        <v>14.079718757989991</v>
      </c>
    </row>
    <row r="55" spans="1:50" x14ac:dyDescent="0.2">
      <c r="AM55" s="13" t="s">
        <v>187</v>
      </c>
      <c r="AN55" s="13">
        <f>(AN51-AM51)/AM51</f>
        <v>6.5264627000000075E-2</v>
      </c>
    </row>
    <row r="56" spans="1:50" x14ac:dyDescent="0.2">
      <c r="A56" s="5" t="s">
        <v>52</v>
      </c>
      <c r="AM56" s="13" t="s">
        <v>187</v>
      </c>
      <c r="AN56" s="13">
        <f t="shared" ref="AN56:AN58" si="19">(AN52-AM52)/AM52</f>
        <v>6.5264627000000242E-2</v>
      </c>
    </row>
    <row r="57" spans="1:50" x14ac:dyDescent="0.2">
      <c r="A57" s="5" t="s">
        <v>4</v>
      </c>
      <c r="AM57" s="13" t="s">
        <v>187</v>
      </c>
      <c r="AN57" s="13">
        <f t="shared" si="19"/>
        <v>6.5264627000000269E-2</v>
      </c>
    </row>
    <row r="58" spans="1:50" x14ac:dyDescent="0.2">
      <c r="A58" s="5" t="s">
        <v>53</v>
      </c>
      <c r="AM58" s="13" t="s">
        <v>187</v>
      </c>
      <c r="AN58" s="13">
        <f t="shared" si="19"/>
        <v>6.5264627000000186E-2</v>
      </c>
    </row>
    <row r="59" spans="1:50" x14ac:dyDescent="0.2">
      <c r="A59" s="5" t="s">
        <v>6</v>
      </c>
    </row>
    <row r="60" spans="1:50" x14ac:dyDescent="0.2">
      <c r="A60" t="s">
        <v>155</v>
      </c>
      <c r="B60">
        <v>1000</v>
      </c>
    </row>
    <row r="61" spans="1:50" x14ac:dyDescent="0.2">
      <c r="A61" s="6" t="s">
        <v>7</v>
      </c>
      <c r="B61" s="6">
        <v>2022</v>
      </c>
      <c r="C61" s="6">
        <v>2023</v>
      </c>
      <c r="D61" s="6">
        <v>2024</v>
      </c>
      <c r="E61" s="6">
        <v>2025</v>
      </c>
      <c r="F61" s="6">
        <v>2026</v>
      </c>
      <c r="G61" s="6">
        <v>2027</v>
      </c>
      <c r="H61" s="6">
        <v>2028</v>
      </c>
      <c r="I61" s="6">
        <v>2029</v>
      </c>
      <c r="J61" s="6">
        <v>2030</v>
      </c>
      <c r="K61" s="6">
        <v>2031</v>
      </c>
      <c r="L61" s="6">
        <v>2032</v>
      </c>
      <c r="M61" s="6">
        <v>2033</v>
      </c>
      <c r="N61" s="6">
        <v>2034</v>
      </c>
      <c r="O61" s="6">
        <v>2035</v>
      </c>
      <c r="P61" s="6">
        <v>2036</v>
      </c>
      <c r="Q61" s="6">
        <v>2037</v>
      </c>
      <c r="R61" s="6">
        <v>2038</v>
      </c>
      <c r="S61" s="6">
        <v>2039</v>
      </c>
      <c r="T61" s="6">
        <v>2040</v>
      </c>
      <c r="U61" s="6">
        <v>2041</v>
      </c>
      <c r="V61" s="6">
        <v>2042</v>
      </c>
      <c r="W61" s="6">
        <v>2043</v>
      </c>
      <c r="X61" s="6">
        <v>2044</v>
      </c>
      <c r="Y61" s="6">
        <v>2045</v>
      </c>
      <c r="Z61" s="6">
        <v>2046</v>
      </c>
      <c r="AA61" s="6">
        <v>2047</v>
      </c>
      <c r="AB61" s="6">
        <v>2048</v>
      </c>
      <c r="AC61" s="6">
        <v>2049</v>
      </c>
      <c r="AD61" s="6">
        <v>2050</v>
      </c>
      <c r="AE61" s="6">
        <v>2051</v>
      </c>
      <c r="AF61" s="6">
        <v>2052</v>
      </c>
      <c r="AG61" s="6">
        <v>2053</v>
      </c>
      <c r="AH61" s="6">
        <v>2054</v>
      </c>
      <c r="AI61" s="6">
        <v>2055</v>
      </c>
      <c r="AJ61" s="6">
        <v>2056</v>
      </c>
      <c r="AK61" s="6">
        <v>2057</v>
      </c>
      <c r="AL61" s="6">
        <v>2058</v>
      </c>
      <c r="AM61" s="6">
        <v>2059</v>
      </c>
      <c r="AN61" s="6">
        <v>2060</v>
      </c>
      <c r="AO61" s="39">
        <f>AN61+1</f>
        <v>2061</v>
      </c>
      <c r="AP61" s="39">
        <f t="shared" ref="AP61:AX61" si="20">AO61+1</f>
        <v>2062</v>
      </c>
      <c r="AQ61" s="39">
        <f t="shared" si="20"/>
        <v>2063</v>
      </c>
      <c r="AR61" s="39">
        <f t="shared" si="20"/>
        <v>2064</v>
      </c>
      <c r="AS61" s="39">
        <f t="shared" si="20"/>
        <v>2065</v>
      </c>
      <c r="AT61" s="39">
        <f t="shared" si="20"/>
        <v>2066</v>
      </c>
      <c r="AU61" s="39">
        <f t="shared" si="20"/>
        <v>2067</v>
      </c>
      <c r="AV61" s="39">
        <f t="shared" si="20"/>
        <v>2068</v>
      </c>
      <c r="AW61" s="39">
        <f>AV61+1</f>
        <v>2069</v>
      </c>
      <c r="AX61" s="39">
        <f t="shared" si="20"/>
        <v>2070</v>
      </c>
    </row>
    <row r="62" spans="1:50" x14ac:dyDescent="0.2">
      <c r="A62" s="6" t="s">
        <v>34</v>
      </c>
      <c r="B62" s="11">
        <v>712.29010499999993</v>
      </c>
      <c r="C62" s="11">
        <v>714.72574005049171</v>
      </c>
      <c r="D62" s="11">
        <v>717.16137510098338</v>
      </c>
      <c r="E62" s="11">
        <v>719.59701015147516</v>
      </c>
      <c r="F62" s="11">
        <v>726.1122999036703</v>
      </c>
      <c r="G62" s="11">
        <v>732.62758965586545</v>
      </c>
      <c r="H62" s="11">
        <v>739.14287940806071</v>
      </c>
      <c r="I62" s="11">
        <v>745.65816916025585</v>
      </c>
      <c r="J62" s="11">
        <v>752.173458912451</v>
      </c>
      <c r="K62" s="11">
        <v>757.64579874674826</v>
      </c>
      <c r="L62" s="11">
        <v>763.11813858104563</v>
      </c>
      <c r="M62" s="11">
        <v>768.59047841534289</v>
      </c>
      <c r="N62" s="11">
        <v>774.06281824964015</v>
      </c>
      <c r="O62" s="11">
        <v>779.53515808393763</v>
      </c>
      <c r="P62" s="11">
        <v>783.95249113417071</v>
      </c>
      <c r="Q62" s="11">
        <v>788.3698241844038</v>
      </c>
      <c r="R62" s="11">
        <v>792.78715723463699</v>
      </c>
      <c r="S62" s="11">
        <v>797.20449028486996</v>
      </c>
      <c r="T62" s="11">
        <v>801.62182333510316</v>
      </c>
      <c r="U62" s="11">
        <v>805.00730766940546</v>
      </c>
      <c r="V62" s="11">
        <v>808.392792003708</v>
      </c>
      <c r="W62" s="11">
        <v>811.77827633801019</v>
      </c>
      <c r="X62" s="11">
        <v>815.16376067231272</v>
      </c>
      <c r="Y62" s="11">
        <v>818.54924500661491</v>
      </c>
      <c r="Z62" s="11">
        <v>820.9447077223939</v>
      </c>
      <c r="AA62" s="11">
        <v>823.34017043817278</v>
      </c>
      <c r="AB62" s="11">
        <v>825.73563315395165</v>
      </c>
      <c r="AC62" s="11">
        <v>828.13109586973042</v>
      </c>
      <c r="AD62" s="11">
        <v>830.52655858550929</v>
      </c>
      <c r="AE62" s="11">
        <v>830.52655858550929</v>
      </c>
      <c r="AF62" s="11">
        <v>830.52655858550929</v>
      </c>
      <c r="AG62" s="11">
        <v>830.52655858550929</v>
      </c>
      <c r="AH62" s="11">
        <v>830.52655858550929</v>
      </c>
      <c r="AI62" s="11">
        <v>830.52655858550929</v>
      </c>
      <c r="AJ62" s="11">
        <v>830.52655858550929</v>
      </c>
      <c r="AK62" s="11">
        <v>830.52655858550929</v>
      </c>
      <c r="AL62" s="11">
        <v>830.52655858550929</v>
      </c>
      <c r="AM62" s="11">
        <v>830.52655858550929</v>
      </c>
      <c r="AN62" s="11">
        <v>830.52655858550929</v>
      </c>
      <c r="AO62" s="39">
        <f>(AN62+AN62*$AN$66)</f>
        <v>830.52655858550929</v>
      </c>
      <c r="AP62" s="39">
        <f t="shared" ref="AP62:AX62" si="21">(AO62+AO62*$AN$66)</f>
        <v>830.52655858550929</v>
      </c>
      <c r="AQ62" s="39">
        <f t="shared" si="21"/>
        <v>830.52655858550929</v>
      </c>
      <c r="AR62" s="39">
        <f t="shared" si="21"/>
        <v>830.52655858550929</v>
      </c>
      <c r="AS62" s="39">
        <f t="shared" si="21"/>
        <v>830.52655858550929</v>
      </c>
      <c r="AT62" s="39">
        <f t="shared" si="21"/>
        <v>830.52655858550929</v>
      </c>
      <c r="AU62" s="39">
        <f t="shared" si="21"/>
        <v>830.52655858550929</v>
      </c>
      <c r="AV62" s="39">
        <f t="shared" si="21"/>
        <v>830.52655858550929</v>
      </c>
      <c r="AW62" s="39">
        <f t="shared" si="21"/>
        <v>830.52655858550929</v>
      </c>
      <c r="AX62" s="39">
        <f t="shared" si="21"/>
        <v>830.52655858550929</v>
      </c>
    </row>
    <row r="63" spans="1:50" x14ac:dyDescent="0.2">
      <c r="A63" s="6" t="s">
        <v>35</v>
      </c>
      <c r="B63" s="11">
        <v>300.96764999999999</v>
      </c>
      <c r="C63" s="11">
        <v>301.99679157063031</v>
      </c>
      <c r="D63" s="11">
        <v>303.02593314126062</v>
      </c>
      <c r="E63" s="11">
        <v>304.05507471189094</v>
      </c>
      <c r="F63" s="11">
        <v>306.80801404380441</v>
      </c>
      <c r="G63" s="11">
        <v>309.56095337571782</v>
      </c>
      <c r="H63" s="11">
        <v>312.31389270763128</v>
      </c>
      <c r="I63" s="11">
        <v>315.06683203954469</v>
      </c>
      <c r="J63" s="11">
        <v>317.81977137145822</v>
      </c>
      <c r="K63" s="11">
        <v>320.13202763947112</v>
      </c>
      <c r="L63" s="11">
        <v>322.44428390748413</v>
      </c>
      <c r="M63" s="11">
        <v>324.75654017549698</v>
      </c>
      <c r="N63" s="11">
        <v>327.06879644350994</v>
      </c>
      <c r="O63" s="11">
        <v>329.3810527115229</v>
      </c>
      <c r="P63" s="11">
        <v>331.24753146514257</v>
      </c>
      <c r="Q63" s="11">
        <v>333.11401021876213</v>
      </c>
      <c r="R63" s="11">
        <v>334.98048897238175</v>
      </c>
      <c r="S63" s="11">
        <v>336.84696772600142</v>
      </c>
      <c r="T63" s="11">
        <v>338.71344647962104</v>
      </c>
      <c r="U63" s="11">
        <v>340.14393281805866</v>
      </c>
      <c r="V63" s="11">
        <v>341.57441915649633</v>
      </c>
      <c r="W63" s="11">
        <v>343.00490549493389</v>
      </c>
      <c r="X63" s="11">
        <v>344.43539183337157</v>
      </c>
      <c r="Y63" s="11">
        <v>345.86587817180913</v>
      </c>
      <c r="Z63" s="11">
        <v>346.87804551650441</v>
      </c>
      <c r="AA63" s="11">
        <v>347.89021286119981</v>
      </c>
      <c r="AB63" s="11">
        <v>348.9023802058951</v>
      </c>
      <c r="AC63" s="11">
        <v>349.91454755059038</v>
      </c>
      <c r="AD63" s="11">
        <v>350.92671489528561</v>
      </c>
      <c r="AE63" s="11">
        <v>350.92671489528561</v>
      </c>
      <c r="AF63" s="11">
        <v>350.92671489528561</v>
      </c>
      <c r="AG63" s="11">
        <v>350.92671489528561</v>
      </c>
      <c r="AH63" s="11">
        <v>350.92671489528561</v>
      </c>
      <c r="AI63" s="11">
        <v>350.92671489528561</v>
      </c>
      <c r="AJ63" s="11">
        <v>350.92671489528561</v>
      </c>
      <c r="AK63" s="11">
        <v>350.92671489528561</v>
      </c>
      <c r="AL63" s="11">
        <v>350.92671489528561</v>
      </c>
      <c r="AM63" s="11">
        <v>350.92671489528561</v>
      </c>
      <c r="AN63" s="11">
        <v>350.92671489528561</v>
      </c>
      <c r="AO63" s="39">
        <f t="shared" ref="AO63:AX65" si="22">(AN63+AN63*$AN$66)</f>
        <v>350.92671489528561</v>
      </c>
      <c r="AP63" s="39">
        <f t="shared" si="22"/>
        <v>350.92671489528561</v>
      </c>
      <c r="AQ63" s="39">
        <f t="shared" si="22"/>
        <v>350.92671489528561</v>
      </c>
      <c r="AR63" s="39">
        <f t="shared" si="22"/>
        <v>350.92671489528561</v>
      </c>
      <c r="AS63" s="39">
        <f t="shared" si="22"/>
        <v>350.92671489528561</v>
      </c>
      <c r="AT63" s="39">
        <f t="shared" si="22"/>
        <v>350.92671489528561</v>
      </c>
      <c r="AU63" s="39">
        <f t="shared" si="22"/>
        <v>350.92671489528561</v>
      </c>
      <c r="AV63" s="39">
        <f t="shared" si="22"/>
        <v>350.92671489528561</v>
      </c>
      <c r="AW63" s="39">
        <f t="shared" si="22"/>
        <v>350.92671489528561</v>
      </c>
      <c r="AX63" s="39">
        <f t="shared" si="22"/>
        <v>350.92671489528561</v>
      </c>
    </row>
    <row r="64" spans="1:50" x14ac:dyDescent="0.2">
      <c r="A64" s="6" t="s">
        <v>36</v>
      </c>
      <c r="B64" s="11">
        <v>54.620055000000008</v>
      </c>
      <c r="C64" s="11">
        <v>54.806825136892172</v>
      </c>
      <c r="D64" s="11">
        <v>54.993595273784329</v>
      </c>
      <c r="E64" s="11">
        <v>55.180365410676501</v>
      </c>
      <c r="F64" s="11">
        <v>55.679972919060795</v>
      </c>
      <c r="G64" s="11">
        <v>56.179580427445082</v>
      </c>
      <c r="H64" s="11">
        <v>56.679187935829383</v>
      </c>
      <c r="I64" s="11">
        <v>57.178795444213669</v>
      </c>
      <c r="J64" s="11">
        <v>57.678402952597963</v>
      </c>
      <c r="K64" s="11">
        <v>58.098034645681793</v>
      </c>
      <c r="L64" s="11">
        <v>58.517666338765636</v>
      </c>
      <c r="M64" s="11">
        <v>58.937298031849451</v>
      </c>
      <c r="N64" s="11">
        <v>59.356929724933281</v>
      </c>
      <c r="O64" s="11">
        <v>59.776561418017124</v>
      </c>
      <c r="P64" s="11">
        <v>60.115292747377715</v>
      </c>
      <c r="Q64" s="11">
        <v>60.454024076738321</v>
      </c>
      <c r="R64" s="11">
        <v>60.792755406098912</v>
      </c>
      <c r="S64" s="11">
        <v>61.131486735459504</v>
      </c>
      <c r="T64" s="11">
        <v>61.470218064820109</v>
      </c>
      <c r="U64" s="11">
        <v>61.729824844758781</v>
      </c>
      <c r="V64" s="11">
        <v>61.989431624697488</v>
      </c>
      <c r="W64" s="11">
        <v>62.249038404636146</v>
      </c>
      <c r="X64" s="11">
        <v>62.508645184574831</v>
      </c>
      <c r="Y64" s="11">
        <v>62.768251964513517</v>
      </c>
      <c r="Z64" s="11">
        <v>62.951941593735995</v>
      </c>
      <c r="AA64" s="11">
        <v>63.13563122295848</v>
      </c>
      <c r="AB64" s="11">
        <v>63.319320852180958</v>
      </c>
      <c r="AC64" s="11">
        <v>63.503010481403436</v>
      </c>
      <c r="AD64" s="11">
        <v>63.686700110625914</v>
      </c>
      <c r="AE64" s="11">
        <v>63.686700110625914</v>
      </c>
      <c r="AF64" s="11">
        <v>63.686700110625914</v>
      </c>
      <c r="AG64" s="11">
        <v>63.686700110625914</v>
      </c>
      <c r="AH64" s="11">
        <v>63.686700110625914</v>
      </c>
      <c r="AI64" s="11">
        <v>63.686700110625914</v>
      </c>
      <c r="AJ64" s="11">
        <v>63.686700110625914</v>
      </c>
      <c r="AK64" s="11">
        <v>63.686700110625914</v>
      </c>
      <c r="AL64" s="11">
        <v>63.686700110625914</v>
      </c>
      <c r="AM64" s="11">
        <v>63.686700110625914</v>
      </c>
      <c r="AN64" s="11">
        <v>63.686700110625914</v>
      </c>
      <c r="AO64" s="39">
        <f t="shared" si="22"/>
        <v>63.686700110625914</v>
      </c>
      <c r="AP64" s="39">
        <f t="shared" si="22"/>
        <v>63.686700110625914</v>
      </c>
      <c r="AQ64" s="39">
        <f t="shared" si="22"/>
        <v>63.686700110625914</v>
      </c>
      <c r="AR64" s="39">
        <f t="shared" si="22"/>
        <v>63.686700110625914</v>
      </c>
      <c r="AS64" s="39">
        <f t="shared" si="22"/>
        <v>63.686700110625914</v>
      </c>
      <c r="AT64" s="39">
        <f t="shared" si="22"/>
        <v>63.686700110625914</v>
      </c>
      <c r="AU64" s="39">
        <f t="shared" si="22"/>
        <v>63.686700110625914</v>
      </c>
      <c r="AV64" s="39">
        <f t="shared" si="22"/>
        <v>63.686700110625914</v>
      </c>
      <c r="AW64" s="39">
        <f t="shared" si="22"/>
        <v>63.686700110625914</v>
      </c>
      <c r="AX64" s="39">
        <f t="shared" si="22"/>
        <v>63.686700110625914</v>
      </c>
    </row>
    <row r="65" spans="1:50" x14ac:dyDescent="0.2">
      <c r="A65" s="6" t="s">
        <v>37</v>
      </c>
      <c r="B65" s="11">
        <v>46.817190000000004</v>
      </c>
      <c r="C65" s="11">
        <v>46.977278688764713</v>
      </c>
      <c r="D65" s="11">
        <v>47.137367377529422</v>
      </c>
      <c r="E65" s="11">
        <v>47.297456066294139</v>
      </c>
      <c r="F65" s="11">
        <v>47.725691073480682</v>
      </c>
      <c r="G65" s="11">
        <v>48.153926080667205</v>
      </c>
      <c r="H65" s="11">
        <v>48.582161087853748</v>
      </c>
      <c r="I65" s="11">
        <v>49.010396095040285</v>
      </c>
      <c r="J65" s="11">
        <v>49.438631102226829</v>
      </c>
      <c r="K65" s="11">
        <v>49.798315410584387</v>
      </c>
      <c r="L65" s="11">
        <v>50.157999718941966</v>
      </c>
      <c r="M65" s="11">
        <v>50.517684027299524</v>
      </c>
      <c r="N65" s="11">
        <v>50.877368335657088</v>
      </c>
      <c r="O65" s="11">
        <v>51.237052644014675</v>
      </c>
      <c r="P65" s="11">
        <v>51.527393783466614</v>
      </c>
      <c r="Q65" s="11">
        <v>51.817734922918547</v>
      </c>
      <c r="R65" s="11">
        <v>52.108076062370493</v>
      </c>
      <c r="S65" s="11">
        <v>52.398417201822426</v>
      </c>
      <c r="T65" s="11">
        <v>52.688758341274379</v>
      </c>
      <c r="U65" s="11">
        <v>52.911278438364675</v>
      </c>
      <c r="V65" s="11">
        <v>53.133798535454979</v>
      </c>
      <c r="W65" s="11">
        <v>53.356318632545268</v>
      </c>
      <c r="X65" s="11">
        <v>53.578838729635571</v>
      </c>
      <c r="Y65" s="11">
        <v>53.801358826725867</v>
      </c>
      <c r="Z65" s="11">
        <v>53.958807080345132</v>
      </c>
      <c r="AA65" s="11">
        <v>54.116255333964411</v>
      </c>
      <c r="AB65" s="11">
        <v>54.273703587583675</v>
      </c>
      <c r="AC65" s="11">
        <v>54.43115184120294</v>
      </c>
      <c r="AD65" s="11">
        <v>54.588600094822198</v>
      </c>
      <c r="AE65" s="11">
        <v>54.588600094822198</v>
      </c>
      <c r="AF65" s="11">
        <v>54.588600094822198</v>
      </c>
      <c r="AG65" s="11">
        <v>54.588600094822198</v>
      </c>
      <c r="AH65" s="11">
        <v>54.588600094822198</v>
      </c>
      <c r="AI65" s="11">
        <v>54.588600094822198</v>
      </c>
      <c r="AJ65" s="11">
        <v>54.588600094822198</v>
      </c>
      <c r="AK65" s="11">
        <v>54.588600094822198</v>
      </c>
      <c r="AL65" s="11">
        <v>54.588600094822198</v>
      </c>
      <c r="AM65" s="11">
        <v>54.588600094822198</v>
      </c>
      <c r="AN65" s="11">
        <v>54.588600094822198</v>
      </c>
      <c r="AO65" s="39">
        <f t="shared" si="22"/>
        <v>54.588600094822198</v>
      </c>
      <c r="AP65" s="39">
        <f t="shared" si="22"/>
        <v>54.588600094822198</v>
      </c>
      <c r="AQ65" s="39">
        <f t="shared" si="22"/>
        <v>54.588600094822198</v>
      </c>
      <c r="AR65" s="39">
        <f t="shared" si="22"/>
        <v>54.588600094822198</v>
      </c>
      <c r="AS65" s="39">
        <f t="shared" si="22"/>
        <v>54.588600094822198</v>
      </c>
      <c r="AT65" s="39">
        <f t="shared" si="22"/>
        <v>54.588600094822198</v>
      </c>
      <c r="AU65" s="39">
        <f t="shared" si="22"/>
        <v>54.588600094822198</v>
      </c>
      <c r="AV65" s="39">
        <f t="shared" si="22"/>
        <v>54.588600094822198</v>
      </c>
      <c r="AW65" s="39">
        <f t="shared" si="22"/>
        <v>54.588600094822198</v>
      </c>
      <c r="AX65" s="39">
        <f t="shared" si="22"/>
        <v>54.588600094822198</v>
      </c>
    </row>
    <row r="66" spans="1:50" x14ac:dyDescent="0.2">
      <c r="AM66" s="13" t="s">
        <v>187</v>
      </c>
      <c r="AN66" s="13">
        <f>(AN62-AM62)/AM62</f>
        <v>0</v>
      </c>
    </row>
    <row r="67" spans="1:50" x14ac:dyDescent="0.2">
      <c r="A67" s="5" t="s">
        <v>52</v>
      </c>
      <c r="AM67" s="13" t="s">
        <v>187</v>
      </c>
      <c r="AN67" s="13">
        <f t="shared" ref="AN67:AN69" si="23">(AN63-AM63)/AM63</f>
        <v>0</v>
      </c>
    </row>
    <row r="68" spans="1:50" x14ac:dyDescent="0.2">
      <c r="A68" s="5" t="s">
        <v>4</v>
      </c>
      <c r="AM68" s="13" t="s">
        <v>187</v>
      </c>
      <c r="AN68" s="13">
        <f t="shared" si="23"/>
        <v>0</v>
      </c>
    </row>
    <row r="69" spans="1:50" x14ac:dyDescent="0.2">
      <c r="A69" s="5" t="s">
        <v>55</v>
      </c>
      <c r="AM69" s="13" t="s">
        <v>187</v>
      </c>
      <c r="AN69" s="13">
        <f t="shared" si="23"/>
        <v>0</v>
      </c>
    </row>
    <row r="70" spans="1:50" x14ac:dyDescent="0.2">
      <c r="A70" s="5" t="s">
        <v>6</v>
      </c>
    </row>
    <row r="71" spans="1:50" x14ac:dyDescent="0.2">
      <c r="A71" t="s">
        <v>155</v>
      </c>
      <c r="B71">
        <v>1000</v>
      </c>
    </row>
    <row r="72" spans="1:50" x14ac:dyDescent="0.2">
      <c r="A72" s="6" t="s">
        <v>7</v>
      </c>
      <c r="B72" s="6">
        <v>2022</v>
      </c>
      <c r="C72" s="6">
        <v>2023</v>
      </c>
      <c r="D72" s="6">
        <v>2024</v>
      </c>
      <c r="E72" s="6">
        <v>2025</v>
      </c>
      <c r="F72" s="6">
        <v>2026</v>
      </c>
      <c r="G72" s="6">
        <v>2027</v>
      </c>
      <c r="H72" s="6">
        <v>2028</v>
      </c>
      <c r="I72" s="6">
        <v>2029</v>
      </c>
      <c r="J72" s="6">
        <v>2030</v>
      </c>
      <c r="K72" s="6">
        <v>2031</v>
      </c>
      <c r="L72" s="6">
        <v>2032</v>
      </c>
      <c r="M72" s="6">
        <v>2033</v>
      </c>
      <c r="N72" s="6">
        <v>2034</v>
      </c>
      <c r="O72" s="6">
        <v>2035</v>
      </c>
      <c r="P72" s="6">
        <v>2036</v>
      </c>
      <c r="Q72" s="6">
        <v>2037</v>
      </c>
      <c r="R72" s="6">
        <v>2038</v>
      </c>
      <c r="S72" s="6">
        <v>2039</v>
      </c>
      <c r="T72" s="6">
        <v>2040</v>
      </c>
      <c r="U72" s="6">
        <v>2041</v>
      </c>
      <c r="V72" s="6">
        <v>2042</v>
      </c>
      <c r="W72" s="6">
        <v>2043</v>
      </c>
      <c r="X72" s="6">
        <v>2044</v>
      </c>
      <c r="Y72" s="6">
        <v>2045</v>
      </c>
      <c r="Z72" s="6">
        <v>2046</v>
      </c>
      <c r="AA72" s="6">
        <v>2047</v>
      </c>
      <c r="AB72" s="6">
        <v>2048</v>
      </c>
      <c r="AC72" s="6">
        <v>2049</v>
      </c>
      <c r="AD72" s="6">
        <v>2050</v>
      </c>
      <c r="AE72" s="6">
        <v>2051</v>
      </c>
      <c r="AF72" s="6">
        <v>2052</v>
      </c>
      <c r="AG72" s="6">
        <v>2053</v>
      </c>
      <c r="AH72" s="6">
        <v>2054</v>
      </c>
      <c r="AI72" s="6">
        <v>2055</v>
      </c>
      <c r="AJ72" s="6">
        <v>2056</v>
      </c>
      <c r="AK72" s="6">
        <v>2057</v>
      </c>
      <c r="AL72" s="6">
        <v>2058</v>
      </c>
      <c r="AM72" s="6">
        <v>2059</v>
      </c>
      <c r="AN72" s="6">
        <v>2060</v>
      </c>
      <c r="AO72" s="39">
        <f>AN72+1</f>
        <v>2061</v>
      </c>
      <c r="AP72" s="39">
        <f t="shared" ref="AP72:AX72" si="24">AO72+1</f>
        <v>2062</v>
      </c>
      <c r="AQ72" s="39">
        <f t="shared" si="24"/>
        <v>2063</v>
      </c>
      <c r="AR72" s="39">
        <f t="shared" si="24"/>
        <v>2064</v>
      </c>
      <c r="AS72" s="39">
        <f t="shared" si="24"/>
        <v>2065</v>
      </c>
      <c r="AT72" s="39">
        <f t="shared" si="24"/>
        <v>2066</v>
      </c>
      <c r="AU72" s="39">
        <f t="shared" si="24"/>
        <v>2067</v>
      </c>
      <c r="AV72" s="39">
        <f t="shared" si="24"/>
        <v>2068</v>
      </c>
      <c r="AW72" s="39">
        <f>AV72+1</f>
        <v>2069</v>
      </c>
      <c r="AX72" s="39">
        <f t="shared" si="24"/>
        <v>2070</v>
      </c>
    </row>
    <row r="73" spans="1:50" x14ac:dyDescent="0.2">
      <c r="A73" s="6" t="s">
        <v>34</v>
      </c>
      <c r="B73" s="11">
        <v>3610.5661353599999</v>
      </c>
      <c r="C73" s="11">
        <v>3622.9122586174626</v>
      </c>
      <c r="D73" s="11">
        <v>3635.2583818749254</v>
      </c>
      <c r="E73" s="11">
        <v>3647.6045051323877</v>
      </c>
      <c r="F73" s="11">
        <v>3680.6302124617546</v>
      </c>
      <c r="G73" s="11">
        <v>3713.6559197911215</v>
      </c>
      <c r="H73" s="11">
        <v>3746.6816271204884</v>
      </c>
      <c r="I73" s="11">
        <v>3779.7073344498558</v>
      </c>
      <c r="J73" s="11">
        <v>3812.7330417792218</v>
      </c>
      <c r="K73" s="11">
        <v>3840.4720834255963</v>
      </c>
      <c r="L73" s="11">
        <v>3868.2111250719713</v>
      </c>
      <c r="M73" s="11">
        <v>3895.9501667183449</v>
      </c>
      <c r="N73" s="11">
        <v>3923.689208364719</v>
      </c>
      <c r="O73" s="11">
        <v>3951.4282500110935</v>
      </c>
      <c r="P73" s="11">
        <v>3973.8195102684276</v>
      </c>
      <c r="Q73" s="11">
        <v>3996.2107705257604</v>
      </c>
      <c r="R73" s="11">
        <v>4018.6020307830927</v>
      </c>
      <c r="S73" s="11">
        <v>4040.9932910404268</v>
      </c>
      <c r="T73" s="11">
        <v>4063.38455129776</v>
      </c>
      <c r="U73" s="11">
        <v>4080.5454173598027</v>
      </c>
      <c r="V73" s="11">
        <v>4097.7062834218477</v>
      </c>
      <c r="W73" s="11">
        <v>4114.86714948389</v>
      </c>
      <c r="X73" s="11">
        <v>4132.028015545935</v>
      </c>
      <c r="Y73" s="11">
        <v>4149.1888816079781</v>
      </c>
      <c r="Z73" s="11">
        <v>4161.3313731284916</v>
      </c>
      <c r="AA73" s="11">
        <v>4173.4738646490059</v>
      </c>
      <c r="AB73" s="11">
        <v>4185.6163561695212</v>
      </c>
      <c r="AC73" s="11">
        <v>4197.7588476900355</v>
      </c>
      <c r="AD73" s="11">
        <v>4209.901339210548</v>
      </c>
      <c r="AE73" s="11">
        <v>4209.901339210548</v>
      </c>
      <c r="AF73" s="11">
        <v>4209.901339210548</v>
      </c>
      <c r="AG73" s="11">
        <v>4209.901339210548</v>
      </c>
      <c r="AH73" s="11">
        <v>4209.901339210548</v>
      </c>
      <c r="AI73" s="11">
        <v>4209.901339210548</v>
      </c>
      <c r="AJ73" s="11">
        <v>4209.901339210548</v>
      </c>
      <c r="AK73" s="11">
        <v>4209.901339210548</v>
      </c>
      <c r="AL73" s="11">
        <v>4209.901339210548</v>
      </c>
      <c r="AM73" s="11">
        <v>4209.901339210548</v>
      </c>
      <c r="AN73" s="11">
        <v>4209.901339210548</v>
      </c>
      <c r="AO73" s="39">
        <f>(AN73+AN73*$AN$77)</f>
        <v>4209.901339210548</v>
      </c>
      <c r="AP73" s="39">
        <f t="shared" ref="AP73:AX73" si="25">(AO73+AO73*$AN$77)</f>
        <v>4209.901339210548</v>
      </c>
      <c r="AQ73" s="39">
        <f t="shared" si="25"/>
        <v>4209.901339210548</v>
      </c>
      <c r="AR73" s="39">
        <f t="shared" si="25"/>
        <v>4209.901339210548</v>
      </c>
      <c r="AS73" s="39">
        <f t="shared" si="25"/>
        <v>4209.901339210548</v>
      </c>
      <c r="AT73" s="39">
        <f t="shared" si="25"/>
        <v>4209.901339210548</v>
      </c>
      <c r="AU73" s="39">
        <f t="shared" si="25"/>
        <v>4209.901339210548</v>
      </c>
      <c r="AV73" s="39">
        <f t="shared" si="25"/>
        <v>4209.901339210548</v>
      </c>
      <c r="AW73" s="39">
        <f t="shared" si="25"/>
        <v>4209.901339210548</v>
      </c>
      <c r="AX73" s="39">
        <f t="shared" si="25"/>
        <v>4209.901339210548</v>
      </c>
    </row>
    <row r="74" spans="1:50" x14ac:dyDescent="0.2">
      <c r="A74" s="6" t="s">
        <v>35</v>
      </c>
      <c r="B74" s="11">
        <v>1525.5913248000002</v>
      </c>
      <c r="C74" s="11">
        <v>1530.8079965989282</v>
      </c>
      <c r="D74" s="11">
        <v>1536.024668397856</v>
      </c>
      <c r="E74" s="11">
        <v>1541.241340196784</v>
      </c>
      <c r="F74" s="11">
        <v>1555.1958644204599</v>
      </c>
      <c r="G74" s="11">
        <v>1569.1503886441362</v>
      </c>
      <c r="H74" s="11">
        <v>1583.1049128678121</v>
      </c>
      <c r="I74" s="11">
        <v>1597.0594370914885</v>
      </c>
      <c r="J74" s="11">
        <v>1611.0139613151646</v>
      </c>
      <c r="K74" s="11">
        <v>1622.734683137576</v>
      </c>
      <c r="L74" s="11">
        <v>1634.4554049599878</v>
      </c>
      <c r="M74" s="11">
        <v>1646.1761267823995</v>
      </c>
      <c r="N74" s="11">
        <v>1657.8968486048111</v>
      </c>
      <c r="O74" s="11">
        <v>1669.617570427223</v>
      </c>
      <c r="P74" s="11">
        <v>1679.0786663106032</v>
      </c>
      <c r="Q74" s="11">
        <v>1688.5397621939837</v>
      </c>
      <c r="R74" s="11">
        <v>1698.0008580773633</v>
      </c>
      <c r="S74" s="11">
        <v>1707.461953960744</v>
      </c>
      <c r="T74" s="11">
        <v>1716.9230498441241</v>
      </c>
      <c r="U74" s="11">
        <v>1724.1741200111846</v>
      </c>
      <c r="V74" s="11">
        <v>1731.4251901782459</v>
      </c>
      <c r="W74" s="11">
        <v>1738.6762603453058</v>
      </c>
      <c r="X74" s="11">
        <v>1745.927330512367</v>
      </c>
      <c r="Y74" s="11">
        <v>1753.1784006794273</v>
      </c>
      <c r="Z74" s="11">
        <v>1758.3090308993631</v>
      </c>
      <c r="AA74" s="11">
        <v>1763.4396611192985</v>
      </c>
      <c r="AB74" s="11">
        <v>1768.5702913392342</v>
      </c>
      <c r="AC74" s="11">
        <v>1773.7009215591697</v>
      </c>
      <c r="AD74" s="11">
        <v>1778.8315517791054</v>
      </c>
      <c r="AE74" s="11">
        <v>1778.8315517791054</v>
      </c>
      <c r="AF74" s="11">
        <v>1778.8315517791054</v>
      </c>
      <c r="AG74" s="11">
        <v>1778.8315517791054</v>
      </c>
      <c r="AH74" s="11">
        <v>1778.8315517791054</v>
      </c>
      <c r="AI74" s="11">
        <v>1778.8315517791054</v>
      </c>
      <c r="AJ74" s="11">
        <v>1778.8315517791054</v>
      </c>
      <c r="AK74" s="11">
        <v>1778.8315517791054</v>
      </c>
      <c r="AL74" s="11">
        <v>1778.8315517791054</v>
      </c>
      <c r="AM74" s="11">
        <v>1778.8315517791054</v>
      </c>
      <c r="AN74" s="11">
        <v>1778.8315517791054</v>
      </c>
      <c r="AO74" s="39">
        <f t="shared" ref="AO74:AX76" si="26">(AN74+AN74*$AN$77)</f>
        <v>1778.8315517791054</v>
      </c>
      <c r="AP74" s="39">
        <f t="shared" si="26"/>
        <v>1778.8315517791054</v>
      </c>
      <c r="AQ74" s="39">
        <f t="shared" si="26"/>
        <v>1778.8315517791054</v>
      </c>
      <c r="AR74" s="39">
        <f t="shared" si="26"/>
        <v>1778.8315517791054</v>
      </c>
      <c r="AS74" s="39">
        <f t="shared" si="26"/>
        <v>1778.8315517791054</v>
      </c>
      <c r="AT74" s="39">
        <f t="shared" si="26"/>
        <v>1778.8315517791054</v>
      </c>
      <c r="AU74" s="39">
        <f t="shared" si="26"/>
        <v>1778.8315517791054</v>
      </c>
      <c r="AV74" s="39">
        <f t="shared" si="26"/>
        <v>1778.8315517791054</v>
      </c>
      <c r="AW74" s="39">
        <f t="shared" si="26"/>
        <v>1778.8315517791054</v>
      </c>
      <c r="AX74" s="39">
        <f t="shared" si="26"/>
        <v>1778.8315517791054</v>
      </c>
    </row>
    <row r="75" spans="1:50" x14ac:dyDescent="0.2">
      <c r="A75" s="6" t="s">
        <v>36</v>
      </c>
      <c r="B75" s="11">
        <v>276.86657375999999</v>
      </c>
      <c r="C75" s="11">
        <v>277.8133030864721</v>
      </c>
      <c r="D75" s="11">
        <v>278.76003241294421</v>
      </c>
      <c r="E75" s="11">
        <v>279.70676173941627</v>
      </c>
      <c r="F75" s="11">
        <v>282.23924946889827</v>
      </c>
      <c r="G75" s="11">
        <v>284.77173719838021</v>
      </c>
      <c r="H75" s="11">
        <v>287.30422492786215</v>
      </c>
      <c r="I75" s="11">
        <v>289.83671265734415</v>
      </c>
      <c r="J75" s="11">
        <v>292.36920038682615</v>
      </c>
      <c r="K75" s="11">
        <v>294.49629434718969</v>
      </c>
      <c r="L75" s="11">
        <v>296.62338830755328</v>
      </c>
      <c r="M75" s="11">
        <v>298.75048226791694</v>
      </c>
      <c r="N75" s="11">
        <v>300.87757622828047</v>
      </c>
      <c r="O75" s="11">
        <v>303.00467018864413</v>
      </c>
      <c r="P75" s="11">
        <v>304.72168388599835</v>
      </c>
      <c r="Q75" s="11">
        <v>306.43869758335256</v>
      </c>
      <c r="R75" s="11">
        <v>308.15571128070667</v>
      </c>
      <c r="S75" s="11">
        <v>309.87272497806094</v>
      </c>
      <c r="T75" s="11">
        <v>311.58973867541511</v>
      </c>
      <c r="U75" s="11">
        <v>312.9056736316594</v>
      </c>
      <c r="V75" s="11">
        <v>314.2216085879038</v>
      </c>
      <c r="W75" s="11">
        <v>315.53754354414809</v>
      </c>
      <c r="X75" s="11">
        <v>316.85347850039244</v>
      </c>
      <c r="Y75" s="11">
        <v>318.16941345663679</v>
      </c>
      <c r="Z75" s="11">
        <v>319.10052782988436</v>
      </c>
      <c r="AA75" s="11">
        <v>320.03164220313192</v>
      </c>
      <c r="AB75" s="11">
        <v>320.96275657637949</v>
      </c>
      <c r="AC75" s="11">
        <v>321.89387094962711</v>
      </c>
      <c r="AD75" s="11">
        <v>322.82498532287468</v>
      </c>
      <c r="AE75" s="11">
        <v>322.82498532287468</v>
      </c>
      <c r="AF75" s="11">
        <v>322.82498532287468</v>
      </c>
      <c r="AG75" s="11">
        <v>322.82498532287468</v>
      </c>
      <c r="AH75" s="11">
        <v>322.82498532287468</v>
      </c>
      <c r="AI75" s="11">
        <v>322.82498532287468</v>
      </c>
      <c r="AJ75" s="11">
        <v>322.82498532287468</v>
      </c>
      <c r="AK75" s="11">
        <v>322.82498532287468</v>
      </c>
      <c r="AL75" s="11">
        <v>322.82498532287468</v>
      </c>
      <c r="AM75" s="11">
        <v>322.82498532287468</v>
      </c>
      <c r="AN75" s="11">
        <v>322.82498532287468</v>
      </c>
      <c r="AO75" s="39">
        <f t="shared" si="26"/>
        <v>322.82498532287468</v>
      </c>
      <c r="AP75" s="39">
        <f t="shared" si="26"/>
        <v>322.82498532287468</v>
      </c>
      <c r="AQ75" s="39">
        <f t="shared" si="26"/>
        <v>322.82498532287468</v>
      </c>
      <c r="AR75" s="39">
        <f t="shared" si="26"/>
        <v>322.82498532287468</v>
      </c>
      <c r="AS75" s="39">
        <f t="shared" si="26"/>
        <v>322.82498532287468</v>
      </c>
      <c r="AT75" s="39">
        <f t="shared" si="26"/>
        <v>322.82498532287468</v>
      </c>
      <c r="AU75" s="39">
        <f t="shared" si="26"/>
        <v>322.82498532287468</v>
      </c>
      <c r="AV75" s="39">
        <f t="shared" si="26"/>
        <v>322.82498532287468</v>
      </c>
      <c r="AW75" s="39">
        <f t="shared" si="26"/>
        <v>322.82498532287468</v>
      </c>
      <c r="AX75" s="39">
        <f t="shared" si="26"/>
        <v>322.82498532287468</v>
      </c>
    </row>
    <row r="76" spans="1:50" x14ac:dyDescent="0.2">
      <c r="A76" s="6" t="s">
        <v>37</v>
      </c>
      <c r="B76" s="11">
        <v>237.31420607999999</v>
      </c>
      <c r="C76" s="11">
        <v>238.12568835983328</v>
      </c>
      <c r="D76" s="11">
        <v>238.93717063966648</v>
      </c>
      <c r="E76" s="11">
        <v>239.7486529194997</v>
      </c>
      <c r="F76" s="11">
        <v>241.91935668762713</v>
      </c>
      <c r="G76" s="11">
        <v>244.09006045575453</v>
      </c>
      <c r="H76" s="11">
        <v>246.26076422388189</v>
      </c>
      <c r="I76" s="11">
        <v>248.43146799200932</v>
      </c>
      <c r="J76" s="11">
        <v>250.60217176013668</v>
      </c>
      <c r="K76" s="11">
        <v>252.42539515473405</v>
      </c>
      <c r="L76" s="11">
        <v>254.24861854933144</v>
      </c>
      <c r="M76" s="11">
        <v>256.0718419439288</v>
      </c>
      <c r="N76" s="11">
        <v>257.89506533852619</v>
      </c>
      <c r="O76" s="11">
        <v>259.71828873312353</v>
      </c>
      <c r="P76" s="11">
        <v>261.19001475942719</v>
      </c>
      <c r="Q76" s="11">
        <v>262.66174078573079</v>
      </c>
      <c r="R76" s="11">
        <v>264.13346681203433</v>
      </c>
      <c r="S76" s="11">
        <v>265.60519283833793</v>
      </c>
      <c r="T76" s="11">
        <v>267.07691886464158</v>
      </c>
      <c r="U76" s="11">
        <v>268.204863112851</v>
      </c>
      <c r="V76" s="11">
        <v>269.33280736106047</v>
      </c>
      <c r="W76" s="11">
        <v>270.46075160926983</v>
      </c>
      <c r="X76" s="11">
        <v>271.58869585747937</v>
      </c>
      <c r="Y76" s="11">
        <v>272.71664010568878</v>
      </c>
      <c r="Z76" s="11">
        <v>273.51473813990094</v>
      </c>
      <c r="AA76" s="11">
        <v>274.31283617411316</v>
      </c>
      <c r="AB76" s="11">
        <v>275.11093420832526</v>
      </c>
      <c r="AC76" s="11">
        <v>275.90903224253748</v>
      </c>
      <c r="AD76" s="11">
        <v>276.70713027674975</v>
      </c>
      <c r="AE76" s="11">
        <v>276.70713027674975</v>
      </c>
      <c r="AF76" s="11">
        <v>276.70713027674975</v>
      </c>
      <c r="AG76" s="11">
        <v>276.70713027674975</v>
      </c>
      <c r="AH76" s="11">
        <v>276.70713027674975</v>
      </c>
      <c r="AI76" s="11">
        <v>276.70713027674975</v>
      </c>
      <c r="AJ76" s="11">
        <v>276.70713027674975</v>
      </c>
      <c r="AK76" s="11">
        <v>276.70713027674975</v>
      </c>
      <c r="AL76" s="11">
        <v>276.70713027674975</v>
      </c>
      <c r="AM76" s="11">
        <v>276.70713027674975</v>
      </c>
      <c r="AN76" s="11">
        <v>276.70713027674975</v>
      </c>
      <c r="AO76" s="39">
        <f t="shared" si="26"/>
        <v>276.70713027674975</v>
      </c>
      <c r="AP76" s="39">
        <f t="shared" si="26"/>
        <v>276.70713027674975</v>
      </c>
      <c r="AQ76" s="39">
        <f t="shared" si="26"/>
        <v>276.70713027674975</v>
      </c>
      <c r="AR76" s="39">
        <f t="shared" si="26"/>
        <v>276.70713027674975</v>
      </c>
      <c r="AS76" s="39">
        <f t="shared" si="26"/>
        <v>276.70713027674975</v>
      </c>
      <c r="AT76" s="39">
        <f t="shared" si="26"/>
        <v>276.70713027674975</v>
      </c>
      <c r="AU76" s="39">
        <f t="shared" si="26"/>
        <v>276.70713027674975</v>
      </c>
      <c r="AV76" s="39">
        <f t="shared" si="26"/>
        <v>276.70713027674975</v>
      </c>
      <c r="AW76" s="39">
        <f t="shared" si="26"/>
        <v>276.70713027674975</v>
      </c>
      <c r="AX76" s="39">
        <f t="shared" si="26"/>
        <v>276.70713027674975</v>
      </c>
    </row>
    <row r="77" spans="1:50" x14ac:dyDescent="0.2">
      <c r="AM77" s="13" t="s">
        <v>187</v>
      </c>
      <c r="AN77" s="13">
        <f>(AN73-AM73)/AM73</f>
        <v>0</v>
      </c>
    </row>
    <row r="78" spans="1:50" x14ac:dyDescent="0.2">
      <c r="A78" s="5" t="s">
        <v>52</v>
      </c>
      <c r="AM78" s="13" t="s">
        <v>187</v>
      </c>
      <c r="AN78" s="13">
        <f t="shared" ref="AN78:AN80" si="27">(AN74-AM74)/AM74</f>
        <v>0</v>
      </c>
    </row>
    <row r="79" spans="1:50" x14ac:dyDescent="0.2">
      <c r="A79" s="5" t="s">
        <v>4</v>
      </c>
      <c r="AM79" s="13" t="s">
        <v>187</v>
      </c>
      <c r="AN79" s="13">
        <f t="shared" si="27"/>
        <v>0</v>
      </c>
    </row>
    <row r="80" spans="1:50" x14ac:dyDescent="0.2">
      <c r="A80" s="5" t="s">
        <v>57</v>
      </c>
      <c r="AM80" s="13" t="s">
        <v>187</v>
      </c>
      <c r="AN80" s="13">
        <f t="shared" si="27"/>
        <v>0</v>
      </c>
    </row>
    <row r="81" spans="1:50" x14ac:dyDescent="0.2">
      <c r="A81" s="5" t="s">
        <v>6</v>
      </c>
    </row>
    <row r="82" spans="1:50" x14ac:dyDescent="0.2">
      <c r="A82" t="s">
        <v>155</v>
      </c>
      <c r="B82">
        <v>1000</v>
      </c>
    </row>
    <row r="83" spans="1:50" x14ac:dyDescent="0.2">
      <c r="A83" s="6" t="s">
        <v>7</v>
      </c>
      <c r="B83" s="6">
        <v>2022</v>
      </c>
      <c r="C83" s="6">
        <v>2023</v>
      </c>
      <c r="D83" s="6">
        <v>2024</v>
      </c>
      <c r="E83" s="6">
        <v>2025</v>
      </c>
      <c r="F83" s="6">
        <v>2026</v>
      </c>
      <c r="G83" s="6">
        <v>2027</v>
      </c>
      <c r="H83" s="6">
        <v>2028</v>
      </c>
      <c r="I83" s="6">
        <v>2029</v>
      </c>
      <c r="J83" s="6">
        <v>2030</v>
      </c>
      <c r="K83" s="6">
        <v>2031</v>
      </c>
      <c r="L83" s="6">
        <v>2032</v>
      </c>
      <c r="M83" s="6">
        <v>2033</v>
      </c>
      <c r="N83" s="6">
        <v>2034</v>
      </c>
      <c r="O83" s="6">
        <v>2035</v>
      </c>
      <c r="P83" s="6">
        <v>2036</v>
      </c>
      <c r="Q83" s="6">
        <v>2037</v>
      </c>
      <c r="R83" s="6">
        <v>2038</v>
      </c>
      <c r="S83" s="6">
        <v>2039</v>
      </c>
      <c r="T83" s="6">
        <v>2040</v>
      </c>
      <c r="U83" s="6">
        <v>2041</v>
      </c>
      <c r="V83" s="6">
        <v>2042</v>
      </c>
      <c r="W83" s="6">
        <v>2043</v>
      </c>
      <c r="X83" s="6">
        <v>2044</v>
      </c>
      <c r="Y83" s="6">
        <v>2045</v>
      </c>
      <c r="Z83" s="6">
        <v>2046</v>
      </c>
      <c r="AA83" s="6">
        <v>2047</v>
      </c>
      <c r="AB83" s="6">
        <v>2048</v>
      </c>
      <c r="AC83" s="6">
        <v>2049</v>
      </c>
      <c r="AD83" s="6">
        <v>2050</v>
      </c>
      <c r="AE83" s="6">
        <v>2051</v>
      </c>
      <c r="AF83" s="6">
        <v>2052</v>
      </c>
      <c r="AG83" s="6">
        <v>2053</v>
      </c>
      <c r="AH83" s="6">
        <v>2054</v>
      </c>
      <c r="AI83" s="6">
        <v>2055</v>
      </c>
      <c r="AJ83" s="6">
        <v>2056</v>
      </c>
      <c r="AK83" s="6">
        <v>2057</v>
      </c>
      <c r="AL83" s="6">
        <v>2058</v>
      </c>
      <c r="AM83" s="6">
        <v>2059</v>
      </c>
      <c r="AN83" s="6">
        <v>2060</v>
      </c>
      <c r="AO83" s="39">
        <f>AN83+1</f>
        <v>2061</v>
      </c>
      <c r="AP83" s="39">
        <f t="shared" ref="AP83:AX83" si="28">AO83+1</f>
        <v>2062</v>
      </c>
      <c r="AQ83" s="39">
        <f t="shared" si="28"/>
        <v>2063</v>
      </c>
      <c r="AR83" s="39">
        <f t="shared" si="28"/>
        <v>2064</v>
      </c>
      <c r="AS83" s="39">
        <f t="shared" si="28"/>
        <v>2065</v>
      </c>
      <c r="AT83" s="39">
        <f t="shared" si="28"/>
        <v>2066</v>
      </c>
      <c r="AU83" s="39">
        <f t="shared" si="28"/>
        <v>2067</v>
      </c>
      <c r="AV83" s="39">
        <f t="shared" si="28"/>
        <v>2068</v>
      </c>
      <c r="AW83" s="39">
        <f>AV83+1</f>
        <v>2069</v>
      </c>
      <c r="AX83" s="39">
        <f t="shared" si="28"/>
        <v>2070</v>
      </c>
    </row>
    <row r="84" spans="1:50" x14ac:dyDescent="0.2">
      <c r="A84" s="6" t="s">
        <v>34</v>
      </c>
      <c r="B84" s="11">
        <v>2326.3950720960001</v>
      </c>
      <c r="C84" s="11">
        <v>2334.3500462548623</v>
      </c>
      <c r="D84" s="11">
        <v>2342.3050204137244</v>
      </c>
      <c r="E84" s="11">
        <v>2350.259994572586</v>
      </c>
      <c r="F84" s="11">
        <v>2371.5394393751844</v>
      </c>
      <c r="G84" s="11">
        <v>2392.8188841777828</v>
      </c>
      <c r="H84" s="11">
        <v>2414.0983289803817</v>
      </c>
      <c r="I84" s="11">
        <v>2435.3777737829791</v>
      </c>
      <c r="J84" s="11">
        <v>2456.657218585578</v>
      </c>
      <c r="K84" s="11">
        <v>2474.5303075615138</v>
      </c>
      <c r="L84" s="11">
        <v>2492.4033965374501</v>
      </c>
      <c r="M84" s="11">
        <v>2510.2764855133864</v>
      </c>
      <c r="N84" s="11">
        <v>2528.1495744893218</v>
      </c>
      <c r="O84" s="11">
        <v>2546.0226634652581</v>
      </c>
      <c r="P84" s="11">
        <v>2560.4500179486804</v>
      </c>
      <c r="Q84" s="11">
        <v>2574.8773724321036</v>
      </c>
      <c r="R84" s="11">
        <v>2589.304726915525</v>
      </c>
      <c r="S84" s="11">
        <v>2603.7320813989477</v>
      </c>
      <c r="T84" s="11">
        <v>2618.15943588237</v>
      </c>
      <c r="U84" s="11">
        <v>2629.2166919311244</v>
      </c>
      <c r="V84" s="11">
        <v>2640.2739479798793</v>
      </c>
      <c r="W84" s="11">
        <v>2651.3312040286337</v>
      </c>
      <c r="X84" s="11">
        <v>2662.3884600773881</v>
      </c>
      <c r="Y84" s="11">
        <v>2673.4457161261425</v>
      </c>
      <c r="Z84" s="11">
        <v>2681.2694843046684</v>
      </c>
      <c r="AA84" s="11">
        <v>2689.0932524831942</v>
      </c>
      <c r="AB84" s="11">
        <v>2696.9170206617196</v>
      </c>
      <c r="AC84" s="11">
        <v>2704.7407888402454</v>
      </c>
      <c r="AD84" s="11">
        <v>2712.5645570187708</v>
      </c>
      <c r="AE84" s="11">
        <v>2712.5645570187708</v>
      </c>
      <c r="AF84" s="11">
        <v>2712.5645570187708</v>
      </c>
      <c r="AG84" s="11">
        <v>2712.5645570187708</v>
      </c>
      <c r="AH84" s="11">
        <v>2712.5645570187708</v>
      </c>
      <c r="AI84" s="11">
        <v>2712.5645570187708</v>
      </c>
      <c r="AJ84" s="11">
        <v>2712.5645570187708</v>
      </c>
      <c r="AK84" s="11">
        <v>2712.5645570187708</v>
      </c>
      <c r="AL84" s="11">
        <v>2712.5645570187708</v>
      </c>
      <c r="AM84" s="11">
        <v>2712.5645570187708</v>
      </c>
      <c r="AN84" s="11">
        <v>2712.5645570187708</v>
      </c>
      <c r="AO84" s="39">
        <f>(AN84+AN84*$AN$88)</f>
        <v>2712.5645570187708</v>
      </c>
      <c r="AP84" s="39">
        <f t="shared" ref="AP84:AX84" si="29">(AO84+AO84*$AN$88)</f>
        <v>2712.5645570187708</v>
      </c>
      <c r="AQ84" s="39">
        <f t="shared" si="29"/>
        <v>2712.5645570187708</v>
      </c>
      <c r="AR84" s="39">
        <f t="shared" si="29"/>
        <v>2712.5645570187708</v>
      </c>
      <c r="AS84" s="39">
        <f t="shared" si="29"/>
        <v>2712.5645570187708</v>
      </c>
      <c r="AT84" s="39">
        <f t="shared" si="29"/>
        <v>2712.5645570187708</v>
      </c>
      <c r="AU84" s="39">
        <f t="shared" si="29"/>
        <v>2712.5645570187708</v>
      </c>
      <c r="AV84" s="39">
        <f t="shared" si="29"/>
        <v>2712.5645570187708</v>
      </c>
      <c r="AW84" s="39">
        <f t="shared" si="29"/>
        <v>2712.5645570187708</v>
      </c>
      <c r="AX84" s="39">
        <f t="shared" si="29"/>
        <v>2712.5645570187708</v>
      </c>
    </row>
    <row r="85" spans="1:50" x14ac:dyDescent="0.2">
      <c r="A85" s="6" t="s">
        <v>35</v>
      </c>
      <c r="B85" s="11">
        <v>982.98383328</v>
      </c>
      <c r="C85" s="11">
        <v>986.34508996684315</v>
      </c>
      <c r="D85" s="11">
        <v>989.70634665368618</v>
      </c>
      <c r="E85" s="11">
        <v>993.06760334052922</v>
      </c>
      <c r="F85" s="11">
        <v>1002.0589180458526</v>
      </c>
      <c r="G85" s="11">
        <v>1011.0502327511758</v>
      </c>
      <c r="H85" s="11">
        <v>1020.0415474564992</v>
      </c>
      <c r="I85" s="11">
        <v>1029.0328621618223</v>
      </c>
      <c r="J85" s="11">
        <v>1038.0241768671456</v>
      </c>
      <c r="K85" s="11">
        <v>1045.5761862935974</v>
      </c>
      <c r="L85" s="11">
        <v>1053.1281957200492</v>
      </c>
      <c r="M85" s="11">
        <v>1060.6802051465011</v>
      </c>
      <c r="N85" s="11">
        <v>1068.2322145729531</v>
      </c>
      <c r="O85" s="11">
        <v>1075.7842239994047</v>
      </c>
      <c r="P85" s="11">
        <v>1081.8802892740905</v>
      </c>
      <c r="Q85" s="11">
        <v>1087.976354548776</v>
      </c>
      <c r="R85" s="11">
        <v>1094.0724198234614</v>
      </c>
      <c r="S85" s="11">
        <v>1100.1684850981469</v>
      </c>
      <c r="T85" s="11">
        <v>1106.2645503728322</v>
      </c>
      <c r="U85" s="11">
        <v>1110.9366303934328</v>
      </c>
      <c r="V85" s="11">
        <v>1115.6087104140331</v>
      </c>
      <c r="W85" s="11">
        <v>1120.2807904346339</v>
      </c>
      <c r="X85" s="11">
        <v>1124.9528704552345</v>
      </c>
      <c r="Y85" s="11">
        <v>1129.624950475835</v>
      </c>
      <c r="Z85" s="11">
        <v>1132.9307680160568</v>
      </c>
      <c r="AA85" s="11">
        <v>1136.2365855562791</v>
      </c>
      <c r="AB85" s="11">
        <v>1139.5424030965012</v>
      </c>
      <c r="AC85" s="11">
        <v>1142.8482206367232</v>
      </c>
      <c r="AD85" s="11">
        <v>1146.1540381769455</v>
      </c>
      <c r="AE85" s="11">
        <v>1146.1540381769455</v>
      </c>
      <c r="AF85" s="11">
        <v>1146.1540381769455</v>
      </c>
      <c r="AG85" s="11">
        <v>1146.1540381769455</v>
      </c>
      <c r="AH85" s="11">
        <v>1146.1540381769455</v>
      </c>
      <c r="AI85" s="11">
        <v>1146.1540381769455</v>
      </c>
      <c r="AJ85" s="11">
        <v>1146.1540381769455</v>
      </c>
      <c r="AK85" s="11">
        <v>1146.1540381769455</v>
      </c>
      <c r="AL85" s="11">
        <v>1146.1540381769455</v>
      </c>
      <c r="AM85" s="11">
        <v>1146.1540381769455</v>
      </c>
      <c r="AN85" s="11">
        <v>1146.1540381769455</v>
      </c>
      <c r="AO85" s="39">
        <f t="shared" ref="AO85:AX87" si="30">(AN85+AN85*$AN$88)</f>
        <v>1146.1540381769455</v>
      </c>
      <c r="AP85" s="39">
        <f t="shared" si="30"/>
        <v>1146.1540381769455</v>
      </c>
      <c r="AQ85" s="39">
        <f t="shared" si="30"/>
        <v>1146.1540381769455</v>
      </c>
      <c r="AR85" s="39">
        <f t="shared" si="30"/>
        <v>1146.1540381769455</v>
      </c>
      <c r="AS85" s="39">
        <f t="shared" si="30"/>
        <v>1146.1540381769455</v>
      </c>
      <c r="AT85" s="39">
        <f t="shared" si="30"/>
        <v>1146.1540381769455</v>
      </c>
      <c r="AU85" s="39">
        <f t="shared" si="30"/>
        <v>1146.1540381769455</v>
      </c>
      <c r="AV85" s="39">
        <f t="shared" si="30"/>
        <v>1146.1540381769455</v>
      </c>
      <c r="AW85" s="39">
        <f t="shared" si="30"/>
        <v>1146.1540381769455</v>
      </c>
      <c r="AX85" s="39">
        <f t="shared" si="30"/>
        <v>1146.1540381769455</v>
      </c>
    </row>
    <row r="86" spans="1:50" x14ac:dyDescent="0.2">
      <c r="A86" s="6" t="s">
        <v>36</v>
      </c>
      <c r="B86" s="11">
        <v>178.393362336</v>
      </c>
      <c r="C86" s="11">
        <v>179.00336817916784</v>
      </c>
      <c r="D86" s="11">
        <v>179.61337402233562</v>
      </c>
      <c r="E86" s="11">
        <v>180.22337986550346</v>
      </c>
      <c r="F86" s="11">
        <v>181.85513697869177</v>
      </c>
      <c r="G86" s="11">
        <v>183.48689409188003</v>
      </c>
      <c r="H86" s="11">
        <v>185.11865120506837</v>
      </c>
      <c r="I86" s="11">
        <v>186.75040831825663</v>
      </c>
      <c r="J86" s="11">
        <v>188.38216543144492</v>
      </c>
      <c r="K86" s="11">
        <v>189.75271529031951</v>
      </c>
      <c r="L86" s="11">
        <v>191.12326514919414</v>
      </c>
      <c r="M86" s="11">
        <v>192.49381500806868</v>
      </c>
      <c r="N86" s="11">
        <v>193.8643648669433</v>
      </c>
      <c r="O86" s="11">
        <v>195.23491472581787</v>
      </c>
      <c r="P86" s="11">
        <v>196.34123768307566</v>
      </c>
      <c r="Q86" s="11">
        <v>197.44756064033342</v>
      </c>
      <c r="R86" s="11">
        <v>198.5538835975911</v>
      </c>
      <c r="S86" s="11">
        <v>199.66020655484888</v>
      </c>
      <c r="T86" s="11">
        <v>200.76652951210659</v>
      </c>
      <c r="U86" s="11">
        <v>201.6144255158452</v>
      </c>
      <c r="V86" s="11">
        <v>202.46232151958381</v>
      </c>
      <c r="W86" s="11">
        <v>203.31021752332245</v>
      </c>
      <c r="X86" s="11">
        <v>204.15811352706106</v>
      </c>
      <c r="Y86" s="11">
        <v>205.00600953079967</v>
      </c>
      <c r="Z86" s="11">
        <v>205.60595419550663</v>
      </c>
      <c r="AA86" s="11">
        <v>206.20589886021361</v>
      </c>
      <c r="AB86" s="11">
        <v>206.80584352492059</v>
      </c>
      <c r="AC86" s="11">
        <v>207.40578818962754</v>
      </c>
      <c r="AD86" s="11">
        <v>208.00573285433452</v>
      </c>
      <c r="AE86" s="11">
        <v>208.00573285433452</v>
      </c>
      <c r="AF86" s="11">
        <v>208.00573285433452</v>
      </c>
      <c r="AG86" s="11">
        <v>208.00573285433452</v>
      </c>
      <c r="AH86" s="11">
        <v>208.00573285433452</v>
      </c>
      <c r="AI86" s="11">
        <v>208.00573285433452</v>
      </c>
      <c r="AJ86" s="11">
        <v>208.00573285433452</v>
      </c>
      <c r="AK86" s="11">
        <v>208.00573285433452</v>
      </c>
      <c r="AL86" s="11">
        <v>208.00573285433452</v>
      </c>
      <c r="AM86" s="11">
        <v>208.00573285433452</v>
      </c>
      <c r="AN86" s="11">
        <v>208.00573285433452</v>
      </c>
      <c r="AO86" s="39">
        <f t="shared" si="30"/>
        <v>208.00573285433452</v>
      </c>
      <c r="AP86" s="39">
        <f t="shared" si="30"/>
        <v>208.00573285433452</v>
      </c>
      <c r="AQ86" s="39">
        <f t="shared" si="30"/>
        <v>208.00573285433452</v>
      </c>
      <c r="AR86" s="39">
        <f t="shared" si="30"/>
        <v>208.00573285433452</v>
      </c>
      <c r="AS86" s="39">
        <f t="shared" si="30"/>
        <v>208.00573285433452</v>
      </c>
      <c r="AT86" s="39">
        <f t="shared" si="30"/>
        <v>208.00573285433452</v>
      </c>
      <c r="AU86" s="39">
        <f t="shared" si="30"/>
        <v>208.00573285433452</v>
      </c>
      <c r="AV86" s="39">
        <f t="shared" si="30"/>
        <v>208.00573285433452</v>
      </c>
      <c r="AW86" s="39">
        <f t="shared" si="30"/>
        <v>208.00573285433452</v>
      </c>
      <c r="AX86" s="39">
        <f t="shared" si="30"/>
        <v>208.00573285433452</v>
      </c>
    </row>
    <row r="87" spans="1:50" x14ac:dyDescent="0.2">
      <c r="A87" s="6" t="s">
        <v>37</v>
      </c>
      <c r="B87" s="11">
        <v>152.90859628800001</v>
      </c>
      <c r="C87" s="11">
        <v>153.4314584392867</v>
      </c>
      <c r="D87" s="11">
        <v>153.95432059057339</v>
      </c>
      <c r="E87" s="11">
        <v>154.4771827418601</v>
      </c>
      <c r="F87" s="11">
        <v>155.87583169602149</v>
      </c>
      <c r="G87" s="11">
        <v>157.27448065018291</v>
      </c>
      <c r="H87" s="11">
        <v>158.6731296043443</v>
      </c>
      <c r="I87" s="11">
        <v>160.07177855850566</v>
      </c>
      <c r="J87" s="11">
        <v>161.47042751266707</v>
      </c>
      <c r="K87" s="11">
        <v>162.6451845345596</v>
      </c>
      <c r="L87" s="11">
        <v>163.81994155645211</v>
      </c>
      <c r="M87" s="11">
        <v>164.99469857834461</v>
      </c>
      <c r="N87" s="11">
        <v>166.16945560023709</v>
      </c>
      <c r="O87" s="11">
        <v>167.34421262212965</v>
      </c>
      <c r="P87" s="11">
        <v>168.29248944263625</v>
      </c>
      <c r="Q87" s="11">
        <v>169.24076626314292</v>
      </c>
      <c r="R87" s="11">
        <v>170.18904308364952</v>
      </c>
      <c r="S87" s="11">
        <v>171.13731990415616</v>
      </c>
      <c r="T87" s="11">
        <v>172.08559672466279</v>
      </c>
      <c r="U87" s="11">
        <v>172.8123647278673</v>
      </c>
      <c r="V87" s="11">
        <v>173.53913273107182</v>
      </c>
      <c r="W87" s="11">
        <v>174.26590073427636</v>
      </c>
      <c r="X87" s="11">
        <v>174.9926687374809</v>
      </c>
      <c r="Y87" s="11">
        <v>175.71943674068544</v>
      </c>
      <c r="Z87" s="11">
        <v>176.23367502471999</v>
      </c>
      <c r="AA87" s="11">
        <v>176.74791330875453</v>
      </c>
      <c r="AB87" s="11">
        <v>177.26215159278908</v>
      </c>
      <c r="AC87" s="11">
        <v>177.77638987682363</v>
      </c>
      <c r="AD87" s="11">
        <v>178.29062816085818</v>
      </c>
      <c r="AE87" s="11">
        <v>178.29062816085818</v>
      </c>
      <c r="AF87" s="11">
        <v>178.29062816085818</v>
      </c>
      <c r="AG87" s="11">
        <v>178.29062816085818</v>
      </c>
      <c r="AH87" s="11">
        <v>178.29062816085818</v>
      </c>
      <c r="AI87" s="11">
        <v>178.29062816085818</v>
      </c>
      <c r="AJ87" s="11">
        <v>178.29062816085818</v>
      </c>
      <c r="AK87" s="11">
        <v>178.29062816085818</v>
      </c>
      <c r="AL87" s="11">
        <v>178.29062816085818</v>
      </c>
      <c r="AM87" s="11">
        <v>178.29062816085818</v>
      </c>
      <c r="AN87" s="11">
        <v>178.29062816085818</v>
      </c>
      <c r="AO87" s="39">
        <f t="shared" si="30"/>
        <v>178.29062816085818</v>
      </c>
      <c r="AP87" s="39">
        <f t="shared" si="30"/>
        <v>178.29062816085818</v>
      </c>
      <c r="AQ87" s="39">
        <f t="shared" si="30"/>
        <v>178.29062816085818</v>
      </c>
      <c r="AR87" s="39">
        <f t="shared" si="30"/>
        <v>178.29062816085818</v>
      </c>
      <c r="AS87" s="39">
        <f t="shared" si="30"/>
        <v>178.29062816085818</v>
      </c>
      <c r="AT87" s="39">
        <f t="shared" si="30"/>
        <v>178.29062816085818</v>
      </c>
      <c r="AU87" s="39">
        <f t="shared" si="30"/>
        <v>178.29062816085818</v>
      </c>
      <c r="AV87" s="39">
        <f t="shared" si="30"/>
        <v>178.29062816085818</v>
      </c>
      <c r="AW87" s="39">
        <f t="shared" si="30"/>
        <v>178.29062816085818</v>
      </c>
      <c r="AX87" s="39">
        <f t="shared" si="30"/>
        <v>178.29062816085818</v>
      </c>
    </row>
    <row r="88" spans="1:50" x14ac:dyDescent="0.2">
      <c r="AM88" s="13" t="s">
        <v>187</v>
      </c>
      <c r="AN88" s="13">
        <f>(AN84-AM84)/AM84</f>
        <v>0</v>
      </c>
    </row>
    <row r="89" spans="1:50" x14ac:dyDescent="0.2">
      <c r="A89" s="5" t="s">
        <v>52</v>
      </c>
      <c r="AM89" s="13" t="s">
        <v>187</v>
      </c>
      <c r="AN89" s="13">
        <f t="shared" ref="AN89:AN91" si="31">(AN85-AM85)/AM85</f>
        <v>0</v>
      </c>
    </row>
    <row r="90" spans="1:50" x14ac:dyDescent="0.2">
      <c r="A90" s="5" t="s">
        <v>4</v>
      </c>
      <c r="AM90" s="13" t="s">
        <v>187</v>
      </c>
      <c r="AN90" s="13">
        <f t="shared" si="31"/>
        <v>0</v>
      </c>
    </row>
    <row r="91" spans="1:50" x14ac:dyDescent="0.2">
      <c r="A91" s="5" t="s">
        <v>59</v>
      </c>
      <c r="AM91" s="13" t="s">
        <v>187</v>
      </c>
      <c r="AN91" s="13">
        <f t="shared" si="31"/>
        <v>0</v>
      </c>
    </row>
    <row r="92" spans="1:50" x14ac:dyDescent="0.2">
      <c r="A92" s="5" t="s">
        <v>6</v>
      </c>
    </row>
    <row r="93" spans="1:50" x14ac:dyDescent="0.2">
      <c r="A93" t="s">
        <v>155</v>
      </c>
      <c r="B93">
        <v>1000</v>
      </c>
    </row>
    <row r="94" spans="1:5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c r="AO94" s="39">
        <f>AN94+1</f>
        <v>2061</v>
      </c>
      <c r="AP94" s="39">
        <f t="shared" ref="AP94:AX94" si="32">AO94+1</f>
        <v>2062</v>
      </c>
      <c r="AQ94" s="39">
        <f t="shared" si="32"/>
        <v>2063</v>
      </c>
      <c r="AR94" s="39">
        <f t="shared" si="32"/>
        <v>2064</v>
      </c>
      <c r="AS94" s="39">
        <f t="shared" si="32"/>
        <v>2065</v>
      </c>
      <c r="AT94" s="39">
        <f t="shared" si="32"/>
        <v>2066</v>
      </c>
      <c r="AU94" s="39">
        <f t="shared" si="32"/>
        <v>2067</v>
      </c>
      <c r="AV94" s="39">
        <f t="shared" si="32"/>
        <v>2068</v>
      </c>
      <c r="AW94" s="39">
        <f>AV94+1</f>
        <v>2069</v>
      </c>
      <c r="AX94" s="39">
        <f t="shared" si="32"/>
        <v>2070</v>
      </c>
    </row>
    <row r="95" spans="1:50" x14ac:dyDescent="0.2">
      <c r="A95" s="6" t="s">
        <v>34</v>
      </c>
      <c r="B95" s="11">
        <v>552.81717540000011</v>
      </c>
      <c r="C95" s="11">
        <v>554.70750193895731</v>
      </c>
      <c r="D95" s="11">
        <v>556.59782847791428</v>
      </c>
      <c r="E95" s="11">
        <v>558.48815501687136</v>
      </c>
      <c r="F95" s="11">
        <v>563.5447521146524</v>
      </c>
      <c r="G95" s="11">
        <v>568.60134921243332</v>
      </c>
      <c r="H95" s="11">
        <v>573.65794631021447</v>
      </c>
      <c r="I95" s="11">
        <v>578.71454340799539</v>
      </c>
      <c r="J95" s="11">
        <v>583.77114050577643</v>
      </c>
      <c r="K95" s="11">
        <v>588.0182912506616</v>
      </c>
      <c r="L95" s="11">
        <v>592.26544199554678</v>
      </c>
      <c r="M95" s="11">
        <v>596.51259274043196</v>
      </c>
      <c r="N95" s="11">
        <v>600.75974348531724</v>
      </c>
      <c r="O95" s="11">
        <v>605.00689423020253</v>
      </c>
      <c r="P95" s="11">
        <v>608.43524113898172</v>
      </c>
      <c r="Q95" s="11">
        <v>611.86358804776137</v>
      </c>
      <c r="R95" s="11">
        <v>615.29193495654079</v>
      </c>
      <c r="S95" s="11">
        <v>618.72028186532043</v>
      </c>
      <c r="T95" s="11">
        <v>622.14862877409985</v>
      </c>
      <c r="U95" s="11">
        <v>624.77614511036836</v>
      </c>
      <c r="V95" s="11">
        <v>627.40366144663699</v>
      </c>
      <c r="W95" s="11">
        <v>630.0311777829055</v>
      </c>
      <c r="X95" s="11">
        <v>632.65869411917424</v>
      </c>
      <c r="Y95" s="11">
        <v>635.28621045544287</v>
      </c>
      <c r="Z95" s="11">
        <v>637.14535874771479</v>
      </c>
      <c r="AA95" s="11">
        <v>639.00450703998661</v>
      </c>
      <c r="AB95" s="11">
        <v>640.86365533225842</v>
      </c>
      <c r="AC95" s="11">
        <v>642.72280362453023</v>
      </c>
      <c r="AD95" s="11">
        <v>644.58195191680215</v>
      </c>
      <c r="AE95" s="11">
        <v>644.58195191680215</v>
      </c>
      <c r="AF95" s="11">
        <v>644.58195191680215</v>
      </c>
      <c r="AG95" s="11">
        <v>644.58195191680215</v>
      </c>
      <c r="AH95" s="11">
        <v>644.58195191680215</v>
      </c>
      <c r="AI95" s="11">
        <v>644.58195191680215</v>
      </c>
      <c r="AJ95" s="11">
        <v>644.58195191680215</v>
      </c>
      <c r="AK95" s="11">
        <v>644.58195191680215</v>
      </c>
      <c r="AL95" s="11">
        <v>644.58195191680215</v>
      </c>
      <c r="AM95" s="11">
        <v>644.58195191680215</v>
      </c>
      <c r="AN95" s="11">
        <v>644.58195191680215</v>
      </c>
      <c r="AO95" s="39">
        <f>(AN95+AN95*$AN$99)</f>
        <v>644.58195191680215</v>
      </c>
      <c r="AP95" s="39">
        <f t="shared" ref="AP95:AX95" si="33">(AO95+AO95*$AN$99)</f>
        <v>644.58195191680215</v>
      </c>
      <c r="AQ95" s="39">
        <f t="shared" si="33"/>
        <v>644.58195191680215</v>
      </c>
      <c r="AR95" s="39">
        <f t="shared" si="33"/>
        <v>644.58195191680215</v>
      </c>
      <c r="AS95" s="39">
        <f t="shared" si="33"/>
        <v>644.58195191680215</v>
      </c>
      <c r="AT95" s="39">
        <f t="shared" si="33"/>
        <v>644.58195191680215</v>
      </c>
      <c r="AU95" s="39">
        <f t="shared" si="33"/>
        <v>644.58195191680215</v>
      </c>
      <c r="AV95" s="39">
        <f t="shared" si="33"/>
        <v>644.58195191680215</v>
      </c>
      <c r="AW95" s="39">
        <f t="shared" si="33"/>
        <v>644.58195191680215</v>
      </c>
      <c r="AX95" s="39">
        <f t="shared" si="33"/>
        <v>644.58195191680215</v>
      </c>
    </row>
    <row r="96" spans="1:50" x14ac:dyDescent="0.2">
      <c r="A96" s="6" t="s">
        <v>35</v>
      </c>
      <c r="B96" s="11">
        <v>233.58472199999997</v>
      </c>
      <c r="C96" s="11">
        <v>234.38345152350306</v>
      </c>
      <c r="D96" s="11">
        <v>235.18218104700603</v>
      </c>
      <c r="E96" s="11">
        <v>235.980910570509</v>
      </c>
      <c r="F96" s="11">
        <v>238.11750089351506</v>
      </c>
      <c r="G96" s="11">
        <v>240.25409121652115</v>
      </c>
      <c r="H96" s="11">
        <v>242.39068153952721</v>
      </c>
      <c r="I96" s="11">
        <v>244.52727186253324</v>
      </c>
      <c r="J96" s="11">
        <v>246.6638621855393</v>
      </c>
      <c r="K96" s="11">
        <v>248.45843292281475</v>
      </c>
      <c r="L96" s="11">
        <v>250.25300366009017</v>
      </c>
      <c r="M96" s="11">
        <v>252.04757439736562</v>
      </c>
      <c r="N96" s="11">
        <v>253.84214513464107</v>
      </c>
      <c r="O96" s="11">
        <v>255.63671587191652</v>
      </c>
      <c r="P96" s="11">
        <v>257.08531315731631</v>
      </c>
      <c r="Q96" s="11">
        <v>258.53391044271609</v>
      </c>
      <c r="R96" s="11">
        <v>259.98250772811588</v>
      </c>
      <c r="S96" s="11">
        <v>261.43110501351561</v>
      </c>
      <c r="T96" s="11">
        <v>262.87970229891539</v>
      </c>
      <c r="U96" s="11">
        <v>263.98992046916976</v>
      </c>
      <c r="V96" s="11">
        <v>265.10013863942413</v>
      </c>
      <c r="W96" s="11">
        <v>266.21035680967839</v>
      </c>
      <c r="X96" s="11">
        <v>267.32057497993276</v>
      </c>
      <c r="Y96" s="11">
        <v>268.43079315018713</v>
      </c>
      <c r="Z96" s="11">
        <v>269.21634876664001</v>
      </c>
      <c r="AA96" s="11">
        <v>270.00190438309289</v>
      </c>
      <c r="AB96" s="11">
        <v>270.78745999954583</v>
      </c>
      <c r="AC96" s="11">
        <v>271.57301561599871</v>
      </c>
      <c r="AD96" s="11">
        <v>272.35857123245165</v>
      </c>
      <c r="AE96" s="11">
        <v>272.35857123245165</v>
      </c>
      <c r="AF96" s="11">
        <v>272.35857123245165</v>
      </c>
      <c r="AG96" s="11">
        <v>272.35857123245165</v>
      </c>
      <c r="AH96" s="11">
        <v>272.35857123245165</v>
      </c>
      <c r="AI96" s="11">
        <v>272.35857123245165</v>
      </c>
      <c r="AJ96" s="11">
        <v>272.35857123245165</v>
      </c>
      <c r="AK96" s="11">
        <v>272.35857123245165</v>
      </c>
      <c r="AL96" s="11">
        <v>272.35857123245165</v>
      </c>
      <c r="AM96" s="11">
        <v>272.35857123245165</v>
      </c>
      <c r="AN96" s="11">
        <v>272.35857123245165</v>
      </c>
      <c r="AO96" s="39">
        <f t="shared" ref="AO96:AX98" si="34">(AN96+AN96*$AN$99)</f>
        <v>272.35857123245165</v>
      </c>
      <c r="AP96" s="39">
        <f t="shared" si="34"/>
        <v>272.35857123245165</v>
      </c>
      <c r="AQ96" s="39">
        <f t="shared" si="34"/>
        <v>272.35857123245165</v>
      </c>
      <c r="AR96" s="39">
        <f t="shared" si="34"/>
        <v>272.35857123245165</v>
      </c>
      <c r="AS96" s="39">
        <f t="shared" si="34"/>
        <v>272.35857123245165</v>
      </c>
      <c r="AT96" s="39">
        <f t="shared" si="34"/>
        <v>272.35857123245165</v>
      </c>
      <c r="AU96" s="39">
        <f t="shared" si="34"/>
        <v>272.35857123245165</v>
      </c>
      <c r="AV96" s="39">
        <f t="shared" si="34"/>
        <v>272.35857123245165</v>
      </c>
      <c r="AW96" s="39">
        <f t="shared" si="34"/>
        <v>272.35857123245165</v>
      </c>
      <c r="AX96" s="39">
        <f t="shared" si="34"/>
        <v>272.35857123245165</v>
      </c>
    </row>
    <row r="97" spans="1:50" x14ac:dyDescent="0.2">
      <c r="A97" s="6" t="s">
        <v>36</v>
      </c>
      <c r="B97" s="11">
        <v>42.391301399999996</v>
      </c>
      <c r="C97" s="11">
        <v>42.536256017228325</v>
      </c>
      <c r="D97" s="11">
        <v>42.68121063445664</v>
      </c>
      <c r="E97" s="11">
        <v>42.826165251684962</v>
      </c>
      <c r="F97" s="11">
        <v>43.213916828823102</v>
      </c>
      <c r="G97" s="11">
        <v>43.601668405961249</v>
      </c>
      <c r="H97" s="11">
        <v>43.989419983099374</v>
      </c>
      <c r="I97" s="11">
        <v>44.377171560237514</v>
      </c>
      <c r="J97" s="11">
        <v>44.764923137375646</v>
      </c>
      <c r="K97" s="11">
        <v>45.090604493399709</v>
      </c>
      <c r="L97" s="11">
        <v>45.416285849423772</v>
      </c>
      <c r="M97" s="11">
        <v>45.741967205447835</v>
      </c>
      <c r="N97" s="11">
        <v>46.067648561471891</v>
      </c>
      <c r="O97" s="11">
        <v>46.393329917495961</v>
      </c>
      <c r="P97" s="11">
        <v>46.656223498920355</v>
      </c>
      <c r="Q97" s="11">
        <v>46.919117080344769</v>
      </c>
      <c r="R97" s="11">
        <v>47.182010661769169</v>
      </c>
      <c r="S97" s="11">
        <v>47.444904243193577</v>
      </c>
      <c r="T97" s="11">
        <v>47.70779782461797</v>
      </c>
      <c r="U97" s="11">
        <v>47.909281862923386</v>
      </c>
      <c r="V97" s="11">
        <v>48.110765901228817</v>
      </c>
      <c r="W97" s="11">
        <v>48.312249939534226</v>
      </c>
      <c r="X97" s="11">
        <v>48.513733977839649</v>
      </c>
      <c r="Y97" s="11">
        <v>48.715218016145066</v>
      </c>
      <c r="Z97" s="11">
        <v>48.857781813205037</v>
      </c>
      <c r="AA97" s="11">
        <v>49.000345610265008</v>
      </c>
      <c r="AB97" s="11">
        <v>49.142909407324971</v>
      </c>
      <c r="AC97" s="11">
        <v>49.285473204384942</v>
      </c>
      <c r="AD97" s="11">
        <v>49.42803700144492</v>
      </c>
      <c r="AE97" s="11">
        <v>49.42803700144492</v>
      </c>
      <c r="AF97" s="11">
        <v>49.42803700144492</v>
      </c>
      <c r="AG97" s="11">
        <v>49.42803700144492</v>
      </c>
      <c r="AH97" s="11">
        <v>49.42803700144492</v>
      </c>
      <c r="AI97" s="11">
        <v>49.42803700144492</v>
      </c>
      <c r="AJ97" s="11">
        <v>49.42803700144492</v>
      </c>
      <c r="AK97" s="11">
        <v>49.42803700144492</v>
      </c>
      <c r="AL97" s="11">
        <v>49.42803700144492</v>
      </c>
      <c r="AM97" s="11">
        <v>49.42803700144492</v>
      </c>
      <c r="AN97" s="11">
        <v>49.42803700144492</v>
      </c>
      <c r="AO97" s="39">
        <f t="shared" si="34"/>
        <v>49.42803700144492</v>
      </c>
      <c r="AP97" s="39">
        <f t="shared" si="34"/>
        <v>49.42803700144492</v>
      </c>
      <c r="AQ97" s="39">
        <f t="shared" si="34"/>
        <v>49.42803700144492</v>
      </c>
      <c r="AR97" s="39">
        <f t="shared" si="34"/>
        <v>49.42803700144492</v>
      </c>
      <c r="AS97" s="39">
        <f t="shared" si="34"/>
        <v>49.42803700144492</v>
      </c>
      <c r="AT97" s="39">
        <f t="shared" si="34"/>
        <v>49.42803700144492</v>
      </c>
      <c r="AU97" s="39">
        <f t="shared" si="34"/>
        <v>49.42803700144492</v>
      </c>
      <c r="AV97" s="39">
        <f t="shared" si="34"/>
        <v>49.42803700144492</v>
      </c>
      <c r="AW97" s="39">
        <f t="shared" si="34"/>
        <v>49.42803700144492</v>
      </c>
      <c r="AX97" s="39">
        <f t="shared" si="34"/>
        <v>49.42803700144492</v>
      </c>
    </row>
    <row r="98" spans="1:50" x14ac:dyDescent="0.2">
      <c r="A98" s="6" t="s">
        <v>37</v>
      </c>
      <c r="B98" s="11">
        <v>36.3354012</v>
      </c>
      <c r="C98" s="11">
        <v>36.45964801476714</v>
      </c>
      <c r="D98" s="11">
        <v>36.583894829534266</v>
      </c>
      <c r="E98" s="11">
        <v>36.708141644301399</v>
      </c>
      <c r="F98" s="11">
        <v>37.040500138991234</v>
      </c>
      <c r="G98" s="11">
        <v>37.372858633681062</v>
      </c>
      <c r="H98" s="11">
        <v>37.705217128370897</v>
      </c>
      <c r="I98" s="11">
        <v>38.037575623060732</v>
      </c>
      <c r="J98" s="11">
        <v>38.369934117750553</v>
      </c>
      <c r="K98" s="11">
        <v>38.649089565771177</v>
      </c>
      <c r="L98" s="11">
        <v>38.928245013791809</v>
      </c>
      <c r="M98" s="11">
        <v>39.207400461812433</v>
      </c>
      <c r="N98" s="11">
        <v>39.486555909833051</v>
      </c>
      <c r="O98" s="11">
        <v>39.765711357853682</v>
      </c>
      <c r="P98" s="11">
        <v>39.991048713360307</v>
      </c>
      <c r="Q98" s="11">
        <v>40.216386068866939</v>
      </c>
      <c r="R98" s="11">
        <v>40.441723424373571</v>
      </c>
      <c r="S98" s="11">
        <v>40.66706077988021</v>
      </c>
      <c r="T98" s="11">
        <v>40.892398135386834</v>
      </c>
      <c r="U98" s="11">
        <v>41.065098739648626</v>
      </c>
      <c r="V98" s="11">
        <v>41.23779934391041</v>
      </c>
      <c r="W98" s="11">
        <v>41.410499948172188</v>
      </c>
      <c r="X98" s="11">
        <v>41.583200552433986</v>
      </c>
      <c r="Y98" s="11">
        <v>41.755901156695771</v>
      </c>
      <c r="Z98" s="11">
        <v>41.87809869703289</v>
      </c>
      <c r="AA98" s="11">
        <v>42.000296237370009</v>
      </c>
      <c r="AB98" s="11">
        <v>42.12249377770712</v>
      </c>
      <c r="AC98" s="11">
        <v>42.244691318044232</v>
      </c>
      <c r="AD98" s="11">
        <v>42.366888858381358</v>
      </c>
      <c r="AE98" s="11">
        <v>42.366888858381358</v>
      </c>
      <c r="AF98" s="11">
        <v>42.366888858381358</v>
      </c>
      <c r="AG98" s="11">
        <v>42.366888858381358</v>
      </c>
      <c r="AH98" s="11">
        <v>42.366888858381358</v>
      </c>
      <c r="AI98" s="11">
        <v>42.366888858381358</v>
      </c>
      <c r="AJ98" s="11">
        <v>42.366888858381358</v>
      </c>
      <c r="AK98" s="11">
        <v>42.366888858381358</v>
      </c>
      <c r="AL98" s="11">
        <v>42.366888858381358</v>
      </c>
      <c r="AM98" s="11">
        <v>42.366888858381358</v>
      </c>
      <c r="AN98" s="11">
        <v>42.366888858381358</v>
      </c>
      <c r="AO98" s="39">
        <f t="shared" si="34"/>
        <v>42.366888858381358</v>
      </c>
      <c r="AP98" s="39">
        <f t="shared" si="34"/>
        <v>42.366888858381358</v>
      </c>
      <c r="AQ98" s="39">
        <f t="shared" si="34"/>
        <v>42.366888858381358</v>
      </c>
      <c r="AR98" s="39">
        <f t="shared" si="34"/>
        <v>42.366888858381358</v>
      </c>
      <c r="AS98" s="39">
        <f t="shared" si="34"/>
        <v>42.366888858381358</v>
      </c>
      <c r="AT98" s="39">
        <f t="shared" si="34"/>
        <v>42.366888858381358</v>
      </c>
      <c r="AU98" s="39">
        <f t="shared" si="34"/>
        <v>42.366888858381358</v>
      </c>
      <c r="AV98" s="39">
        <f t="shared" si="34"/>
        <v>42.366888858381358</v>
      </c>
      <c r="AW98" s="39">
        <f t="shared" si="34"/>
        <v>42.366888858381358</v>
      </c>
      <c r="AX98" s="39">
        <f t="shared" si="34"/>
        <v>42.366888858381358</v>
      </c>
    </row>
    <row r="99" spans="1:50" x14ac:dyDescent="0.2">
      <c r="AM99" s="13" t="s">
        <v>187</v>
      </c>
      <c r="AN99" s="13">
        <f>(AN95-AM95)/AM95</f>
        <v>0</v>
      </c>
    </row>
    <row r="100" spans="1:50" x14ac:dyDescent="0.2">
      <c r="A100" s="5" t="s">
        <v>52</v>
      </c>
      <c r="AM100" s="13" t="s">
        <v>187</v>
      </c>
      <c r="AN100" s="13">
        <f t="shared" ref="AN100:AN102" si="35">(AN96-AM96)/AM96</f>
        <v>0</v>
      </c>
    </row>
    <row r="101" spans="1:50" x14ac:dyDescent="0.2">
      <c r="A101" s="5" t="s">
        <v>4</v>
      </c>
      <c r="AM101" s="13" t="s">
        <v>187</v>
      </c>
      <c r="AN101" s="13">
        <f t="shared" si="35"/>
        <v>0</v>
      </c>
    </row>
    <row r="102" spans="1:50" x14ac:dyDescent="0.2">
      <c r="A102" s="5" t="s">
        <v>61</v>
      </c>
      <c r="AM102" s="13" t="s">
        <v>187</v>
      </c>
      <c r="AN102" s="13">
        <f t="shared" si="35"/>
        <v>0</v>
      </c>
    </row>
    <row r="103" spans="1:50" x14ac:dyDescent="0.2">
      <c r="A103" s="5" t="s">
        <v>6</v>
      </c>
    </row>
    <row r="104" spans="1:50" x14ac:dyDescent="0.2">
      <c r="A104" t="s">
        <v>155</v>
      </c>
      <c r="B104">
        <v>1000</v>
      </c>
    </row>
    <row r="105" spans="1:50" x14ac:dyDescent="0.2">
      <c r="A105" s="6" t="s">
        <v>7</v>
      </c>
      <c r="B105" s="6">
        <v>2022</v>
      </c>
      <c r="C105" s="6">
        <v>2023</v>
      </c>
      <c r="D105" s="6">
        <v>2024</v>
      </c>
      <c r="E105" s="6">
        <v>2025</v>
      </c>
      <c r="F105" s="6">
        <v>2026</v>
      </c>
      <c r="G105" s="6">
        <v>2027</v>
      </c>
      <c r="H105" s="6">
        <v>2028</v>
      </c>
      <c r="I105" s="6">
        <v>2029</v>
      </c>
      <c r="J105" s="6">
        <v>2030</v>
      </c>
      <c r="K105" s="6">
        <v>2031</v>
      </c>
      <c r="L105" s="6">
        <v>2032</v>
      </c>
      <c r="M105" s="6">
        <v>2033</v>
      </c>
      <c r="N105" s="6">
        <v>2034</v>
      </c>
      <c r="O105" s="6">
        <v>2035</v>
      </c>
      <c r="P105" s="6">
        <v>2036</v>
      </c>
      <c r="Q105" s="6">
        <v>2037</v>
      </c>
      <c r="R105" s="6">
        <v>2038</v>
      </c>
      <c r="S105" s="6">
        <v>2039</v>
      </c>
      <c r="T105" s="6">
        <v>2040</v>
      </c>
      <c r="U105" s="6">
        <v>2041</v>
      </c>
      <c r="V105" s="6">
        <v>2042</v>
      </c>
      <c r="W105" s="6">
        <v>2043</v>
      </c>
      <c r="X105" s="6">
        <v>2044</v>
      </c>
      <c r="Y105" s="6">
        <v>2045</v>
      </c>
      <c r="Z105" s="6">
        <v>2046</v>
      </c>
      <c r="AA105" s="6">
        <v>2047</v>
      </c>
      <c r="AB105" s="6">
        <v>2048</v>
      </c>
      <c r="AC105" s="6">
        <v>2049</v>
      </c>
      <c r="AD105" s="6">
        <v>2050</v>
      </c>
      <c r="AE105" s="6">
        <v>2051</v>
      </c>
      <c r="AF105" s="6">
        <v>2052</v>
      </c>
      <c r="AG105" s="6">
        <v>2053</v>
      </c>
      <c r="AH105" s="6">
        <v>2054</v>
      </c>
      <c r="AI105" s="6">
        <v>2055</v>
      </c>
      <c r="AJ105" s="6">
        <v>2056</v>
      </c>
      <c r="AK105" s="6">
        <v>2057</v>
      </c>
      <c r="AL105" s="6">
        <v>2058</v>
      </c>
      <c r="AM105" s="6">
        <v>2059</v>
      </c>
      <c r="AN105" s="6">
        <v>2060</v>
      </c>
      <c r="AO105" s="39">
        <f>AN105+1</f>
        <v>2061</v>
      </c>
      <c r="AP105" s="39">
        <f t="shared" ref="AP105:AX105" si="36">AO105+1</f>
        <v>2062</v>
      </c>
      <c r="AQ105" s="39">
        <f t="shared" si="36"/>
        <v>2063</v>
      </c>
      <c r="AR105" s="39">
        <f t="shared" si="36"/>
        <v>2064</v>
      </c>
      <c r="AS105" s="39">
        <f t="shared" si="36"/>
        <v>2065</v>
      </c>
      <c r="AT105" s="39">
        <f t="shared" si="36"/>
        <v>2066</v>
      </c>
      <c r="AU105" s="39">
        <f t="shared" si="36"/>
        <v>2067</v>
      </c>
      <c r="AV105" s="39">
        <f t="shared" si="36"/>
        <v>2068</v>
      </c>
      <c r="AW105" s="39">
        <f>AV105+1</f>
        <v>2069</v>
      </c>
      <c r="AX105" s="39">
        <f t="shared" si="36"/>
        <v>2070</v>
      </c>
    </row>
    <row r="106" spans="1:50" x14ac:dyDescent="0.2">
      <c r="A106" s="6" t="s">
        <v>34</v>
      </c>
      <c r="B106" s="11">
        <v>2409.5808946800003</v>
      </c>
      <c r="C106" s="11">
        <v>2417.8203179752009</v>
      </c>
      <c r="D106" s="11">
        <v>2426.0597412704005</v>
      </c>
      <c r="E106" s="11">
        <v>2434.2991645656016</v>
      </c>
      <c r="F106" s="11">
        <v>2456.339506836247</v>
      </c>
      <c r="G106" s="11">
        <v>2478.3798491068919</v>
      </c>
      <c r="H106" s="11">
        <v>2500.4201913775378</v>
      </c>
      <c r="I106" s="11">
        <v>2522.4605336481827</v>
      </c>
      <c r="J106" s="11">
        <v>2544.5008759188286</v>
      </c>
      <c r="K106" s="11">
        <v>2563.013059959233</v>
      </c>
      <c r="L106" s="11">
        <v>2581.525243999637</v>
      </c>
      <c r="M106" s="11">
        <v>2600.0374280400415</v>
      </c>
      <c r="N106" s="11">
        <v>2618.5496120804455</v>
      </c>
      <c r="O106" s="11">
        <v>2637.0617961208509</v>
      </c>
      <c r="P106" s="11">
        <v>2652.0050351867367</v>
      </c>
      <c r="Q106" s="11">
        <v>2666.9482742526238</v>
      </c>
      <c r="R106" s="11">
        <v>2681.8915133185096</v>
      </c>
      <c r="S106" s="11">
        <v>2696.8347523843959</v>
      </c>
      <c r="T106" s="11">
        <v>2711.7779914502821</v>
      </c>
      <c r="U106" s="11">
        <v>2723.230626147732</v>
      </c>
      <c r="V106" s="11">
        <v>2734.6832608451823</v>
      </c>
      <c r="W106" s="11">
        <v>2746.1358955426322</v>
      </c>
      <c r="X106" s="11">
        <v>2757.5885302400834</v>
      </c>
      <c r="Y106" s="11">
        <v>2769.0411649375337</v>
      </c>
      <c r="Z106" s="11">
        <v>2777.1446906686106</v>
      </c>
      <c r="AA106" s="11">
        <v>2785.2482163996879</v>
      </c>
      <c r="AB106" s="11">
        <v>2793.3517421307643</v>
      </c>
      <c r="AC106" s="11">
        <v>2801.4552678618415</v>
      </c>
      <c r="AD106" s="11">
        <v>2809.5587935929184</v>
      </c>
      <c r="AE106" s="11">
        <v>2809.5587935929184</v>
      </c>
      <c r="AF106" s="11">
        <v>2809.5587935929184</v>
      </c>
      <c r="AG106" s="11">
        <v>2809.5587935929184</v>
      </c>
      <c r="AH106" s="11">
        <v>2809.5587935929184</v>
      </c>
      <c r="AI106" s="11">
        <v>2809.5587935929184</v>
      </c>
      <c r="AJ106" s="11">
        <v>2809.5587935929184</v>
      </c>
      <c r="AK106" s="11">
        <v>2809.5587935929184</v>
      </c>
      <c r="AL106" s="11">
        <v>2809.5587935929184</v>
      </c>
      <c r="AM106" s="11">
        <v>2809.5587935929184</v>
      </c>
      <c r="AN106" s="11">
        <v>2809.5587935929184</v>
      </c>
      <c r="AO106" s="39">
        <f>(AN106+AN106*$AN$110)</f>
        <v>2809.5587935929184</v>
      </c>
      <c r="AP106" s="39">
        <f t="shared" ref="AP106:AX106" si="37">(AO106+AO106*$AN$110)</f>
        <v>2809.5587935929184</v>
      </c>
      <c r="AQ106" s="39">
        <f t="shared" si="37"/>
        <v>2809.5587935929184</v>
      </c>
      <c r="AR106" s="39">
        <f t="shared" si="37"/>
        <v>2809.5587935929184</v>
      </c>
      <c r="AS106" s="39">
        <f t="shared" si="37"/>
        <v>2809.5587935929184</v>
      </c>
      <c r="AT106" s="39">
        <f t="shared" si="37"/>
        <v>2809.5587935929184</v>
      </c>
      <c r="AU106" s="39">
        <f t="shared" si="37"/>
        <v>2809.5587935929184</v>
      </c>
      <c r="AV106" s="39">
        <f t="shared" si="37"/>
        <v>2809.5587935929184</v>
      </c>
      <c r="AW106" s="39">
        <f t="shared" si="37"/>
        <v>2809.5587935929184</v>
      </c>
      <c r="AX106" s="39">
        <f t="shared" si="37"/>
        <v>2809.5587935929184</v>
      </c>
    </row>
    <row r="107" spans="1:50" x14ac:dyDescent="0.2">
      <c r="A107" s="6" t="s">
        <v>35</v>
      </c>
      <c r="B107" s="11">
        <v>1018.1327724</v>
      </c>
      <c r="C107" s="11">
        <v>1021.6142188627608</v>
      </c>
      <c r="D107" s="11">
        <v>1025.0956653255214</v>
      </c>
      <c r="E107" s="11">
        <v>1028.5771117882821</v>
      </c>
      <c r="F107" s="11">
        <v>1037.8899324660197</v>
      </c>
      <c r="G107" s="11">
        <v>1047.202753143757</v>
      </c>
      <c r="H107" s="11">
        <v>1056.5155738214946</v>
      </c>
      <c r="I107" s="11">
        <v>1065.8283944992322</v>
      </c>
      <c r="J107" s="11">
        <v>1075.1412151769698</v>
      </c>
      <c r="K107" s="11">
        <v>1082.9632647715066</v>
      </c>
      <c r="L107" s="11">
        <v>1090.7853143660441</v>
      </c>
      <c r="M107" s="11">
        <v>1098.6073639605809</v>
      </c>
      <c r="N107" s="11">
        <v>1106.4294135551179</v>
      </c>
      <c r="O107" s="11">
        <v>1114.2514631496554</v>
      </c>
      <c r="P107" s="11">
        <v>1120.5655078253819</v>
      </c>
      <c r="Q107" s="11">
        <v>1126.8795525011085</v>
      </c>
      <c r="R107" s="11">
        <v>1133.1935971768353</v>
      </c>
      <c r="S107" s="11">
        <v>1139.5076418525616</v>
      </c>
      <c r="T107" s="11">
        <v>1145.8216865282882</v>
      </c>
      <c r="U107" s="11">
        <v>1150.6608279497461</v>
      </c>
      <c r="V107" s="11">
        <v>1155.4999693712041</v>
      </c>
      <c r="W107" s="11">
        <v>1160.3391107926616</v>
      </c>
      <c r="X107" s="11">
        <v>1165.1782522141198</v>
      </c>
      <c r="Y107" s="11">
        <v>1170.0173936355775</v>
      </c>
      <c r="Z107" s="11">
        <v>1173.4414185923706</v>
      </c>
      <c r="AA107" s="11">
        <v>1176.865443549164</v>
      </c>
      <c r="AB107" s="11">
        <v>1180.2894685059566</v>
      </c>
      <c r="AC107" s="11">
        <v>1183.71349346275</v>
      </c>
      <c r="AD107" s="11">
        <v>1187.1375184195429</v>
      </c>
      <c r="AE107" s="11">
        <v>1187.1375184195429</v>
      </c>
      <c r="AF107" s="11">
        <v>1187.1375184195429</v>
      </c>
      <c r="AG107" s="11">
        <v>1187.1375184195429</v>
      </c>
      <c r="AH107" s="11">
        <v>1187.1375184195429</v>
      </c>
      <c r="AI107" s="11">
        <v>1187.1375184195429</v>
      </c>
      <c r="AJ107" s="11">
        <v>1187.1375184195429</v>
      </c>
      <c r="AK107" s="11">
        <v>1187.1375184195429</v>
      </c>
      <c r="AL107" s="11">
        <v>1187.1375184195429</v>
      </c>
      <c r="AM107" s="11">
        <v>1187.1375184195429</v>
      </c>
      <c r="AN107" s="11">
        <v>1187.1375184195429</v>
      </c>
      <c r="AO107" s="39">
        <f t="shared" ref="AO107:AX109" si="38">(AN107+AN107*$AN$110)</f>
        <v>1187.1375184195429</v>
      </c>
      <c r="AP107" s="39">
        <f t="shared" si="38"/>
        <v>1187.1375184195429</v>
      </c>
      <c r="AQ107" s="39">
        <f t="shared" si="38"/>
        <v>1187.1375184195429</v>
      </c>
      <c r="AR107" s="39">
        <f t="shared" si="38"/>
        <v>1187.1375184195429</v>
      </c>
      <c r="AS107" s="39">
        <f t="shared" si="38"/>
        <v>1187.1375184195429</v>
      </c>
      <c r="AT107" s="39">
        <f t="shared" si="38"/>
        <v>1187.1375184195429</v>
      </c>
      <c r="AU107" s="39">
        <f t="shared" si="38"/>
        <v>1187.1375184195429</v>
      </c>
      <c r="AV107" s="39">
        <f t="shared" si="38"/>
        <v>1187.1375184195429</v>
      </c>
      <c r="AW107" s="39">
        <f t="shared" si="38"/>
        <v>1187.1375184195429</v>
      </c>
      <c r="AX107" s="39">
        <f t="shared" si="38"/>
        <v>1187.1375184195429</v>
      </c>
    </row>
    <row r="108" spans="1:50" x14ac:dyDescent="0.2">
      <c r="A108" s="6" t="s">
        <v>36</v>
      </c>
      <c r="B108" s="11">
        <v>184.77224387999999</v>
      </c>
      <c r="C108" s="11">
        <v>185.40406194176029</v>
      </c>
      <c r="D108" s="11">
        <v>186.03588000352056</v>
      </c>
      <c r="E108" s="11">
        <v>186.66769806528083</v>
      </c>
      <c r="F108" s="11">
        <v>188.35780255864802</v>
      </c>
      <c r="G108" s="11">
        <v>190.04790705201518</v>
      </c>
      <c r="H108" s="11">
        <v>191.73801154538236</v>
      </c>
      <c r="I108" s="11">
        <v>193.42811603874955</v>
      </c>
      <c r="J108" s="11">
        <v>195.11822053211671</v>
      </c>
      <c r="K108" s="11">
        <v>196.53777768075491</v>
      </c>
      <c r="L108" s="11">
        <v>197.95733482939315</v>
      </c>
      <c r="M108" s="11">
        <v>199.37689197803135</v>
      </c>
      <c r="N108" s="11">
        <v>200.79644912666953</v>
      </c>
      <c r="O108" s="11">
        <v>202.21600627530779</v>
      </c>
      <c r="P108" s="11">
        <v>203.36188845719889</v>
      </c>
      <c r="Q108" s="11">
        <v>204.50777063909007</v>
      </c>
      <c r="R108" s="11">
        <v>205.65365282098116</v>
      </c>
      <c r="S108" s="11">
        <v>206.79953500287229</v>
      </c>
      <c r="T108" s="11">
        <v>207.94541718476341</v>
      </c>
      <c r="U108" s="11">
        <v>208.82363173902797</v>
      </c>
      <c r="V108" s="11">
        <v>209.70184629329253</v>
      </c>
      <c r="W108" s="11">
        <v>210.58006084755709</v>
      </c>
      <c r="X108" s="11">
        <v>211.45827540182174</v>
      </c>
      <c r="Y108" s="11">
        <v>212.3364899560863</v>
      </c>
      <c r="Z108" s="11">
        <v>212.95788707787466</v>
      </c>
      <c r="AA108" s="11">
        <v>213.57928419966302</v>
      </c>
      <c r="AB108" s="11">
        <v>214.20068132145138</v>
      </c>
      <c r="AC108" s="11">
        <v>214.82207844323977</v>
      </c>
      <c r="AD108" s="11">
        <v>215.44347556502814</v>
      </c>
      <c r="AE108" s="11">
        <v>215.44347556502814</v>
      </c>
      <c r="AF108" s="11">
        <v>215.44347556502814</v>
      </c>
      <c r="AG108" s="11">
        <v>215.44347556502814</v>
      </c>
      <c r="AH108" s="11">
        <v>215.44347556502814</v>
      </c>
      <c r="AI108" s="11">
        <v>215.44347556502814</v>
      </c>
      <c r="AJ108" s="11">
        <v>215.44347556502814</v>
      </c>
      <c r="AK108" s="11">
        <v>215.44347556502814</v>
      </c>
      <c r="AL108" s="11">
        <v>215.44347556502814</v>
      </c>
      <c r="AM108" s="11">
        <v>215.44347556502814</v>
      </c>
      <c r="AN108" s="11">
        <v>215.44347556502814</v>
      </c>
      <c r="AO108" s="39">
        <f t="shared" si="38"/>
        <v>215.44347556502814</v>
      </c>
      <c r="AP108" s="39">
        <f t="shared" si="38"/>
        <v>215.44347556502814</v>
      </c>
      <c r="AQ108" s="39">
        <f t="shared" si="38"/>
        <v>215.44347556502814</v>
      </c>
      <c r="AR108" s="39">
        <f t="shared" si="38"/>
        <v>215.44347556502814</v>
      </c>
      <c r="AS108" s="39">
        <f t="shared" si="38"/>
        <v>215.44347556502814</v>
      </c>
      <c r="AT108" s="39">
        <f t="shared" si="38"/>
        <v>215.44347556502814</v>
      </c>
      <c r="AU108" s="39">
        <f t="shared" si="38"/>
        <v>215.44347556502814</v>
      </c>
      <c r="AV108" s="39">
        <f t="shared" si="38"/>
        <v>215.44347556502814</v>
      </c>
      <c r="AW108" s="39">
        <f t="shared" si="38"/>
        <v>215.44347556502814</v>
      </c>
      <c r="AX108" s="39">
        <f t="shared" si="38"/>
        <v>215.44347556502814</v>
      </c>
    </row>
    <row r="109" spans="1:50" x14ac:dyDescent="0.2">
      <c r="A109" s="6" t="s">
        <v>37</v>
      </c>
      <c r="B109" s="11">
        <v>158.37620903999999</v>
      </c>
      <c r="C109" s="11">
        <v>158.91776737865169</v>
      </c>
      <c r="D109" s="11">
        <v>159.45932571730333</v>
      </c>
      <c r="E109" s="11">
        <v>160.00088405595503</v>
      </c>
      <c r="F109" s="11">
        <v>161.44954505026973</v>
      </c>
      <c r="G109" s="11">
        <v>162.89820604458444</v>
      </c>
      <c r="H109" s="11">
        <v>164.34686703889915</v>
      </c>
      <c r="I109" s="11">
        <v>165.79552803321388</v>
      </c>
      <c r="J109" s="11">
        <v>167.24418902752862</v>
      </c>
      <c r="K109" s="11">
        <v>168.46095229778993</v>
      </c>
      <c r="L109" s="11">
        <v>169.67771556805127</v>
      </c>
      <c r="M109" s="11">
        <v>170.89447883831258</v>
      </c>
      <c r="N109" s="11">
        <v>172.11124210857386</v>
      </c>
      <c r="O109" s="11">
        <v>173.32800537883526</v>
      </c>
      <c r="P109" s="11">
        <v>174.3101901061705</v>
      </c>
      <c r="Q109" s="11">
        <v>175.29237483350579</v>
      </c>
      <c r="R109" s="11">
        <v>176.274559560841</v>
      </c>
      <c r="S109" s="11">
        <v>177.25674428817624</v>
      </c>
      <c r="T109" s="11">
        <v>178.2389290155115</v>
      </c>
      <c r="U109" s="11">
        <v>178.99168434773821</v>
      </c>
      <c r="V109" s="11">
        <v>179.74443967996504</v>
      </c>
      <c r="W109" s="11">
        <v>180.49719501219181</v>
      </c>
      <c r="X109" s="11">
        <v>181.24995034441864</v>
      </c>
      <c r="Y109" s="11">
        <v>182.00270567664541</v>
      </c>
      <c r="Z109" s="11">
        <v>182.53533178103541</v>
      </c>
      <c r="AA109" s="11">
        <v>183.06795788542544</v>
      </c>
      <c r="AB109" s="11">
        <v>183.60058398981548</v>
      </c>
      <c r="AC109" s="11">
        <v>184.13321009420554</v>
      </c>
      <c r="AD109" s="11">
        <v>184.66583619859551</v>
      </c>
      <c r="AE109" s="11">
        <v>184.66583619859551</v>
      </c>
      <c r="AF109" s="11">
        <v>184.66583619859551</v>
      </c>
      <c r="AG109" s="11">
        <v>184.66583619859551</v>
      </c>
      <c r="AH109" s="11">
        <v>184.66583619859551</v>
      </c>
      <c r="AI109" s="11">
        <v>184.66583619859551</v>
      </c>
      <c r="AJ109" s="11">
        <v>184.66583619859551</v>
      </c>
      <c r="AK109" s="11">
        <v>184.66583619859551</v>
      </c>
      <c r="AL109" s="11">
        <v>184.66583619859551</v>
      </c>
      <c r="AM109" s="11">
        <v>184.66583619859551</v>
      </c>
      <c r="AN109" s="11">
        <v>184.66583619859551</v>
      </c>
      <c r="AO109" s="39">
        <f t="shared" si="38"/>
        <v>184.66583619859551</v>
      </c>
      <c r="AP109" s="39">
        <f t="shared" si="38"/>
        <v>184.66583619859551</v>
      </c>
      <c r="AQ109" s="39">
        <f t="shared" si="38"/>
        <v>184.66583619859551</v>
      </c>
      <c r="AR109" s="39">
        <f t="shared" si="38"/>
        <v>184.66583619859551</v>
      </c>
      <c r="AS109" s="39">
        <f t="shared" si="38"/>
        <v>184.66583619859551</v>
      </c>
      <c r="AT109" s="39">
        <f t="shared" si="38"/>
        <v>184.66583619859551</v>
      </c>
      <c r="AU109" s="39">
        <f t="shared" si="38"/>
        <v>184.66583619859551</v>
      </c>
      <c r="AV109" s="39">
        <f t="shared" si="38"/>
        <v>184.66583619859551</v>
      </c>
      <c r="AW109" s="39">
        <f t="shared" si="38"/>
        <v>184.66583619859551</v>
      </c>
      <c r="AX109" s="39">
        <f t="shared" si="38"/>
        <v>184.66583619859551</v>
      </c>
    </row>
    <row r="110" spans="1:50" x14ac:dyDescent="0.2">
      <c r="AM110" s="13" t="s">
        <v>187</v>
      </c>
      <c r="AN110" s="13">
        <f>(AN106-AM106)/AM106</f>
        <v>0</v>
      </c>
    </row>
    <row r="111" spans="1:50" x14ac:dyDescent="0.2">
      <c r="A111" s="5" t="s">
        <v>52</v>
      </c>
      <c r="AM111" s="13" t="s">
        <v>187</v>
      </c>
      <c r="AN111" s="13">
        <f t="shared" ref="AN111:AN113" si="39">(AN107-AM107)/AM107</f>
        <v>0</v>
      </c>
    </row>
    <row r="112" spans="1:50" x14ac:dyDescent="0.2">
      <c r="A112" s="5" t="s">
        <v>4</v>
      </c>
      <c r="AM112" s="13" t="s">
        <v>187</v>
      </c>
      <c r="AN112" s="13">
        <f t="shared" si="39"/>
        <v>0</v>
      </c>
    </row>
    <row r="113" spans="1:50" x14ac:dyDescent="0.2">
      <c r="A113" s="5" t="s">
        <v>63</v>
      </c>
      <c r="AM113" s="13" t="s">
        <v>187</v>
      </c>
      <c r="AN113" s="13">
        <f t="shared" si="39"/>
        <v>0</v>
      </c>
    </row>
    <row r="114" spans="1:50" x14ac:dyDescent="0.2">
      <c r="A114" s="5" t="s">
        <v>6</v>
      </c>
    </row>
    <row r="115" spans="1:50" x14ac:dyDescent="0.2">
      <c r="A115" t="s">
        <v>155</v>
      </c>
      <c r="B115">
        <v>1000</v>
      </c>
    </row>
    <row r="116" spans="1:50" x14ac:dyDescent="0.2">
      <c r="A116" s="6" t="s">
        <v>7</v>
      </c>
      <c r="B116" s="6">
        <v>2022</v>
      </c>
      <c r="C116" s="6">
        <v>2023</v>
      </c>
      <c r="D116" s="6">
        <v>2024</v>
      </c>
      <c r="E116" s="6">
        <v>2025</v>
      </c>
      <c r="F116" s="6">
        <v>2026</v>
      </c>
      <c r="G116" s="6">
        <v>2027</v>
      </c>
      <c r="H116" s="6">
        <v>2028</v>
      </c>
      <c r="I116" s="6">
        <v>2029</v>
      </c>
      <c r="J116" s="6">
        <v>2030</v>
      </c>
      <c r="K116" s="6">
        <v>2031</v>
      </c>
      <c r="L116" s="6">
        <v>2032</v>
      </c>
      <c r="M116" s="6">
        <v>2033</v>
      </c>
      <c r="N116" s="6">
        <v>2034</v>
      </c>
      <c r="O116" s="6">
        <v>2035</v>
      </c>
      <c r="P116" s="6">
        <v>2036</v>
      </c>
      <c r="Q116" s="6">
        <v>2037</v>
      </c>
      <c r="R116" s="6">
        <v>2038</v>
      </c>
      <c r="S116" s="6">
        <v>2039</v>
      </c>
      <c r="T116" s="6">
        <v>2040</v>
      </c>
      <c r="U116" s="6">
        <v>2041</v>
      </c>
      <c r="V116" s="6">
        <v>2042</v>
      </c>
      <c r="W116" s="6">
        <v>2043</v>
      </c>
      <c r="X116" s="6">
        <v>2044</v>
      </c>
      <c r="Y116" s="6">
        <v>2045</v>
      </c>
      <c r="Z116" s="6">
        <v>2046</v>
      </c>
      <c r="AA116" s="6">
        <v>2047</v>
      </c>
      <c r="AB116" s="6">
        <v>2048</v>
      </c>
      <c r="AC116" s="6">
        <v>2049</v>
      </c>
      <c r="AD116" s="6">
        <v>2050</v>
      </c>
      <c r="AE116" s="6">
        <v>2051</v>
      </c>
      <c r="AF116" s="6">
        <v>2052</v>
      </c>
      <c r="AG116" s="6">
        <v>2053</v>
      </c>
      <c r="AH116" s="6">
        <v>2054</v>
      </c>
      <c r="AI116" s="6">
        <v>2055</v>
      </c>
      <c r="AJ116" s="6">
        <v>2056</v>
      </c>
      <c r="AK116" s="6">
        <v>2057</v>
      </c>
      <c r="AL116" s="6">
        <v>2058</v>
      </c>
      <c r="AM116" s="6">
        <v>2059</v>
      </c>
      <c r="AN116" s="6">
        <v>2060</v>
      </c>
      <c r="AO116" s="39">
        <f>AN116+1</f>
        <v>2061</v>
      </c>
      <c r="AP116" s="39">
        <f t="shared" ref="AP116:AX116" si="40">AO116+1</f>
        <v>2062</v>
      </c>
      <c r="AQ116" s="39">
        <f t="shared" si="40"/>
        <v>2063</v>
      </c>
      <c r="AR116" s="39">
        <f t="shared" si="40"/>
        <v>2064</v>
      </c>
      <c r="AS116" s="39">
        <f t="shared" si="40"/>
        <v>2065</v>
      </c>
      <c r="AT116" s="39">
        <f t="shared" si="40"/>
        <v>2066</v>
      </c>
      <c r="AU116" s="39">
        <f t="shared" si="40"/>
        <v>2067</v>
      </c>
      <c r="AV116" s="39">
        <f t="shared" si="40"/>
        <v>2068</v>
      </c>
      <c r="AW116" s="39">
        <f>AV116+1</f>
        <v>2069</v>
      </c>
      <c r="AX116" s="39">
        <f t="shared" si="40"/>
        <v>2070</v>
      </c>
    </row>
    <row r="117" spans="1:50" x14ac:dyDescent="0.2">
      <c r="A117" s="6" t="s">
        <v>34</v>
      </c>
      <c r="B117" s="11">
        <v>3560.2596079199998</v>
      </c>
      <c r="C117" s="11">
        <v>3572.433710899993</v>
      </c>
      <c r="D117" s="11">
        <v>3584.6078138799849</v>
      </c>
      <c r="E117" s="11">
        <v>3596.7819168599785</v>
      </c>
      <c r="F117" s="11">
        <v>3629.347472348968</v>
      </c>
      <c r="G117" s="11">
        <v>3661.9130278379566</v>
      </c>
      <c r="H117" s="11">
        <v>3694.4785833269466</v>
      </c>
      <c r="I117" s="11">
        <v>3727.0441388159356</v>
      </c>
      <c r="J117" s="11">
        <v>3759.6096943049261</v>
      </c>
      <c r="K117" s="11">
        <v>3786.9622439698687</v>
      </c>
      <c r="L117" s="11">
        <v>3814.3147936348128</v>
      </c>
      <c r="M117" s="11">
        <v>3841.6673432997554</v>
      </c>
      <c r="N117" s="11">
        <v>3869.019892964699</v>
      </c>
      <c r="O117" s="11">
        <v>3896.3724426296421</v>
      </c>
      <c r="P117" s="11">
        <v>3918.4517222982472</v>
      </c>
      <c r="Q117" s="11">
        <v>3940.5310019668532</v>
      </c>
      <c r="R117" s="11">
        <v>3962.6102816354569</v>
      </c>
      <c r="S117" s="11">
        <v>3984.6895613040624</v>
      </c>
      <c r="T117" s="11">
        <v>4006.7688409726675</v>
      </c>
      <c r="U117" s="11">
        <v>4023.6906022663502</v>
      </c>
      <c r="V117" s="11">
        <v>4040.6123635600347</v>
      </c>
      <c r="W117" s="11">
        <v>4057.5341248537175</v>
      </c>
      <c r="X117" s="11">
        <v>4074.4558861474011</v>
      </c>
      <c r="Y117" s="11">
        <v>4091.3776474410847</v>
      </c>
      <c r="Z117" s="11">
        <v>4103.3509559138538</v>
      </c>
      <c r="AA117" s="11">
        <v>4115.3242643866224</v>
      </c>
      <c r="AB117" s="11">
        <v>4127.297572859391</v>
      </c>
      <c r="AC117" s="11">
        <v>4139.2708813321606</v>
      </c>
      <c r="AD117" s="11">
        <v>4151.2441898049283</v>
      </c>
      <c r="AE117" s="11">
        <v>4151.2441898049283</v>
      </c>
      <c r="AF117" s="11">
        <v>4151.2441898049283</v>
      </c>
      <c r="AG117" s="11">
        <v>4151.2441898049283</v>
      </c>
      <c r="AH117" s="11">
        <v>4151.2441898049283</v>
      </c>
      <c r="AI117" s="11">
        <v>4151.2441898049283</v>
      </c>
      <c r="AJ117" s="11">
        <v>4151.2441898049283</v>
      </c>
      <c r="AK117" s="11">
        <v>4151.2441898049283</v>
      </c>
      <c r="AL117" s="11">
        <v>4151.2441898049283</v>
      </c>
      <c r="AM117" s="11">
        <v>4151.2441898049283</v>
      </c>
      <c r="AN117" s="11">
        <v>4151.2441898049283</v>
      </c>
      <c r="AO117" s="39">
        <f>(AN117+AN117*$AN$121)</f>
        <v>4151.2441898049283</v>
      </c>
      <c r="AP117" s="39">
        <f t="shared" ref="AP117:AX117" si="41">(AO117+AO117*$AN$121)</f>
        <v>4151.2441898049283</v>
      </c>
      <c r="AQ117" s="39">
        <f t="shared" si="41"/>
        <v>4151.2441898049283</v>
      </c>
      <c r="AR117" s="39">
        <f t="shared" si="41"/>
        <v>4151.2441898049283</v>
      </c>
      <c r="AS117" s="39">
        <f t="shared" si="41"/>
        <v>4151.2441898049283</v>
      </c>
      <c r="AT117" s="39">
        <f t="shared" si="41"/>
        <v>4151.2441898049283</v>
      </c>
      <c r="AU117" s="39">
        <f t="shared" si="41"/>
        <v>4151.2441898049283</v>
      </c>
      <c r="AV117" s="39">
        <f t="shared" si="41"/>
        <v>4151.2441898049283</v>
      </c>
      <c r="AW117" s="39">
        <f t="shared" si="41"/>
        <v>4151.2441898049283</v>
      </c>
      <c r="AX117" s="39">
        <f t="shared" si="41"/>
        <v>4151.2441898049283</v>
      </c>
    </row>
    <row r="118" spans="1:50" x14ac:dyDescent="0.2">
      <c r="A118" s="6" t="s">
        <v>35</v>
      </c>
      <c r="B118" s="11">
        <v>1504.3350456000001</v>
      </c>
      <c r="C118" s="11">
        <v>1509.4790327746448</v>
      </c>
      <c r="D118" s="11">
        <v>1514.6230199492893</v>
      </c>
      <c r="E118" s="11">
        <v>1519.7670071239343</v>
      </c>
      <c r="F118" s="11">
        <v>1533.5271009925216</v>
      </c>
      <c r="G118" s="11">
        <v>1547.2871948611084</v>
      </c>
      <c r="H118" s="11">
        <v>1561.0472887296955</v>
      </c>
      <c r="I118" s="11">
        <v>1574.8073825982829</v>
      </c>
      <c r="J118" s="11">
        <v>1588.5674764668699</v>
      </c>
      <c r="K118" s="11">
        <v>1600.1248918182546</v>
      </c>
      <c r="L118" s="11">
        <v>1611.682307169639</v>
      </c>
      <c r="M118" s="11">
        <v>1623.2397225210234</v>
      </c>
      <c r="N118" s="11">
        <v>1634.7971378724078</v>
      </c>
      <c r="O118" s="11">
        <v>1646.3545532237924</v>
      </c>
      <c r="P118" s="11">
        <v>1655.6838263232032</v>
      </c>
      <c r="Q118" s="11">
        <v>1665.0130994226138</v>
      </c>
      <c r="R118" s="11">
        <v>1674.3423725220237</v>
      </c>
      <c r="S118" s="11">
        <v>1683.6716456214347</v>
      </c>
      <c r="T118" s="11">
        <v>1693.0009187208454</v>
      </c>
      <c r="U118" s="11">
        <v>1700.1509587040916</v>
      </c>
      <c r="V118" s="11">
        <v>1707.3009986873387</v>
      </c>
      <c r="W118" s="11">
        <v>1714.4510386705849</v>
      </c>
      <c r="X118" s="11">
        <v>1721.6010786538316</v>
      </c>
      <c r="Y118" s="11">
        <v>1728.7511186370775</v>
      </c>
      <c r="Z118" s="11">
        <v>1733.8102630621913</v>
      </c>
      <c r="AA118" s="11">
        <v>1738.8694074873049</v>
      </c>
      <c r="AB118" s="11">
        <v>1743.9285519124187</v>
      </c>
      <c r="AC118" s="11">
        <v>1748.9876963375323</v>
      </c>
      <c r="AD118" s="11">
        <v>1754.0468407626456</v>
      </c>
      <c r="AE118" s="11">
        <v>1754.0468407626456</v>
      </c>
      <c r="AF118" s="11">
        <v>1754.0468407626456</v>
      </c>
      <c r="AG118" s="11">
        <v>1754.0468407626456</v>
      </c>
      <c r="AH118" s="11">
        <v>1754.0468407626456</v>
      </c>
      <c r="AI118" s="11">
        <v>1754.0468407626456</v>
      </c>
      <c r="AJ118" s="11">
        <v>1754.0468407626456</v>
      </c>
      <c r="AK118" s="11">
        <v>1754.0468407626456</v>
      </c>
      <c r="AL118" s="11">
        <v>1754.0468407626456</v>
      </c>
      <c r="AM118" s="11">
        <v>1754.0468407626456</v>
      </c>
      <c r="AN118" s="11">
        <v>1754.0468407626456</v>
      </c>
      <c r="AO118" s="39">
        <f t="shared" ref="AO118:AX120" si="42">(AN118+AN118*$AN$121)</f>
        <v>1754.0468407626456</v>
      </c>
      <c r="AP118" s="39">
        <f t="shared" si="42"/>
        <v>1754.0468407626456</v>
      </c>
      <c r="AQ118" s="39">
        <f t="shared" si="42"/>
        <v>1754.0468407626456</v>
      </c>
      <c r="AR118" s="39">
        <f t="shared" si="42"/>
        <v>1754.0468407626456</v>
      </c>
      <c r="AS118" s="39">
        <f t="shared" si="42"/>
        <v>1754.0468407626456</v>
      </c>
      <c r="AT118" s="39">
        <f t="shared" si="42"/>
        <v>1754.0468407626456</v>
      </c>
      <c r="AU118" s="39">
        <f t="shared" si="42"/>
        <v>1754.0468407626456</v>
      </c>
      <c r="AV118" s="39">
        <f t="shared" si="42"/>
        <v>1754.0468407626456</v>
      </c>
      <c r="AW118" s="39">
        <f t="shared" si="42"/>
        <v>1754.0468407626456</v>
      </c>
      <c r="AX118" s="39">
        <f t="shared" si="42"/>
        <v>1754.0468407626456</v>
      </c>
    </row>
    <row r="119" spans="1:50" x14ac:dyDescent="0.2">
      <c r="A119" s="6" t="s">
        <v>36</v>
      </c>
      <c r="B119" s="11">
        <v>273.00895272000002</v>
      </c>
      <c r="C119" s="11">
        <v>273.94249113317625</v>
      </c>
      <c r="D119" s="11">
        <v>274.87602954635253</v>
      </c>
      <c r="E119" s="11">
        <v>275.80956795952881</v>
      </c>
      <c r="F119" s="11">
        <v>278.30677018012426</v>
      </c>
      <c r="G119" s="11">
        <v>280.80397240071972</v>
      </c>
      <c r="H119" s="11">
        <v>283.30117462131517</v>
      </c>
      <c r="I119" s="11">
        <v>285.79837684191057</v>
      </c>
      <c r="J119" s="11">
        <v>288.29557906250602</v>
      </c>
      <c r="K119" s="11">
        <v>290.3930359225721</v>
      </c>
      <c r="L119" s="11">
        <v>292.49049278263817</v>
      </c>
      <c r="M119" s="11">
        <v>294.58794964270425</v>
      </c>
      <c r="N119" s="11">
        <v>296.68540650277032</v>
      </c>
      <c r="O119" s="11">
        <v>298.78286336283634</v>
      </c>
      <c r="P119" s="11">
        <v>300.47595366606276</v>
      </c>
      <c r="Q119" s="11">
        <v>302.16904396928919</v>
      </c>
      <c r="R119" s="11">
        <v>303.8621342725155</v>
      </c>
      <c r="S119" s="11">
        <v>305.55522457574182</v>
      </c>
      <c r="T119" s="11">
        <v>307.24831487896824</v>
      </c>
      <c r="U119" s="11">
        <v>308.54591472777958</v>
      </c>
      <c r="V119" s="11">
        <v>309.84351457659108</v>
      </c>
      <c r="W119" s="11">
        <v>311.14111442540241</v>
      </c>
      <c r="X119" s="11">
        <v>312.43871427421385</v>
      </c>
      <c r="Y119" s="11">
        <v>313.73631412302518</v>
      </c>
      <c r="Z119" s="11">
        <v>314.65445514832362</v>
      </c>
      <c r="AA119" s="11">
        <v>315.572596173622</v>
      </c>
      <c r="AB119" s="11">
        <v>316.49073719892039</v>
      </c>
      <c r="AC119" s="11">
        <v>317.40887822421882</v>
      </c>
      <c r="AD119" s="11">
        <v>318.32701924951721</v>
      </c>
      <c r="AE119" s="11">
        <v>318.32701924951721</v>
      </c>
      <c r="AF119" s="11">
        <v>318.32701924951721</v>
      </c>
      <c r="AG119" s="11">
        <v>318.32701924951721</v>
      </c>
      <c r="AH119" s="11">
        <v>318.32701924951721</v>
      </c>
      <c r="AI119" s="11">
        <v>318.32701924951721</v>
      </c>
      <c r="AJ119" s="11">
        <v>318.32701924951721</v>
      </c>
      <c r="AK119" s="11">
        <v>318.32701924951721</v>
      </c>
      <c r="AL119" s="11">
        <v>318.32701924951721</v>
      </c>
      <c r="AM119" s="11">
        <v>318.32701924951721</v>
      </c>
      <c r="AN119" s="11">
        <v>318.32701924951721</v>
      </c>
      <c r="AO119" s="39">
        <f t="shared" si="42"/>
        <v>318.32701924951721</v>
      </c>
      <c r="AP119" s="39">
        <f t="shared" si="42"/>
        <v>318.32701924951721</v>
      </c>
      <c r="AQ119" s="39">
        <f t="shared" si="42"/>
        <v>318.32701924951721</v>
      </c>
      <c r="AR119" s="39">
        <f t="shared" si="42"/>
        <v>318.32701924951721</v>
      </c>
      <c r="AS119" s="39">
        <f t="shared" si="42"/>
        <v>318.32701924951721</v>
      </c>
      <c r="AT119" s="39">
        <f t="shared" si="42"/>
        <v>318.32701924951721</v>
      </c>
      <c r="AU119" s="39">
        <f t="shared" si="42"/>
        <v>318.32701924951721</v>
      </c>
      <c r="AV119" s="39">
        <f t="shared" si="42"/>
        <v>318.32701924951721</v>
      </c>
      <c r="AW119" s="39">
        <f t="shared" si="42"/>
        <v>318.32701924951721</v>
      </c>
      <c r="AX119" s="39">
        <f t="shared" si="42"/>
        <v>318.32701924951721</v>
      </c>
    </row>
    <row r="120" spans="1:50" x14ac:dyDescent="0.2">
      <c r="A120" s="6" t="s">
        <v>37</v>
      </c>
      <c r="B120" s="11">
        <v>234.00767376000002</v>
      </c>
      <c r="C120" s="11">
        <v>234.80784954272252</v>
      </c>
      <c r="D120" s="11">
        <v>235.60802532544503</v>
      </c>
      <c r="E120" s="11">
        <v>236.40820110816756</v>
      </c>
      <c r="F120" s="11">
        <v>238.54866015439222</v>
      </c>
      <c r="G120" s="11">
        <v>240.68911920061686</v>
      </c>
      <c r="H120" s="11">
        <v>242.82957824684152</v>
      </c>
      <c r="I120" s="11">
        <v>244.97003729306618</v>
      </c>
      <c r="J120" s="11">
        <v>247.11049633929088</v>
      </c>
      <c r="K120" s="11">
        <v>248.9083165050618</v>
      </c>
      <c r="L120" s="11">
        <v>250.70613667083273</v>
      </c>
      <c r="M120" s="11">
        <v>252.50395683660361</v>
      </c>
      <c r="N120" s="11">
        <v>254.30177700237456</v>
      </c>
      <c r="O120" s="11">
        <v>256.09959716814552</v>
      </c>
      <c r="P120" s="11">
        <v>257.55081742805385</v>
      </c>
      <c r="Q120" s="11">
        <v>259.00203768796217</v>
      </c>
      <c r="R120" s="11">
        <v>260.45325794787038</v>
      </c>
      <c r="S120" s="11">
        <v>261.90447820777877</v>
      </c>
      <c r="T120" s="11">
        <v>263.35569846768709</v>
      </c>
      <c r="U120" s="11">
        <v>264.46792690952537</v>
      </c>
      <c r="V120" s="11">
        <v>265.58015535136377</v>
      </c>
      <c r="W120" s="11">
        <v>266.69238379320211</v>
      </c>
      <c r="X120" s="11">
        <v>267.80461223504039</v>
      </c>
      <c r="Y120" s="11">
        <v>268.91684067687873</v>
      </c>
      <c r="Z120" s="11">
        <v>269.70381869856311</v>
      </c>
      <c r="AA120" s="11">
        <v>270.49079672024743</v>
      </c>
      <c r="AB120" s="11">
        <v>271.27777474193175</v>
      </c>
      <c r="AC120" s="11">
        <v>272.06475276361607</v>
      </c>
      <c r="AD120" s="11">
        <v>272.85173078530045</v>
      </c>
      <c r="AE120" s="11">
        <v>272.85173078530045</v>
      </c>
      <c r="AF120" s="11">
        <v>272.85173078530045</v>
      </c>
      <c r="AG120" s="11">
        <v>272.85173078530045</v>
      </c>
      <c r="AH120" s="11">
        <v>272.85173078530045</v>
      </c>
      <c r="AI120" s="11">
        <v>272.85173078530045</v>
      </c>
      <c r="AJ120" s="11">
        <v>272.85173078530045</v>
      </c>
      <c r="AK120" s="11">
        <v>272.85173078530045</v>
      </c>
      <c r="AL120" s="11">
        <v>272.85173078530045</v>
      </c>
      <c r="AM120" s="11">
        <v>272.85173078530045</v>
      </c>
      <c r="AN120" s="11">
        <v>272.85173078530045</v>
      </c>
      <c r="AO120" s="39">
        <f t="shared" si="42"/>
        <v>272.85173078530045</v>
      </c>
      <c r="AP120" s="39">
        <f t="shared" si="42"/>
        <v>272.85173078530045</v>
      </c>
      <c r="AQ120" s="39">
        <f t="shared" si="42"/>
        <v>272.85173078530045</v>
      </c>
      <c r="AR120" s="39">
        <f t="shared" si="42"/>
        <v>272.85173078530045</v>
      </c>
      <c r="AS120" s="39">
        <f t="shared" si="42"/>
        <v>272.85173078530045</v>
      </c>
      <c r="AT120" s="39">
        <f t="shared" si="42"/>
        <v>272.85173078530045</v>
      </c>
      <c r="AU120" s="39">
        <f t="shared" si="42"/>
        <v>272.85173078530045</v>
      </c>
      <c r="AV120" s="39">
        <f t="shared" si="42"/>
        <v>272.85173078530045</v>
      </c>
      <c r="AW120" s="39">
        <f t="shared" si="42"/>
        <v>272.85173078530045</v>
      </c>
      <c r="AX120" s="39">
        <f t="shared" si="42"/>
        <v>272.85173078530045</v>
      </c>
    </row>
    <row r="121" spans="1:50" x14ac:dyDescent="0.2">
      <c r="AM121" s="13" t="s">
        <v>187</v>
      </c>
      <c r="AN121" s="13">
        <f>(AN117-AM117)/AM117</f>
        <v>0</v>
      </c>
    </row>
    <row r="122" spans="1:50" x14ac:dyDescent="0.2">
      <c r="A122" s="5" t="s">
        <v>52</v>
      </c>
      <c r="AM122" s="13" t="s">
        <v>187</v>
      </c>
      <c r="AN122" s="13">
        <f t="shared" ref="AN122:AN124" si="43">(AN118-AM118)/AM118</f>
        <v>0</v>
      </c>
    </row>
    <row r="123" spans="1:50" x14ac:dyDescent="0.2">
      <c r="A123" s="5" t="s">
        <v>4</v>
      </c>
      <c r="AM123" s="13" t="s">
        <v>187</v>
      </c>
      <c r="AN123" s="13">
        <f t="shared" si="43"/>
        <v>0</v>
      </c>
    </row>
    <row r="124" spans="1:50" x14ac:dyDescent="0.2">
      <c r="A124" s="5" t="s">
        <v>65</v>
      </c>
      <c r="AM124" s="13" t="s">
        <v>187</v>
      </c>
      <c r="AN124" s="13">
        <f t="shared" si="43"/>
        <v>0</v>
      </c>
    </row>
    <row r="125" spans="1:50" x14ac:dyDescent="0.2">
      <c r="A125" s="5" t="s">
        <v>6</v>
      </c>
    </row>
    <row r="126" spans="1:50" x14ac:dyDescent="0.2">
      <c r="A126" t="s">
        <v>155</v>
      </c>
      <c r="B126">
        <v>1000</v>
      </c>
    </row>
    <row r="127" spans="1:50" x14ac:dyDescent="0.2">
      <c r="A127" s="6" t="s">
        <v>7</v>
      </c>
      <c r="B127" s="6">
        <v>2022</v>
      </c>
      <c r="C127" s="6">
        <v>2023</v>
      </c>
      <c r="D127" s="6">
        <v>2024</v>
      </c>
      <c r="E127" s="6">
        <v>2025</v>
      </c>
      <c r="F127" s="6">
        <v>2026</v>
      </c>
      <c r="G127" s="6">
        <v>2027</v>
      </c>
      <c r="H127" s="6">
        <v>2028</v>
      </c>
      <c r="I127" s="6">
        <v>2029</v>
      </c>
      <c r="J127" s="6">
        <v>2030</v>
      </c>
      <c r="K127" s="6">
        <v>2031</v>
      </c>
      <c r="L127" s="6">
        <v>2032</v>
      </c>
      <c r="M127" s="6">
        <v>2033</v>
      </c>
      <c r="N127" s="6">
        <v>2034</v>
      </c>
      <c r="O127" s="6">
        <v>2035</v>
      </c>
      <c r="P127" s="6">
        <v>2036</v>
      </c>
      <c r="Q127" s="6">
        <v>2037</v>
      </c>
      <c r="R127" s="6">
        <v>2038</v>
      </c>
      <c r="S127" s="6">
        <v>2039</v>
      </c>
      <c r="T127" s="6">
        <v>2040</v>
      </c>
      <c r="U127" s="6">
        <v>2041</v>
      </c>
      <c r="V127" s="6">
        <v>2042</v>
      </c>
      <c r="W127" s="6">
        <v>2043</v>
      </c>
      <c r="X127" s="6">
        <v>2044</v>
      </c>
      <c r="Y127" s="6">
        <v>2045</v>
      </c>
      <c r="Z127" s="6">
        <v>2046</v>
      </c>
      <c r="AA127" s="6">
        <v>2047</v>
      </c>
      <c r="AB127" s="6">
        <v>2048</v>
      </c>
      <c r="AC127" s="6">
        <v>2049</v>
      </c>
      <c r="AD127" s="6">
        <v>2050</v>
      </c>
      <c r="AE127" s="6">
        <v>2051</v>
      </c>
      <c r="AF127" s="6">
        <v>2052</v>
      </c>
      <c r="AG127" s="6">
        <v>2053</v>
      </c>
      <c r="AH127" s="6">
        <v>2054</v>
      </c>
      <c r="AI127" s="6">
        <v>2055</v>
      </c>
      <c r="AJ127" s="6">
        <v>2056</v>
      </c>
      <c r="AK127" s="6">
        <v>2057</v>
      </c>
      <c r="AL127" s="6">
        <v>2058</v>
      </c>
      <c r="AM127" s="6">
        <v>2059</v>
      </c>
      <c r="AN127" s="6">
        <v>2060</v>
      </c>
      <c r="AO127" s="39">
        <f>AN127+1</f>
        <v>2061</v>
      </c>
      <c r="AP127" s="39">
        <f t="shared" ref="AP127:AX127" si="44">AO127+1</f>
        <v>2062</v>
      </c>
      <c r="AQ127" s="39">
        <f t="shared" si="44"/>
        <v>2063</v>
      </c>
      <c r="AR127" s="39">
        <f t="shared" si="44"/>
        <v>2064</v>
      </c>
      <c r="AS127" s="39">
        <f t="shared" si="44"/>
        <v>2065</v>
      </c>
      <c r="AT127" s="39">
        <f t="shared" si="44"/>
        <v>2066</v>
      </c>
      <c r="AU127" s="39">
        <f t="shared" si="44"/>
        <v>2067</v>
      </c>
      <c r="AV127" s="39">
        <f t="shared" si="44"/>
        <v>2068</v>
      </c>
      <c r="AW127" s="39">
        <f>AV127+1</f>
        <v>2069</v>
      </c>
      <c r="AX127" s="39">
        <f t="shared" si="44"/>
        <v>2070</v>
      </c>
    </row>
    <row r="128" spans="1:50" x14ac:dyDescent="0.2">
      <c r="A128" s="6" t="s">
        <v>34</v>
      </c>
      <c r="B128" s="11">
        <v>2804.9557836527997</v>
      </c>
      <c r="C128" s="11">
        <v>2804.9557836527997</v>
      </c>
      <c r="D128" s="11">
        <v>2804.9557836527997</v>
      </c>
      <c r="E128" s="11">
        <v>2804.9557836527997</v>
      </c>
      <c r="F128" s="11">
        <v>2804.9557836527997</v>
      </c>
      <c r="G128" s="11">
        <v>2804.9557836527997</v>
      </c>
      <c r="H128" s="11">
        <v>2804.9557836527997</v>
      </c>
      <c r="I128" s="11">
        <v>2804.9557836527997</v>
      </c>
      <c r="J128" s="11">
        <v>2804.9557836527997</v>
      </c>
      <c r="K128" s="11">
        <v>2804.9557836527997</v>
      </c>
      <c r="L128" s="11">
        <v>2804.9557836527997</v>
      </c>
      <c r="M128" s="11">
        <v>2804.9557836527997</v>
      </c>
      <c r="N128" s="11">
        <v>2804.9557836527997</v>
      </c>
      <c r="O128" s="11">
        <v>2804.9557836527997</v>
      </c>
      <c r="P128" s="11">
        <v>2804.9557836527997</v>
      </c>
      <c r="Q128" s="11">
        <v>2804.9557836527997</v>
      </c>
      <c r="R128" s="11">
        <v>2804.9557836527997</v>
      </c>
      <c r="S128" s="11">
        <v>2804.9557836527997</v>
      </c>
      <c r="T128" s="11">
        <v>2804.9557836527997</v>
      </c>
      <c r="U128" s="11">
        <v>2804.9557836527997</v>
      </c>
      <c r="V128" s="11">
        <v>2804.9557836527997</v>
      </c>
      <c r="W128" s="11">
        <v>2804.9557836527997</v>
      </c>
      <c r="X128" s="11">
        <v>2804.9557836527997</v>
      </c>
      <c r="Y128" s="11">
        <v>2804.9557836527997</v>
      </c>
      <c r="Z128" s="11">
        <v>2804.9557836527997</v>
      </c>
      <c r="AA128" s="11">
        <v>2804.9557836527997</v>
      </c>
      <c r="AB128" s="11">
        <v>2804.9557836527997</v>
      </c>
      <c r="AC128" s="11">
        <v>2804.9557836527997</v>
      </c>
      <c r="AD128" s="11">
        <v>2804.9557836527997</v>
      </c>
      <c r="AE128" s="11">
        <v>2804.9557836527997</v>
      </c>
      <c r="AF128" s="11">
        <v>2804.9557836527997</v>
      </c>
      <c r="AG128" s="11">
        <v>2804.9557836527997</v>
      </c>
      <c r="AH128" s="11">
        <v>2804.9557836527997</v>
      </c>
      <c r="AI128" s="11">
        <v>2804.9557836527997</v>
      </c>
      <c r="AJ128" s="11">
        <v>2804.9557836527997</v>
      </c>
      <c r="AK128" s="11">
        <v>2804.9557836527997</v>
      </c>
      <c r="AL128" s="11">
        <v>2804.9557836527997</v>
      </c>
      <c r="AM128" s="11">
        <v>2804.9557836527997</v>
      </c>
      <c r="AN128" s="11">
        <v>2804.9557836527997</v>
      </c>
      <c r="AO128" s="39">
        <f>(AN128+AN128*$AN$132)</f>
        <v>2804.9557836527997</v>
      </c>
      <c r="AP128" s="39">
        <f t="shared" ref="AP128:AX128" si="45">(AO128+AO128*$AN$132)</f>
        <v>2804.9557836527997</v>
      </c>
      <c r="AQ128" s="39">
        <f t="shared" si="45"/>
        <v>2804.9557836527997</v>
      </c>
      <c r="AR128" s="39">
        <f t="shared" si="45"/>
        <v>2804.9557836527997</v>
      </c>
      <c r="AS128" s="39">
        <f t="shared" si="45"/>
        <v>2804.9557836527997</v>
      </c>
      <c r="AT128" s="39">
        <f t="shared" si="45"/>
        <v>2804.9557836527997</v>
      </c>
      <c r="AU128" s="39">
        <f t="shared" si="45"/>
        <v>2804.9557836527997</v>
      </c>
      <c r="AV128" s="39">
        <f t="shared" si="45"/>
        <v>2804.9557836527997</v>
      </c>
      <c r="AW128" s="39">
        <f t="shared" si="45"/>
        <v>2804.9557836527997</v>
      </c>
      <c r="AX128" s="39">
        <f t="shared" si="45"/>
        <v>2804.9557836527997</v>
      </c>
    </row>
    <row r="129" spans="1:50" x14ac:dyDescent="0.2">
      <c r="A129" s="6" t="s">
        <v>35</v>
      </c>
      <c r="B129" s="11">
        <v>1195.1162957376</v>
      </c>
      <c r="C129" s="11">
        <v>1195.1162957376</v>
      </c>
      <c r="D129" s="11">
        <v>1195.1162957376</v>
      </c>
      <c r="E129" s="11">
        <v>1195.1162957376</v>
      </c>
      <c r="F129" s="11">
        <v>1195.1162957376</v>
      </c>
      <c r="G129" s="11">
        <v>1195.1162957376</v>
      </c>
      <c r="H129" s="11">
        <v>1195.1162957376</v>
      </c>
      <c r="I129" s="11">
        <v>1195.1162957376</v>
      </c>
      <c r="J129" s="11">
        <v>1195.1162957376</v>
      </c>
      <c r="K129" s="11">
        <v>1195.1162957376</v>
      </c>
      <c r="L129" s="11">
        <v>1195.1162957376</v>
      </c>
      <c r="M129" s="11">
        <v>1195.1162957376</v>
      </c>
      <c r="N129" s="11">
        <v>1195.1162957376</v>
      </c>
      <c r="O129" s="11">
        <v>1195.1162957376</v>
      </c>
      <c r="P129" s="11">
        <v>1195.1162957376</v>
      </c>
      <c r="Q129" s="11">
        <v>1195.1162957376</v>
      </c>
      <c r="R129" s="11">
        <v>1195.1162957376</v>
      </c>
      <c r="S129" s="11">
        <v>1195.1162957376</v>
      </c>
      <c r="T129" s="11">
        <v>1195.1162957376</v>
      </c>
      <c r="U129" s="11">
        <v>1195.1162957376</v>
      </c>
      <c r="V129" s="11">
        <v>1195.1162957376</v>
      </c>
      <c r="W129" s="11">
        <v>1195.1162957376</v>
      </c>
      <c r="X129" s="11">
        <v>1195.1162957376</v>
      </c>
      <c r="Y129" s="11">
        <v>1195.1162957376</v>
      </c>
      <c r="Z129" s="11">
        <v>1195.1162957376</v>
      </c>
      <c r="AA129" s="11">
        <v>1195.1162957376</v>
      </c>
      <c r="AB129" s="11">
        <v>1195.1162957376</v>
      </c>
      <c r="AC129" s="11">
        <v>1195.1162957376</v>
      </c>
      <c r="AD129" s="11">
        <v>1195.1162957376</v>
      </c>
      <c r="AE129" s="11">
        <v>1195.1162957376</v>
      </c>
      <c r="AF129" s="11">
        <v>1195.1162957376</v>
      </c>
      <c r="AG129" s="11">
        <v>1195.1162957376</v>
      </c>
      <c r="AH129" s="11">
        <v>1195.1162957376</v>
      </c>
      <c r="AI129" s="11">
        <v>1195.1162957376</v>
      </c>
      <c r="AJ129" s="11">
        <v>1195.1162957376</v>
      </c>
      <c r="AK129" s="11">
        <v>1195.1162957376</v>
      </c>
      <c r="AL129" s="11">
        <v>1195.1162957376</v>
      </c>
      <c r="AM129" s="11">
        <v>1195.1162957376</v>
      </c>
      <c r="AN129" s="11">
        <v>1195.1162957376</v>
      </c>
      <c r="AO129" s="39">
        <f t="shared" ref="AO129:AX131" si="46">(AN129+AN129*$AN$132)</f>
        <v>1195.1162957376</v>
      </c>
      <c r="AP129" s="39">
        <f t="shared" si="46"/>
        <v>1195.1162957376</v>
      </c>
      <c r="AQ129" s="39">
        <f t="shared" si="46"/>
        <v>1195.1162957376</v>
      </c>
      <c r="AR129" s="39">
        <f t="shared" si="46"/>
        <v>1195.1162957376</v>
      </c>
      <c r="AS129" s="39">
        <f t="shared" si="46"/>
        <v>1195.1162957376</v>
      </c>
      <c r="AT129" s="39">
        <f t="shared" si="46"/>
        <v>1195.1162957376</v>
      </c>
      <c r="AU129" s="39">
        <f t="shared" si="46"/>
        <v>1195.1162957376</v>
      </c>
      <c r="AV129" s="39">
        <f t="shared" si="46"/>
        <v>1195.1162957376</v>
      </c>
      <c r="AW129" s="39">
        <f t="shared" si="46"/>
        <v>1195.1162957376</v>
      </c>
      <c r="AX129" s="39">
        <f t="shared" si="46"/>
        <v>1195.1162957376</v>
      </c>
    </row>
    <row r="130" spans="1:50" x14ac:dyDescent="0.2">
      <c r="A130" s="6" t="s">
        <v>36</v>
      </c>
      <c r="B130" s="11">
        <v>276.4821281184</v>
      </c>
      <c r="C130" s="11">
        <v>276.4821281184</v>
      </c>
      <c r="D130" s="11">
        <v>276.4821281184</v>
      </c>
      <c r="E130" s="11">
        <v>276.4821281184</v>
      </c>
      <c r="F130" s="11">
        <v>276.4821281184</v>
      </c>
      <c r="G130" s="11">
        <v>276.4821281184</v>
      </c>
      <c r="H130" s="11">
        <v>276.4821281184</v>
      </c>
      <c r="I130" s="11">
        <v>276.4821281184</v>
      </c>
      <c r="J130" s="11">
        <v>276.4821281184</v>
      </c>
      <c r="K130" s="11">
        <v>276.4821281184</v>
      </c>
      <c r="L130" s="11">
        <v>276.4821281184</v>
      </c>
      <c r="M130" s="11">
        <v>276.4821281184</v>
      </c>
      <c r="N130" s="11">
        <v>276.4821281184</v>
      </c>
      <c r="O130" s="11">
        <v>276.4821281184</v>
      </c>
      <c r="P130" s="11">
        <v>276.4821281184</v>
      </c>
      <c r="Q130" s="11">
        <v>276.4821281184</v>
      </c>
      <c r="R130" s="11">
        <v>276.4821281184</v>
      </c>
      <c r="S130" s="11">
        <v>276.4821281184</v>
      </c>
      <c r="T130" s="11">
        <v>276.4821281184</v>
      </c>
      <c r="U130" s="11">
        <v>276.4821281184</v>
      </c>
      <c r="V130" s="11">
        <v>276.4821281184</v>
      </c>
      <c r="W130" s="11">
        <v>276.4821281184</v>
      </c>
      <c r="X130" s="11">
        <v>276.4821281184</v>
      </c>
      <c r="Y130" s="11">
        <v>276.4821281184</v>
      </c>
      <c r="Z130" s="11">
        <v>276.4821281184</v>
      </c>
      <c r="AA130" s="11">
        <v>276.4821281184</v>
      </c>
      <c r="AB130" s="11">
        <v>276.4821281184</v>
      </c>
      <c r="AC130" s="11">
        <v>276.4821281184</v>
      </c>
      <c r="AD130" s="11">
        <v>276.4821281184</v>
      </c>
      <c r="AE130" s="11">
        <v>276.4821281184</v>
      </c>
      <c r="AF130" s="11">
        <v>276.4821281184</v>
      </c>
      <c r="AG130" s="11">
        <v>276.4821281184</v>
      </c>
      <c r="AH130" s="11">
        <v>276.4821281184</v>
      </c>
      <c r="AI130" s="11">
        <v>276.4821281184</v>
      </c>
      <c r="AJ130" s="11">
        <v>276.4821281184</v>
      </c>
      <c r="AK130" s="11">
        <v>276.4821281184</v>
      </c>
      <c r="AL130" s="11">
        <v>276.4821281184</v>
      </c>
      <c r="AM130" s="11">
        <v>276.4821281184</v>
      </c>
      <c r="AN130" s="11">
        <v>276.4821281184</v>
      </c>
      <c r="AO130" s="39">
        <f t="shared" si="46"/>
        <v>276.4821281184</v>
      </c>
      <c r="AP130" s="39">
        <f t="shared" si="46"/>
        <v>276.4821281184</v>
      </c>
      <c r="AQ130" s="39">
        <f t="shared" si="46"/>
        <v>276.4821281184</v>
      </c>
      <c r="AR130" s="39">
        <f t="shared" si="46"/>
        <v>276.4821281184</v>
      </c>
      <c r="AS130" s="39">
        <f t="shared" si="46"/>
        <v>276.4821281184</v>
      </c>
      <c r="AT130" s="39">
        <f t="shared" si="46"/>
        <v>276.4821281184</v>
      </c>
      <c r="AU130" s="39">
        <f t="shared" si="46"/>
        <v>276.4821281184</v>
      </c>
      <c r="AV130" s="39">
        <f t="shared" si="46"/>
        <v>276.4821281184</v>
      </c>
      <c r="AW130" s="39">
        <f t="shared" si="46"/>
        <v>276.4821281184</v>
      </c>
      <c r="AX130" s="39">
        <f t="shared" si="46"/>
        <v>276.4821281184</v>
      </c>
    </row>
    <row r="131" spans="1:50" x14ac:dyDescent="0.2">
      <c r="A131" s="6" t="s">
        <v>37</v>
      </c>
      <c r="B131" s="11">
        <v>182.83495569119998</v>
      </c>
      <c r="C131" s="11">
        <v>182.83495569119998</v>
      </c>
      <c r="D131" s="11">
        <v>182.83495569119998</v>
      </c>
      <c r="E131" s="11">
        <v>182.83495569119998</v>
      </c>
      <c r="F131" s="11">
        <v>182.83495569119998</v>
      </c>
      <c r="G131" s="11">
        <v>182.83495569119998</v>
      </c>
      <c r="H131" s="11">
        <v>182.83495569119998</v>
      </c>
      <c r="I131" s="11">
        <v>182.83495569119998</v>
      </c>
      <c r="J131" s="11">
        <v>182.83495569119998</v>
      </c>
      <c r="K131" s="11">
        <v>182.83495569119998</v>
      </c>
      <c r="L131" s="11">
        <v>182.83495569119998</v>
      </c>
      <c r="M131" s="11">
        <v>182.83495569119998</v>
      </c>
      <c r="N131" s="11">
        <v>182.83495569119998</v>
      </c>
      <c r="O131" s="11">
        <v>182.83495569119998</v>
      </c>
      <c r="P131" s="11">
        <v>182.83495569119998</v>
      </c>
      <c r="Q131" s="11">
        <v>182.83495569119998</v>
      </c>
      <c r="R131" s="11">
        <v>182.83495569119998</v>
      </c>
      <c r="S131" s="11">
        <v>182.83495569119998</v>
      </c>
      <c r="T131" s="11">
        <v>182.83495569119998</v>
      </c>
      <c r="U131" s="11">
        <v>182.83495569119998</v>
      </c>
      <c r="V131" s="11">
        <v>182.83495569119998</v>
      </c>
      <c r="W131" s="11">
        <v>182.83495569119998</v>
      </c>
      <c r="X131" s="11">
        <v>182.83495569119998</v>
      </c>
      <c r="Y131" s="11">
        <v>182.83495569119998</v>
      </c>
      <c r="Z131" s="11">
        <v>182.83495569119998</v>
      </c>
      <c r="AA131" s="11">
        <v>182.83495569119998</v>
      </c>
      <c r="AB131" s="11">
        <v>182.83495569119998</v>
      </c>
      <c r="AC131" s="11">
        <v>182.83495569119998</v>
      </c>
      <c r="AD131" s="11">
        <v>182.83495569119998</v>
      </c>
      <c r="AE131" s="11">
        <v>182.83495569119998</v>
      </c>
      <c r="AF131" s="11">
        <v>182.83495569119998</v>
      </c>
      <c r="AG131" s="11">
        <v>182.83495569119998</v>
      </c>
      <c r="AH131" s="11">
        <v>182.83495569119998</v>
      </c>
      <c r="AI131" s="11">
        <v>182.83495569119998</v>
      </c>
      <c r="AJ131" s="11">
        <v>182.83495569119998</v>
      </c>
      <c r="AK131" s="11">
        <v>182.83495569119998</v>
      </c>
      <c r="AL131" s="11">
        <v>182.83495569119998</v>
      </c>
      <c r="AM131" s="11">
        <v>182.83495569119998</v>
      </c>
      <c r="AN131" s="11">
        <v>182.83495569119998</v>
      </c>
      <c r="AO131" s="39">
        <f t="shared" si="46"/>
        <v>182.83495569119998</v>
      </c>
      <c r="AP131" s="39">
        <f t="shared" si="46"/>
        <v>182.83495569119998</v>
      </c>
      <c r="AQ131" s="39">
        <f t="shared" si="46"/>
        <v>182.83495569119998</v>
      </c>
      <c r="AR131" s="39">
        <f t="shared" si="46"/>
        <v>182.83495569119998</v>
      </c>
      <c r="AS131" s="39">
        <f t="shared" si="46"/>
        <v>182.83495569119998</v>
      </c>
      <c r="AT131" s="39">
        <f t="shared" si="46"/>
        <v>182.83495569119998</v>
      </c>
      <c r="AU131" s="39">
        <f t="shared" si="46"/>
        <v>182.83495569119998</v>
      </c>
      <c r="AV131" s="39">
        <f t="shared" si="46"/>
        <v>182.83495569119998</v>
      </c>
      <c r="AW131" s="39">
        <f t="shared" si="46"/>
        <v>182.83495569119998</v>
      </c>
      <c r="AX131" s="39">
        <f t="shared" si="46"/>
        <v>182.83495569119998</v>
      </c>
    </row>
    <row r="132" spans="1:50" x14ac:dyDescent="0.2">
      <c r="AM132" s="13" t="s">
        <v>187</v>
      </c>
      <c r="AN132" s="13">
        <f>(AN128-AM128)/AM128</f>
        <v>0</v>
      </c>
    </row>
    <row r="133" spans="1:50" x14ac:dyDescent="0.2">
      <c r="A133" s="5" t="s">
        <v>32</v>
      </c>
      <c r="AM133" s="13" t="s">
        <v>187</v>
      </c>
      <c r="AN133" s="13">
        <f t="shared" ref="AN133:AN135" si="47">(AN129-AM129)/AM129</f>
        <v>0</v>
      </c>
    </row>
    <row r="134" spans="1:50" x14ac:dyDescent="0.2">
      <c r="A134" s="5" t="s">
        <v>4</v>
      </c>
      <c r="AM134" s="13" t="s">
        <v>187</v>
      </c>
      <c r="AN134" s="13">
        <f t="shared" si="47"/>
        <v>0</v>
      </c>
    </row>
    <row r="135" spans="1:50" x14ac:dyDescent="0.2">
      <c r="A135" s="5" t="s">
        <v>68</v>
      </c>
      <c r="AM135" s="13" t="s">
        <v>187</v>
      </c>
      <c r="AN135" s="13">
        <f t="shared" si="47"/>
        <v>0</v>
      </c>
    </row>
    <row r="136" spans="1:50" x14ac:dyDescent="0.2">
      <c r="A136" s="5" t="s">
        <v>6</v>
      </c>
    </row>
    <row r="137" spans="1:50" x14ac:dyDescent="0.2">
      <c r="A137" t="s">
        <v>156</v>
      </c>
      <c r="B137" s="9">
        <v>1000000</v>
      </c>
    </row>
    <row r="138" spans="1:50" x14ac:dyDescent="0.2">
      <c r="A138" s="6" t="s">
        <v>7</v>
      </c>
      <c r="B138" s="6">
        <v>2022</v>
      </c>
      <c r="C138" s="6">
        <v>2023</v>
      </c>
      <c r="D138" s="6">
        <v>2024</v>
      </c>
      <c r="E138" s="6">
        <v>2025</v>
      </c>
      <c r="F138" s="6">
        <v>2026</v>
      </c>
      <c r="G138" s="6">
        <v>2027</v>
      </c>
      <c r="H138" s="6">
        <v>2028</v>
      </c>
      <c r="I138" s="6">
        <v>2029</v>
      </c>
      <c r="J138" s="6">
        <v>2030</v>
      </c>
      <c r="K138" s="6">
        <v>2031</v>
      </c>
      <c r="L138" s="6">
        <v>2032</v>
      </c>
      <c r="M138" s="6">
        <v>2033</v>
      </c>
      <c r="N138" s="6">
        <v>2034</v>
      </c>
      <c r="O138" s="6">
        <v>2035</v>
      </c>
      <c r="P138" s="6">
        <v>2036</v>
      </c>
      <c r="Q138" s="6">
        <v>2037</v>
      </c>
      <c r="R138" s="6">
        <v>2038</v>
      </c>
      <c r="S138" s="6">
        <v>2039</v>
      </c>
      <c r="T138" s="6">
        <v>2040</v>
      </c>
      <c r="U138" s="6">
        <v>2041</v>
      </c>
      <c r="V138" s="6">
        <v>2042</v>
      </c>
      <c r="W138" s="6">
        <v>2043</v>
      </c>
      <c r="X138" s="6">
        <v>2044</v>
      </c>
      <c r="Y138" s="6">
        <v>2045</v>
      </c>
      <c r="Z138" s="6">
        <v>2046</v>
      </c>
      <c r="AA138" s="6">
        <v>2047</v>
      </c>
      <c r="AB138" s="6">
        <v>2048</v>
      </c>
      <c r="AC138" s="6">
        <v>2049</v>
      </c>
      <c r="AD138" s="6">
        <v>2050</v>
      </c>
      <c r="AE138" s="6">
        <v>2051</v>
      </c>
      <c r="AF138" s="6">
        <v>2052</v>
      </c>
      <c r="AG138" s="6">
        <v>2053</v>
      </c>
      <c r="AH138" s="6">
        <v>2054</v>
      </c>
      <c r="AI138" s="6">
        <v>2055</v>
      </c>
      <c r="AJ138" s="6">
        <v>2056</v>
      </c>
      <c r="AK138" s="6">
        <v>2057</v>
      </c>
      <c r="AL138" s="6">
        <v>2058</v>
      </c>
      <c r="AM138" s="6">
        <v>2059</v>
      </c>
      <c r="AN138" s="6">
        <v>2060</v>
      </c>
      <c r="AO138" s="39">
        <f>AN138+1</f>
        <v>2061</v>
      </c>
      <c r="AP138" s="39">
        <f t="shared" ref="AP138:AX138" si="48">AO138+1</f>
        <v>2062</v>
      </c>
      <c r="AQ138" s="39">
        <f t="shared" si="48"/>
        <v>2063</v>
      </c>
      <c r="AR138" s="39">
        <f t="shared" si="48"/>
        <v>2064</v>
      </c>
      <c r="AS138" s="39">
        <f t="shared" si="48"/>
        <v>2065</v>
      </c>
      <c r="AT138" s="39">
        <f t="shared" si="48"/>
        <v>2066</v>
      </c>
      <c r="AU138" s="39">
        <f t="shared" si="48"/>
        <v>2067</v>
      </c>
      <c r="AV138" s="39">
        <f t="shared" si="48"/>
        <v>2068</v>
      </c>
      <c r="AW138" s="39">
        <f>AV138+1</f>
        <v>2069</v>
      </c>
      <c r="AX138" s="39">
        <f t="shared" si="48"/>
        <v>2070</v>
      </c>
    </row>
    <row r="139" spans="1:50" x14ac:dyDescent="0.2">
      <c r="A139" s="6" t="s">
        <v>34</v>
      </c>
      <c r="B139" s="11">
        <v>4.1687490780000003</v>
      </c>
      <c r="C139" s="11">
        <v>4.3771865319000005</v>
      </c>
      <c r="D139" s="11">
        <v>4.5960458584949997</v>
      </c>
      <c r="E139" s="11">
        <v>4.8258481514197511</v>
      </c>
      <c r="F139" s="11">
        <v>5.0671405589907392</v>
      </c>
      <c r="G139" s="11">
        <v>5.3204975869402764</v>
      </c>
      <c r="H139" s="11">
        <v>5.5865224662872901</v>
      </c>
      <c r="I139" s="11">
        <v>5.8658485896016543</v>
      </c>
      <c r="J139" s="11">
        <v>6.1591410190817379</v>
      </c>
      <c r="K139" s="11">
        <v>6.4670980700358243</v>
      </c>
      <c r="L139" s="11">
        <v>6.7904529735376142</v>
      </c>
      <c r="M139" s="11">
        <v>7.1299756222144968</v>
      </c>
      <c r="N139" s="11">
        <v>7.4864744033252224</v>
      </c>
      <c r="O139" s="11">
        <v>7.8607981234914845</v>
      </c>
      <c r="P139" s="11">
        <v>8.2538380296660581</v>
      </c>
      <c r="Q139" s="11">
        <v>8.6665299311493609</v>
      </c>
      <c r="R139" s="11">
        <v>9.0998564277068308</v>
      </c>
      <c r="S139" s="11">
        <v>9.5548492490921699</v>
      </c>
      <c r="T139" s="11">
        <v>10.032591711546779</v>
      </c>
      <c r="U139" s="11">
        <v>10.53422129712412</v>
      </c>
      <c r="V139" s="11">
        <v>11.060932361980326</v>
      </c>
      <c r="W139" s="11">
        <v>11.613978980079343</v>
      </c>
      <c r="X139" s="11">
        <v>12.19467792908331</v>
      </c>
      <c r="Y139" s="11">
        <v>12.804411825537477</v>
      </c>
      <c r="Z139" s="11">
        <v>13.444632416814349</v>
      </c>
      <c r="AA139" s="11">
        <v>14.116864037655066</v>
      </c>
      <c r="AB139" s="11">
        <v>14.822707239537824</v>
      </c>
      <c r="AC139" s="11">
        <v>15.563842601514715</v>
      </c>
      <c r="AD139" s="11">
        <v>16.342034731590445</v>
      </c>
      <c r="AE139" s="11">
        <v>17.159136468169972</v>
      </c>
      <c r="AF139" s="11">
        <v>18.017093291578473</v>
      </c>
      <c r="AG139" s="11">
        <v>18.917947956157398</v>
      </c>
      <c r="AH139" s="11">
        <v>19.863845353965264</v>
      </c>
      <c r="AI139" s="11">
        <v>20.85703762166353</v>
      </c>
      <c r="AJ139" s="11">
        <v>21.89988950274671</v>
      </c>
      <c r="AK139" s="11">
        <v>22.994883977884047</v>
      </c>
      <c r="AL139" s="11">
        <v>24.144628176778244</v>
      </c>
      <c r="AM139" s="11">
        <v>25.351859585617166</v>
      </c>
      <c r="AN139" s="11">
        <v>26.619452564898026</v>
      </c>
      <c r="AO139" s="39">
        <f>(AN139+AN139*$AN$143)</f>
        <v>27.95042519314293</v>
      </c>
      <c r="AP139" s="39">
        <f t="shared" ref="AP139:AX139" si="49">(AO139+AO139*$AN$143)</f>
        <v>29.347946452800077</v>
      </c>
      <c r="AQ139" s="39">
        <f t="shared" si="49"/>
        <v>30.815343775440084</v>
      </c>
      <c r="AR139" s="39">
        <f t="shared" si="49"/>
        <v>32.356110964212093</v>
      </c>
      <c r="AS139" s="39">
        <f t="shared" si="49"/>
        <v>33.973916512422697</v>
      </c>
      <c r="AT139" s="39">
        <f t="shared" si="49"/>
        <v>35.672612338043834</v>
      </c>
      <c r="AU139" s="39">
        <f t="shared" si="49"/>
        <v>37.456242954946028</v>
      </c>
      <c r="AV139" s="39">
        <f t="shared" si="49"/>
        <v>39.329055102693331</v>
      </c>
      <c r="AW139" s="39">
        <f t="shared" si="49"/>
        <v>41.295507857827999</v>
      </c>
      <c r="AX139" s="39">
        <f t="shared" si="49"/>
        <v>43.360283250719405</v>
      </c>
    </row>
    <row r="140" spans="1:50" x14ac:dyDescent="0.2">
      <c r="A140" s="6" t="s">
        <v>35</v>
      </c>
      <c r="B140" s="11">
        <v>1.7761919760000004</v>
      </c>
      <c r="C140" s="11">
        <v>1.8650015748000004</v>
      </c>
      <c r="D140" s="11">
        <v>1.9582516535400003</v>
      </c>
      <c r="E140" s="11">
        <v>2.0561642362170005</v>
      </c>
      <c r="F140" s="11">
        <v>2.1589724480278512</v>
      </c>
      <c r="G140" s="11">
        <v>2.2669210704292437</v>
      </c>
      <c r="H140" s="11">
        <v>2.3802671239507056</v>
      </c>
      <c r="I140" s="11">
        <v>2.4992804801482413</v>
      </c>
      <c r="J140" s="11">
        <v>2.6242445041556537</v>
      </c>
      <c r="K140" s="11">
        <v>2.7554567293634364</v>
      </c>
      <c r="L140" s="11">
        <v>2.8932295658316072</v>
      </c>
      <c r="M140" s="11">
        <v>3.0378910441231883</v>
      </c>
      <c r="N140" s="11">
        <v>3.1897855963293482</v>
      </c>
      <c r="O140" s="11">
        <v>3.3492748761458153</v>
      </c>
      <c r="P140" s="11">
        <v>3.5167386199531068</v>
      </c>
      <c r="Q140" s="11">
        <v>3.6925755509507621</v>
      </c>
      <c r="R140" s="11">
        <v>3.8772043284983004</v>
      </c>
      <c r="S140" s="11">
        <v>4.0710645449232139</v>
      </c>
      <c r="T140" s="11">
        <v>4.2746177721693748</v>
      </c>
      <c r="U140" s="11">
        <v>4.4883486607778451</v>
      </c>
      <c r="V140" s="11">
        <v>4.7127660938167377</v>
      </c>
      <c r="W140" s="11">
        <v>4.9484043985075745</v>
      </c>
      <c r="X140" s="11">
        <v>5.1958246184329528</v>
      </c>
      <c r="Y140" s="11">
        <v>5.4556158493546008</v>
      </c>
      <c r="Z140" s="11">
        <v>5.7283966418223304</v>
      </c>
      <c r="AA140" s="11">
        <v>6.0148164739134469</v>
      </c>
      <c r="AB140" s="11">
        <v>6.3155572976091205</v>
      </c>
      <c r="AC140" s="11">
        <v>6.6313351624895764</v>
      </c>
      <c r="AD140" s="11">
        <v>6.9629019206140548</v>
      </c>
      <c r="AE140" s="11">
        <v>7.3110470166447579</v>
      </c>
      <c r="AF140" s="11">
        <v>7.6765993674769959</v>
      </c>
      <c r="AG140" s="11">
        <v>8.0604293358508468</v>
      </c>
      <c r="AH140" s="11">
        <v>8.4634508026433881</v>
      </c>
      <c r="AI140" s="11">
        <v>8.8866233427755592</v>
      </c>
      <c r="AJ140" s="11">
        <v>9.3309545099143385</v>
      </c>
      <c r="AK140" s="11">
        <v>9.7975022354100556</v>
      </c>
      <c r="AL140" s="11">
        <v>10.287377347180559</v>
      </c>
      <c r="AM140" s="11">
        <v>10.801746214539587</v>
      </c>
      <c r="AN140" s="11">
        <v>11.341833525266569</v>
      </c>
      <c r="AO140" s="39">
        <f t="shared" ref="AO140:AX142" si="50">(AN140+AN140*$AN$143)</f>
        <v>11.908925201529899</v>
      </c>
      <c r="AP140" s="39">
        <f t="shared" si="50"/>
        <v>12.504371461606395</v>
      </c>
      <c r="AQ140" s="39">
        <f t="shared" si="50"/>
        <v>13.129590034686714</v>
      </c>
      <c r="AR140" s="39">
        <f t="shared" si="50"/>
        <v>13.786069536421051</v>
      </c>
      <c r="AS140" s="39">
        <f t="shared" si="50"/>
        <v>14.475373013242104</v>
      </c>
      <c r="AT140" s="39">
        <f t="shared" si="50"/>
        <v>15.199141663904209</v>
      </c>
      <c r="AU140" s="39">
        <f t="shared" si="50"/>
        <v>15.95909874709942</v>
      </c>
      <c r="AV140" s="39">
        <f t="shared" si="50"/>
        <v>16.757053684454391</v>
      </c>
      <c r="AW140" s="39">
        <f t="shared" si="50"/>
        <v>17.594906368677112</v>
      </c>
      <c r="AX140" s="39">
        <f t="shared" si="50"/>
        <v>18.474651687110967</v>
      </c>
    </row>
    <row r="141" spans="1:50" x14ac:dyDescent="0.2">
      <c r="A141" s="6" t="s">
        <v>36</v>
      </c>
      <c r="B141" s="11">
        <v>0.41091008400000001</v>
      </c>
      <c r="C141" s="11">
        <v>0.43145558820000007</v>
      </c>
      <c r="D141" s="11">
        <v>0.45302836761000004</v>
      </c>
      <c r="E141" s="11">
        <v>0.47567978599050015</v>
      </c>
      <c r="F141" s="11">
        <v>0.49946377529002511</v>
      </c>
      <c r="G141" s="11">
        <v>0.52443696405452644</v>
      </c>
      <c r="H141" s="11">
        <v>0.55065881225725277</v>
      </c>
      <c r="I141" s="11">
        <v>0.57819175287011548</v>
      </c>
      <c r="J141" s="11">
        <v>0.60710134051362119</v>
      </c>
      <c r="K141" s="11">
        <v>0.63745640753930222</v>
      </c>
      <c r="L141" s="11">
        <v>0.66932922791626737</v>
      </c>
      <c r="M141" s="11">
        <v>0.7027956893120807</v>
      </c>
      <c r="N141" s="11">
        <v>0.73793547377768498</v>
      </c>
      <c r="O141" s="11">
        <v>0.7748322474665692</v>
      </c>
      <c r="P141" s="11">
        <v>0.81357385983989761</v>
      </c>
      <c r="Q141" s="11">
        <v>0.8542525528318925</v>
      </c>
      <c r="R141" s="11">
        <v>0.89696518047348739</v>
      </c>
      <c r="S141" s="11">
        <v>0.94181343949716145</v>
      </c>
      <c r="T141" s="11">
        <v>0.98890411147201951</v>
      </c>
      <c r="U141" s="11">
        <v>1.0383493170456206</v>
      </c>
      <c r="V141" s="11">
        <v>1.090266782897902</v>
      </c>
      <c r="W141" s="11">
        <v>1.1447801220427971</v>
      </c>
      <c r="X141" s="11">
        <v>1.2020191281449368</v>
      </c>
      <c r="Y141" s="11">
        <v>1.2621200845521838</v>
      </c>
      <c r="Z141" s="11">
        <v>1.3252260887797929</v>
      </c>
      <c r="AA141" s="11">
        <v>1.3914873932187823</v>
      </c>
      <c r="AB141" s="11">
        <v>1.4610617628797218</v>
      </c>
      <c r="AC141" s="11">
        <v>1.5341148510237077</v>
      </c>
      <c r="AD141" s="11">
        <v>1.6108205935748929</v>
      </c>
      <c r="AE141" s="11">
        <v>1.6913616232536379</v>
      </c>
      <c r="AF141" s="11">
        <v>1.77592970441632</v>
      </c>
      <c r="AG141" s="11">
        <v>1.8647261896371361</v>
      </c>
      <c r="AH141" s="11">
        <v>1.957962499118993</v>
      </c>
      <c r="AI141" s="11">
        <v>2.0558606240749429</v>
      </c>
      <c r="AJ141" s="11">
        <v>2.1586536552786901</v>
      </c>
      <c r="AK141" s="11">
        <v>2.2665863380426243</v>
      </c>
      <c r="AL141" s="11">
        <v>2.3799156549447558</v>
      </c>
      <c r="AM141" s="11">
        <v>2.4989114376919939</v>
      </c>
      <c r="AN141" s="11">
        <v>2.6238570095765938</v>
      </c>
      <c r="AO141" s="39">
        <f t="shared" si="50"/>
        <v>2.7550498600554238</v>
      </c>
      <c r="AP141" s="39">
        <f t="shared" si="50"/>
        <v>2.8928023530581952</v>
      </c>
      <c r="AQ141" s="39">
        <f t="shared" si="50"/>
        <v>3.0374424707111052</v>
      </c>
      <c r="AR141" s="39">
        <f t="shared" si="50"/>
        <v>3.1893145942466608</v>
      </c>
      <c r="AS141" s="39">
        <f t="shared" si="50"/>
        <v>3.3487803239589939</v>
      </c>
      <c r="AT141" s="39">
        <f t="shared" si="50"/>
        <v>3.5162193401569439</v>
      </c>
      <c r="AU141" s="39">
        <f t="shared" si="50"/>
        <v>3.6920303071647913</v>
      </c>
      <c r="AV141" s="39">
        <f t="shared" si="50"/>
        <v>3.8766318225230312</v>
      </c>
      <c r="AW141" s="39">
        <f t="shared" si="50"/>
        <v>4.0704634136491826</v>
      </c>
      <c r="AX141" s="39">
        <f t="shared" si="50"/>
        <v>4.2739865843316416</v>
      </c>
    </row>
    <row r="142" spans="1:50" x14ac:dyDescent="0.2">
      <c r="A142" s="6" t="s">
        <v>37</v>
      </c>
      <c r="B142" s="11">
        <v>0.27173086200000002</v>
      </c>
      <c r="C142" s="11">
        <v>0.28531740510000003</v>
      </c>
      <c r="D142" s="11">
        <v>0.29958327535500007</v>
      </c>
      <c r="E142" s="11">
        <v>0.31456243912275006</v>
      </c>
      <c r="F142" s="11">
        <v>0.3302905610788876</v>
      </c>
      <c r="G142" s="11">
        <v>0.34680508913283198</v>
      </c>
      <c r="H142" s="11">
        <v>0.36414534358947359</v>
      </c>
      <c r="I142" s="11">
        <v>0.38235261076894728</v>
      </c>
      <c r="J142" s="11">
        <v>0.40147024130739467</v>
      </c>
      <c r="K142" s="11">
        <v>0.4215437533727644</v>
      </c>
      <c r="L142" s="11">
        <v>0.44262094104140259</v>
      </c>
      <c r="M142" s="11">
        <v>0.46475198809347279</v>
      </c>
      <c r="N142" s="11">
        <v>0.48798958749814647</v>
      </c>
      <c r="O142" s="11">
        <v>0.51238906687305386</v>
      </c>
      <c r="P142" s="11">
        <v>0.53800852021670653</v>
      </c>
      <c r="Q142" s="11">
        <v>0.56490894622754184</v>
      </c>
      <c r="R142" s="11">
        <v>0.59315439353891908</v>
      </c>
      <c r="S142" s="11">
        <v>0.62281211321586472</v>
      </c>
      <c r="T142" s="11">
        <v>0.65395271887665796</v>
      </c>
      <c r="U142" s="11">
        <v>0.68665035482049108</v>
      </c>
      <c r="V142" s="11">
        <v>0.72098287256151572</v>
      </c>
      <c r="W142" s="11">
        <v>0.75703201618959159</v>
      </c>
      <c r="X142" s="11">
        <v>0.79488361699907106</v>
      </c>
      <c r="Y142" s="11">
        <v>0.83462779784902463</v>
      </c>
      <c r="Z142" s="11">
        <v>0.87635918774147603</v>
      </c>
      <c r="AA142" s="11">
        <v>0.92017714712854948</v>
      </c>
      <c r="AB142" s="11">
        <v>0.96618600448497738</v>
      </c>
      <c r="AC142" s="11">
        <v>1.0144953047092262</v>
      </c>
      <c r="AD142" s="11">
        <v>1.0652200699446872</v>
      </c>
      <c r="AE142" s="11">
        <v>1.1184810734419219</v>
      </c>
      <c r="AF142" s="11">
        <v>1.1744051271140179</v>
      </c>
      <c r="AG142" s="11">
        <v>1.2331253834697191</v>
      </c>
      <c r="AH142" s="11">
        <v>1.294781652643205</v>
      </c>
      <c r="AI142" s="11">
        <v>1.3595207352753653</v>
      </c>
      <c r="AJ142" s="11">
        <v>1.4274967720391338</v>
      </c>
      <c r="AK142" s="11">
        <v>1.4988716106410904</v>
      </c>
      <c r="AL142" s="11">
        <v>1.5738151911731448</v>
      </c>
      <c r="AM142" s="11">
        <v>1.6525059507318023</v>
      </c>
      <c r="AN142" s="11">
        <v>1.7351312482683929</v>
      </c>
      <c r="AO142" s="39">
        <f t="shared" si="50"/>
        <v>1.8218878106818126</v>
      </c>
      <c r="AP142" s="39">
        <f t="shared" si="50"/>
        <v>1.9129822012159032</v>
      </c>
      <c r="AQ142" s="39">
        <f t="shared" si="50"/>
        <v>2.0086313112766985</v>
      </c>
      <c r="AR142" s="39">
        <f t="shared" si="50"/>
        <v>2.1090628768405333</v>
      </c>
      <c r="AS142" s="39">
        <f t="shared" si="50"/>
        <v>2.2145160206825603</v>
      </c>
      <c r="AT142" s="39">
        <f t="shared" si="50"/>
        <v>2.3252418217166886</v>
      </c>
      <c r="AU142" s="39">
        <f t="shared" si="50"/>
        <v>2.4415039128025233</v>
      </c>
      <c r="AV142" s="39">
        <f t="shared" si="50"/>
        <v>2.5635791084426498</v>
      </c>
      <c r="AW142" s="39">
        <f t="shared" si="50"/>
        <v>2.6917580638647824</v>
      </c>
      <c r="AX142" s="39">
        <f t="shared" si="50"/>
        <v>2.8263459670580215</v>
      </c>
    </row>
    <row r="143" spans="1:50" x14ac:dyDescent="0.2">
      <c r="AM143" s="13" t="s">
        <v>187</v>
      </c>
      <c r="AN143" s="13">
        <f>(AN139-AM139)/AM139</f>
        <v>5.0000000000000051E-2</v>
      </c>
    </row>
    <row r="144" spans="1:50" x14ac:dyDescent="0.2">
      <c r="A144" s="5" t="s">
        <v>32</v>
      </c>
      <c r="AM144" s="13" t="s">
        <v>187</v>
      </c>
      <c r="AN144" s="13">
        <f t="shared" ref="AN144:AN146" si="51">(AN140-AM140)/AM140</f>
        <v>5.0000000000000211E-2</v>
      </c>
    </row>
    <row r="145" spans="1:50" x14ac:dyDescent="0.2">
      <c r="A145" s="5" t="s">
        <v>4</v>
      </c>
      <c r="AM145" s="13" t="s">
        <v>187</v>
      </c>
      <c r="AN145" s="13">
        <f t="shared" si="51"/>
        <v>5.0000000000000114E-2</v>
      </c>
    </row>
    <row r="146" spans="1:50" x14ac:dyDescent="0.2">
      <c r="A146" s="5" t="s">
        <v>70</v>
      </c>
      <c r="AM146" s="13" t="s">
        <v>187</v>
      </c>
      <c r="AN146" s="13">
        <f t="shared" si="51"/>
        <v>5.0000000000000322E-2</v>
      </c>
    </row>
    <row r="147" spans="1:50" x14ac:dyDescent="0.2">
      <c r="A147" s="5" t="s">
        <v>6</v>
      </c>
    </row>
    <row r="148" spans="1:50" x14ac:dyDescent="0.2">
      <c r="A148" t="s">
        <v>156</v>
      </c>
      <c r="B148">
        <v>1000000</v>
      </c>
    </row>
    <row r="149" spans="1:50" x14ac:dyDescent="0.2">
      <c r="A149" s="6" t="s">
        <v>7</v>
      </c>
      <c r="B149" s="6">
        <v>2022</v>
      </c>
      <c r="C149" s="6">
        <v>2023</v>
      </c>
      <c r="D149" s="6">
        <v>2024</v>
      </c>
      <c r="E149" s="6">
        <v>2025</v>
      </c>
      <c r="F149" s="6">
        <v>2026</v>
      </c>
      <c r="G149" s="6">
        <v>2027</v>
      </c>
      <c r="H149" s="6">
        <v>2028</v>
      </c>
      <c r="I149" s="6">
        <v>2029</v>
      </c>
      <c r="J149" s="6">
        <v>2030</v>
      </c>
      <c r="K149" s="6">
        <v>2031</v>
      </c>
      <c r="L149" s="6">
        <v>2032</v>
      </c>
      <c r="M149" s="6">
        <v>2033</v>
      </c>
      <c r="N149" s="6">
        <v>2034</v>
      </c>
      <c r="O149" s="6">
        <v>2035</v>
      </c>
      <c r="P149" s="6">
        <v>2036</v>
      </c>
      <c r="Q149" s="6">
        <v>2037</v>
      </c>
      <c r="R149" s="6">
        <v>2038</v>
      </c>
      <c r="S149" s="6">
        <v>2039</v>
      </c>
      <c r="T149" s="6">
        <v>2040</v>
      </c>
      <c r="U149" s="6">
        <v>2041</v>
      </c>
      <c r="V149" s="6">
        <v>2042</v>
      </c>
      <c r="W149" s="6">
        <v>2043</v>
      </c>
      <c r="X149" s="6">
        <v>2044</v>
      </c>
      <c r="Y149" s="6">
        <v>2045</v>
      </c>
      <c r="Z149" s="6">
        <v>2046</v>
      </c>
      <c r="AA149" s="6">
        <v>2047</v>
      </c>
      <c r="AB149" s="6">
        <v>2048</v>
      </c>
      <c r="AC149" s="6">
        <v>2049</v>
      </c>
      <c r="AD149" s="6">
        <v>2050</v>
      </c>
      <c r="AE149" s="6">
        <v>2051</v>
      </c>
      <c r="AF149" s="6">
        <v>2052</v>
      </c>
      <c r="AG149" s="6">
        <v>2053</v>
      </c>
      <c r="AH149" s="6">
        <v>2054</v>
      </c>
      <c r="AI149" s="6">
        <v>2055</v>
      </c>
      <c r="AJ149" s="6">
        <v>2056</v>
      </c>
      <c r="AK149" s="6">
        <v>2057</v>
      </c>
      <c r="AL149" s="6">
        <v>2058</v>
      </c>
      <c r="AM149" s="6">
        <v>2059</v>
      </c>
      <c r="AN149" s="6">
        <v>2060</v>
      </c>
      <c r="AO149" s="39">
        <f>AN149+1</f>
        <v>2061</v>
      </c>
      <c r="AP149" s="39">
        <f t="shared" ref="AP149:AX149" si="52">AO149+1</f>
        <v>2062</v>
      </c>
      <c r="AQ149" s="39">
        <f t="shared" si="52"/>
        <v>2063</v>
      </c>
      <c r="AR149" s="39">
        <f t="shared" si="52"/>
        <v>2064</v>
      </c>
      <c r="AS149" s="39">
        <f t="shared" si="52"/>
        <v>2065</v>
      </c>
      <c r="AT149" s="39">
        <f t="shared" si="52"/>
        <v>2066</v>
      </c>
      <c r="AU149" s="39">
        <f t="shared" si="52"/>
        <v>2067</v>
      </c>
      <c r="AV149" s="39">
        <f t="shared" si="52"/>
        <v>2068</v>
      </c>
      <c r="AW149" s="39">
        <f>AV149+1</f>
        <v>2069</v>
      </c>
      <c r="AX149" s="39">
        <f t="shared" si="52"/>
        <v>2070</v>
      </c>
    </row>
    <row r="150" spans="1:50" x14ac:dyDescent="0.2">
      <c r="A150" s="6" t="s">
        <v>34</v>
      </c>
      <c r="B150" s="11">
        <v>4.4363495296799993</v>
      </c>
      <c r="C150" s="11">
        <v>4.6581670061640006</v>
      </c>
      <c r="D150" s="11">
        <v>4.8910753564722</v>
      </c>
      <c r="E150" s="11">
        <v>5.1356291242958099</v>
      </c>
      <c r="F150" s="11">
        <v>5.3924105805106022</v>
      </c>
      <c r="G150" s="11">
        <v>5.6620311095361311</v>
      </c>
      <c r="H150" s="11">
        <v>5.9451326650129381</v>
      </c>
      <c r="I150" s="11">
        <v>6.2423892982635865</v>
      </c>
      <c r="J150" s="11">
        <v>6.5545087631767656</v>
      </c>
      <c r="K150" s="11">
        <v>6.8822342013356037</v>
      </c>
      <c r="L150" s="11">
        <v>7.226345911402384</v>
      </c>
      <c r="M150" s="11">
        <v>7.5876632069725023</v>
      </c>
      <c r="N150" s="11">
        <v>7.9670463673211298</v>
      </c>
      <c r="O150" s="11">
        <v>8.3653986856871878</v>
      </c>
      <c r="P150" s="11">
        <v>8.7836686199715448</v>
      </c>
      <c r="Q150" s="11">
        <v>9.2228520509701237</v>
      </c>
      <c r="R150" s="11">
        <v>9.6839946535186279</v>
      </c>
      <c r="S150" s="11">
        <v>10.168194386194562</v>
      </c>
      <c r="T150" s="11">
        <v>10.676604105504289</v>
      </c>
      <c r="U150" s="11">
        <v>11.210434310779505</v>
      </c>
      <c r="V150" s="11">
        <v>11.77095602631848</v>
      </c>
      <c r="W150" s="11">
        <v>12.359503827634406</v>
      </c>
      <c r="X150" s="11">
        <v>12.977479019016126</v>
      </c>
      <c r="Y150" s="11">
        <v>13.626352969966929</v>
      </c>
      <c r="Z150" s="11">
        <v>14.307670618465277</v>
      </c>
      <c r="AA150" s="11">
        <v>15.023054149388544</v>
      </c>
      <c r="AB150" s="11">
        <v>15.774206856857971</v>
      </c>
      <c r="AC150" s="11">
        <v>16.562917199700866</v>
      </c>
      <c r="AD150" s="11">
        <v>17.391063059685912</v>
      </c>
      <c r="AE150" s="11">
        <v>18.260616212670207</v>
      </c>
      <c r="AF150" s="11">
        <v>19.173647023303722</v>
      </c>
      <c r="AG150" s="11">
        <v>20.132329374468906</v>
      </c>
      <c r="AH150" s="11">
        <v>21.138945843192353</v>
      </c>
      <c r="AI150" s="11">
        <v>22.195893135351973</v>
      </c>
      <c r="AJ150" s="11">
        <v>23.305687792119574</v>
      </c>
      <c r="AK150" s="11">
        <v>24.470972181725553</v>
      </c>
      <c r="AL150" s="11">
        <v>25.694520790811833</v>
      </c>
      <c r="AM150" s="11">
        <v>26.979246830352423</v>
      </c>
      <c r="AN150" s="11">
        <v>28.32820917187005</v>
      </c>
      <c r="AO150" s="39">
        <f>(AN150+AN150*$AN$154)</f>
        <v>29.744619630463557</v>
      </c>
      <c r="AP150" s="39">
        <f t="shared" ref="AP150:AX150" si="53">(AO150+AO150*$AN$154)</f>
        <v>31.23185061198674</v>
      </c>
      <c r="AQ150" s="39">
        <f t="shared" si="53"/>
        <v>32.793443142586085</v>
      </c>
      <c r="AR150" s="39">
        <f t="shared" si="53"/>
        <v>34.433115299715396</v>
      </c>
      <c r="AS150" s="39">
        <f t="shared" si="53"/>
        <v>36.154771064701173</v>
      </c>
      <c r="AT150" s="39">
        <f t="shared" si="53"/>
        <v>37.962509617936242</v>
      </c>
      <c r="AU150" s="39">
        <f t="shared" si="53"/>
        <v>39.860635098833065</v>
      </c>
      <c r="AV150" s="39">
        <f t="shared" si="53"/>
        <v>41.853666853774726</v>
      </c>
      <c r="AW150" s="39">
        <f t="shared" si="53"/>
        <v>43.94635019646347</v>
      </c>
      <c r="AX150" s="39">
        <f t="shared" si="53"/>
        <v>46.143667706286649</v>
      </c>
    </row>
    <row r="151" spans="1:50" x14ac:dyDescent="0.2">
      <c r="A151" s="6" t="s">
        <v>35</v>
      </c>
      <c r="B151" s="11">
        <v>1.8902093385599998</v>
      </c>
      <c r="C151" s="11">
        <v>1.9847198054880002</v>
      </c>
      <c r="D151" s="11">
        <v>2.0839557957624</v>
      </c>
      <c r="E151" s="11">
        <v>2.1881535855505203</v>
      </c>
      <c r="F151" s="11">
        <v>2.2975612648280466</v>
      </c>
      <c r="G151" s="11">
        <v>2.4124393280694485</v>
      </c>
      <c r="H151" s="11">
        <v>2.5330612944729212</v>
      </c>
      <c r="I151" s="11">
        <v>2.6597143591965677</v>
      </c>
      <c r="J151" s="11">
        <v>2.7927000771563959</v>
      </c>
      <c r="K151" s="11">
        <v>2.9323350810142155</v>
      </c>
      <c r="L151" s="11">
        <v>3.0789518350649261</v>
      </c>
      <c r="M151" s="11">
        <v>3.232899426818173</v>
      </c>
      <c r="N151" s="11">
        <v>3.3945443981590819</v>
      </c>
      <c r="O151" s="11">
        <v>3.5642716180670364</v>
      </c>
      <c r="P151" s="11">
        <v>3.742485198970388</v>
      </c>
      <c r="Q151" s="11">
        <v>3.9296094589189083</v>
      </c>
      <c r="R151" s="11">
        <v>4.1260899318648532</v>
      </c>
      <c r="S151" s="11">
        <v>4.3323944284580955</v>
      </c>
      <c r="T151" s="11">
        <v>4.5490141498810006</v>
      </c>
      <c r="U151" s="11">
        <v>4.7764648573750517</v>
      </c>
      <c r="V151" s="11">
        <v>5.0152881002438043</v>
      </c>
      <c r="W151" s="11">
        <v>5.2660525052559946</v>
      </c>
      <c r="X151" s="11">
        <v>5.5293551305187938</v>
      </c>
      <c r="Y151" s="11">
        <v>5.8058228870447337</v>
      </c>
      <c r="Z151" s="11">
        <v>6.0961140313969695</v>
      </c>
      <c r="AA151" s="11">
        <v>6.4009197329668197</v>
      </c>
      <c r="AB151" s="11">
        <v>6.7209657196151609</v>
      </c>
      <c r="AC151" s="11">
        <v>7.057014005595919</v>
      </c>
      <c r="AD151" s="11">
        <v>7.4098647058757132</v>
      </c>
      <c r="AE151" s="11">
        <v>7.7803579411694992</v>
      </c>
      <c r="AF151" s="11">
        <v>8.1693758382279764</v>
      </c>
      <c r="AG151" s="11">
        <v>8.5778446301393743</v>
      </c>
      <c r="AH151" s="11">
        <v>9.0067368616463455</v>
      </c>
      <c r="AI151" s="11">
        <v>9.4570737047286624</v>
      </c>
      <c r="AJ151" s="11">
        <v>9.9299273899650959</v>
      </c>
      <c r="AK151" s="11">
        <v>10.426423759463352</v>
      </c>
      <c r="AL151" s="11">
        <v>10.94774494743652</v>
      </c>
      <c r="AM151" s="11">
        <v>11.495132194808345</v>
      </c>
      <c r="AN151" s="11">
        <v>12.069888804548764</v>
      </c>
      <c r="AO151" s="39">
        <f t="shared" ref="AO151:AX153" si="54">(AN151+AN151*$AN$154)</f>
        <v>12.673383244776206</v>
      </c>
      <c r="AP151" s="39">
        <f t="shared" si="54"/>
        <v>13.30705240701502</v>
      </c>
      <c r="AQ151" s="39">
        <f t="shared" si="54"/>
        <v>13.972405027365774</v>
      </c>
      <c r="AR151" s="39">
        <f t="shared" si="54"/>
        <v>14.671025278734065</v>
      </c>
      <c r="AS151" s="39">
        <f t="shared" si="54"/>
        <v>15.404576542670771</v>
      </c>
      <c r="AT151" s="39">
        <f t="shared" si="54"/>
        <v>16.174805369804314</v>
      </c>
      <c r="AU151" s="39">
        <f t="shared" si="54"/>
        <v>16.983545638294533</v>
      </c>
      <c r="AV151" s="39">
        <f t="shared" si="54"/>
        <v>17.832722920209264</v>
      </c>
      <c r="AW151" s="39">
        <f t="shared" si="54"/>
        <v>18.72435906621973</v>
      </c>
      <c r="AX151" s="39">
        <f t="shared" si="54"/>
        <v>19.66057701953072</v>
      </c>
    </row>
    <row r="152" spans="1:50" x14ac:dyDescent="0.2">
      <c r="A152" s="6" t="s">
        <v>36</v>
      </c>
      <c r="B152" s="11">
        <v>0.43728723503999994</v>
      </c>
      <c r="C152" s="11">
        <v>0.45915159679200007</v>
      </c>
      <c r="D152" s="11">
        <v>0.48210917663159997</v>
      </c>
      <c r="E152" s="11">
        <v>0.50621463546317991</v>
      </c>
      <c r="F152" s="11">
        <v>0.53152536723633914</v>
      </c>
      <c r="G152" s="11">
        <v>0.55810163559815607</v>
      </c>
      <c r="H152" s="11">
        <v>0.58600671737806387</v>
      </c>
      <c r="I152" s="11">
        <v>0.61530705324696722</v>
      </c>
      <c r="J152" s="11">
        <v>0.64607240590931558</v>
      </c>
      <c r="K152" s="11">
        <v>0.67837602620478121</v>
      </c>
      <c r="L152" s="11">
        <v>0.71229482751502038</v>
      </c>
      <c r="M152" s="11">
        <v>0.7479095688907712</v>
      </c>
      <c r="N152" s="11">
        <v>0.78530504733531004</v>
      </c>
      <c r="O152" s="11">
        <v>0.82457029970207563</v>
      </c>
      <c r="P152" s="11">
        <v>0.86579881468717923</v>
      </c>
      <c r="Q152" s="11">
        <v>0.90908875542153833</v>
      </c>
      <c r="R152" s="11">
        <v>0.95454319319261527</v>
      </c>
      <c r="S152" s="11">
        <v>1.0022703528522461</v>
      </c>
      <c r="T152" s="11">
        <v>1.0523838704948583</v>
      </c>
      <c r="U152" s="11">
        <v>1.1050030640196014</v>
      </c>
      <c r="V152" s="11">
        <v>1.1602532172205813</v>
      </c>
      <c r="W152" s="11">
        <v>1.2182658780816107</v>
      </c>
      <c r="X152" s="11">
        <v>1.2791791719856911</v>
      </c>
      <c r="Y152" s="11">
        <v>1.3431381305849754</v>
      </c>
      <c r="Z152" s="11">
        <v>1.4102950371142244</v>
      </c>
      <c r="AA152" s="11">
        <v>1.4808097889699359</v>
      </c>
      <c r="AB152" s="11">
        <v>1.5548502784184326</v>
      </c>
      <c r="AC152" s="11">
        <v>1.6325927923393544</v>
      </c>
      <c r="AD152" s="11">
        <v>1.714222431956322</v>
      </c>
      <c r="AE152" s="11">
        <v>1.7999335535541381</v>
      </c>
      <c r="AF152" s="11">
        <v>1.8899302312318451</v>
      </c>
      <c r="AG152" s="11">
        <v>1.9844267427934372</v>
      </c>
      <c r="AH152" s="11">
        <v>2.0836480799331096</v>
      </c>
      <c r="AI152" s="11">
        <v>2.1878304839297651</v>
      </c>
      <c r="AJ152" s="11">
        <v>2.2972220081262535</v>
      </c>
      <c r="AK152" s="11">
        <v>2.4120831085325665</v>
      </c>
      <c r="AL152" s="11">
        <v>2.5326872639591951</v>
      </c>
      <c r="AM152" s="11">
        <v>2.6593216271571545</v>
      </c>
      <c r="AN152" s="11">
        <v>2.7922877085150128</v>
      </c>
      <c r="AO152" s="39">
        <f t="shared" si="54"/>
        <v>2.9319020939407641</v>
      </c>
      <c r="AP152" s="39">
        <f t="shared" si="54"/>
        <v>3.0784971986378027</v>
      </c>
      <c r="AQ152" s="39">
        <f t="shared" si="54"/>
        <v>3.2324220585696937</v>
      </c>
      <c r="AR152" s="39">
        <f t="shared" si="54"/>
        <v>3.3940431614981792</v>
      </c>
      <c r="AS152" s="39">
        <f t="shared" si="54"/>
        <v>3.5637453195730888</v>
      </c>
      <c r="AT152" s="39">
        <f t="shared" si="54"/>
        <v>3.7419325855517442</v>
      </c>
      <c r="AU152" s="39">
        <f t="shared" si="54"/>
        <v>3.9290292148293324</v>
      </c>
      <c r="AV152" s="39">
        <f t="shared" si="54"/>
        <v>4.1254806755707998</v>
      </c>
      <c r="AW152" s="39">
        <f t="shared" si="54"/>
        <v>4.3317547093493403</v>
      </c>
      <c r="AX152" s="39">
        <f t="shared" si="54"/>
        <v>4.5483424448168082</v>
      </c>
    </row>
    <row r="153" spans="1:50" x14ac:dyDescent="0.2">
      <c r="A153" s="6" t="s">
        <v>37</v>
      </c>
      <c r="B153" s="11">
        <v>0.28917381671999998</v>
      </c>
      <c r="C153" s="11">
        <v>0.30363250755600002</v>
      </c>
      <c r="D153" s="11">
        <v>0.31881413293380001</v>
      </c>
      <c r="E153" s="11">
        <v>0.33475483958049002</v>
      </c>
      <c r="F153" s="11">
        <v>0.35149258155951463</v>
      </c>
      <c r="G153" s="11">
        <v>0.36906721063749026</v>
      </c>
      <c r="H153" s="11">
        <v>0.38752057116936484</v>
      </c>
      <c r="I153" s="11">
        <v>0.40689659972783315</v>
      </c>
      <c r="J153" s="11">
        <v>0.42724142971422474</v>
      </c>
      <c r="K153" s="11">
        <v>0.44860350119993603</v>
      </c>
      <c r="L153" s="11">
        <v>0.47103367625993281</v>
      </c>
      <c r="M153" s="11">
        <v>0.49458536007292941</v>
      </c>
      <c r="N153" s="11">
        <v>0.51931462807657602</v>
      </c>
      <c r="O153" s="11">
        <v>0.54528035948040487</v>
      </c>
      <c r="P153" s="11">
        <v>0.57254437745442521</v>
      </c>
      <c r="Q153" s="11">
        <v>0.60117159632714645</v>
      </c>
      <c r="R153" s="11">
        <v>0.63123017614350374</v>
      </c>
      <c r="S153" s="11">
        <v>0.66279168495067897</v>
      </c>
      <c r="T153" s="11">
        <v>0.69593126919821291</v>
      </c>
      <c r="U153" s="11">
        <v>0.73072783265812358</v>
      </c>
      <c r="V153" s="11">
        <v>0.76726422429102981</v>
      </c>
      <c r="W153" s="11">
        <v>0.80562743550558136</v>
      </c>
      <c r="X153" s="11">
        <v>0.84590880728086038</v>
      </c>
      <c r="Y153" s="11">
        <v>0.88820424764490324</v>
      </c>
      <c r="Z153" s="11">
        <v>0.93261446002714832</v>
      </c>
      <c r="AA153" s="11">
        <v>0.97924518302850605</v>
      </c>
      <c r="AB153" s="11">
        <v>1.0282074421799314</v>
      </c>
      <c r="AC153" s="11">
        <v>1.0796178142889279</v>
      </c>
      <c r="AD153" s="11">
        <v>1.1335987050033742</v>
      </c>
      <c r="AE153" s="11">
        <v>1.1902786402535432</v>
      </c>
      <c r="AF153" s="11">
        <v>1.2497925722662204</v>
      </c>
      <c r="AG153" s="11">
        <v>1.3122822008795314</v>
      </c>
      <c r="AH153" s="11">
        <v>1.3778963109235081</v>
      </c>
      <c r="AI153" s="11">
        <v>1.4467911264696836</v>
      </c>
      <c r="AJ153" s="11">
        <v>1.5191306827931679</v>
      </c>
      <c r="AK153" s="11">
        <v>1.5950872169328265</v>
      </c>
      <c r="AL153" s="11">
        <v>1.6748415777794678</v>
      </c>
      <c r="AM153" s="11">
        <v>1.758583656668441</v>
      </c>
      <c r="AN153" s="11">
        <v>1.8465128395018633</v>
      </c>
      <c r="AO153" s="39">
        <f t="shared" si="54"/>
        <v>1.9388384814769568</v>
      </c>
      <c r="AP153" s="39">
        <f t="shared" si="54"/>
        <v>2.0357804055508049</v>
      </c>
      <c r="AQ153" s="39">
        <f t="shared" si="54"/>
        <v>2.1375694258283455</v>
      </c>
      <c r="AR153" s="39">
        <f t="shared" si="54"/>
        <v>2.2444478971197634</v>
      </c>
      <c r="AS153" s="39">
        <f t="shared" si="54"/>
        <v>2.3566702919757523</v>
      </c>
      <c r="AT153" s="39">
        <f t="shared" si="54"/>
        <v>2.4745038065745404</v>
      </c>
      <c r="AU153" s="39">
        <f t="shared" si="54"/>
        <v>2.5982289969032681</v>
      </c>
      <c r="AV153" s="39">
        <f t="shared" si="54"/>
        <v>2.7281404467484323</v>
      </c>
      <c r="AW153" s="39">
        <f t="shared" si="54"/>
        <v>2.8645474690858546</v>
      </c>
      <c r="AX153" s="39">
        <f t="shared" si="54"/>
        <v>3.0077748425401478</v>
      </c>
    </row>
    <row r="154" spans="1:50" x14ac:dyDescent="0.2">
      <c r="AM154" s="13" t="s">
        <v>187</v>
      </c>
      <c r="AN154" s="13">
        <f>(AN150-AM150)/AM150</f>
        <v>5.0000000000000211E-2</v>
      </c>
    </row>
    <row r="155" spans="1:50" x14ac:dyDescent="0.2">
      <c r="A155" s="5" t="s">
        <v>32</v>
      </c>
      <c r="AM155" s="13" t="s">
        <v>187</v>
      </c>
      <c r="AN155" s="13">
        <f t="shared" ref="AN155:AN157" si="55">(AN151-AM151)/AM151</f>
        <v>5.0000000000000142E-2</v>
      </c>
    </row>
    <row r="156" spans="1:50" x14ac:dyDescent="0.2">
      <c r="A156" s="5" t="s">
        <v>4</v>
      </c>
      <c r="AM156" s="13" t="s">
        <v>187</v>
      </c>
      <c r="AN156" s="13">
        <f t="shared" si="55"/>
        <v>5.0000000000000239E-2</v>
      </c>
    </row>
    <row r="157" spans="1:50" x14ac:dyDescent="0.2">
      <c r="A157" s="5" t="s">
        <v>72</v>
      </c>
      <c r="AM157" s="13" t="s">
        <v>187</v>
      </c>
      <c r="AN157" s="13">
        <f t="shared" si="55"/>
        <v>5.0000000000000155E-2</v>
      </c>
    </row>
    <row r="158" spans="1:50" x14ac:dyDescent="0.2">
      <c r="A158" s="5" t="s">
        <v>6</v>
      </c>
    </row>
    <row r="159" spans="1:50" x14ac:dyDescent="0.2">
      <c r="A159" t="s">
        <v>156</v>
      </c>
      <c r="B159">
        <v>1000000</v>
      </c>
    </row>
    <row r="160" spans="1:50" x14ac:dyDescent="0.2">
      <c r="A160" s="6" t="s">
        <v>7</v>
      </c>
      <c r="B160" s="6">
        <v>2022</v>
      </c>
      <c r="C160" s="6">
        <v>2023</v>
      </c>
      <c r="D160" s="6">
        <v>2024</v>
      </c>
      <c r="E160" s="6">
        <v>2025</v>
      </c>
      <c r="F160" s="6">
        <v>2026</v>
      </c>
      <c r="G160" s="6">
        <v>2027</v>
      </c>
      <c r="H160" s="6">
        <v>2028</v>
      </c>
      <c r="I160" s="6">
        <v>2029</v>
      </c>
      <c r="J160" s="6">
        <v>2030</v>
      </c>
      <c r="K160" s="6">
        <v>2031</v>
      </c>
      <c r="L160" s="6">
        <v>2032</v>
      </c>
      <c r="M160" s="6">
        <v>2033</v>
      </c>
      <c r="N160" s="6">
        <v>2034</v>
      </c>
      <c r="O160" s="6">
        <v>2035</v>
      </c>
      <c r="P160" s="6">
        <v>2036</v>
      </c>
      <c r="Q160" s="6">
        <v>2037</v>
      </c>
      <c r="R160" s="6">
        <v>2038</v>
      </c>
      <c r="S160" s="6">
        <v>2039</v>
      </c>
      <c r="T160" s="6">
        <v>2040</v>
      </c>
      <c r="U160" s="6">
        <v>2041</v>
      </c>
      <c r="V160" s="6">
        <v>2042</v>
      </c>
      <c r="W160" s="6">
        <v>2043</v>
      </c>
      <c r="X160" s="6">
        <v>2044</v>
      </c>
      <c r="Y160" s="6">
        <v>2045</v>
      </c>
      <c r="Z160" s="6">
        <v>2046</v>
      </c>
      <c r="AA160" s="6">
        <v>2047</v>
      </c>
      <c r="AB160" s="6">
        <v>2048</v>
      </c>
      <c r="AC160" s="6">
        <v>2049</v>
      </c>
      <c r="AD160" s="6">
        <v>2050</v>
      </c>
      <c r="AE160" s="6">
        <v>2051</v>
      </c>
      <c r="AF160" s="6">
        <v>2052</v>
      </c>
      <c r="AG160" s="6">
        <v>2053</v>
      </c>
      <c r="AH160" s="6">
        <v>2054</v>
      </c>
      <c r="AI160" s="6">
        <v>2055</v>
      </c>
      <c r="AJ160" s="6">
        <v>2056</v>
      </c>
      <c r="AK160" s="6">
        <v>2057</v>
      </c>
      <c r="AL160" s="6">
        <v>2058</v>
      </c>
      <c r="AM160" s="6">
        <v>2059</v>
      </c>
      <c r="AN160" s="6">
        <v>2060</v>
      </c>
      <c r="AO160" s="39">
        <f>AN160+1</f>
        <v>2061</v>
      </c>
      <c r="AP160" s="39">
        <f t="shared" ref="AP160:AX160" si="56">AO160+1</f>
        <v>2062</v>
      </c>
      <c r="AQ160" s="39">
        <f t="shared" si="56"/>
        <v>2063</v>
      </c>
      <c r="AR160" s="39">
        <f t="shared" si="56"/>
        <v>2064</v>
      </c>
      <c r="AS160" s="39">
        <f t="shared" si="56"/>
        <v>2065</v>
      </c>
      <c r="AT160" s="39">
        <f t="shared" si="56"/>
        <v>2066</v>
      </c>
      <c r="AU160" s="39">
        <f t="shared" si="56"/>
        <v>2067</v>
      </c>
      <c r="AV160" s="39">
        <f t="shared" si="56"/>
        <v>2068</v>
      </c>
      <c r="AW160" s="39">
        <f>AV160+1</f>
        <v>2069</v>
      </c>
      <c r="AX160" s="39">
        <f t="shared" si="56"/>
        <v>2070</v>
      </c>
    </row>
    <row r="161" spans="1:50" x14ac:dyDescent="0.2">
      <c r="A161" s="6" t="s">
        <v>34</v>
      </c>
      <c r="B161" s="11">
        <v>10.634196905452798</v>
      </c>
      <c r="C161" s="11">
        <v>11.165906750725439</v>
      </c>
      <c r="D161" s="11">
        <v>11.724202088261713</v>
      </c>
      <c r="E161" s="11">
        <v>12.310412192674796</v>
      </c>
      <c r="F161" s="11">
        <v>12.925932802308537</v>
      </c>
      <c r="G161" s="11">
        <v>13.572229442423966</v>
      </c>
      <c r="H161" s="11">
        <v>14.250840914545165</v>
      </c>
      <c r="I161" s="11">
        <v>14.963382960272426</v>
      </c>
      <c r="J161" s="11">
        <v>15.711552108286043</v>
      </c>
      <c r="K161" s="11">
        <v>16.49712971370035</v>
      </c>
      <c r="L161" s="11">
        <v>17.321986199385368</v>
      </c>
      <c r="M161" s="11">
        <v>18.188085509354632</v>
      </c>
      <c r="N161" s="11">
        <v>19.097489784822372</v>
      </c>
      <c r="O161" s="11">
        <v>20.052364274063486</v>
      </c>
      <c r="P161" s="11">
        <v>21.054982487766665</v>
      </c>
      <c r="Q161" s="11">
        <v>22.107731612154996</v>
      </c>
      <c r="R161" s="11">
        <v>23.213118192762742</v>
      </c>
      <c r="S161" s="11">
        <v>24.37377410240088</v>
      </c>
      <c r="T161" s="11">
        <v>25.592462807520931</v>
      </c>
      <c r="U161" s="11">
        <v>26.872085947896977</v>
      </c>
      <c r="V161" s="11">
        <v>28.215690245291825</v>
      </c>
      <c r="W161" s="11">
        <v>29.626474757556416</v>
      </c>
      <c r="X161" s="11">
        <v>31.107798495434245</v>
      </c>
      <c r="Y161" s="11">
        <v>32.663188420205948</v>
      </c>
      <c r="Z161" s="11">
        <v>34.29634784121626</v>
      </c>
      <c r="AA161" s="11">
        <v>36.011165233277062</v>
      </c>
      <c r="AB161" s="11">
        <v>37.811723494940921</v>
      </c>
      <c r="AC161" s="11">
        <v>39.70230966968797</v>
      </c>
      <c r="AD161" s="11">
        <v>41.687425153172363</v>
      </c>
      <c r="AE161" s="11">
        <v>43.77179641083098</v>
      </c>
      <c r="AF161" s="11">
        <v>45.960386231372524</v>
      </c>
      <c r="AG161" s="11">
        <v>48.258405542941162</v>
      </c>
      <c r="AH161" s="11">
        <v>50.671325820088235</v>
      </c>
      <c r="AI161" s="11">
        <v>53.204892111092633</v>
      </c>
      <c r="AJ161" s="11">
        <v>55.865136716647264</v>
      </c>
      <c r="AK161" s="11">
        <v>58.658393552479644</v>
      </c>
      <c r="AL161" s="11">
        <v>61.59131323010363</v>
      </c>
      <c r="AM161" s="11">
        <v>64.670878891608808</v>
      </c>
      <c r="AN161" s="11">
        <v>67.904422836189255</v>
      </c>
      <c r="AO161" s="39">
        <f>(AN161+AN161*$AN$165)</f>
        <v>71.299643977998727</v>
      </c>
      <c r="AP161" s="39">
        <f t="shared" ref="AP161:AX161" si="57">(AO161+AO161*$AN$165)</f>
        <v>74.864626176898668</v>
      </c>
      <c r="AQ161" s="39">
        <f t="shared" si="57"/>
        <v>78.607857485743608</v>
      </c>
      <c r="AR161" s="39">
        <f t="shared" si="57"/>
        <v>82.538250360030801</v>
      </c>
      <c r="AS161" s="39">
        <f t="shared" si="57"/>
        <v>86.665162878032348</v>
      </c>
      <c r="AT161" s="39">
        <f t="shared" si="57"/>
        <v>90.998421021933979</v>
      </c>
      <c r="AU161" s="39">
        <f t="shared" si="57"/>
        <v>95.548342073030682</v>
      </c>
      <c r="AV161" s="39">
        <f t="shared" si="57"/>
        <v>100.32575917668223</v>
      </c>
      <c r="AW161" s="39">
        <f t="shared" si="57"/>
        <v>105.34204713551635</v>
      </c>
      <c r="AX161" s="39">
        <f t="shared" si="57"/>
        <v>110.60914949229218</v>
      </c>
    </row>
    <row r="162" spans="1:50" x14ac:dyDescent="0.2">
      <c r="A162" s="6" t="s">
        <v>35</v>
      </c>
      <c r="B162" s="11">
        <v>4.5309455813376003</v>
      </c>
      <c r="C162" s="11">
        <v>4.7574928604044793</v>
      </c>
      <c r="D162" s="11">
        <v>4.9953675034247027</v>
      </c>
      <c r="E162" s="11">
        <v>5.2451358785959386</v>
      </c>
      <c r="F162" s="11">
        <v>5.5073926725257367</v>
      </c>
      <c r="G162" s="11">
        <v>5.7827623061520237</v>
      </c>
      <c r="H162" s="11">
        <v>6.0719004214596266</v>
      </c>
      <c r="I162" s="11">
        <v>6.3754954425326069</v>
      </c>
      <c r="J162" s="11">
        <v>6.6942702146592366</v>
      </c>
      <c r="K162" s="11">
        <v>7.028983725392199</v>
      </c>
      <c r="L162" s="11">
        <v>7.3804329116618099</v>
      </c>
      <c r="M162" s="11">
        <v>7.7494545572449001</v>
      </c>
      <c r="N162" s="11">
        <v>8.1369272851071468</v>
      </c>
      <c r="O162" s="11">
        <v>8.5437736493625032</v>
      </c>
      <c r="P162" s="11">
        <v>8.9709623318306306</v>
      </c>
      <c r="Q162" s="11">
        <v>9.4195104484221623</v>
      </c>
      <c r="R162" s="11">
        <v>9.8904859708432689</v>
      </c>
      <c r="S162" s="11">
        <v>10.385010269385431</v>
      </c>
      <c r="T162" s="11">
        <v>10.904260782854704</v>
      </c>
      <c r="U162" s="11">
        <v>11.44947382199744</v>
      </c>
      <c r="V162" s="11">
        <v>12.021947513097313</v>
      </c>
      <c r="W162" s="11">
        <v>12.623044888752178</v>
      </c>
      <c r="X162" s="11">
        <v>13.254197133189789</v>
      </c>
      <c r="Y162" s="11">
        <v>13.916906989849279</v>
      </c>
      <c r="Z162" s="11">
        <v>14.612752339341743</v>
      </c>
      <c r="AA162" s="11">
        <v>15.343389956308828</v>
      </c>
      <c r="AB162" s="11">
        <v>16.110559454124271</v>
      </c>
      <c r="AC162" s="11">
        <v>16.916087426830487</v>
      </c>
      <c r="AD162" s="11">
        <v>17.761891798172009</v>
      </c>
      <c r="AE162" s="11">
        <v>18.64998638808061</v>
      </c>
      <c r="AF162" s="11">
        <v>19.58248570748464</v>
      </c>
      <c r="AG162" s="11">
        <v>20.561609992858877</v>
      </c>
      <c r="AH162" s="11">
        <v>21.589690492501823</v>
      </c>
      <c r="AI162" s="11">
        <v>22.669175017126907</v>
      </c>
      <c r="AJ162" s="11">
        <v>23.802633767983256</v>
      </c>
      <c r="AK162" s="11">
        <v>24.992765456382422</v>
      </c>
      <c r="AL162" s="11">
        <v>26.242403729201545</v>
      </c>
      <c r="AM162" s="11">
        <v>27.554523915661623</v>
      </c>
      <c r="AN162" s="11">
        <v>28.932250111444706</v>
      </c>
      <c r="AO162" s="39">
        <f t="shared" ref="AO162:AX164" si="58">(AN162+AN162*$AN$165)</f>
        <v>30.378862617016942</v>
      </c>
      <c r="AP162" s="39">
        <f t="shared" si="58"/>
        <v>31.897805747867793</v>
      </c>
      <c r="AQ162" s="39">
        <f t="shared" si="58"/>
        <v>33.492696035261183</v>
      </c>
      <c r="AR162" s="39">
        <f t="shared" si="58"/>
        <v>35.167330837024245</v>
      </c>
      <c r="AS162" s="39">
        <f t="shared" si="58"/>
        <v>36.925697378875462</v>
      </c>
      <c r="AT162" s="39">
        <f t="shared" si="58"/>
        <v>38.771982247819238</v>
      </c>
      <c r="AU162" s="39">
        <f t="shared" si="58"/>
        <v>40.710581360210206</v>
      </c>
      <c r="AV162" s="39">
        <f t="shared" si="58"/>
        <v>42.746110428220717</v>
      </c>
      <c r="AW162" s="39">
        <f t="shared" si="58"/>
        <v>44.883415949631754</v>
      </c>
      <c r="AX162" s="39">
        <f t="shared" si="58"/>
        <v>47.127586747113348</v>
      </c>
    </row>
    <row r="163" spans="1:50" x14ac:dyDescent="0.2">
      <c r="A163" s="6" t="s">
        <v>36</v>
      </c>
      <c r="B163" s="11">
        <v>1.0482038285183999</v>
      </c>
      <c r="C163" s="11">
        <v>1.10061401994432</v>
      </c>
      <c r="D163" s="11">
        <v>1.1556447209415359</v>
      </c>
      <c r="E163" s="11">
        <v>1.2134269569886129</v>
      </c>
      <c r="F163" s="11">
        <v>1.2740983048380434</v>
      </c>
      <c r="G163" s="11">
        <v>1.3378032200799459</v>
      </c>
      <c r="H163" s="11">
        <v>1.4046933810839433</v>
      </c>
      <c r="I163" s="11">
        <v>1.4749280501381403</v>
      </c>
      <c r="J163" s="11">
        <v>1.5486744526450473</v>
      </c>
      <c r="K163" s="11">
        <v>1.6261081752772997</v>
      </c>
      <c r="L163" s="11">
        <v>1.7074135840411651</v>
      </c>
      <c r="M163" s="11">
        <v>1.7927842632432229</v>
      </c>
      <c r="N163" s="11">
        <v>1.8824234764053844</v>
      </c>
      <c r="O163" s="11">
        <v>1.9765446502256536</v>
      </c>
      <c r="P163" s="11">
        <v>2.075371882736937</v>
      </c>
      <c r="Q163" s="11">
        <v>2.1791404768737834</v>
      </c>
      <c r="R163" s="11">
        <v>2.2880975007174729</v>
      </c>
      <c r="S163" s="11">
        <v>2.4025023757533464</v>
      </c>
      <c r="T163" s="11">
        <v>2.5226274945410134</v>
      </c>
      <c r="U163" s="11">
        <v>2.6487588692680646</v>
      </c>
      <c r="V163" s="11">
        <v>2.7811968127314675</v>
      </c>
      <c r="W163" s="11">
        <v>2.9202566533680412</v>
      </c>
      <c r="X163" s="11">
        <v>3.0662694860364441</v>
      </c>
      <c r="Y163" s="11">
        <v>3.2195829603382657</v>
      </c>
      <c r="Z163" s="11">
        <v>3.3805621083551789</v>
      </c>
      <c r="AA163" s="11">
        <v>3.5495902137729378</v>
      </c>
      <c r="AB163" s="11">
        <v>3.7270697244615847</v>
      </c>
      <c r="AC163" s="11">
        <v>3.9134232106846651</v>
      </c>
      <c r="AD163" s="11">
        <v>4.1090943712188972</v>
      </c>
      <c r="AE163" s="11">
        <v>4.3145490897798426</v>
      </c>
      <c r="AF163" s="11">
        <v>4.5302765442688342</v>
      </c>
      <c r="AG163" s="11">
        <v>4.7567903714822766</v>
      </c>
      <c r="AH163" s="11">
        <v>4.9946298900563919</v>
      </c>
      <c r="AI163" s="11">
        <v>5.2443613845592107</v>
      </c>
      <c r="AJ163" s="11">
        <v>5.5065794537871708</v>
      </c>
      <c r="AK163" s="11">
        <v>5.781908426476531</v>
      </c>
      <c r="AL163" s="11">
        <v>6.0710038478003572</v>
      </c>
      <c r="AM163" s="11">
        <v>6.3745540401903753</v>
      </c>
      <c r="AN163" s="11">
        <v>6.6932817421998951</v>
      </c>
      <c r="AO163" s="39">
        <f t="shared" si="58"/>
        <v>7.0279458293098909</v>
      </c>
      <c r="AP163" s="39">
        <f t="shared" si="58"/>
        <v>7.3793431207753866</v>
      </c>
      <c r="AQ163" s="39">
        <f t="shared" si="58"/>
        <v>7.7483102768141565</v>
      </c>
      <c r="AR163" s="39">
        <f t="shared" si="58"/>
        <v>8.135725790654865</v>
      </c>
      <c r="AS163" s="39">
        <f t="shared" si="58"/>
        <v>8.5425120801876098</v>
      </c>
      <c r="AT163" s="39">
        <f t="shared" si="58"/>
        <v>8.9696376841969911</v>
      </c>
      <c r="AU163" s="39">
        <f t="shared" si="58"/>
        <v>9.4181195684068424</v>
      </c>
      <c r="AV163" s="39">
        <f t="shared" si="58"/>
        <v>9.8890255468271846</v>
      </c>
      <c r="AW163" s="39">
        <f t="shared" si="58"/>
        <v>10.383476824168545</v>
      </c>
      <c r="AX163" s="39">
        <f t="shared" si="58"/>
        <v>10.902650665376973</v>
      </c>
    </row>
    <row r="164" spans="1:50" x14ac:dyDescent="0.2">
      <c r="A164" s="6" t="s">
        <v>37</v>
      </c>
      <c r="B164" s="11">
        <v>0.69316704789119998</v>
      </c>
      <c r="C164" s="11">
        <v>0.72782540028576004</v>
      </c>
      <c r="D164" s="11">
        <v>0.76421667030004792</v>
      </c>
      <c r="E164" s="11">
        <v>0.80242750381505057</v>
      </c>
      <c r="F164" s="11">
        <v>0.842548879005803</v>
      </c>
      <c r="G164" s="11">
        <v>0.88467632295609311</v>
      </c>
      <c r="H164" s="11">
        <v>0.92891013910389808</v>
      </c>
      <c r="I164" s="11">
        <v>0.97535564605909297</v>
      </c>
      <c r="J164" s="11">
        <v>1.0241234283620475</v>
      </c>
      <c r="K164" s="11">
        <v>1.07532959978015</v>
      </c>
      <c r="L164" s="11">
        <v>1.1290960797691578</v>
      </c>
      <c r="M164" s="11">
        <v>1.1855508837576152</v>
      </c>
      <c r="N164" s="11">
        <v>1.2448284279454962</v>
      </c>
      <c r="O164" s="11">
        <v>1.307069849342771</v>
      </c>
      <c r="P164" s="11">
        <v>1.3724233418099099</v>
      </c>
      <c r="Q164" s="11">
        <v>1.4410445089004054</v>
      </c>
      <c r="R164" s="11">
        <v>1.5130967343454254</v>
      </c>
      <c r="S164" s="11">
        <v>1.5887515710626969</v>
      </c>
      <c r="T164" s="11">
        <v>1.6681891496158319</v>
      </c>
      <c r="U164" s="11">
        <v>1.7515986070966234</v>
      </c>
      <c r="V164" s="11">
        <v>1.8391785374514544</v>
      </c>
      <c r="W164" s="11">
        <v>1.9311374643240276</v>
      </c>
      <c r="X164" s="11">
        <v>2.027694337540229</v>
      </c>
      <c r="Y164" s="11">
        <v>2.1290790544172404</v>
      </c>
      <c r="Z164" s="11">
        <v>2.2355330071381023</v>
      </c>
      <c r="AA164" s="11">
        <v>2.3473096574950074</v>
      </c>
      <c r="AB164" s="11">
        <v>2.4646751403697587</v>
      </c>
      <c r="AC164" s="11">
        <v>2.587908897388246</v>
      </c>
      <c r="AD164" s="11">
        <v>2.7173043422576582</v>
      </c>
      <c r="AE164" s="11">
        <v>2.8531695593705413</v>
      </c>
      <c r="AF164" s="11">
        <v>2.9958280373390687</v>
      </c>
      <c r="AG164" s="11">
        <v>3.1456194392060217</v>
      </c>
      <c r="AH164" s="11">
        <v>3.3029004111663243</v>
      </c>
      <c r="AI164" s="11">
        <v>3.4680454317246392</v>
      </c>
      <c r="AJ164" s="11">
        <v>3.6414477033108716</v>
      </c>
      <c r="AK164" s="11">
        <v>3.8235200884764162</v>
      </c>
      <c r="AL164" s="11">
        <v>4.0146960929002367</v>
      </c>
      <c r="AM164" s="11">
        <v>4.2154308975452484</v>
      </c>
      <c r="AN164" s="11">
        <v>4.426202442422511</v>
      </c>
      <c r="AO164" s="39">
        <f t="shared" si="58"/>
        <v>4.6475125645436375</v>
      </c>
      <c r="AP164" s="39">
        <f t="shared" si="58"/>
        <v>4.87988819277082</v>
      </c>
      <c r="AQ164" s="39">
        <f t="shared" si="58"/>
        <v>5.1238826024093616</v>
      </c>
      <c r="AR164" s="39">
        <f t="shared" si="58"/>
        <v>5.3800767325298304</v>
      </c>
      <c r="AS164" s="39">
        <f t="shared" si="58"/>
        <v>5.6490805691563226</v>
      </c>
      <c r="AT164" s="39">
        <f t="shared" si="58"/>
        <v>5.9315345976141396</v>
      </c>
      <c r="AU164" s="39">
        <f t="shared" si="58"/>
        <v>6.2281113274948474</v>
      </c>
      <c r="AV164" s="39">
        <f t="shared" si="58"/>
        <v>6.5395168938695907</v>
      </c>
      <c r="AW164" s="39">
        <f t="shared" si="58"/>
        <v>6.8664927385630712</v>
      </c>
      <c r="AX164" s="39">
        <f t="shared" si="58"/>
        <v>7.2098173754912258</v>
      </c>
    </row>
    <row r="165" spans="1:50" x14ac:dyDescent="0.2">
      <c r="AM165" s="13" t="s">
        <v>187</v>
      </c>
      <c r="AN165" s="13">
        <f>(AN161-AM161)/AM161</f>
        <v>5.00000000000001E-2</v>
      </c>
    </row>
    <row r="166" spans="1:50" x14ac:dyDescent="0.2">
      <c r="AM166" s="13" t="s">
        <v>187</v>
      </c>
      <c r="AN166" s="13">
        <f t="shared" ref="AN166:AN168" si="59">(AN162-AM162)/AM162</f>
        <v>5.0000000000000072E-2</v>
      </c>
    </row>
    <row r="167" spans="1:50" x14ac:dyDescent="0.2">
      <c r="A167" s="5" t="s">
        <v>32</v>
      </c>
      <c r="AM167" s="13" t="s">
        <v>187</v>
      </c>
      <c r="AN167" s="13">
        <f t="shared" si="59"/>
        <v>5.0000000000000169E-2</v>
      </c>
    </row>
    <row r="168" spans="1:50" x14ac:dyDescent="0.2">
      <c r="A168" s="5" t="s">
        <v>4</v>
      </c>
      <c r="AM168" s="13" t="s">
        <v>187</v>
      </c>
      <c r="AN168" s="13">
        <f t="shared" si="59"/>
        <v>5.0000000000000065E-2</v>
      </c>
    </row>
    <row r="169" spans="1:50" x14ac:dyDescent="0.2">
      <c r="A169" s="5" t="s">
        <v>176</v>
      </c>
    </row>
    <row r="170" spans="1:50" x14ac:dyDescent="0.2">
      <c r="A170" s="5" t="s">
        <v>6</v>
      </c>
    </row>
    <row r="171" spans="1:50" x14ac:dyDescent="0.2">
      <c r="A171" t="s">
        <v>156</v>
      </c>
      <c r="B171">
        <v>1000000</v>
      </c>
    </row>
    <row r="172" spans="1:50" x14ac:dyDescent="0.2">
      <c r="A172" s="6" t="s">
        <v>7</v>
      </c>
      <c r="B172" s="6">
        <v>2022</v>
      </c>
      <c r="C172" s="6">
        <v>2023</v>
      </c>
      <c r="D172" s="6">
        <v>2024</v>
      </c>
      <c r="E172" s="6">
        <v>2025</v>
      </c>
      <c r="F172" s="6">
        <v>2026</v>
      </c>
      <c r="G172" s="6">
        <v>2027</v>
      </c>
      <c r="H172" s="6">
        <v>2028</v>
      </c>
      <c r="I172" s="6">
        <v>2029</v>
      </c>
      <c r="J172" s="6">
        <v>2030</v>
      </c>
      <c r="K172" s="6">
        <v>2031</v>
      </c>
      <c r="L172" s="6">
        <v>2032</v>
      </c>
      <c r="M172" s="6">
        <v>2033</v>
      </c>
      <c r="N172" s="6">
        <v>2034</v>
      </c>
      <c r="O172" s="6">
        <v>2035</v>
      </c>
      <c r="P172" s="6">
        <v>2036</v>
      </c>
      <c r="Q172" s="6">
        <v>2037</v>
      </c>
      <c r="R172" s="6">
        <v>2038</v>
      </c>
      <c r="S172" s="6">
        <v>2039</v>
      </c>
      <c r="T172" s="6">
        <v>2040</v>
      </c>
      <c r="U172" s="6">
        <v>2041</v>
      </c>
      <c r="V172" s="6">
        <v>2042</v>
      </c>
      <c r="W172" s="6">
        <v>2043</v>
      </c>
      <c r="X172" s="6">
        <v>2044</v>
      </c>
      <c r="Y172" s="6">
        <v>2045</v>
      </c>
      <c r="Z172" s="6">
        <v>2046</v>
      </c>
      <c r="AA172" s="6">
        <v>2047</v>
      </c>
      <c r="AB172" s="6">
        <v>2048</v>
      </c>
      <c r="AC172" s="6">
        <v>2049</v>
      </c>
      <c r="AD172" s="6">
        <v>2050</v>
      </c>
      <c r="AE172" s="6">
        <v>2051</v>
      </c>
      <c r="AF172" s="6">
        <v>2052</v>
      </c>
      <c r="AG172" s="6">
        <v>2053</v>
      </c>
      <c r="AH172" s="6">
        <v>2054</v>
      </c>
      <c r="AI172" s="6">
        <v>2055</v>
      </c>
      <c r="AJ172" s="6">
        <v>2056</v>
      </c>
      <c r="AK172" s="6">
        <v>2057</v>
      </c>
      <c r="AL172" s="6">
        <v>2058</v>
      </c>
      <c r="AM172" s="6">
        <v>2059</v>
      </c>
      <c r="AN172" s="6">
        <v>2060</v>
      </c>
      <c r="AO172" s="39">
        <f>AN172+1</f>
        <v>2061</v>
      </c>
      <c r="AP172" s="39">
        <f t="shared" ref="AP172:AX172" si="60">AO172+1</f>
        <v>2062</v>
      </c>
      <c r="AQ172" s="39">
        <f t="shared" si="60"/>
        <v>2063</v>
      </c>
      <c r="AR172" s="39">
        <f t="shared" si="60"/>
        <v>2064</v>
      </c>
      <c r="AS172" s="39">
        <f t="shared" si="60"/>
        <v>2065</v>
      </c>
      <c r="AT172" s="39">
        <f t="shared" si="60"/>
        <v>2066</v>
      </c>
      <c r="AU172" s="39">
        <f t="shared" si="60"/>
        <v>2067</v>
      </c>
      <c r="AV172" s="39">
        <f t="shared" si="60"/>
        <v>2068</v>
      </c>
      <c r="AW172" s="39">
        <f>AV172+1</f>
        <v>2069</v>
      </c>
      <c r="AX172" s="39">
        <f t="shared" si="60"/>
        <v>2070</v>
      </c>
    </row>
    <row r="173" spans="1:50" x14ac:dyDescent="0.2">
      <c r="A173" s="6" t="s">
        <v>34</v>
      </c>
      <c r="B173" s="11">
        <v>60.376923983079131</v>
      </c>
      <c r="C173" s="11">
        <v>60.583379402383386</v>
      </c>
      <c r="D173" s="11">
        <v>60.78983482168767</v>
      </c>
      <c r="E173" s="11">
        <v>60.996290240991939</v>
      </c>
      <c r="F173" s="11">
        <v>61.548555604970311</v>
      </c>
      <c r="G173" s="11">
        <v>62.100820968948696</v>
      </c>
      <c r="H173" s="11">
        <v>62.653086332927096</v>
      </c>
      <c r="I173" s="11">
        <v>63.20535169690546</v>
      </c>
      <c r="J173" s="11">
        <v>63.757617060883824</v>
      </c>
      <c r="K173" s="11">
        <v>64.221477282815371</v>
      </c>
      <c r="L173" s="11">
        <v>64.68533750474694</v>
      </c>
      <c r="M173" s="11">
        <v>65.149197726678466</v>
      </c>
      <c r="N173" s="11">
        <v>65.61305794861002</v>
      </c>
      <c r="O173" s="11">
        <v>66.07691817054156</v>
      </c>
      <c r="P173" s="11">
        <v>66.451351256035394</v>
      </c>
      <c r="Q173" s="11">
        <v>66.825784341529214</v>
      </c>
      <c r="R173" s="11">
        <v>67.20021742702302</v>
      </c>
      <c r="S173" s="11">
        <v>67.57465051251684</v>
      </c>
      <c r="T173" s="11">
        <v>67.949083598010674</v>
      </c>
      <c r="U173" s="11">
        <v>68.236052529437941</v>
      </c>
      <c r="V173" s="11">
        <v>68.523021460865223</v>
      </c>
      <c r="W173" s="11">
        <v>68.809990392292534</v>
      </c>
      <c r="X173" s="11">
        <v>69.096959323719815</v>
      </c>
      <c r="Y173" s="11">
        <v>69.383928255147111</v>
      </c>
      <c r="Z173" s="11">
        <v>69.586978486056722</v>
      </c>
      <c r="AA173" s="11">
        <v>69.790028716966319</v>
      </c>
      <c r="AB173" s="11">
        <v>69.993078947875944</v>
      </c>
      <c r="AC173" s="11">
        <v>70.196129178785526</v>
      </c>
      <c r="AD173" s="11">
        <v>70.399179409695165</v>
      </c>
      <c r="AE173" s="11">
        <v>70.399179409695165</v>
      </c>
      <c r="AF173" s="11">
        <v>70.399179409695165</v>
      </c>
      <c r="AG173" s="11">
        <v>70.399179409695165</v>
      </c>
      <c r="AH173" s="11">
        <v>70.399179409695165</v>
      </c>
      <c r="AI173" s="11">
        <v>70.399179409695165</v>
      </c>
      <c r="AJ173" s="11">
        <v>70.399179409695165</v>
      </c>
      <c r="AK173" s="11">
        <v>70.399179409695165</v>
      </c>
      <c r="AL173" s="11">
        <v>70.399179409695165</v>
      </c>
      <c r="AM173" s="11">
        <v>70.399179409695165</v>
      </c>
      <c r="AN173" s="11">
        <v>70.399179409695165</v>
      </c>
      <c r="AO173" s="39">
        <f>(AN173+AN173*$AN$177)</f>
        <v>70.399179409695165</v>
      </c>
      <c r="AP173" s="39">
        <f t="shared" ref="AP173:AX173" si="61">(AO173+AO173*$AN$177)</f>
        <v>70.399179409695165</v>
      </c>
      <c r="AQ173" s="39">
        <f t="shared" si="61"/>
        <v>70.399179409695165</v>
      </c>
      <c r="AR173" s="39">
        <f t="shared" si="61"/>
        <v>70.399179409695165</v>
      </c>
      <c r="AS173" s="39">
        <f t="shared" si="61"/>
        <v>70.399179409695165</v>
      </c>
      <c r="AT173" s="39">
        <f t="shared" si="61"/>
        <v>70.399179409695165</v>
      </c>
      <c r="AU173" s="39">
        <f t="shared" si="61"/>
        <v>70.399179409695165</v>
      </c>
      <c r="AV173" s="39">
        <f t="shared" si="61"/>
        <v>70.399179409695165</v>
      </c>
      <c r="AW173" s="39">
        <f t="shared" si="61"/>
        <v>70.399179409695165</v>
      </c>
      <c r="AX173" s="39">
        <f t="shared" si="61"/>
        <v>70.399179409695165</v>
      </c>
    </row>
    <row r="174" spans="1:50" x14ac:dyDescent="0.2">
      <c r="A174" s="6" t="s">
        <v>35</v>
      </c>
      <c r="B174" s="11">
        <v>23.547942271091699</v>
      </c>
      <c r="C174" s="11">
        <v>23.628463105453736</v>
      </c>
      <c r="D174" s="11">
        <v>23.708983939815777</v>
      </c>
      <c r="E174" s="11">
        <v>23.789504774177825</v>
      </c>
      <c r="F174" s="11">
        <v>24.004896881813693</v>
      </c>
      <c r="G174" s="11">
        <v>24.220288989449568</v>
      </c>
      <c r="H174" s="11">
        <v>24.435681097085443</v>
      </c>
      <c r="I174" s="11">
        <v>24.651073204721314</v>
      </c>
      <c r="J174" s="11">
        <v>24.866465312357185</v>
      </c>
      <c r="K174" s="11">
        <v>25.047378035419413</v>
      </c>
      <c r="L174" s="11">
        <v>25.228290758481641</v>
      </c>
      <c r="M174" s="11">
        <v>25.409203481543862</v>
      </c>
      <c r="N174" s="11">
        <v>25.59011620460609</v>
      </c>
      <c r="O174" s="11">
        <v>25.771028927668315</v>
      </c>
      <c r="P174" s="11">
        <v>25.91706367240069</v>
      </c>
      <c r="Q174" s="11">
        <v>26.063098417133073</v>
      </c>
      <c r="R174" s="11">
        <v>26.209133161865452</v>
      </c>
      <c r="S174" s="11">
        <v>26.355167906597831</v>
      </c>
      <c r="T174" s="11">
        <v>26.501202651330214</v>
      </c>
      <c r="U174" s="11">
        <v>26.613125011481259</v>
      </c>
      <c r="V174" s="11">
        <v>26.725047371632304</v>
      </c>
      <c r="W174" s="11">
        <v>26.836969731783356</v>
      </c>
      <c r="X174" s="11">
        <v>26.9488920919344</v>
      </c>
      <c r="Y174" s="11">
        <v>27.060814452085452</v>
      </c>
      <c r="Z174" s="11">
        <v>27.140007209850509</v>
      </c>
      <c r="AA174" s="11">
        <v>27.219199967615566</v>
      </c>
      <c r="AB174" s="11">
        <v>27.29839272538063</v>
      </c>
      <c r="AC174" s="11">
        <v>27.377585483145687</v>
      </c>
      <c r="AD174" s="11">
        <v>27.456778240910744</v>
      </c>
      <c r="AE174" s="11">
        <v>27.456778240910744</v>
      </c>
      <c r="AF174" s="11">
        <v>27.456778240910744</v>
      </c>
      <c r="AG174" s="11">
        <v>27.456778240910744</v>
      </c>
      <c r="AH174" s="11">
        <v>27.456778240910744</v>
      </c>
      <c r="AI174" s="11">
        <v>27.456778240910744</v>
      </c>
      <c r="AJ174" s="11">
        <v>27.456778240910744</v>
      </c>
      <c r="AK174" s="11">
        <v>27.456778240910744</v>
      </c>
      <c r="AL174" s="11">
        <v>27.456778240910744</v>
      </c>
      <c r="AM174" s="11">
        <v>27.456778240910744</v>
      </c>
      <c r="AN174" s="11">
        <v>27.456778240910744</v>
      </c>
      <c r="AO174" s="39">
        <f t="shared" ref="AO174:AX176" si="62">(AN174+AN174*$AN$177)</f>
        <v>27.456778240910744</v>
      </c>
      <c r="AP174" s="39">
        <f t="shared" si="62"/>
        <v>27.456778240910744</v>
      </c>
      <c r="AQ174" s="39">
        <f t="shared" si="62"/>
        <v>27.456778240910744</v>
      </c>
      <c r="AR174" s="39">
        <f t="shared" si="62"/>
        <v>27.456778240910744</v>
      </c>
      <c r="AS174" s="39">
        <f t="shared" si="62"/>
        <v>27.456778240910744</v>
      </c>
      <c r="AT174" s="39">
        <f t="shared" si="62"/>
        <v>27.456778240910744</v>
      </c>
      <c r="AU174" s="39">
        <f t="shared" si="62"/>
        <v>27.456778240910744</v>
      </c>
      <c r="AV174" s="39">
        <f t="shared" si="62"/>
        <v>27.456778240910744</v>
      </c>
      <c r="AW174" s="39">
        <f t="shared" si="62"/>
        <v>27.456778240910744</v>
      </c>
      <c r="AX174" s="39">
        <f t="shared" si="62"/>
        <v>27.456778240910744</v>
      </c>
    </row>
    <row r="175" spans="1:50" x14ac:dyDescent="0.2">
      <c r="A175" s="6" t="s">
        <v>36</v>
      </c>
      <c r="B175" s="11">
        <v>6.4050402977369441</v>
      </c>
      <c r="C175" s="11">
        <v>6.4269419646834169</v>
      </c>
      <c r="D175" s="11">
        <v>6.4488436316298925</v>
      </c>
      <c r="E175" s="11">
        <v>6.470745298576368</v>
      </c>
      <c r="F175" s="11">
        <v>6.5293319518533259</v>
      </c>
      <c r="G175" s="11">
        <v>6.5879186051302829</v>
      </c>
      <c r="H175" s="11">
        <v>6.6465052584072417</v>
      </c>
      <c r="I175" s="11">
        <v>6.7050919116841987</v>
      </c>
      <c r="J175" s="11">
        <v>6.7636785649611548</v>
      </c>
      <c r="K175" s="11">
        <v>6.8128868256340809</v>
      </c>
      <c r="L175" s="11">
        <v>6.8620950863070078</v>
      </c>
      <c r="M175" s="11">
        <v>6.9113033469799312</v>
      </c>
      <c r="N175" s="11">
        <v>6.9605116076528573</v>
      </c>
      <c r="O175" s="11">
        <v>7.0097198683257824</v>
      </c>
      <c r="P175" s="11">
        <v>7.0494413188929892</v>
      </c>
      <c r="Q175" s="11">
        <v>7.0891627694601969</v>
      </c>
      <c r="R175" s="11">
        <v>7.1288842200274027</v>
      </c>
      <c r="S175" s="11">
        <v>7.1686056705946104</v>
      </c>
      <c r="T175" s="11">
        <v>7.2083271211618181</v>
      </c>
      <c r="U175" s="11">
        <v>7.2387700031229034</v>
      </c>
      <c r="V175" s="11">
        <v>7.269212885083987</v>
      </c>
      <c r="W175" s="11">
        <v>7.2996557670450741</v>
      </c>
      <c r="X175" s="11">
        <v>7.3300986490061577</v>
      </c>
      <c r="Y175" s="11">
        <v>7.3605415309672448</v>
      </c>
      <c r="Z175" s="11">
        <v>7.3820819610793391</v>
      </c>
      <c r="AA175" s="11">
        <v>7.4036223911914352</v>
      </c>
      <c r="AB175" s="11">
        <v>7.4251628213035321</v>
      </c>
      <c r="AC175" s="11">
        <v>7.4467032514156273</v>
      </c>
      <c r="AD175" s="11">
        <v>7.4682436815277233</v>
      </c>
      <c r="AE175" s="11">
        <v>7.4682436815277233</v>
      </c>
      <c r="AF175" s="11">
        <v>7.4682436815277233</v>
      </c>
      <c r="AG175" s="11">
        <v>7.4682436815277233</v>
      </c>
      <c r="AH175" s="11">
        <v>7.4682436815277233</v>
      </c>
      <c r="AI175" s="11">
        <v>7.4682436815277233</v>
      </c>
      <c r="AJ175" s="11">
        <v>7.4682436815277233</v>
      </c>
      <c r="AK175" s="11">
        <v>7.4682436815277233</v>
      </c>
      <c r="AL175" s="11">
        <v>7.4682436815277233</v>
      </c>
      <c r="AM175" s="11">
        <v>7.4682436815277233</v>
      </c>
      <c r="AN175" s="11">
        <v>7.4682436815277233</v>
      </c>
      <c r="AO175" s="39">
        <f t="shared" si="62"/>
        <v>7.4682436815277233</v>
      </c>
      <c r="AP175" s="39">
        <f t="shared" si="62"/>
        <v>7.4682436815277233</v>
      </c>
      <c r="AQ175" s="39">
        <f t="shared" si="62"/>
        <v>7.4682436815277233</v>
      </c>
      <c r="AR175" s="39">
        <f t="shared" si="62"/>
        <v>7.4682436815277233</v>
      </c>
      <c r="AS175" s="39">
        <f t="shared" si="62"/>
        <v>7.4682436815277233</v>
      </c>
      <c r="AT175" s="39">
        <f t="shared" si="62"/>
        <v>7.4682436815277233</v>
      </c>
      <c r="AU175" s="39">
        <f t="shared" si="62"/>
        <v>7.4682436815277233</v>
      </c>
      <c r="AV175" s="39">
        <f t="shared" si="62"/>
        <v>7.4682436815277233</v>
      </c>
      <c r="AW175" s="39">
        <f t="shared" si="62"/>
        <v>7.4682436815277233</v>
      </c>
      <c r="AX175" s="39">
        <f t="shared" si="62"/>
        <v>7.4682436815277233</v>
      </c>
    </row>
    <row r="176" spans="1:50" x14ac:dyDescent="0.2">
      <c r="A176" s="6" t="s">
        <v>37</v>
      </c>
      <c r="B176" s="11">
        <v>3.8618625324590394</v>
      </c>
      <c r="C176" s="11">
        <v>3.8750679492944129</v>
      </c>
      <c r="D176" s="11">
        <v>3.8882733661297881</v>
      </c>
      <c r="E176" s="11">
        <v>3.9014787829651629</v>
      </c>
      <c r="F176" s="11">
        <v>3.9368030886174461</v>
      </c>
      <c r="G176" s="11">
        <v>3.9721273942697288</v>
      </c>
      <c r="H176" s="11">
        <v>4.0074516999220133</v>
      </c>
      <c r="I176" s="11">
        <v>4.0427760055742956</v>
      </c>
      <c r="J176" s="11">
        <v>4.0781003112265788</v>
      </c>
      <c r="K176" s="11">
        <v>4.1077699978087834</v>
      </c>
      <c r="L176" s="11">
        <v>4.1374396843909897</v>
      </c>
      <c r="M176" s="11">
        <v>4.1671093709731943</v>
      </c>
      <c r="N176" s="11">
        <v>4.1967790575553989</v>
      </c>
      <c r="O176" s="11">
        <v>4.2264487441376035</v>
      </c>
      <c r="P176" s="11">
        <v>4.2503984422737133</v>
      </c>
      <c r="Q176" s="11">
        <v>4.2743481404098231</v>
      </c>
      <c r="R176" s="11">
        <v>4.2982978385459347</v>
      </c>
      <c r="S176" s="11">
        <v>4.3222475366820445</v>
      </c>
      <c r="T176" s="11">
        <v>4.3461972348181552</v>
      </c>
      <c r="U176" s="11">
        <v>4.364552501882927</v>
      </c>
      <c r="V176" s="11">
        <v>4.382907768947697</v>
      </c>
      <c r="W176" s="11">
        <v>4.4012630360124705</v>
      </c>
      <c r="X176" s="11">
        <v>4.4196183030772422</v>
      </c>
      <c r="Y176" s="11">
        <v>4.4379735701420149</v>
      </c>
      <c r="Z176" s="11">
        <v>4.4509611824154831</v>
      </c>
      <c r="AA176" s="11">
        <v>4.4639487946889531</v>
      </c>
      <c r="AB176" s="11">
        <v>4.476936406962424</v>
      </c>
      <c r="AC176" s="11">
        <v>4.4899240192358922</v>
      </c>
      <c r="AD176" s="11">
        <v>4.5029116315093614</v>
      </c>
      <c r="AE176" s="11">
        <v>4.5029116315093614</v>
      </c>
      <c r="AF176" s="11">
        <v>4.5029116315093614</v>
      </c>
      <c r="AG176" s="11">
        <v>4.5029116315093614</v>
      </c>
      <c r="AH176" s="11">
        <v>4.5029116315093614</v>
      </c>
      <c r="AI176" s="11">
        <v>4.5029116315093614</v>
      </c>
      <c r="AJ176" s="11">
        <v>4.5029116315093614</v>
      </c>
      <c r="AK176" s="11">
        <v>4.5029116315093614</v>
      </c>
      <c r="AL176" s="11">
        <v>4.5029116315093614</v>
      </c>
      <c r="AM176" s="11">
        <v>4.5029116315093614</v>
      </c>
      <c r="AN176" s="11">
        <v>4.5029116315093614</v>
      </c>
      <c r="AO176" s="39">
        <f t="shared" si="62"/>
        <v>4.5029116315093614</v>
      </c>
      <c r="AP176" s="39">
        <f t="shared" si="62"/>
        <v>4.5029116315093614</v>
      </c>
      <c r="AQ176" s="39">
        <f t="shared" si="62"/>
        <v>4.5029116315093614</v>
      </c>
      <c r="AR176" s="39">
        <f t="shared" si="62"/>
        <v>4.5029116315093614</v>
      </c>
      <c r="AS176" s="39">
        <f t="shared" si="62"/>
        <v>4.5029116315093614</v>
      </c>
      <c r="AT176" s="39">
        <f t="shared" si="62"/>
        <v>4.5029116315093614</v>
      </c>
      <c r="AU176" s="39">
        <f t="shared" si="62"/>
        <v>4.5029116315093614</v>
      </c>
      <c r="AV176" s="39">
        <f t="shared" si="62"/>
        <v>4.5029116315093614</v>
      </c>
      <c r="AW176" s="39">
        <f t="shared" si="62"/>
        <v>4.5029116315093614</v>
      </c>
      <c r="AX176" s="39">
        <f t="shared" si="62"/>
        <v>4.5029116315093614</v>
      </c>
    </row>
    <row r="177" spans="39:40" x14ac:dyDescent="0.2">
      <c r="AM177" s="13" t="s">
        <v>187</v>
      </c>
      <c r="AN177" s="13">
        <f>(AN173-AM173)/AM173</f>
        <v>0</v>
      </c>
    </row>
    <row r="178" spans="39:40" x14ac:dyDescent="0.2">
      <c r="AM178" s="13" t="s">
        <v>187</v>
      </c>
      <c r="AN178" s="13">
        <f t="shared" ref="AN178:AN180" si="63">(AN174-AM174)/AM174</f>
        <v>0</v>
      </c>
    </row>
    <row r="179" spans="39:40" x14ac:dyDescent="0.2">
      <c r="AM179" s="13" t="s">
        <v>187</v>
      </c>
      <c r="AN179" s="13">
        <f t="shared" si="63"/>
        <v>0</v>
      </c>
    </row>
    <row r="180" spans="39:40" x14ac:dyDescent="0.2">
      <c r="AM180" s="13" t="s">
        <v>187</v>
      </c>
      <c r="AN180" s="13">
        <f t="shared" si="6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A4CF-ECBB-4F4A-811A-A6D1DB5FA7EF}">
  <sheetPr>
    <tabColor theme="4" tint="0.79998168889431442"/>
  </sheetPr>
  <dimension ref="A1:AX176"/>
  <sheetViews>
    <sheetView topLeftCell="AL60" workbookViewId="0">
      <selection activeCell="AO172" sqref="AO172:AX176"/>
    </sheetView>
  </sheetViews>
  <sheetFormatPr baseColWidth="10" defaultRowHeight="16" x14ac:dyDescent="0.2"/>
  <sheetData>
    <row r="1" spans="1:50" x14ac:dyDescent="0.2">
      <c r="A1" s="5" t="s">
        <v>157</v>
      </c>
    </row>
    <row r="2" spans="1:50" x14ac:dyDescent="0.2">
      <c r="A2" s="5" t="s">
        <v>4</v>
      </c>
    </row>
    <row r="3" spans="1:50" x14ac:dyDescent="0.2">
      <c r="A3" s="5" t="s">
        <v>33</v>
      </c>
    </row>
    <row r="4" spans="1:50" x14ac:dyDescent="0.2">
      <c r="A4" s="5" t="s">
        <v>6</v>
      </c>
    </row>
    <row r="5" spans="1:50" x14ac:dyDescent="0.2">
      <c r="A5" s="5"/>
    </row>
    <row r="6" spans="1:5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c r="AO6" s="39">
        <f>AN6+1</f>
        <v>2061</v>
      </c>
      <c r="AP6" s="39">
        <f t="shared" ref="AP6:AX6" si="0">AO6+1</f>
        <v>2062</v>
      </c>
      <c r="AQ6" s="39">
        <f t="shared" si="0"/>
        <v>2063</v>
      </c>
      <c r="AR6" s="39">
        <f t="shared" si="0"/>
        <v>2064</v>
      </c>
      <c r="AS6" s="39">
        <f t="shared" si="0"/>
        <v>2065</v>
      </c>
      <c r="AT6" s="39">
        <f t="shared" si="0"/>
        <v>2066</v>
      </c>
      <c r="AU6" s="39">
        <f t="shared" si="0"/>
        <v>2067</v>
      </c>
      <c r="AV6" s="39">
        <f t="shared" si="0"/>
        <v>2068</v>
      </c>
      <c r="AW6" s="39">
        <f>AV6+1</f>
        <v>2069</v>
      </c>
      <c r="AX6" s="39">
        <f t="shared" si="0"/>
        <v>2070</v>
      </c>
    </row>
    <row r="7" spans="1:50" x14ac:dyDescent="0.2">
      <c r="A7" s="6" t="s">
        <v>34</v>
      </c>
      <c r="B7" s="11">
        <f>Electricity!B7*Electricity!$B$5</f>
        <v>45305693.4381174</v>
      </c>
      <c r="C7" s="11">
        <f>Electricity!C7*Electricity!$B$5</f>
        <v>47574826.293547623</v>
      </c>
      <c r="D7" s="11">
        <f>Electricity!D7*Electricity!$B$5</f>
        <v>48037120.061488099</v>
      </c>
      <c r="E7" s="11">
        <f>Electricity!E7*Electricity!$B$5</f>
        <v>48501452.705432124</v>
      </c>
      <c r="F7" s="11">
        <f>Electricity!F7*Electricity!$B$5</f>
        <v>49244503.978934832</v>
      </c>
      <c r="G7" s="11">
        <f>Electricity!G7*Electricity!$B$5</f>
        <v>49993009.217279024</v>
      </c>
      <c r="H7" s="11">
        <f>Electricity!H7*Electricity!$B$5</f>
        <v>50746968.420464687</v>
      </c>
      <c r="I7" s="11">
        <f>Electricity!I7*Electricity!$B$5</f>
        <v>51506381.588491805</v>
      </c>
      <c r="J7" s="11">
        <f>Electricity!J7*Electricity!$B$5</f>
        <v>52271248.721360348</v>
      </c>
      <c r="K7" s="11">
        <f>Electricity!K7*Electricity!$B$5</f>
        <v>52968654.936669156</v>
      </c>
      <c r="L7" s="11">
        <f>Electricity!L7*Electricity!$B$5</f>
        <v>53670642.06091556</v>
      </c>
      <c r="M7" s="11">
        <f>Electricity!M7*Electricity!$B$5</f>
        <v>54377210.094099551</v>
      </c>
      <c r="N7" s="11">
        <f>Electricity!N7*Electricity!$B$5</f>
        <v>55088359.036221132</v>
      </c>
      <c r="O7" s="11">
        <f>Electricity!O7*Electricity!$B$5</f>
        <v>55804088.887280278</v>
      </c>
      <c r="P7" s="11">
        <f>Electricity!P7*Electricity!$B$5</f>
        <v>56448433.971469812</v>
      </c>
      <c r="Q7" s="11">
        <f>Electricity!Q7*Electricity!$B$5</f>
        <v>57096476.815861203</v>
      </c>
      <c r="R7" s="11">
        <f>Electricity!R7*Electricity!$B$5</f>
        <v>57748217.420454405</v>
      </c>
      <c r="S7" s="11">
        <f>Electricity!S7*Electricity!$B$5</f>
        <v>58403655.785249449</v>
      </c>
      <c r="T7" s="11">
        <f>Electricity!T7*Electricity!$B$5</f>
        <v>59062791.910246283</v>
      </c>
      <c r="U7" s="11">
        <f>Electricity!U7*Electricity!$B$5</f>
        <v>59649168.206757069</v>
      </c>
      <c r="V7" s="11">
        <f>Electricity!V7*Electricity!$B$5</f>
        <v>60238378.500408903</v>
      </c>
      <c r="W7" s="11">
        <f>Electricity!W7*Electricity!$B$5</f>
        <v>60830422.791201748</v>
      </c>
      <c r="X7" s="11">
        <f>Electricity!X7*Electricity!$B$5</f>
        <v>61425301.079135627</v>
      </c>
      <c r="Y7" s="11">
        <f>Electricity!Y7*Electricity!$B$5</f>
        <v>62023013.364210464</v>
      </c>
      <c r="Z7" s="11">
        <f>Electricity!Z7*Electricity!$B$5</f>
        <v>62548129.474582158</v>
      </c>
      <c r="AA7" s="11">
        <f>Electricity!AA7*Electricity!$B$5</f>
        <v>63075250.832598686</v>
      </c>
      <c r="AB7" s="11">
        <f>Electricity!AB7*Electricity!$B$5</f>
        <v>63604377.438260064</v>
      </c>
      <c r="AC7" s="11">
        <f>Electricity!AC7*Electricity!$B$5</f>
        <v>64135509.291566238</v>
      </c>
      <c r="AD7" s="11">
        <f>Electricity!AD7*Electricity!$B$5</f>
        <v>64668646.392517217</v>
      </c>
      <c r="AE7" s="11">
        <f>Electricity!AE7*Electricity!$B$5</f>
        <v>65016264.290009089</v>
      </c>
      <c r="AF7" s="11">
        <f>Electricity!AF7*Electricity!$B$5</f>
        <v>65363882.187501006</v>
      </c>
      <c r="AG7" s="11">
        <f>Electricity!AG7*Electricity!$B$5</f>
        <v>65711500.084992923</v>
      </c>
      <c r="AH7" s="11">
        <f>Electricity!AH7*Electricity!$B$5</f>
        <v>66059117.982484862</v>
      </c>
      <c r="AI7" s="11">
        <f>Electricity!AI7*Electricity!$B$5</f>
        <v>66406735.879976749</v>
      </c>
      <c r="AJ7" s="11">
        <f>Electricity!AJ7*Electricity!$B$5</f>
        <v>66754353.777468622</v>
      </c>
      <c r="AK7" s="11">
        <f>Electricity!AK7*Electricity!$B$5</f>
        <v>67101971.674960509</v>
      </c>
      <c r="AL7" s="11">
        <f>Electricity!AL7*Electricity!$B$5</f>
        <v>67449589.572452486</v>
      </c>
      <c r="AM7" s="11">
        <f>Electricity!AM7*Electricity!$B$5</f>
        <v>67797207.469944388</v>
      </c>
      <c r="AN7" s="11">
        <f>Electricity!AN7*Electricity!$B$5</f>
        <v>68144825.367436305</v>
      </c>
      <c r="AO7" s="40">
        <f>Electricity!AO7*Electricity!$B$5</f>
        <v>68494225.612714618</v>
      </c>
      <c r="AP7" s="40">
        <f>Electricity!AP7*Electricity!$B$5</f>
        <v>68845417.344444647</v>
      </c>
      <c r="AQ7" s="40">
        <f>Electricity!AQ7*Electricity!$B$5</f>
        <v>69198409.748148575</v>
      </c>
      <c r="AR7" s="40">
        <f>Electricity!AR7*Electricity!$B$5</f>
        <v>69553212.056445718</v>
      </c>
      <c r="AS7" s="40">
        <f>Electricity!AS7*Electricity!$B$5</f>
        <v>69909833.549293935</v>
      </c>
      <c r="AT7" s="40">
        <f>Electricity!AT7*Electricity!$B$5</f>
        <v>70268283.554232419</v>
      </c>
      <c r="AU7" s="40">
        <f>Electricity!AU7*Electricity!$B$5</f>
        <v>70628571.44662559</v>
      </c>
      <c r="AV7" s="40">
        <f>Electricity!AV7*Electricity!$B$5</f>
        <v>70990706.649908394</v>
      </c>
      <c r="AW7" s="40">
        <f>Electricity!AW7*Electricity!$B$5</f>
        <v>71354698.635832712</v>
      </c>
      <c r="AX7" s="40">
        <f>Electricity!AX7*Electricity!$B$5</f>
        <v>71720556.924715102</v>
      </c>
    </row>
    <row r="8" spans="1:50" x14ac:dyDescent="0.2">
      <c r="A8" s="6" t="s">
        <v>35</v>
      </c>
      <c r="B8" s="11">
        <f>Electricity!B8*Electricity!$B$5</f>
        <v>17669927.237955302</v>
      </c>
      <c r="C8" s="11">
        <f>Electricity!C8*Electricity!$B$5</f>
        <v>18554924.451461632</v>
      </c>
      <c r="D8" s="11">
        <f>Electricity!D8*Electricity!$B$5</f>
        <v>18735226.233029678</v>
      </c>
      <c r="E8" s="11">
        <f>Electricity!E8*Electricity!$B$5</f>
        <v>18916323.20804685</v>
      </c>
      <c r="F8" s="11">
        <f>Electricity!F8*Electricity!$B$5</f>
        <v>19206124.796776455</v>
      </c>
      <c r="G8" s="11">
        <f>Electricity!G8*Electricity!$B$5</f>
        <v>19498053.516879495</v>
      </c>
      <c r="H8" s="11">
        <f>Electricity!H8*Electricity!$B$5</f>
        <v>19792109.36835596</v>
      </c>
      <c r="I8" s="11">
        <f>Electricity!I8*Electricity!$B$5</f>
        <v>20088292.351205852</v>
      </c>
      <c r="J8" s="11">
        <f>Electricity!J8*Electricity!$B$5</f>
        <v>20386602.465429153</v>
      </c>
      <c r="K8" s="11">
        <f>Electricity!K8*Electricity!$B$5</f>
        <v>20658601.769371744</v>
      </c>
      <c r="L8" s="11">
        <f>Electricity!L8*Electricity!$B$5</f>
        <v>20932387.699265037</v>
      </c>
      <c r="M8" s="11">
        <f>Electricity!M8*Electricity!$B$5</f>
        <v>21207960.255109027</v>
      </c>
      <c r="N8" s="11">
        <f>Electricity!N8*Electricity!$B$5</f>
        <v>21485319.436903715</v>
      </c>
      <c r="O8" s="11">
        <f>Electricity!O8*Electricity!$B$5</f>
        <v>21764465.244649094</v>
      </c>
      <c r="P8" s="11">
        <f>Electricity!P8*Electricity!$B$5</f>
        <v>22015769.879668415</v>
      </c>
      <c r="Q8" s="11">
        <f>Electricity!Q8*Electricity!$B$5</f>
        <v>22268516.698853821</v>
      </c>
      <c r="R8" s="11">
        <f>Electricity!R8*Electricity!$B$5</f>
        <v>22522705.702205304</v>
      </c>
      <c r="S8" s="11">
        <f>Electricity!S8*Electricity!$B$5</f>
        <v>22778336.889722873</v>
      </c>
      <c r="T8" s="11">
        <f>Electricity!T8*Electricity!$B$5</f>
        <v>23035410.261406504</v>
      </c>
      <c r="U8" s="11">
        <f>Electricity!U8*Electricity!$B$5</f>
        <v>23264106.164881848</v>
      </c>
      <c r="V8" s="11">
        <f>Electricity!V8*Electricity!$B$5</f>
        <v>23493907.371454328</v>
      </c>
      <c r="W8" s="11">
        <f>Electricity!W8*Electricity!$B$5</f>
        <v>23724813.881123923</v>
      </c>
      <c r="X8" s="11">
        <f>Electricity!X8*Electricity!$B$5</f>
        <v>23956825.693890646</v>
      </c>
      <c r="Y8" s="11">
        <f>Electricity!Y8*Electricity!$B$5</f>
        <v>24189942.809754469</v>
      </c>
      <c r="Z8" s="11">
        <f>Electricity!Z8*Electricity!$B$5</f>
        <v>24394746.284938436</v>
      </c>
      <c r="AA8" s="11">
        <f>Electricity!AA8*Electricity!$B$5</f>
        <v>24600331.837987006</v>
      </c>
      <c r="AB8" s="11">
        <f>Electricity!AB8*Electricity!$B$5</f>
        <v>24806699.468900178</v>
      </c>
      <c r="AC8" s="11">
        <f>Electricity!AC8*Electricity!$B$5</f>
        <v>25013849.177677937</v>
      </c>
      <c r="AD8" s="11">
        <f>Electricity!AD8*Electricity!$B$5</f>
        <v>25221780.964320287</v>
      </c>
      <c r="AE8" s="11">
        <f>Electricity!AE8*Electricity!$B$5</f>
        <v>25357357.36739824</v>
      </c>
      <c r="AF8" s="11">
        <f>Electricity!AF8*Electricity!$B$5</f>
        <v>25492933.770476207</v>
      </c>
      <c r="AG8" s="11">
        <f>Electricity!AG8*Electricity!$B$5</f>
        <v>25628510.173554175</v>
      </c>
      <c r="AH8" s="11">
        <f>Electricity!AH8*Electricity!$B$5</f>
        <v>25764086.576632161</v>
      </c>
      <c r="AI8" s="11">
        <f>Electricity!AI8*Electricity!$B$5</f>
        <v>25899662.979710124</v>
      </c>
      <c r="AJ8" s="11">
        <f>Electricity!AJ8*Electricity!$B$5</f>
        <v>26035239.382788073</v>
      </c>
      <c r="AK8" s="11">
        <f>Electricity!AK8*Electricity!$B$5</f>
        <v>26170815.785866037</v>
      </c>
      <c r="AL8" s="11">
        <f>Electricity!AL8*Electricity!$B$5</f>
        <v>26306392.188944023</v>
      </c>
      <c r="AM8" s="11">
        <f>Electricity!AM8*Electricity!$B$5</f>
        <v>26441968.592021991</v>
      </c>
      <c r="AN8" s="11">
        <f>Electricity!AN8*Electricity!$B$5</f>
        <v>26577544.995099962</v>
      </c>
      <c r="AO8" s="40">
        <f>Electricity!AO8*Electricity!$B$5</f>
        <v>26713816.541620363</v>
      </c>
      <c r="AP8" s="40">
        <f>Electricity!AP8*Electricity!$B$5</f>
        <v>26850786.795805242</v>
      </c>
      <c r="AQ8" s="40">
        <f>Electricity!AQ8*Electricity!$B$5</f>
        <v>26988459.340151548</v>
      </c>
      <c r="AR8" s="40">
        <f>Electricity!AR8*Electricity!$B$5</f>
        <v>27126837.775524851</v>
      </c>
      <c r="AS8" s="40">
        <f>Electricity!AS8*Electricity!$B$5</f>
        <v>27265925.721253484</v>
      </c>
      <c r="AT8" s="40">
        <f>Electricity!AT8*Electricity!$B$5</f>
        <v>27405726.815223247</v>
      </c>
      <c r="AU8" s="40">
        <f>Electricity!AU8*Electricity!$B$5</f>
        <v>27546244.713972535</v>
      </c>
      <c r="AV8" s="40">
        <f>Electricity!AV8*Electricity!$B$5</f>
        <v>27687483.092787977</v>
      </c>
      <c r="AW8" s="40">
        <f>Electricity!AW8*Electricity!$B$5</f>
        <v>27829445.645800579</v>
      </c>
      <c r="AX8" s="40">
        <f>Electricity!AX8*Electricity!$B$5</f>
        <v>27972136.086082321</v>
      </c>
    </row>
    <row r="9" spans="1:50" x14ac:dyDescent="0.2">
      <c r="A9" s="6" t="s">
        <v>36</v>
      </c>
      <c r="B9" s="11">
        <f>Electricity!B9*Electricity!$B$5</f>
        <v>4806220.2087238431</v>
      </c>
      <c r="C9" s="11">
        <f>Electricity!C9*Electricity!$B$5</f>
        <v>5046939.4507975634</v>
      </c>
      <c r="D9" s="11">
        <f>Electricity!D9*Electricity!$B$5</f>
        <v>5095981.5353840729</v>
      </c>
      <c r="E9" s="11">
        <f>Electricity!E9*Electricity!$B$5</f>
        <v>5145239.9125887435</v>
      </c>
      <c r="F9" s="11">
        <f>Electricity!F9*Electricity!$B$5</f>
        <v>5224065.9447231963</v>
      </c>
      <c r="G9" s="11">
        <f>Electricity!G9*Electricity!$B$5</f>
        <v>5303470.556591223</v>
      </c>
      <c r="H9" s="11">
        <f>Electricity!H9*Electricity!$B$5</f>
        <v>5383453.7481928216</v>
      </c>
      <c r="I9" s="11">
        <f>Electricity!I9*Electricity!$B$5</f>
        <v>5464015.5195279922</v>
      </c>
      <c r="J9" s="11">
        <f>Electricity!J9*Electricity!$B$5</f>
        <v>5545155.8705967302</v>
      </c>
      <c r="K9" s="11">
        <f>Electricity!K9*Electricity!$B$5</f>
        <v>5619139.6812691148</v>
      </c>
      <c r="L9" s="11">
        <f>Electricity!L9*Electricity!$B$5</f>
        <v>5693609.4542000899</v>
      </c>
      <c r="M9" s="11">
        <f>Electricity!M9*Electricity!$B$5</f>
        <v>5768565.1893896572</v>
      </c>
      <c r="N9" s="11">
        <f>Electricity!N9*Electricity!$B$5</f>
        <v>5844006.8868378112</v>
      </c>
      <c r="O9" s="11">
        <f>Electricity!O9*Electricity!$B$5</f>
        <v>5919934.5465445537</v>
      </c>
      <c r="P9" s="11">
        <f>Electricity!P9*Electricity!$B$5</f>
        <v>5988289.4072698085</v>
      </c>
      <c r="Q9" s="11">
        <f>Electricity!Q9*Electricity!$B$5</f>
        <v>6057036.5420882395</v>
      </c>
      <c r="R9" s="11">
        <f>Electricity!R9*Electricity!$B$5</f>
        <v>6126175.9509998439</v>
      </c>
      <c r="S9" s="11">
        <f>Electricity!S9*Electricity!$B$5</f>
        <v>6195707.6340046218</v>
      </c>
      <c r="T9" s="11">
        <f>Electricity!T9*Electricity!$B$5</f>
        <v>6265631.5911025694</v>
      </c>
      <c r="U9" s="11">
        <f>Electricity!U9*Electricity!$B$5</f>
        <v>6327836.8768478641</v>
      </c>
      <c r="V9" s="11">
        <f>Electricity!V9*Electricity!$B$5</f>
        <v>6390342.8050355781</v>
      </c>
      <c r="W9" s="11">
        <f>Electricity!W9*Electricity!$B$5</f>
        <v>6453149.3756657075</v>
      </c>
      <c r="X9" s="11">
        <f>Electricity!X9*Electricity!$B$5</f>
        <v>6516256.5887382571</v>
      </c>
      <c r="Y9" s="11">
        <f>Electricity!Y9*Electricity!$B$5</f>
        <v>6579664.4442532165</v>
      </c>
      <c r="Z9" s="11">
        <f>Electricity!Z9*Electricity!$B$5</f>
        <v>6635370.9895032551</v>
      </c>
      <c r="AA9" s="11">
        <f>Electricity!AA9*Electricity!$B$5</f>
        <v>6691290.2599324668</v>
      </c>
      <c r="AB9" s="11">
        <f>Electricity!AB9*Electricity!$B$5</f>
        <v>6747422.2555408487</v>
      </c>
      <c r="AC9" s="11">
        <f>Electricity!AC9*Electricity!$B$5</f>
        <v>6803766.9763284</v>
      </c>
      <c r="AD9" s="11">
        <f>Electricity!AD9*Electricity!$B$5</f>
        <v>6860324.4222951196</v>
      </c>
      <c r="AE9" s="11">
        <f>Electricity!AE9*Electricity!$B$5</f>
        <v>6897201.2039323216</v>
      </c>
      <c r="AF9" s="11">
        <f>Electricity!AF9*Electricity!$B$5</f>
        <v>6934077.9855695283</v>
      </c>
      <c r="AG9" s="11">
        <f>Electricity!AG9*Electricity!$B$5</f>
        <v>6970954.7672067368</v>
      </c>
      <c r="AH9" s="11">
        <f>Electricity!AH9*Electricity!$B$5</f>
        <v>7007831.5488439491</v>
      </c>
      <c r="AI9" s="11">
        <f>Electricity!AI9*Electricity!$B$5</f>
        <v>7044708.3304811548</v>
      </c>
      <c r="AJ9" s="11">
        <f>Electricity!AJ9*Electricity!$B$5</f>
        <v>7081585.1121183569</v>
      </c>
      <c r="AK9" s="11">
        <f>Electricity!AK9*Electricity!$B$5</f>
        <v>7118461.8937555626</v>
      </c>
      <c r="AL9" s="11">
        <f>Electricity!AL9*Electricity!$B$5</f>
        <v>7155338.6753927749</v>
      </c>
      <c r="AM9" s="11">
        <f>Electricity!AM9*Electricity!$B$5</f>
        <v>7192215.4570299834</v>
      </c>
      <c r="AN9" s="11">
        <f>Electricity!AN9*Electricity!$B$5</f>
        <v>7229092.2386671901</v>
      </c>
      <c r="AO9" s="40">
        <f>Electricity!AO9*Electricity!$B$5</f>
        <v>7266158.0993207395</v>
      </c>
      <c r="AP9" s="40">
        <f>Electricity!AP9*Electricity!$B$5</f>
        <v>7303414.008459026</v>
      </c>
      <c r="AQ9" s="40">
        <f>Electricity!AQ9*Electricity!$B$5</f>
        <v>7340860.9405212216</v>
      </c>
      <c r="AR9" s="40">
        <f>Electricity!AR9*Electricity!$B$5</f>
        <v>7378499.87494276</v>
      </c>
      <c r="AS9" s="40">
        <f>Electricity!AS9*Electricity!$B$5</f>
        <v>7416331.7961809486</v>
      </c>
      <c r="AT9" s="40">
        <f>Electricity!AT9*Electricity!$B$5</f>
        <v>7454357.6937407246</v>
      </c>
      <c r="AU9" s="40">
        <f>Electricity!AU9*Electricity!$B$5</f>
        <v>7492578.5622005304</v>
      </c>
      <c r="AV9" s="40">
        <f>Electricity!AV9*Electricity!$B$5</f>
        <v>7530995.4012383316</v>
      </c>
      <c r="AW9" s="40">
        <f>Electricity!AW9*Electricity!$B$5</f>
        <v>7569609.2156577595</v>
      </c>
      <c r="AX9" s="40">
        <f>Electricity!AX9*Electricity!$B$5</f>
        <v>7608421.0154143935</v>
      </c>
    </row>
    <row r="10" spans="1:50" x14ac:dyDescent="0.2">
      <c r="A10" s="6" t="s">
        <v>37</v>
      </c>
      <c r="B10" s="11">
        <f>Electricity!B10*Electricity!$B$5</f>
        <v>2897868.0670246696</v>
      </c>
      <c r="C10" s="11">
        <f>Electricity!C10*Electricity!$B$5</f>
        <v>3043007.6100397073</v>
      </c>
      <c r="D10" s="11">
        <f>Electricity!D10*Electricity!$B$5</f>
        <v>3072577.1022168673</v>
      </c>
      <c r="E10" s="11">
        <f>Electricity!E10*Electricity!$B$5</f>
        <v>3102277.0061196829</v>
      </c>
      <c r="F10" s="11">
        <f>Electricity!F10*Electricity!$B$5</f>
        <v>3149804.4666713383</v>
      </c>
      <c r="G10" s="11">
        <f>Electricity!G10*Electricity!$B$5</f>
        <v>3197680.7767682369</v>
      </c>
      <c r="H10" s="11">
        <f>Electricity!H10*Electricity!$B$5</f>
        <v>3245905.9364103777</v>
      </c>
      <c r="I10" s="11">
        <f>Electricity!I10*Electricity!$B$5</f>
        <v>3294479.9455977599</v>
      </c>
      <c r="J10" s="11">
        <f>Electricity!J10*Electricity!$B$5</f>
        <v>3343402.8043303811</v>
      </c>
      <c r="K10" s="11">
        <f>Electricity!K10*Electricity!$B$5</f>
        <v>3388010.6901769661</v>
      </c>
      <c r="L10" s="11">
        <f>Electricity!L10*Electricity!$B$5</f>
        <v>3432911.5826794663</v>
      </c>
      <c r="M10" s="11">
        <f>Electricity!M10*Electricity!$B$5</f>
        <v>3478105.4818378813</v>
      </c>
      <c r="N10" s="11">
        <f>Electricity!N10*Electricity!$B$5</f>
        <v>3523592.3876522095</v>
      </c>
      <c r="O10" s="11">
        <f>Electricity!O10*Electricity!$B$5</f>
        <v>3569372.300122451</v>
      </c>
      <c r="P10" s="11">
        <f>Electricity!P10*Electricity!$B$5</f>
        <v>3610586.26026562</v>
      </c>
      <c r="Q10" s="11">
        <f>Electricity!Q10*Electricity!$B$5</f>
        <v>3652036.7386120269</v>
      </c>
      <c r="R10" s="11">
        <f>Electricity!R10*Electricity!$B$5</f>
        <v>3693723.7351616705</v>
      </c>
      <c r="S10" s="11">
        <f>Electricity!S10*Electricity!$B$5</f>
        <v>3735647.2499145512</v>
      </c>
      <c r="T10" s="11">
        <f>Electricity!T10*Electricity!$B$5</f>
        <v>3777807.2828706666</v>
      </c>
      <c r="U10" s="11">
        <f>Electricity!U10*Electricity!$B$5</f>
        <v>3815313.4110406232</v>
      </c>
      <c r="V10" s="11">
        <f>Electricity!V10*Electricity!$B$5</f>
        <v>3853000.8089185096</v>
      </c>
      <c r="W10" s="11">
        <f>Electricity!W10*Electricity!$B$5</f>
        <v>3890869.476504324</v>
      </c>
      <c r="X10" s="11">
        <f>Electricity!X10*Electricity!$B$5</f>
        <v>3928919.4137980659</v>
      </c>
      <c r="Y10" s="11">
        <f>Electricity!Y10*Electricity!$B$5</f>
        <v>3967150.6207997329</v>
      </c>
      <c r="Z10" s="11">
        <f>Electricity!Z10*Electricity!$B$5</f>
        <v>4000738.3907299037</v>
      </c>
      <c r="AA10" s="11">
        <f>Electricity!AA10*Electricity!$B$5</f>
        <v>4034454.4214298688</v>
      </c>
      <c r="AB10" s="11">
        <f>Electricity!AB10*Electricity!$B$5</f>
        <v>4068298.7128996286</v>
      </c>
      <c r="AC10" s="11">
        <f>Electricity!AC10*Electricity!$B$5</f>
        <v>4102271.2651391816</v>
      </c>
      <c r="AD10" s="11">
        <f>Electricity!AD10*Electricity!$B$5</f>
        <v>4136372.0781485275</v>
      </c>
      <c r="AE10" s="11">
        <f>Electricity!AE10*Electricity!$B$5</f>
        <v>4158606.6082533114</v>
      </c>
      <c r="AF10" s="11">
        <f>Electricity!AF10*Electricity!$B$5</f>
        <v>4180841.1383580975</v>
      </c>
      <c r="AG10" s="11">
        <f>Electricity!AG10*Electricity!$B$5</f>
        <v>4203075.6684628855</v>
      </c>
      <c r="AH10" s="11">
        <f>Electricity!AH10*Electricity!$B$5</f>
        <v>4225310.1985676754</v>
      </c>
      <c r="AI10" s="11">
        <f>Electricity!AI10*Electricity!$B$5</f>
        <v>4247544.7286724607</v>
      </c>
      <c r="AJ10" s="11">
        <f>Electricity!AJ10*Electricity!$B$5</f>
        <v>4269779.2587772449</v>
      </c>
      <c r="AK10" s="11">
        <f>Electricity!AK10*Electricity!$B$5</f>
        <v>4292013.7888820302</v>
      </c>
      <c r="AL10" s="11">
        <f>Electricity!AL10*Electricity!$B$5</f>
        <v>4314248.3189868191</v>
      </c>
      <c r="AM10" s="11">
        <f>Electricity!AM10*Electricity!$B$5</f>
        <v>4336482.8490916062</v>
      </c>
      <c r="AN10" s="11">
        <f>Electricity!AN10*Electricity!$B$5</f>
        <v>4358717.3791963942</v>
      </c>
      <c r="AO10" s="40">
        <f>Electricity!AO10*Electricity!$B$5</f>
        <v>4381065.9128257399</v>
      </c>
      <c r="AP10" s="40">
        <f>Electricity!AP10*Electricity!$B$5</f>
        <v>4403529.0345120598</v>
      </c>
      <c r="AQ10" s="40">
        <f>Electricity!AQ10*Electricity!$B$5</f>
        <v>4426107.3317848546</v>
      </c>
      <c r="AR10" s="40">
        <f>Electricity!AR10*Electricity!$B$5</f>
        <v>4448801.3951860759</v>
      </c>
      <c r="AS10" s="40">
        <f>Electricity!AS10*Electricity!$B$5</f>
        <v>4471611.8182855723</v>
      </c>
      <c r="AT10" s="40">
        <f>Electricity!AT10*Electricity!$B$5</f>
        <v>4494539.1976966131</v>
      </c>
      <c r="AU10" s="40">
        <f>Electricity!AU10*Electricity!$B$5</f>
        <v>4517584.1330914963</v>
      </c>
      <c r="AV10" s="40">
        <f>Electricity!AV10*Electricity!$B$5</f>
        <v>4540747.22721723</v>
      </c>
      <c r="AW10" s="40">
        <f>Electricity!AW10*Electricity!$B$5</f>
        <v>4564029.0859112963</v>
      </c>
      <c r="AX10" s="40">
        <f>Electricity!AX10*Electricity!$B$5</f>
        <v>4587430.3181175021</v>
      </c>
    </row>
    <row r="12" spans="1:50" x14ac:dyDescent="0.2">
      <c r="A12" s="5" t="s">
        <v>157</v>
      </c>
    </row>
    <row r="13" spans="1:50" x14ac:dyDescent="0.2">
      <c r="A13" s="5" t="s">
        <v>4</v>
      </c>
    </row>
    <row r="14" spans="1:50" x14ac:dyDescent="0.2">
      <c r="A14" s="5" t="s">
        <v>38</v>
      </c>
    </row>
    <row r="15" spans="1:50" x14ac:dyDescent="0.2">
      <c r="A15" s="5" t="s">
        <v>6</v>
      </c>
    </row>
    <row r="16" spans="1:50" x14ac:dyDescent="0.2">
      <c r="A16" s="5"/>
    </row>
    <row r="17" spans="1:50" x14ac:dyDescent="0.2">
      <c r="A17" s="6" t="s">
        <v>7</v>
      </c>
      <c r="B17" s="6">
        <v>2022</v>
      </c>
      <c r="C17" s="6">
        <v>2023</v>
      </c>
      <c r="D17" s="6">
        <v>2024</v>
      </c>
      <c r="E17" s="6">
        <v>2025</v>
      </c>
      <c r="F17" s="6">
        <v>2026</v>
      </c>
      <c r="G17" s="6">
        <v>2027</v>
      </c>
      <c r="H17" s="6">
        <v>2028</v>
      </c>
      <c r="I17" s="6">
        <v>2029</v>
      </c>
      <c r="J17" s="6">
        <v>2030</v>
      </c>
      <c r="K17" s="6">
        <v>2031</v>
      </c>
      <c r="L17" s="6">
        <v>2032</v>
      </c>
      <c r="M17" s="6">
        <v>2033</v>
      </c>
      <c r="N17" s="6">
        <v>2034</v>
      </c>
      <c r="O17" s="6">
        <v>2035</v>
      </c>
      <c r="P17" s="6">
        <v>2036</v>
      </c>
      <c r="Q17" s="6">
        <v>2037</v>
      </c>
      <c r="R17" s="6">
        <v>2038</v>
      </c>
      <c r="S17" s="6">
        <v>2039</v>
      </c>
      <c r="T17" s="6">
        <v>2040</v>
      </c>
      <c r="U17" s="6">
        <v>2041</v>
      </c>
      <c r="V17" s="6">
        <v>2042</v>
      </c>
      <c r="W17" s="6">
        <v>2043</v>
      </c>
      <c r="X17" s="6">
        <v>2044</v>
      </c>
      <c r="Y17" s="6">
        <v>2045</v>
      </c>
      <c r="Z17" s="6">
        <v>2046</v>
      </c>
      <c r="AA17" s="6">
        <v>2047</v>
      </c>
      <c r="AB17" s="6">
        <v>2048</v>
      </c>
      <c r="AC17" s="6">
        <v>2049</v>
      </c>
      <c r="AD17" s="6">
        <v>2050</v>
      </c>
      <c r="AE17" s="6">
        <v>2051</v>
      </c>
      <c r="AF17" s="6">
        <v>2052</v>
      </c>
      <c r="AG17" s="6">
        <v>2053</v>
      </c>
      <c r="AH17" s="6">
        <v>2054</v>
      </c>
      <c r="AI17" s="6">
        <v>2055</v>
      </c>
      <c r="AJ17" s="6">
        <v>2056</v>
      </c>
      <c r="AK17" s="6">
        <v>2057</v>
      </c>
      <c r="AL17" s="6">
        <v>2058</v>
      </c>
      <c r="AM17" s="6">
        <v>2059</v>
      </c>
      <c r="AN17" s="6">
        <v>2060</v>
      </c>
      <c r="AO17" s="39">
        <f>AN17+1</f>
        <v>2061</v>
      </c>
      <c r="AP17" s="39">
        <f t="shared" ref="AP17:AX17" si="1">AO17+1</f>
        <v>2062</v>
      </c>
      <c r="AQ17" s="39">
        <f t="shared" si="1"/>
        <v>2063</v>
      </c>
      <c r="AR17" s="39">
        <f t="shared" si="1"/>
        <v>2064</v>
      </c>
      <c r="AS17" s="39">
        <f t="shared" si="1"/>
        <v>2065</v>
      </c>
      <c r="AT17" s="39">
        <f t="shared" si="1"/>
        <v>2066</v>
      </c>
      <c r="AU17" s="39">
        <f t="shared" si="1"/>
        <v>2067</v>
      </c>
      <c r="AV17" s="39">
        <f t="shared" si="1"/>
        <v>2068</v>
      </c>
      <c r="AW17" s="39">
        <f>AV17+1</f>
        <v>2069</v>
      </c>
      <c r="AX17" s="39">
        <f t="shared" si="1"/>
        <v>2070</v>
      </c>
    </row>
    <row r="18" spans="1:50" x14ac:dyDescent="0.2">
      <c r="A18" s="6" t="s">
        <v>34</v>
      </c>
      <c r="B18" s="11">
        <f>Electricity!B18*Electricity!$B$16</f>
        <v>2398364.1969534052</v>
      </c>
      <c r="C18" s="11">
        <f>Electricity!C18*Electricity!$B$16</f>
        <v>2554892.5416777232</v>
      </c>
      <c r="D18" s="11">
        <f>Electricity!D18*Electricity!$B$16</f>
        <v>2721636.650435403</v>
      </c>
      <c r="E18" s="11">
        <f>Electricity!E18*Electricity!$B$16</f>
        <v>2899263.2512555993</v>
      </c>
      <c r="F18" s="11">
        <f>Electricity!F18*Electricity!$B$16</f>
        <v>3088482.5859236042</v>
      </c>
      <c r="G18" s="11">
        <f>Electricity!G18*Electricity!$B$16</f>
        <v>3290051.2498899037</v>
      </c>
      <c r="H18" s="11">
        <f>Electricity!H18*Electricity!$B$16</f>
        <v>3504775.2175248526</v>
      </c>
      <c r="I18" s="11">
        <f>Electricity!I18*Electricity!$B$16</f>
        <v>3733513.0648154565</v>
      </c>
      <c r="J18" s="11">
        <f>Electricity!J18*Electricity!$B$16</f>
        <v>3977179.4023902654</v>
      </c>
      <c r="K18" s="11">
        <f>Electricity!K18*Electricity!$B$16</f>
        <v>4236748.5325993495</v>
      </c>
      <c r="L18" s="11">
        <f>Electricity!L18*Electricity!$B$16</f>
        <v>4513258.345272244</v>
      </c>
      <c r="M18" s="11">
        <f>Electricity!M18*Electricity!$B$16</f>
        <v>4807814.4677310763</v>
      </c>
      <c r="N18" s="11">
        <f>Electricity!N18*Electricity!$B$16</f>
        <v>5121594.6856527478</v>
      </c>
      <c r="O18" s="11">
        <f>Electricity!O18*Electricity!$B$16</f>
        <v>5455853.6524570594</v>
      </c>
      <c r="P18" s="11">
        <f>Electricity!P18*Electricity!$B$16</f>
        <v>5811927.9060512595</v>
      </c>
      <c r="Q18" s="11">
        <f>Electricity!Q18*Electricity!$B$16</f>
        <v>6191241.2129905857</v>
      </c>
      <c r="R18" s="11">
        <f>Electricity!R18*Electricity!$B$16</f>
        <v>6595310.2614234453</v>
      </c>
      <c r="S18" s="11">
        <f>Electricity!S18*Electricity!$B$16</f>
        <v>7025750.7255845219</v>
      </c>
      <c r="T18" s="11">
        <f>Electricity!T18*Electricity!$B$16</f>
        <v>7484283.7260847753</v>
      </c>
      <c r="U18" s="11">
        <f>Electricity!U18*Electricity!$B$16</f>
        <v>7972742.7118298681</v>
      </c>
      <c r="V18" s="11">
        <f>Electricity!V18*Electricity!$B$16</f>
        <v>8493080.7910844162</v>
      </c>
      <c r="W18" s="11">
        <f>Electricity!W18*Electricity!$B$16</f>
        <v>9047378.5409954078</v>
      </c>
      <c r="X18" s="11">
        <f>Electricity!X18*Electricity!$B$16</f>
        <v>9637852.3268012796</v>
      </c>
      <c r="Y18" s="11">
        <f>Electricity!Y18*Electricity!$B$16</f>
        <v>10266863.163991045</v>
      </c>
      <c r="Z18" s="11">
        <f>Electricity!Z18*Electricity!$B$16</f>
        <v>10936926.158848969</v>
      </c>
      <c r="AA18" s="11">
        <f>Electricity!AA18*Electricity!$B$16</f>
        <v>11650720.565132789</v>
      </c>
      <c r="AB18" s="11">
        <f>Electricity!AB18*Electricity!$B$16</f>
        <v>12411100.497097414</v>
      </c>
      <c r="AC18" s="11">
        <f>Electricity!AC18*Electricity!$B$16</f>
        <v>13221106.341699997</v>
      </c>
      <c r="AD18" s="11">
        <f>Electricity!AD18*Electricity!$B$16</f>
        <v>14083976.915618381</v>
      </c>
      <c r="AE18" s="11">
        <f>Electricity!AE18*Electricity!$B$16</f>
        <v>15003162.41569283</v>
      </c>
      <c r="AF18" s="11">
        <f>Electricity!AF18*Electricity!$B$16</f>
        <v>15982338.214573449</v>
      </c>
      <c r="AG18" s="11">
        <f>Electricity!AG18*Electricity!$B$16</f>
        <v>17025419.556735434</v>
      </c>
      <c r="AH18" s="11">
        <f>Electricity!AH18*Electricity!$B$16</f>
        <v>18136577.213624272</v>
      </c>
      <c r="AI18" s="11">
        <f>Electricity!AI18*Electricity!$B$16</f>
        <v>19320254.160528168</v>
      </c>
      <c r="AJ18" s="11">
        <f>Electricity!AJ18*Electricity!$B$16</f>
        <v>20581183.341860242</v>
      </c>
      <c r="AK18" s="11">
        <f>Electricity!AK18*Electricity!$B$16</f>
        <v>21924406.595885374</v>
      </c>
      <c r="AL18" s="11">
        <f>Electricity!AL18*Electricity!$B$16</f>
        <v>23355294.814562175</v>
      </c>
      <c r="AM18" s="11">
        <f>Electricity!AM18*Electricity!$B$16</f>
        <v>24879569.419109609</v>
      </c>
      <c r="AN18" s="11">
        <f>Electricity!AN18*Electricity!$B$16</f>
        <v>26503325.237168409</v>
      </c>
      <c r="AO18" s="40">
        <f>Electricity!AO18*Electricity!$B$16</f>
        <v>28233054.873031896</v>
      </c>
      <c r="AP18" s="40">
        <f>Electricity!AP18*Electricity!$B$16</f>
        <v>30075674.668390859</v>
      </c>
      <c r="AQ18" s="40">
        <f>Electricity!AQ18*Electricity!$B$16</f>
        <v>32038552.357396748</v>
      </c>
      <c r="AR18" s="40">
        <f>Electricity!AR18*Electricity!$B$16</f>
        <v>34129536.526622228</v>
      </c>
      <c r="AS18" s="40">
        <f>Electricity!AS18*Electricity!$B$16</f>
        <v>36356987.997715108</v>
      </c>
      <c r="AT18" s="40">
        <f>Electricity!AT18*Electricity!$B$16</f>
        <v>38729813.258229472</v>
      </c>
      <c r="AU18" s="40">
        <f>Electricity!AU18*Electricity!$B$16</f>
        <v>41257500.074307479</v>
      </c>
      <c r="AV18" s="40">
        <f>Electricity!AV18*Electricity!$B$16</f>
        <v>43950155.427609637</v>
      </c>
      <c r="AW18" s="40">
        <f>Electricity!AW18*Electricity!$B$16</f>
        <v>46818545.928184614</v>
      </c>
      <c r="AX18" s="40">
        <f>Electricity!AX18*Electricity!$B$16</f>
        <v>49874140.86486996</v>
      </c>
    </row>
    <row r="19" spans="1:50" x14ac:dyDescent="0.2">
      <c r="A19" s="6" t="s">
        <v>35</v>
      </c>
      <c r="B19" s="11">
        <f>Electricity!B19*Electricity!$B$16</f>
        <v>748810.54113024857</v>
      </c>
      <c r="C19" s="11">
        <f>Electricity!C19*Electricity!$B$16</f>
        <v>797681.38179078232</v>
      </c>
      <c r="D19" s="11">
        <f>Electricity!D19*Electricity!$B$16</f>
        <v>849741.75963820261</v>
      </c>
      <c r="E19" s="11">
        <f>Electricity!E19*Electricity!$B$16</f>
        <v>905199.83862731385</v>
      </c>
      <c r="F19" s="11">
        <f>Electricity!F19*Electricity!$B$16</f>
        <v>964277.36845578579</v>
      </c>
      <c r="G19" s="11">
        <f>Electricity!G19*Electricity!$B$16</f>
        <v>1027210.5712325943</v>
      </c>
      <c r="H19" s="11">
        <f>Electricity!H19*Electricity!$B$16</f>
        <v>1094251.0860145467</v>
      </c>
      <c r="I19" s="11">
        <f>Electricity!I19*Electricity!$B$16</f>
        <v>1165666.9749876312</v>
      </c>
      <c r="J19" s="11">
        <f>Electricity!J19*Electricity!$B$16</f>
        <v>1241743.7953164177</v>
      </c>
      <c r="K19" s="11">
        <f>Electricity!K19*Electricity!$B$16</f>
        <v>1322785.740947308</v>
      </c>
      <c r="L19" s="11">
        <f>Electricity!L19*Electricity!$B$16</f>
        <v>1409116.8589311531</v>
      </c>
      <c r="M19" s="11">
        <f>Electricity!M19*Electricity!$B$16</f>
        <v>1501082.3451287074</v>
      </c>
      <c r="N19" s="11">
        <f>Electricity!N19*Electricity!$B$16</f>
        <v>1599049.9244798173</v>
      </c>
      <c r="O19" s="11">
        <f>Electricity!O19*Electricity!$B$16</f>
        <v>1703411.3213553713</v>
      </c>
      <c r="P19" s="11">
        <f>Electricity!P19*Electricity!$B$16</f>
        <v>1814583.8258712075</v>
      </c>
      <c r="Q19" s="11">
        <f>Electricity!Q19*Electricity!$B$16</f>
        <v>1933011.9624269248</v>
      </c>
      <c r="R19" s="11">
        <f>Electricity!R19*Electricity!$B$16</f>
        <v>2059169.2671412569</v>
      </c>
      <c r="S19" s="11">
        <f>Electricity!S19*Electricity!$B$16</f>
        <v>2193560.181291095</v>
      </c>
      <c r="T19" s="11">
        <f>Electricity!T19*Electricity!$B$16</f>
        <v>2336722.0683251107</v>
      </c>
      <c r="U19" s="11">
        <f>Electricity!U19*Electricity!$B$16</f>
        <v>2489227.3625170179</v>
      </c>
      <c r="V19" s="11">
        <f>Electricity!V19*Electricity!$B$16</f>
        <v>2651685.8578498857</v>
      </c>
      <c r="W19" s="11">
        <f>Electricity!W19*Electricity!$B$16</f>
        <v>2824747.1462836345</v>
      </c>
      <c r="X19" s="11">
        <f>Electricity!X19*Electricity!$B$16</f>
        <v>3009103.2151551507</v>
      </c>
      <c r="Y19" s="11">
        <f>Electricity!Y19*Electricity!$B$16</f>
        <v>3205491.2140967515</v>
      </c>
      <c r="Z19" s="11">
        <f>Electricity!Z19*Electricity!$B$16</f>
        <v>3414696.4025365566</v>
      </c>
      <c r="AA19" s="11">
        <f>Electricity!AA19*Electricity!$B$16</f>
        <v>3637555.2895663455</v>
      </c>
      <c r="AB19" s="11">
        <f>Electricity!AB19*Electricity!$B$16</f>
        <v>3874958.9787317724</v>
      </c>
      <c r="AC19" s="11">
        <f>Electricity!AC19*Electricity!$B$16</f>
        <v>4127856.7311190031</v>
      </c>
      <c r="AD19" s="11">
        <f>Electricity!AD19*Electricity!$B$16</f>
        <v>4397259.7609849237</v>
      </c>
      <c r="AE19" s="11">
        <f>Electricity!AE19*Electricity!$B$16</f>
        <v>4684245.2791077159</v>
      </c>
      <c r="AF19" s="11">
        <f>Electricity!AF19*Electricity!$B$16</f>
        <v>4989960.800025194</v>
      </c>
      <c r="AG19" s="11">
        <f>Electricity!AG19*Electricity!$B$16</f>
        <v>5315628.7303834613</v>
      </c>
      <c r="AH19" s="11">
        <f>Electricity!AH19*Electricity!$B$16</f>
        <v>5662551.2567424206</v>
      </c>
      <c r="AI19" s="11">
        <f>Electricity!AI19*Electricity!$B$16</f>
        <v>6032115.5523820976</v>
      </c>
      <c r="AJ19" s="11">
        <f>Electricity!AJ19*Electricity!$B$16</f>
        <v>6425799.3239292167</v>
      </c>
      <c r="AK19" s="11">
        <f>Electricity!AK19*Electricity!$B$16</f>
        <v>6845176.7199823102</v>
      </c>
      <c r="AL19" s="11">
        <f>Electricity!AL19*Electricity!$B$16</f>
        <v>7291924.6253610402</v>
      </c>
      <c r="AM19" s="11">
        <f>Electricity!AM19*Electricity!$B$16</f>
        <v>7767829.366147344</v>
      </c>
      <c r="AN19" s="11">
        <f>Electricity!AN19*Electricity!$B$16</f>
        <v>8274793.8523285976</v>
      </c>
      <c r="AO19" s="40">
        <f>Electricity!AO19*Electricity!$B$16</f>
        <v>8814845.1866027191</v>
      </c>
      <c r="AP19" s="40">
        <f>Electricity!AP19*Electricity!$B$16</f>
        <v>9390142.7697690912</v>
      </c>
      <c r="AQ19" s="40">
        <f>Electricity!AQ19*Electricity!$B$16</f>
        <v>10002986.935114821</v>
      </c>
      <c r="AR19" s="40">
        <f>Electricity!AR19*Electricity!$B$16</f>
        <v>10655828.146320965</v>
      </c>
      <c r="AS19" s="40">
        <f>Electricity!AS19*Electricity!$B$16</f>
        <v>11351276.795666706</v>
      </c>
      <c r="AT19" s="40">
        <f>Electricity!AT19*Electricity!$B$16</f>
        <v>12092113.641709652</v>
      </c>
      <c r="AU19" s="40">
        <f>Electricity!AU19*Electricity!$B$16</f>
        <v>12881300.928177446</v>
      </c>
      <c r="AV19" s="40">
        <f>Electricity!AV19*Electricity!$B$16</f>
        <v>13721994.228529703</v>
      </c>
      <c r="AW19" s="40">
        <f>Electricity!AW19*Electricity!$B$16</f>
        <v>14617555.063550849</v>
      </c>
      <c r="AX19" s="40">
        <f>Electricity!AX19*Electricity!$B$16</f>
        <v>15571564.342425458</v>
      </c>
    </row>
    <row r="20" spans="1:50" x14ac:dyDescent="0.2">
      <c r="A20" s="6" t="s">
        <v>36</v>
      </c>
      <c r="B20" s="11">
        <f>Electricity!B20*Electricity!$B$16</f>
        <v>224281.4181163063</v>
      </c>
      <c r="C20" s="11">
        <f>Electricity!C20*Electricity!$B$16</f>
        <v>238919.06121269809</v>
      </c>
      <c r="D20" s="11">
        <f>Electricity!D20*Electricity!$B$16</f>
        <v>254512.02462593504</v>
      </c>
      <c r="E20" s="11">
        <f>Electricity!E20*Electricity!$B$16</f>
        <v>271122.65698016161</v>
      </c>
      <c r="F20" s="11">
        <f>Electricity!F20*Electricity!$B$16</f>
        <v>288817.37605922087</v>
      </c>
      <c r="G20" s="11">
        <f>Electricity!G20*Electricity!$B$16</f>
        <v>307666.93437884469</v>
      </c>
      <c r="H20" s="11">
        <f>Electricity!H20*Electricity!$B$16</f>
        <v>327746.70209131349</v>
      </c>
      <c r="I20" s="11">
        <f>Electricity!I20*Electricity!$B$16</f>
        <v>349136.96835378325</v>
      </c>
      <c r="J20" s="11">
        <f>Electricity!J20*Electricity!$B$16</f>
        <v>371923.26236530382</v>
      </c>
      <c r="K20" s="11">
        <f>Electricity!K20*Electricity!$B$16</f>
        <v>396196.69535619859</v>
      </c>
      <c r="L20" s="11">
        <f>Electricity!L20*Electricity!$B$16</f>
        <v>422054.32489725354</v>
      </c>
      <c r="M20" s="11">
        <f>Electricity!M20*Electricity!$B$16</f>
        <v>449599.54298540985</v>
      </c>
      <c r="N20" s="11">
        <f>Electricity!N20*Electricity!$B$16</f>
        <v>478942.48945772299</v>
      </c>
      <c r="O20" s="11">
        <f>Electricity!O20*Electricity!$B$16</f>
        <v>510200.49238663289</v>
      </c>
      <c r="P20" s="11">
        <f>Electricity!P20*Electricity!$B$16</f>
        <v>543498.53721746313</v>
      </c>
      <c r="Q20" s="11">
        <f>Electricity!Q20*Electricity!$B$16</f>
        <v>578969.76652400638</v>
      </c>
      <c r="R20" s="11">
        <f>Electricity!R20*Electricity!$B$16</f>
        <v>616756.01238047308</v>
      </c>
      <c r="S20" s="11">
        <f>Electricity!S20*Electricity!$B$16</f>
        <v>657008.36347849225</v>
      </c>
      <c r="T20" s="11">
        <f>Electricity!T20*Electricity!$B$16</f>
        <v>699887.76925679646</v>
      </c>
      <c r="U20" s="11">
        <f>Electricity!U20*Electricity!$B$16</f>
        <v>745565.68345920334</v>
      </c>
      <c r="V20" s="11">
        <f>Electricity!V20*Electricity!$B$16</f>
        <v>794224.74969416857</v>
      </c>
      <c r="W20" s="11">
        <f>Electricity!W20*Electricity!$B$16</f>
        <v>846059.53173712711</v>
      </c>
      <c r="X20" s="11">
        <f>Electricity!X20*Electricity!$B$16</f>
        <v>901277.29149574554</v>
      </c>
      <c r="Y20" s="11">
        <f>Electricity!Y20*Electricity!$B$16</f>
        <v>960098.81774878548</v>
      </c>
      <c r="Z20" s="11">
        <f>Electricity!Z20*Electricity!$B$16</f>
        <v>1022759.3089723019</v>
      </c>
      <c r="AA20" s="11">
        <f>Electricity!AA20*Electricity!$B$16</f>
        <v>1089509.3137831567</v>
      </c>
      <c r="AB20" s="11">
        <f>Electricity!AB20*Electricity!$B$16</f>
        <v>1160615.7327602408</v>
      </c>
      <c r="AC20" s="11">
        <f>Electricity!AC20*Electricity!$B$16</f>
        <v>1236362.88564917</v>
      </c>
      <c r="AD20" s="11">
        <f>Electricity!AD20*Electricity!$B$16</f>
        <v>1317053.6482177067</v>
      </c>
      <c r="AE20" s="11">
        <f>Electricity!AE20*Electricity!$B$16</f>
        <v>1403010.6633076249</v>
      </c>
      <c r="AF20" s="11">
        <f>Electricity!AF20*Electricity!$B$16</f>
        <v>1494577.6309254204</v>
      </c>
      <c r="AG20" s="11">
        <f>Electricity!AG20*Electricity!$B$16</f>
        <v>1592120.6825303121</v>
      </c>
      <c r="AH20" s="11">
        <f>Electricity!AH20*Electricity!$B$16</f>
        <v>1696029.845014638</v>
      </c>
      <c r="AI20" s="11">
        <f>Electricity!AI20*Electricity!$B$16</f>
        <v>1806720.6002303867</v>
      </c>
      <c r="AJ20" s="11">
        <f>Electricity!AJ20*Electricity!$B$16</f>
        <v>1924635.5462976396</v>
      </c>
      <c r="AK20" s="11">
        <f>Electricity!AK20*Electricity!$B$16</f>
        <v>2050246.1673376965</v>
      </c>
      <c r="AL20" s="11">
        <f>Electricity!AL20*Electricity!$B$16</f>
        <v>2184054.7187071717</v>
      </c>
      <c r="AM20" s="11">
        <f>Electricity!AM20*Electricity!$B$16</f>
        <v>2326596.2352711847</v>
      </c>
      <c r="AN20" s="11">
        <f>Electricity!AN20*Electricity!$B$16</f>
        <v>2478440.6707457639</v>
      </c>
      <c r="AO20" s="40">
        <f>Electricity!AO20*Electricity!$B$16</f>
        <v>2640195.1766636167</v>
      </c>
      <c r="AP20" s="40">
        <f>Electricity!AP20*Electricity!$B$16</f>
        <v>2812506.5300757671</v>
      </c>
      <c r="AQ20" s="40">
        <f>Electricity!AQ20*Electricity!$B$16</f>
        <v>2996063.719696227</v>
      </c>
      <c r="AR20" s="40">
        <f>Electricity!AR20*Electricity!$B$16</f>
        <v>3191600.7008304344</v>
      </c>
      <c r="AS20" s="40">
        <f>Electricity!AS20*Electricity!$B$16</f>
        <v>3399899.3301030719</v>
      </c>
      <c r="AT20" s="40">
        <f>Electricity!AT20*Electricity!$B$16</f>
        <v>3621792.4917197996</v>
      </c>
      <c r="AU20" s="40">
        <f>Electricity!AU20*Electricity!$B$16</f>
        <v>3858167.4277632935</v>
      </c>
      <c r="AV20" s="40">
        <f>Electricity!AV20*Electricity!$B$16</f>
        <v>4109969.2858398152</v>
      </c>
      <c r="AW20" s="40">
        <f>Electricity!AW20*Electricity!$B$16</f>
        <v>4378204.8982616086</v>
      </c>
      <c r="AX20" s="40">
        <f>Electricity!AX20*Electricity!$B$16</f>
        <v>4663946.8078762265</v>
      </c>
    </row>
    <row r="21" spans="1:50" x14ac:dyDescent="0.2">
      <c r="A21" s="6" t="s">
        <v>37</v>
      </c>
      <c r="B21" s="11">
        <f>Electricity!B21*Electricity!$B$16</f>
        <v>245986.0714824005</v>
      </c>
      <c r="C21" s="11">
        <f>Electricity!C21*Electricity!$B$16</f>
        <v>262040.26068489466</v>
      </c>
      <c r="D21" s="11">
        <f>Electricity!D21*Electricity!$B$16</f>
        <v>279142.22055747715</v>
      </c>
      <c r="E21" s="11">
        <f>Electricity!E21*Electricity!$B$16</f>
        <v>297360.33346211276</v>
      </c>
      <c r="F21" s="11">
        <f>Electricity!F21*Electricity!$B$16</f>
        <v>316767.44471011322</v>
      </c>
      <c r="G21" s="11">
        <f>Electricity!G21*Electricity!$B$16</f>
        <v>337441.15383486188</v>
      </c>
      <c r="H21" s="11">
        <f>Electricity!H21*Electricity!$B$16</f>
        <v>359464.12487434386</v>
      </c>
      <c r="I21" s="11">
        <f>Electricity!I21*Electricity!$B$16</f>
        <v>382924.41690414934</v>
      </c>
      <c r="J21" s="11">
        <f>Electricity!J21*Electricity!$B$16</f>
        <v>407915.83614259132</v>
      </c>
      <c r="K21" s="11">
        <f>Electricity!K21*Electricity!$B$16</f>
        <v>434538.3110358307</v>
      </c>
      <c r="L21" s="11">
        <f>Electricity!L21*Electricity!$B$16</f>
        <v>462898.29182279418</v>
      </c>
      <c r="M21" s="11">
        <f>Electricity!M21*Electricity!$B$16</f>
        <v>493109.17617754632</v>
      </c>
      <c r="N21" s="11">
        <f>Electricity!N21*Electricity!$B$16</f>
        <v>525291.76263105101</v>
      </c>
      <c r="O21" s="11">
        <f>Electricity!O21*Electricity!$B$16</f>
        <v>559574.73358533939</v>
      </c>
      <c r="P21" s="11">
        <f>Electricity!P21*Electricity!$B$16</f>
        <v>596095.16985141125</v>
      </c>
      <c r="Q21" s="11">
        <f>Electricity!Q21*Electricity!$B$16</f>
        <v>634999.0987682651</v>
      </c>
      <c r="R21" s="11">
        <f>Electricity!R21*Electricity!$B$16</f>
        <v>676442.07809471234</v>
      </c>
      <c r="S21" s="11">
        <f>Electricity!S21*Electricity!$B$16</f>
        <v>720589.81800866895</v>
      </c>
      <c r="T21" s="11">
        <f>Electricity!T21*Electricity!$B$16</f>
        <v>767618.84370100254</v>
      </c>
      <c r="U21" s="11">
        <f>Electricity!U21*Electricity!$B$16</f>
        <v>817717.20121331979</v>
      </c>
      <c r="V21" s="11">
        <f>Electricity!V21*Electricity!$B$16</f>
        <v>871085.20934199134</v>
      </c>
      <c r="W21" s="11">
        <f>Electricity!W21*Electricity!$B$16</f>
        <v>927936.26061491377</v>
      </c>
      <c r="X21" s="11">
        <f>Electricity!X21*Electricity!$B$16</f>
        <v>988497.67454372102</v>
      </c>
      <c r="Y21" s="11">
        <f>Electricity!Y21*Electricity!$B$16</f>
        <v>1053011.6065631842</v>
      </c>
      <c r="Z21" s="11">
        <f>Electricity!Z21*Electricity!$B$16</f>
        <v>1121736.0162922021</v>
      </c>
      <c r="AA21" s="11">
        <f>Electricity!AA21*Electricity!$B$16</f>
        <v>1194945.6989879783</v>
      </c>
      <c r="AB21" s="11">
        <f>Electricity!AB21*Electricity!$B$16</f>
        <v>1272933.3843176835</v>
      </c>
      <c r="AC21" s="11">
        <f>Electricity!AC21*Electricity!$B$16</f>
        <v>1356010.9068410252</v>
      </c>
      <c r="AD21" s="11">
        <f>Electricity!AD21*Electricity!$B$16</f>
        <v>1444510.4528839365</v>
      </c>
      <c r="AE21" s="11">
        <f>Electricity!AE21*Electricity!$B$16</f>
        <v>1538785.8887890081</v>
      </c>
      <c r="AF21" s="11">
        <f>Electricity!AF21*Electricity!$B$16</f>
        <v>1639214.1758536869</v>
      </c>
      <c r="AG21" s="11">
        <f>Electricity!AG21*Electricity!$B$16</f>
        <v>1746196.8776138907</v>
      </c>
      <c r="AH21" s="11">
        <f>Electricity!AH21*Electricity!$B$16</f>
        <v>1860161.7654999255</v>
      </c>
      <c r="AI21" s="11">
        <f>Electricity!AI21*Electricity!$B$16</f>
        <v>1981564.5292849401</v>
      </c>
      <c r="AJ21" s="11">
        <f>Electricity!AJ21*Electricity!$B$16</f>
        <v>2110890.5991651532</v>
      </c>
      <c r="AK21" s="11">
        <f>Electricity!AK21*Electricity!$B$16</f>
        <v>2248657.0867574741</v>
      </c>
      <c r="AL21" s="11">
        <f>Electricity!AL21*Electricity!$B$16</f>
        <v>2395414.8527756077</v>
      </c>
      <c r="AM21" s="11">
        <f>Electricity!AM21*Electricity!$B$16</f>
        <v>2551750.7096522674</v>
      </c>
      <c r="AN21" s="11">
        <f>Electricity!AN21*Electricity!$B$16</f>
        <v>2718289.7679147082</v>
      </c>
      <c r="AO21" s="40">
        <f>Electricity!AO21*Electricity!$B$16</f>
        <v>2895697.9356955788</v>
      </c>
      <c r="AP21" s="40">
        <f>Electricity!AP21*Electricity!$B$16</f>
        <v>3084684.5813734215</v>
      </c>
      <c r="AQ21" s="40">
        <f>Electricity!AQ21*Electricity!$B$16</f>
        <v>3286005.3699894096</v>
      </c>
      <c r="AR21" s="40">
        <f>Electricity!AR21*Electricity!$B$16</f>
        <v>3500465.2847817657</v>
      </c>
      <c r="AS21" s="40">
        <f>Electricity!AS21*Electricity!$B$16</f>
        <v>3728921.8459194973</v>
      </c>
      <c r="AT21" s="40">
        <f>Electricity!AT21*Electricity!$B$16</f>
        <v>3972288.5393055854</v>
      </c>
      <c r="AU21" s="40">
        <f>Electricity!AU21*Electricity!$B$16</f>
        <v>4231538.46915974</v>
      </c>
      <c r="AV21" s="40">
        <f>Electricity!AV21*Electricity!$B$16</f>
        <v>4507708.2489856016</v>
      </c>
      <c r="AW21" s="40">
        <f>Electricity!AW21*Electricity!$B$16</f>
        <v>4801902.1464804718</v>
      </c>
      <c r="AX21" s="40">
        <f>Electricity!AX21*Electricity!$B$16</f>
        <v>5115296.4989610203</v>
      </c>
    </row>
    <row r="23" spans="1:50" x14ac:dyDescent="0.2">
      <c r="A23" s="5" t="s">
        <v>157</v>
      </c>
    </row>
    <row r="24" spans="1:50" x14ac:dyDescent="0.2">
      <c r="A24" s="5" t="s">
        <v>4</v>
      </c>
    </row>
    <row r="25" spans="1:50" x14ac:dyDescent="0.2">
      <c r="A25" s="5" t="s">
        <v>45</v>
      </c>
    </row>
    <row r="26" spans="1:50" x14ac:dyDescent="0.2">
      <c r="A26" s="5" t="s">
        <v>6</v>
      </c>
    </row>
    <row r="27" spans="1:50" x14ac:dyDescent="0.2">
      <c r="A27" s="5"/>
    </row>
    <row r="28" spans="1:50" x14ac:dyDescent="0.2">
      <c r="A28" s="6" t="s">
        <v>7</v>
      </c>
      <c r="B28" s="6">
        <v>2022</v>
      </c>
      <c r="C28" s="6">
        <v>2023</v>
      </c>
      <c r="D28" s="6">
        <v>2024</v>
      </c>
      <c r="E28" s="6">
        <v>2025</v>
      </c>
      <c r="F28" s="6">
        <v>2026</v>
      </c>
      <c r="G28" s="6">
        <v>2027</v>
      </c>
      <c r="H28" s="6">
        <v>2028</v>
      </c>
      <c r="I28" s="6">
        <v>2029</v>
      </c>
      <c r="J28" s="6">
        <v>2030</v>
      </c>
      <c r="K28" s="6">
        <v>2031</v>
      </c>
      <c r="L28" s="6">
        <v>2032</v>
      </c>
      <c r="M28" s="6">
        <v>2033</v>
      </c>
      <c r="N28" s="6">
        <v>2034</v>
      </c>
      <c r="O28" s="6">
        <v>2035</v>
      </c>
      <c r="P28" s="6">
        <v>2036</v>
      </c>
      <c r="Q28" s="6">
        <v>2037</v>
      </c>
      <c r="R28" s="6">
        <v>2038</v>
      </c>
      <c r="S28" s="6">
        <v>2039</v>
      </c>
      <c r="T28" s="6">
        <v>2040</v>
      </c>
      <c r="U28" s="6">
        <v>2041</v>
      </c>
      <c r="V28" s="6">
        <v>2042</v>
      </c>
      <c r="W28" s="6">
        <v>2043</v>
      </c>
      <c r="X28" s="6">
        <v>2044</v>
      </c>
      <c r="Y28" s="6">
        <v>2045</v>
      </c>
      <c r="Z28" s="6">
        <v>2046</v>
      </c>
      <c r="AA28" s="6">
        <v>2047</v>
      </c>
      <c r="AB28" s="6">
        <v>2048</v>
      </c>
      <c r="AC28" s="6">
        <v>2049</v>
      </c>
      <c r="AD28" s="6">
        <v>2050</v>
      </c>
      <c r="AE28" s="6">
        <v>2051</v>
      </c>
      <c r="AF28" s="6">
        <v>2052</v>
      </c>
      <c r="AG28" s="6">
        <v>2053</v>
      </c>
      <c r="AH28" s="6">
        <v>2054</v>
      </c>
      <c r="AI28" s="6">
        <v>2055</v>
      </c>
      <c r="AJ28" s="6">
        <v>2056</v>
      </c>
      <c r="AK28" s="6">
        <v>2057</v>
      </c>
      <c r="AL28" s="6">
        <v>2058</v>
      </c>
      <c r="AM28" s="6">
        <v>2059</v>
      </c>
      <c r="AN28" s="6">
        <v>2060</v>
      </c>
      <c r="AO28" s="39">
        <f>AN28+1</f>
        <v>2061</v>
      </c>
      <c r="AP28" s="39">
        <f t="shared" ref="AP28:AX28" si="2">AO28+1</f>
        <v>2062</v>
      </c>
      <c r="AQ28" s="39">
        <f t="shared" si="2"/>
        <v>2063</v>
      </c>
      <c r="AR28" s="39">
        <f t="shared" si="2"/>
        <v>2064</v>
      </c>
      <c r="AS28" s="39">
        <f t="shared" si="2"/>
        <v>2065</v>
      </c>
      <c r="AT28" s="39">
        <f t="shared" si="2"/>
        <v>2066</v>
      </c>
      <c r="AU28" s="39">
        <f t="shared" si="2"/>
        <v>2067</v>
      </c>
      <c r="AV28" s="39">
        <f t="shared" si="2"/>
        <v>2068</v>
      </c>
      <c r="AW28" s="39">
        <f>AV28+1</f>
        <v>2069</v>
      </c>
      <c r="AX28" s="39">
        <f t="shared" si="2"/>
        <v>2070</v>
      </c>
    </row>
    <row r="29" spans="1:50" x14ac:dyDescent="0.2">
      <c r="A29" s="6" t="s">
        <v>34</v>
      </c>
      <c r="B29" s="11">
        <f>Electricity!B29*Electricity!$B$27</f>
        <v>5256826.6025942685</v>
      </c>
      <c r="C29" s="11">
        <f>Electricity!C29*Electricity!$B$27</f>
        <v>5599911.4300162606</v>
      </c>
      <c r="D29" s="11">
        <f>Electricity!D29*Electricity!$B$27</f>
        <v>5965387.5607293108</v>
      </c>
      <c r="E29" s="11">
        <f>Electricity!E29*Electricity!$B$27</f>
        <v>6354716.3547907518</v>
      </c>
      <c r="F29" s="11">
        <f>Electricity!F29*Electricity!$B$27</f>
        <v>6769454.5473769698</v>
      </c>
      <c r="G29" s="11">
        <f>Electricity!G29*Electricity!$B$27</f>
        <v>7211260.473404984</v>
      </c>
      <c r="H29" s="11">
        <f>Electricity!H29*Electricity!$B$27</f>
        <v>7681900.6984016048</v>
      </c>
      <c r="I29" s="11">
        <f>Electricity!I29*Electricity!$B$27</f>
        <v>8183257.082133824</v>
      </c>
      <c r="J29" s="11">
        <f>Electricity!J29*Electricity!$B$27</f>
        <v>8717334.3032443989</v>
      </c>
      <c r="K29" s="11">
        <f>Electricity!K29*Electricity!$B$27</f>
        <v>9286267.8749799524</v>
      </c>
      <c r="L29" s="11">
        <f>Electricity!L29*Electricity!$B$27</f>
        <v>9892332.684062602</v>
      </c>
      <c r="M29" s="11">
        <f>Electricity!M29*Electricity!$B$27</f>
        <v>10537952.08684786</v>
      </c>
      <c r="N29" s="11">
        <f>Electricity!N29*Electricity!$B$27</f>
        <v>11225707.599139858</v>
      </c>
      <c r="O29" s="11">
        <f>Electricity!O29*Electricity!$B$27</f>
        <v>11958349.218408795</v>
      </c>
      <c r="P29" s="11">
        <f>Electricity!P29*Electricity!$B$27</f>
        <v>12738806.419683987</v>
      </c>
      <c r="Q29" s="11">
        <f>Electricity!Q29*Electricity!$B$27</f>
        <v>13570199.86908987</v>
      </c>
      <c r="R29" s="11">
        <f>Electricity!R29*Electricity!$B$27</f>
        <v>14455853.901861474</v>
      </c>
      <c r="S29" s="11">
        <f>Electricity!S29*Electricity!$B$27</f>
        <v>15399309.814732956</v>
      </c>
      <c r="T29" s="11">
        <f>Electricity!T29*Electricity!$B$27</f>
        <v>16404340.025848949</v>
      </c>
      <c r="U29" s="11">
        <f>Electricity!U29*Electricity!$B$27</f>
        <v>17474963.158817157</v>
      </c>
      <c r="V29" s="11">
        <f>Electricity!V29*Electricity!$B$27</f>
        <v>18615460.111216102</v>
      </c>
      <c r="W29" s="11">
        <f>Electricity!W29*Electricity!$B$27</f>
        <v>19830391.171808001</v>
      </c>
      <c r="X29" s="11">
        <f>Electricity!X29*Electricity!$B$27</f>
        <v>21124614.25490015</v>
      </c>
      <c r="Y29" s="11">
        <f>Electricity!Y29*Electricity!$B$27</f>
        <v>22503304.32476509</v>
      </c>
      <c r="Z29" s="11">
        <f>Electricity!Z29*Electricity!$B$27</f>
        <v>23971974.087788381</v>
      </c>
      <c r="AA29" s="11">
        <f>Electricity!AA29*Electricity!$B$27</f>
        <v>25536496.035081562</v>
      </c>
      <c r="AB29" s="11">
        <f>Electricity!AB29*Electricity!$B$27</f>
        <v>27203125.923698142</v>
      </c>
      <c r="AC29" s="11">
        <f>Electricity!AC29*Electricity!$B$27</f>
        <v>28978527.790342335</v>
      </c>
      <c r="AD29" s="11">
        <f>Electricity!AD29*Electricity!$B$27</f>
        <v>30869800.59758817</v>
      </c>
      <c r="AE29" s="11">
        <f>Electricity!AE29*Electricity!$B$27</f>
        <v>32884506.619154152</v>
      </c>
      <c r="AF29" s="11">
        <f>Electricity!AF29*Electricity!$B$27</f>
        <v>35030701.677732289</v>
      </c>
      <c r="AG29" s="11">
        <f>Electricity!AG29*Electricity!$B$27</f>
        <v>37316967.356277764</v>
      </c>
      <c r="AH29" s="11">
        <f>Electricity!AH29*Electricity!$B$27</f>
        <v>39752445.311556406</v>
      </c>
      <c r="AI29" s="11">
        <f>Electricity!AI29*Electricity!$B$27</f>
        <v>42346873.827153049</v>
      </c>
      <c r="AJ29" s="11">
        <f>Electricity!AJ29*Electricity!$B$27</f>
        <v>45110626.752098262</v>
      </c>
      <c r="AK29" s="11">
        <f>Electricity!AK29*Electricity!$B$27</f>
        <v>48054754.980810203</v>
      </c>
      <c r="AL29" s="11">
        <f>Electricity!AL29*Electricity!$B$27</f>
        <v>51191030.640209183</v>
      </c>
      <c r="AM29" s="11">
        <f>Electricity!AM29*Electricity!$B$27</f>
        <v>54531994.160688005</v>
      </c>
      <c r="AN29" s="11">
        <f>Electricity!AN29*Electricity!$B$27</f>
        <v>58091004.419151492</v>
      </c>
      <c r="AO29" s="40">
        <f>Electricity!AO29*Electricity!$B$27</f>
        <v>61882292.154622778</v>
      </c>
      <c r="AP29" s="40">
        <f>Electricity!AP29*Electricity!$B$27</f>
        <v>65921016.869999267</v>
      </c>
      <c r="AQ29" s="40">
        <f>Electricity!AQ29*Electricity!$B$27</f>
        <v>70223327.447480485</v>
      </c>
      <c r="AR29" s="40">
        <f>Electricity!AR29*Electricity!$B$27</f>
        <v>74806426.720039174</v>
      </c>
      <c r="AS29" s="40">
        <f>Electricity!AS29*Electricity!$B$27</f>
        <v>79688640.257125378</v>
      </c>
      <c r="AT29" s="40">
        <f>Electricity!AT29*Electricity!$B$27</f>
        <v>84889489.639643863</v>
      </c>
      <c r="AU29" s="40">
        <f>Electricity!AU29*Electricity!$B$27</f>
        <v>90429770.517195597</v>
      </c>
      <c r="AV29" s="40">
        <f>Electricity!AV29*Electricity!$B$27</f>
        <v>96331635.759695977</v>
      </c>
      <c r="AW29" s="40">
        <f>Electricity!AW29*Electricity!$B$27</f>
        <v>102618684.0358524</v>
      </c>
      <c r="AX29" s="40">
        <f>Electricity!AX29*Electricity!$B$27</f>
        <v>109316054.17268316</v>
      </c>
    </row>
    <row r="30" spans="1:50" x14ac:dyDescent="0.2">
      <c r="A30" s="6" t="s">
        <v>35</v>
      </c>
      <c r="B30" s="11">
        <f>Electricity!B30*Electricity!$B$27</f>
        <v>1641271.6542036403</v>
      </c>
      <c r="C30" s="11">
        <f>Electricity!C30*Electricity!$B$27</f>
        <v>1748388.6365209138</v>
      </c>
      <c r="D30" s="11">
        <f>Electricity!D30*Electricity!$B$27</f>
        <v>1862496.5687344908</v>
      </c>
      <c r="E30" s="11">
        <f>Electricity!E30*Electricity!$B$27</f>
        <v>1984051.7125817274</v>
      </c>
      <c r="F30" s="11">
        <f>Electricity!F30*Electricity!$B$27</f>
        <v>2113540.1075520855</v>
      </c>
      <c r="G30" s="11">
        <f>Electricity!G30*Electricity!$B$27</f>
        <v>2251479.5143210129</v>
      </c>
      <c r="H30" s="11">
        <f>Electricity!H30*Electricity!$B$27</f>
        <v>2398421.4850213155</v>
      </c>
      <c r="I30" s="11">
        <f>Electricity!I30*Electricity!$B$27</f>
        <v>2554953.5686300173</v>
      </c>
      <c r="J30" s="11">
        <f>Electricity!J30*Electricity!$B$27</f>
        <v>2721701.6602889751</v>
      </c>
      <c r="K30" s="11">
        <f>Electricity!K30*Electricity!$B$27</f>
        <v>2899332.5039530164</v>
      </c>
      <c r="L30" s="11">
        <f>Electricity!L30*Electricity!$B$27</f>
        <v>3088556.3583724867</v>
      </c>
      <c r="M30" s="11">
        <f>Electricity!M30*Electricity!$B$27</f>
        <v>3290129.8370701461</v>
      </c>
      <c r="N30" s="11">
        <f>Electricity!N30*Electricity!$B$27</f>
        <v>3504858.9336681003</v>
      </c>
      <c r="O30" s="11">
        <f>Electricity!O30*Electricity!$B$27</f>
        <v>3733602.2446615691</v>
      </c>
      <c r="P30" s="11">
        <f>Electricity!P30*Electricity!$B$27</f>
        <v>3977274.4025257695</v>
      </c>
      <c r="Q30" s="11">
        <f>Electricity!Q30*Electricity!$B$27</f>
        <v>4236849.7328832615</v>
      </c>
      <c r="R30" s="11">
        <f>Electricity!R30*Electricity!$B$27</f>
        <v>4513366.1503549395</v>
      </c>
      <c r="S30" s="11">
        <f>Electricity!S30*Electricity!$B$27</f>
        <v>4807929.308672281</v>
      </c>
      <c r="T30" s="11">
        <f>Electricity!T30*Electricity!$B$27</f>
        <v>5121717.0216451455</v>
      </c>
      <c r="U30" s="11">
        <f>Electricity!U30*Electricity!$B$27</f>
        <v>5455983.9726623688</v>
      </c>
      <c r="V30" s="11">
        <f>Electricity!V30*Electricity!$B$27</f>
        <v>5812066.7315561576</v>
      </c>
      <c r="W30" s="11">
        <f>Electricity!W30*Electricity!$B$27</f>
        <v>6191389.0988902794</v>
      </c>
      <c r="X30" s="11">
        <f>Electricity!X30*Electricity!$B$27</f>
        <v>6595467.7990412228</v>
      </c>
      <c r="Y30" s="11">
        <f>Electricity!Y30*Electricity!$B$27</f>
        <v>7025918.5448361589</v>
      </c>
      <c r="Z30" s="11">
        <f>Electricity!Z30*Electricity!$B$27</f>
        <v>7484462.4979972765</v>
      </c>
      <c r="AA30" s="11">
        <f>Electricity!AA30*Electricity!$B$27</f>
        <v>7972933.1512245582</v>
      </c>
      <c r="AB30" s="11">
        <f>Electricity!AB30*Electricity!$B$27</f>
        <v>8493283.6594351679</v>
      </c>
      <c r="AC30" s="11">
        <f>Electricity!AC30*Electricity!$B$27</f>
        <v>9047594.6494733989</v>
      </c>
      <c r="AD30" s="11">
        <f>Electricity!AD30*Electricity!$B$27</f>
        <v>9638082.5395184774</v>
      </c>
      <c r="AE30" s="11">
        <f>Electricity!AE30*Electricity!$B$27</f>
        <v>10267108.401455369</v>
      </c>
      <c r="AF30" s="11">
        <f>Electricity!AF30*Electricity!$B$27</f>
        <v>10937187.401644923</v>
      </c>
      <c r="AG30" s="11">
        <f>Electricity!AG30*Electricity!$B$27</f>
        <v>11650998.85784238</v>
      </c>
      <c r="AH30" s="11">
        <f>Electricity!AH30*Electricity!$B$27</f>
        <v>12411396.952476885</v>
      </c>
      <c r="AI30" s="11">
        <f>Electricity!AI30*Electricity!$B$27</f>
        <v>13221422.145129232</v>
      </c>
      <c r="AJ30" s="11">
        <f>Electricity!AJ30*Electricity!$B$27</f>
        <v>14084313.329840634</v>
      </c>
      <c r="AK30" s="11">
        <f>Electricity!AK30*Electricity!$B$27</f>
        <v>15003520.785863817</v>
      </c>
      <c r="AL30" s="11">
        <f>Electricity!AL30*Electricity!$B$27</f>
        <v>15982719.973639967</v>
      </c>
      <c r="AM30" s="11">
        <f>Electricity!AM30*Electricity!$B$27</f>
        <v>17025826.231165029</v>
      </c>
      <c r="AN30" s="11">
        <f>Electricity!AN30*Electricity!$B$27</f>
        <v>18137010.429508839</v>
      </c>
      <c r="AO30" s="40">
        <f>Electricity!AO30*Electricity!$B$27</f>
        <v>19320715.650085844</v>
      </c>
      <c r="AP30" s="40">
        <f>Electricity!AP30*Electricity!$B$27</f>
        <v>20581674.950361762</v>
      </c>
      <c r="AQ30" s="40">
        <f>Electricity!AQ30*Electricity!$B$27</f>
        <v>21924930.289032366</v>
      </c>
      <c r="AR30" s="40">
        <f>Electricity!AR30*Electricity!$B$27</f>
        <v>23355852.686347071</v>
      </c>
      <c r="AS30" s="40">
        <f>Electricity!AS30*Electricity!$B$27</f>
        <v>24880163.700188462</v>
      </c>
      <c r="AT30" s="40">
        <f>Electricity!AT30*Electricity!$B$27</f>
        <v>26503958.303780206</v>
      </c>
      <c r="AU30" s="40">
        <f>Electricity!AU30*Electricity!$B$27</f>
        <v>28233729.256499976</v>
      </c>
      <c r="AV30" s="40">
        <f>Electricity!AV30*Electricity!$B$27</f>
        <v>30076393.06524444</v>
      </c>
      <c r="AW30" s="40">
        <f>Electricity!AW30*Electricity!$B$27</f>
        <v>32039317.640153009</v>
      </c>
      <c r="AX30" s="40">
        <f>Electricity!AX30*Electricity!$B$27</f>
        <v>34130351.755272113</v>
      </c>
    </row>
    <row r="31" spans="1:50" x14ac:dyDescent="0.2">
      <c r="A31" s="6" t="s">
        <v>36</v>
      </c>
      <c r="B31" s="11">
        <f>Electricity!B31*Electricity!$B$27</f>
        <v>491588.61140398885</v>
      </c>
      <c r="C31" s="11">
        <f>Electricity!C31*Electricity!$B$27</f>
        <v>523671.95876471815</v>
      </c>
      <c r="D31" s="11">
        <f>Electricity!D31*Electricity!$B$27</f>
        <v>557849.21382385702</v>
      </c>
      <c r="E31" s="11">
        <f>Electricity!E31*Electricity!$B$27</f>
        <v>594257.03468631452</v>
      </c>
      <c r="F31" s="11">
        <f>Electricity!F31*Electricity!$B$27</f>
        <v>633040.99839724298</v>
      </c>
      <c r="G31" s="11">
        <f>Electricity!G31*Electricity!$B$27</f>
        <v>674356.18303334678</v>
      </c>
      <c r="H31" s="11">
        <f>Electricity!H31*Electricity!$B$27</f>
        <v>718367.78778416209</v>
      </c>
      <c r="I31" s="11">
        <f>Electricity!I31*Electricity!$B$27</f>
        <v>765251.79350271053</v>
      </c>
      <c r="J31" s="11">
        <f>Electricity!J31*Electricity!$B$27</f>
        <v>815195.66636674618</v>
      </c>
      <c r="K31" s="11">
        <f>Electricity!K31*Electricity!$B$27</f>
        <v>868399.10746418848</v>
      </c>
      <c r="L31" s="11">
        <f>Electricity!L31*Electricity!$B$27</f>
        <v>925074.85129997181</v>
      </c>
      <c r="M31" s="11">
        <f>Electricity!M31*Electricity!$B$27</f>
        <v>985449.51641714538</v>
      </c>
      <c r="N31" s="11">
        <f>Electricity!N31*Electricity!$B$27</f>
        <v>1049764.5115334406</v>
      </c>
      <c r="O31" s="11">
        <f>Electricity!O31*Electricity!$B$27</f>
        <v>1118277.0008165087</v>
      </c>
      <c r="P31" s="11">
        <f>Electricity!P31*Electricity!$B$27</f>
        <v>1191260.9321574769</v>
      </c>
      <c r="Q31" s="11">
        <f>Electricity!Q31*Electricity!$B$27</f>
        <v>1269008.132554407</v>
      </c>
      <c r="R31" s="11">
        <f>Electricity!R31*Electricity!$B$27</f>
        <v>1351829.4749855376</v>
      </c>
      <c r="S31" s="11">
        <f>Electricity!S31*Electricity!$B$27</f>
        <v>1440056.1214380744</v>
      </c>
      <c r="T31" s="11">
        <f>Electricity!T31*Electricity!$B$27</f>
        <v>1534040.8470627973</v>
      </c>
      <c r="U31" s="11">
        <f>Electricity!U31*Electricity!$B$27</f>
        <v>1634159.4507491153</v>
      </c>
      <c r="V31" s="11">
        <f>Electricity!V31*Electricity!$B$27</f>
        <v>1740812.2577607816</v>
      </c>
      <c r="W31" s="11">
        <f>Electricity!W31*Electricity!$B$27</f>
        <v>1854425.7204405668</v>
      </c>
      <c r="X31" s="11">
        <f>Electricity!X31*Electricity!$B$27</f>
        <v>1975454.1233843276</v>
      </c>
      <c r="Y31" s="11">
        <f>Electricity!Y31*Electricity!$B$27</f>
        <v>2104381.3999026176</v>
      </c>
      <c r="Z31" s="11">
        <f>Electricity!Z31*Electricity!$B$27</f>
        <v>2241723.0670330003</v>
      </c>
      <c r="AA31" s="11">
        <f>Electricity!AA31*Electricity!$B$27</f>
        <v>2388028.286840206</v>
      </c>
      <c r="AB31" s="11">
        <f>Electricity!AB31*Electricity!$B$27</f>
        <v>2543882.0622462817</v>
      </c>
      <c r="AC31" s="11">
        <f>Electricity!AC31*Electricity!$B$27</f>
        <v>2709907.5761707765</v>
      </c>
      <c r="AD31" s="11">
        <f>Electricity!AD31*Electricity!$B$27</f>
        <v>2886768.6833340367</v>
      </c>
      <c r="AE31" s="11">
        <f>Electricity!AE31*Electricity!$B$27</f>
        <v>3075172.5646871147</v>
      </c>
      <c r="AF31" s="11">
        <f>Electricity!AF31*Electricity!$B$27</f>
        <v>3275872.5550820539</v>
      </c>
      <c r="AG31" s="11">
        <f>Electricity!AG31*Electricity!$B$27</f>
        <v>3489671.1554890219</v>
      </c>
      <c r="AH31" s="11">
        <f>Electricity!AH31*Electricity!$B$27</f>
        <v>3717423.241804671</v>
      </c>
      <c r="AI31" s="11">
        <f>Electricity!AI31*Electricity!$B$27</f>
        <v>3960039.4830821855</v>
      </c>
      <c r="AJ31" s="11">
        <f>Electricity!AJ31*Electricity!$B$27</f>
        <v>4218489.982850818</v>
      </c>
      <c r="AK31" s="11">
        <f>Electricity!AK31*Electricity!$B$27</f>
        <v>4493808.1580848144</v>
      </c>
      <c r="AL31" s="11">
        <f>Electricity!AL31*Electricity!$B$27</f>
        <v>4787094.8713317784</v>
      </c>
      <c r="AM31" s="11">
        <f>Electricity!AM31*Electricity!$B$27</f>
        <v>5099522.8325228598</v>
      </c>
      <c r="AN31" s="11">
        <f>Electricity!AN31*Electricity!$B$27</f>
        <v>5432341.2880654484</v>
      </c>
      <c r="AO31" s="40">
        <f>Electricity!AO31*Electricity!$B$27</f>
        <v>5786881.0159677397</v>
      </c>
      <c r="AP31" s="40">
        <f>Electricity!AP31*Electricity!$B$27</f>
        <v>6164559.6469682567</v>
      </c>
      <c r="AQ31" s="40">
        <f>Electricity!AQ31*Electricity!$B$27</f>
        <v>6566887.3329468919</v>
      </c>
      <c r="AR31" s="40">
        <f>Electricity!AR31*Electricity!$B$27</f>
        <v>6995472.7852826957</v>
      </c>
      <c r="AS31" s="40">
        <f>Electricity!AS31*Electricity!$B$27</f>
        <v>7452029.7073028227</v>
      </c>
      <c r="AT31" s="40">
        <f>Electricity!AT31*Electricity!$B$27</f>
        <v>7938383.6465428621</v>
      </c>
      <c r="AU31" s="40">
        <f>Electricity!AU31*Electricity!$B$27</f>
        <v>8456479.2942173835</v>
      </c>
      <c r="AV31" s="40">
        <f>Electricity!AV31*Electricity!$B$27</f>
        <v>9008388.2610877044</v>
      </c>
      <c r="AW31" s="40">
        <f>Electricity!AW31*Electricity!$B$27</f>
        <v>9596317.3608187735</v>
      </c>
      <c r="AX31" s="40">
        <f>Electricity!AX31*Electricity!$B$27</f>
        <v>10222617.433946237</v>
      </c>
    </row>
    <row r="32" spans="1:50" x14ac:dyDescent="0.2">
      <c r="A32" s="6" t="s">
        <v>37</v>
      </c>
      <c r="B32" s="11">
        <f>Electricity!B32*Electricity!$B$27</f>
        <v>539161.70283018134</v>
      </c>
      <c r="C32" s="11">
        <f>Electricity!C32*Electricity!$B$27</f>
        <v>574349.89025807788</v>
      </c>
      <c r="D32" s="11">
        <f>Electricity!D32*Electricity!$B$27</f>
        <v>611834.62161326269</v>
      </c>
      <c r="E32" s="11">
        <f>Electricity!E32*Electricity!$B$27</f>
        <v>651765.7799785384</v>
      </c>
      <c r="F32" s="11">
        <f>Electricity!F32*Electricity!$B$27</f>
        <v>694303.03050020197</v>
      </c>
      <c r="G32" s="11">
        <f>Electricity!G32*Electricity!$B$27</f>
        <v>739616.45881076751</v>
      </c>
      <c r="H32" s="11">
        <f>Electricity!H32*Electricity!$B$27</f>
        <v>787887.25111811329</v>
      </c>
      <c r="I32" s="11">
        <f>Electricity!I32*Electricity!$B$27</f>
        <v>839308.41868039209</v>
      </c>
      <c r="J32" s="11">
        <f>Electricity!J32*Electricity!$B$27</f>
        <v>894085.56956352806</v>
      </c>
      <c r="K32" s="11">
        <f>Electricity!K32*Electricity!$B$27</f>
        <v>952437.73076717439</v>
      </c>
      <c r="L32" s="11">
        <f>Electricity!L32*Electricity!$B$27</f>
        <v>1014598.2240064206</v>
      </c>
      <c r="M32" s="11">
        <f>Electricity!M32*Electricity!$B$27</f>
        <v>1080815.5986510627</v>
      </c>
      <c r="N32" s="11">
        <f>Electricity!N32*Electricity!$B$27</f>
        <v>1151354.6255528058</v>
      </c>
      <c r="O32" s="11">
        <f>Electricity!O32*Electricity!$B$27</f>
        <v>1226497.3557342354</v>
      </c>
      <c r="P32" s="11">
        <f>Electricity!P32*Electricity!$B$27</f>
        <v>1306544.2481727165</v>
      </c>
      <c r="Q32" s="11">
        <f>Electricity!Q32*Electricity!$B$27</f>
        <v>1391815.3711887044</v>
      </c>
      <c r="R32" s="11">
        <f>Electricity!R32*Electricity!$B$27</f>
        <v>1482651.6822422023</v>
      </c>
      <c r="S32" s="11">
        <f>Electricity!S32*Electricity!$B$27</f>
        <v>1579416.3912546621</v>
      </c>
      <c r="T32" s="11">
        <f>Electricity!T32*Electricity!$B$27</f>
        <v>1682496.4129075841</v>
      </c>
      <c r="U32" s="11">
        <f>Electricity!U32*Electricity!$B$27</f>
        <v>1792303.9137248362</v>
      </c>
      <c r="V32" s="11">
        <f>Electricity!V32*Electricity!$B$27</f>
        <v>1909277.960124728</v>
      </c>
      <c r="W32" s="11">
        <f>Electricity!W32*Electricity!$B$27</f>
        <v>2033886.2740315897</v>
      </c>
      <c r="X32" s="11">
        <f>Electricity!X32*Electricity!$B$27</f>
        <v>2166627.1030666819</v>
      </c>
      <c r="Y32" s="11">
        <f>Electricity!Y32*Electricity!$B$27</f>
        <v>2308031.2127964194</v>
      </c>
      <c r="Z32" s="11">
        <f>Electricity!Z32*Electricity!$B$27</f>
        <v>2458664.0090039363</v>
      </c>
      <c r="AA32" s="11">
        <f>Electricity!AA32*Electricity!$B$27</f>
        <v>2619127.7984699029</v>
      </c>
      <c r="AB32" s="11">
        <f>Electricity!AB32*Electricity!$B$27</f>
        <v>2790064.1973023731</v>
      </c>
      <c r="AC32" s="11">
        <f>Electricity!AC32*Electricity!$B$27</f>
        <v>2972156.6964453678</v>
      </c>
      <c r="AD32" s="11">
        <f>Electricity!AD32*Electricity!$B$27</f>
        <v>3166133.3946244274</v>
      </c>
      <c r="AE32" s="11">
        <f>Electricity!AE32*Electricity!$B$27</f>
        <v>3372769.9096568357</v>
      </c>
      <c r="AF32" s="11">
        <f>Electricity!AF32*Electricity!$B$27</f>
        <v>3592892.4797674138</v>
      </c>
      <c r="AG32" s="11">
        <f>Electricity!AG32*Electricity!$B$27</f>
        <v>3827381.2673105397</v>
      </c>
      <c r="AH32" s="11">
        <f>Electricity!AH32*Electricity!$B$27</f>
        <v>4077173.8781083487</v>
      </c>
      <c r="AI32" s="11">
        <f>Electricity!AI32*Electricity!$B$27</f>
        <v>4343269.1104772352</v>
      </c>
      <c r="AJ32" s="11">
        <f>Electricity!AJ32*Electricity!$B$27</f>
        <v>4626730.9489331543</v>
      </c>
      <c r="AK32" s="11">
        <f>Electricity!AK32*Electricity!$B$27</f>
        <v>4928692.8185446346</v>
      </c>
      <c r="AL32" s="11">
        <f>Electricity!AL32*Electricity!$B$27</f>
        <v>5250362.116944531</v>
      </c>
      <c r="AM32" s="11">
        <f>Electricity!AM32*Electricity!$B$27</f>
        <v>5593025.0421218462</v>
      </c>
      <c r="AN32" s="11">
        <f>Electricity!AN32*Electricity!$B$27</f>
        <v>5958051.7352975886</v>
      </c>
      <c r="AO32" s="40">
        <f>Electricity!AO32*Electricity!$B$27</f>
        <v>6346901.7594484892</v>
      </c>
      <c r="AP32" s="40">
        <f>Electricity!AP32*Electricity!$B$27</f>
        <v>6761129.935384539</v>
      </c>
      <c r="AQ32" s="40">
        <f>Electricity!AQ32*Electricity!$B$27</f>
        <v>7202392.558715946</v>
      </c>
      <c r="AR32" s="40">
        <f>Electricity!AR32*Electricity!$B$27</f>
        <v>7672454.0225681188</v>
      </c>
      <c r="AS32" s="40">
        <f>Electricity!AS32*Electricity!$B$27</f>
        <v>8173193.872525678</v>
      </c>
      <c r="AT32" s="40">
        <f>Electricity!AT32*Electricity!$B$27</f>
        <v>8706614.3220147528</v>
      </c>
      <c r="AU32" s="40">
        <f>Electricity!AU32*Electricity!$B$27</f>
        <v>9274848.2581739035</v>
      </c>
      <c r="AV32" s="40">
        <f>Electricity!AV32*Electricity!$B$27</f>
        <v>9880167.770225225</v>
      </c>
      <c r="AW32" s="40">
        <f>Electricity!AW32*Electricity!$B$27</f>
        <v>10524993.234446397</v>
      </c>
      <c r="AX32" s="40">
        <f>Electricity!AX32*Electricity!$B$27</f>
        <v>11211902.992070066</v>
      </c>
    </row>
    <row r="34" spans="1:50" x14ac:dyDescent="0.2">
      <c r="A34" s="5" t="s">
        <v>157</v>
      </c>
    </row>
    <row r="35" spans="1:50" x14ac:dyDescent="0.2">
      <c r="A35" s="5" t="s">
        <v>4</v>
      </c>
    </row>
    <row r="36" spans="1:50" x14ac:dyDescent="0.2">
      <c r="A36" s="5" t="s">
        <v>48</v>
      </c>
    </row>
    <row r="37" spans="1:50" x14ac:dyDescent="0.2">
      <c r="A37" s="5" t="s">
        <v>6</v>
      </c>
    </row>
    <row r="38" spans="1:50" x14ac:dyDescent="0.2">
      <c r="A38" s="5"/>
    </row>
    <row r="39" spans="1:50" x14ac:dyDescent="0.2">
      <c r="A39" s="6" t="s">
        <v>7</v>
      </c>
      <c r="B39" s="6">
        <v>2022</v>
      </c>
      <c r="C39" s="6">
        <v>2023</v>
      </c>
      <c r="D39" s="6">
        <v>2024</v>
      </c>
      <c r="E39" s="6">
        <v>2025</v>
      </c>
      <c r="F39" s="6">
        <v>2026</v>
      </c>
      <c r="G39" s="6">
        <v>2027</v>
      </c>
      <c r="H39" s="6">
        <v>2028</v>
      </c>
      <c r="I39" s="6">
        <v>2029</v>
      </c>
      <c r="J39" s="6">
        <v>2030</v>
      </c>
      <c r="K39" s="6">
        <v>2031</v>
      </c>
      <c r="L39" s="6">
        <v>2032</v>
      </c>
      <c r="M39" s="6">
        <v>2033</v>
      </c>
      <c r="N39" s="6">
        <v>2034</v>
      </c>
      <c r="O39" s="6">
        <v>2035</v>
      </c>
      <c r="P39" s="6">
        <v>2036</v>
      </c>
      <c r="Q39" s="6">
        <v>2037</v>
      </c>
      <c r="R39" s="6">
        <v>2038</v>
      </c>
      <c r="S39" s="6">
        <v>2039</v>
      </c>
      <c r="T39" s="6">
        <v>2040</v>
      </c>
      <c r="U39" s="6">
        <v>2041</v>
      </c>
      <c r="V39" s="6">
        <v>2042</v>
      </c>
      <c r="W39" s="6">
        <v>2043</v>
      </c>
      <c r="X39" s="6">
        <v>2044</v>
      </c>
      <c r="Y39" s="6">
        <v>2045</v>
      </c>
      <c r="Z39" s="6">
        <v>2046</v>
      </c>
      <c r="AA39" s="6">
        <v>2047</v>
      </c>
      <c r="AB39" s="6">
        <v>2048</v>
      </c>
      <c r="AC39" s="6">
        <v>2049</v>
      </c>
      <c r="AD39" s="6">
        <v>2050</v>
      </c>
      <c r="AE39" s="6">
        <v>2051</v>
      </c>
      <c r="AF39" s="6">
        <v>2052</v>
      </c>
      <c r="AG39" s="6">
        <v>2053</v>
      </c>
      <c r="AH39" s="6">
        <v>2054</v>
      </c>
      <c r="AI39" s="6">
        <v>2055</v>
      </c>
      <c r="AJ39" s="6">
        <v>2056</v>
      </c>
      <c r="AK39" s="6">
        <v>2057</v>
      </c>
      <c r="AL39" s="6">
        <v>2058</v>
      </c>
      <c r="AM39" s="6">
        <v>2059</v>
      </c>
      <c r="AN39" s="6">
        <v>2060</v>
      </c>
      <c r="AO39" s="39">
        <f>AN39+1</f>
        <v>2061</v>
      </c>
      <c r="AP39" s="39">
        <f t="shared" ref="AP39:AX39" si="3">AO39+1</f>
        <v>2062</v>
      </c>
      <c r="AQ39" s="39">
        <f t="shared" si="3"/>
        <v>2063</v>
      </c>
      <c r="AR39" s="39">
        <f t="shared" si="3"/>
        <v>2064</v>
      </c>
      <c r="AS39" s="39">
        <f t="shared" si="3"/>
        <v>2065</v>
      </c>
      <c r="AT39" s="39">
        <f t="shared" si="3"/>
        <v>2066</v>
      </c>
      <c r="AU39" s="39">
        <f t="shared" si="3"/>
        <v>2067</v>
      </c>
      <c r="AV39" s="39">
        <f t="shared" si="3"/>
        <v>2068</v>
      </c>
      <c r="AW39" s="39">
        <f>AV39+1</f>
        <v>2069</v>
      </c>
      <c r="AX39" s="39">
        <f t="shared" si="3"/>
        <v>2070</v>
      </c>
    </row>
    <row r="40" spans="1:50" x14ac:dyDescent="0.2">
      <c r="A40" s="6" t="s">
        <v>34</v>
      </c>
      <c r="B40" s="11">
        <f>Electricity!B40*Electricity!$B$38</f>
        <v>3946736.7614551503</v>
      </c>
      <c r="C40" s="11">
        <f>Electricity!C40*Electricity!$B$38</f>
        <v>4204319.064058709</v>
      </c>
      <c r="D40" s="11">
        <f>Electricity!D40*Electricity!$B$38</f>
        <v>4478712.3795634909</v>
      </c>
      <c r="E40" s="11">
        <f>Electricity!E40*Electricity!$B$38</f>
        <v>4771013.8724559853</v>
      </c>
      <c r="F40" s="11">
        <f>Electricity!F40*Electricity!$B$38</f>
        <v>5082392.3132536523</v>
      </c>
      <c r="G40" s="11">
        <f>Electricity!G40*Electricity!$B$38</f>
        <v>5414092.7518458189</v>
      </c>
      <c r="H40" s="11">
        <f>Electricity!H40*Electricity!$B$38</f>
        <v>5767441.4958384419</v>
      </c>
      <c r="I40" s="11">
        <f>Electricity!I40*Electricity!$B$38</f>
        <v>6143851.4138086597</v>
      </c>
      <c r="J40" s="11">
        <f>Electricity!J40*Electricity!$B$38</f>
        <v>6544827.5846743071</v>
      </c>
      <c r="K40" s="11">
        <f>Electricity!K40*Electricity!$B$38</f>
        <v>6971973.3157673869</v>
      </c>
      <c r="L40" s="11">
        <f>Electricity!L40*Electricity!$B$38</f>
        <v>7426996.5536749</v>
      </c>
      <c r="M40" s="11">
        <f>Electricity!M40*Electricity!$B$38</f>
        <v>7911716.7134807808</v>
      </c>
      <c r="N40" s="11">
        <f>Electricity!N40*Electricity!$B$38</f>
        <v>8428071.9537157696</v>
      </c>
      <c r="O40" s="11">
        <f>Electricity!O40*Electricity!$B$38</f>
        <v>8978126.9261041954</v>
      </c>
      <c r="P40" s="11">
        <f>Electricity!P40*Electricity!$B$38</f>
        <v>9564081.0310950447</v>
      </c>
      <c r="Q40" s="11">
        <f>Electricity!Q40*Electricity!$B$38</f>
        <v>10188277.212187238</v>
      </c>
      <c r="R40" s="11">
        <f>Electricity!R40*Electricity!$B$38</f>
        <v>10853211.324213244</v>
      </c>
      <c r="S40" s="11">
        <f>Electricity!S40*Electricity!$B$38</f>
        <v>11561542.113040194</v>
      </c>
      <c r="T40" s="11">
        <f>Electricity!T40*Electricity!$B$38</f>
        <v>12316101.846592559</v>
      </c>
      <c r="U40" s="11">
        <f>Electricity!U40*Electricity!$B$38</f>
        <v>13119907.639704438</v>
      </c>
      <c r="V40" s="11">
        <f>Electricity!V40*Electricity!$B$38</f>
        <v>13976173.518084198</v>
      </c>
      <c r="W40" s="11">
        <f>Electricity!W40*Electricity!$B$38</f>
        <v>14888323.269629247</v>
      </c>
      <c r="X40" s="11">
        <f>Electricity!X40*Electricity!$B$38</f>
        <v>15860004.134477027</v>
      </c>
      <c r="Y40" s="11">
        <f>Electricity!Y40*Electricity!$B$38</f>
        <v>16895101.388532128</v>
      </c>
      <c r="Z40" s="11">
        <f>Electricity!Z40*Electricity!$B$38</f>
        <v>17997753.878781855</v>
      </c>
      <c r="AA40" s="11">
        <f>Electricity!AA40*Electricity!$B$38</f>
        <v>19172370.572518371</v>
      </c>
      <c r="AB40" s="11">
        <f>Electricity!AB40*Electricity!$B$38</f>
        <v>20423648.186639562</v>
      </c>
      <c r="AC40" s="11">
        <f>Electricity!AC40*Electricity!$B$38</f>
        <v>21756589.967519827</v>
      </c>
      <c r="AD40" s="11">
        <f>Electricity!AD40*Electricity!$B$38</f>
        <v>23176525.696541954</v>
      </c>
      <c r="AE40" s="11">
        <f>Electricity!AE40*Electricity!$B$38</f>
        <v>24689133.001282681</v>
      </c>
      <c r="AF40" s="11">
        <f>Electricity!AF40*Electricity!$B$38</f>
        <v>26300460.057564795</v>
      </c>
      <c r="AG40" s="11">
        <f>Electricity!AG40*Electricity!$B$38</f>
        <v>28016949.773150172</v>
      </c>
      <c r="AH40" s="11">
        <f>Electricity!AH40*Electricity!$B$38</f>
        <v>29845465.549772542</v>
      </c>
      <c r="AI40" s="11">
        <f>Electricity!AI40*Electricity!$B$38</f>
        <v>31793318.726519812</v>
      </c>
      <c r="AJ40" s="11">
        <f>Electricity!AJ40*Electricity!$B$38</f>
        <v>33868297.814298242</v>
      </c>
      <c r="AK40" s="11">
        <f>Electricity!AK40*Electricity!$B$38</f>
        <v>36078699.638273336</v>
      </c>
      <c r="AL40" s="11">
        <f>Electricity!AL40*Electricity!$B$38</f>
        <v>38433362.512810297</v>
      </c>
      <c r="AM40" s="11">
        <f>Electricity!AM40*Electricity!$B$38</f>
        <v>40941701.581564665</v>
      </c>
      <c r="AN40" s="11">
        <f>Electricity!AN40*Electricity!$B$38</f>
        <v>43613746.46403078</v>
      </c>
      <c r="AO40" s="40">
        <f>Electricity!AO40*Electricity!$B$38</f>
        <v>46460181.35907831</v>
      </c>
      <c r="AP40" s="40">
        <f>Electricity!AP40*Electricity!$B$38</f>
        <v>49492387.765830897</v>
      </c>
      <c r="AQ40" s="40">
        <f>Electricity!AQ40*Electricity!$B$38</f>
        <v>52722489.9927072</v>
      </c>
      <c r="AR40" s="40">
        <f>Electricity!AR40*Electricity!$B$38</f>
        <v>56163403.636592455</v>
      </c>
      <c r="AS40" s="40">
        <f>Electricity!AS40*Electricity!$B$38</f>
        <v>59828887.225985095</v>
      </c>
      <c r="AT40" s="40">
        <f>Electricity!AT40*Electricity!$B$38</f>
        <v>63733597.234614059</v>
      </c>
      <c r="AU40" s="40">
        <f>Electricity!AU40*Electricity!$B$38</f>
        <v>67893146.685499355</v>
      </c>
      <c r="AV40" s="40">
        <f>Electricity!AV40*Electricity!$B$38</f>
        <v>72324167.579784736</v>
      </c>
      <c r="AW40" s="40">
        <f>Electricity!AW40*Electricity!$B$38</f>
        <v>77044377.399964869</v>
      </c>
      <c r="AX40" s="40">
        <f>Electricity!AX40*Electricity!$B$38</f>
        <v>82072649.953420788</v>
      </c>
    </row>
    <row r="41" spans="1:50" x14ac:dyDescent="0.2">
      <c r="A41" s="6" t="s">
        <v>35</v>
      </c>
      <c r="B41" s="11">
        <f>Electricity!B41*Electricity!$B$38</f>
        <v>1232239.0793683499</v>
      </c>
      <c r="C41" s="11">
        <f>Electricity!C41*Electricity!$B$38</f>
        <v>1312660.7032581486</v>
      </c>
      <c r="D41" s="11">
        <f>Electricity!D41*Electricity!$B$38</f>
        <v>1398331.0144338498</v>
      </c>
      <c r="E41" s="11">
        <f>Electricity!E41*Electricity!$B$38</f>
        <v>1489592.566513407</v>
      </c>
      <c r="F41" s="11">
        <f>Electricity!F41*Electricity!$B$38</f>
        <v>1586810.2697488777</v>
      </c>
      <c r="G41" s="11">
        <f>Electricity!G41*Electricity!$B$38</f>
        <v>1690372.8501238076</v>
      </c>
      <c r="H41" s="11">
        <f>Electricity!H41*Electricity!$B$38</f>
        <v>1800694.4036780654</v>
      </c>
      <c r="I41" s="11">
        <f>Electricity!I41*Electricity!$B$38</f>
        <v>1918216.0522751017</v>
      </c>
      <c r="J41" s="11">
        <f>Electricity!J41*Electricity!$B$38</f>
        <v>2043407.7074322489</v>
      </c>
      <c r="K41" s="11">
        <f>Electricity!K41*Electricity!$B$38</f>
        <v>2176769.9492667406</v>
      </c>
      <c r="L41" s="11">
        <f>Electricity!L41*Electricity!$B$38</f>
        <v>2318836.0280704438</v>
      </c>
      <c r="M41" s="11">
        <f>Electricity!M41*Electricity!$B$38</f>
        <v>2470173.9965166235</v>
      </c>
      <c r="N41" s="11">
        <f>Electricity!N41*Electricity!$B$38</f>
        <v>2631388.9810243803</v>
      </c>
      <c r="O41" s="11">
        <f>Electricity!O41*Electricity!$B$38</f>
        <v>2803125.6013628473</v>
      </c>
      <c r="P41" s="11">
        <f>Electricity!P41*Electricity!$B$38</f>
        <v>2986070.5481699463</v>
      </c>
      <c r="Q41" s="11">
        <f>Electricity!Q41*Electricity!$B$38</f>
        <v>3180955.3286919426</v>
      </c>
      <c r="R41" s="11">
        <f>Electricity!R41*Electricity!$B$38</f>
        <v>3388559.1917226864</v>
      </c>
      <c r="S41" s="11">
        <f>Electricity!S41*Electricity!$B$38</f>
        <v>3609712.2434378886</v>
      </c>
      <c r="T41" s="11">
        <f>Electricity!T41*Electricity!$B$38</f>
        <v>3845298.7665831964</v>
      </c>
      <c r="U41" s="11">
        <f>Electricity!U41*Electricity!$B$38</f>
        <v>4096260.7562878104</v>
      </c>
      <c r="V41" s="11">
        <f>Electricity!V41*Electricity!$B$38</f>
        <v>4363601.6866416726</v>
      </c>
      <c r="W41" s="11">
        <f>Electricity!W41*Electricity!$B$38</f>
        <v>4648390.5230969135</v>
      </c>
      <c r="X41" s="11">
        <f>Electricity!X41*Electricity!$B$38</f>
        <v>4951765.99673717</v>
      </c>
      <c r="Y41" s="11">
        <f>Electricity!Y41*Electricity!$B$38</f>
        <v>5274941.1575055048</v>
      </c>
      <c r="Z41" s="11">
        <f>Electricity!Z41*Electricity!$B$38</f>
        <v>5619208.2245970489</v>
      </c>
      <c r="AA41" s="11">
        <f>Electricity!AA41*Electricity!$B$38</f>
        <v>5985943.7534107128</v>
      </c>
      <c r="AB41" s="11">
        <f>Electricity!AB41*Electricity!$B$38</f>
        <v>6376614.1397200432</v>
      </c>
      <c r="AC41" s="11">
        <f>Electricity!AC41*Electricity!$B$38</f>
        <v>6792781.4830718003</v>
      </c>
      <c r="AD41" s="11">
        <f>Electricity!AD41*Electricity!$B$38</f>
        <v>7236109.8328569885</v>
      </c>
      <c r="AE41" s="11">
        <f>Electricity!AE41*Electricity!$B$38</f>
        <v>7708371.8420294328</v>
      </c>
      <c r="AF41" s="11">
        <f>Electricity!AF41*Electricity!$B$38</f>
        <v>8211455.8550767908</v>
      </c>
      <c r="AG41" s="11">
        <f>Electricity!AG41*Electricity!$B$38</f>
        <v>8747373.458585348</v>
      </c>
      <c r="AH41" s="11">
        <f>Electricity!AH41*Electricity!$B$38</f>
        <v>9318267.5245896168</v>
      </c>
      <c r="AI41" s="11">
        <f>Electricity!AI41*Electricity!$B$38</f>
        <v>9926420.778868176</v>
      </c>
      <c r="AJ41" s="11">
        <f>Electricity!AJ41*Electricity!$B$38</f>
        <v>10574264.928446056</v>
      </c>
      <c r="AK41" s="11">
        <f>Electricity!AK41*Electricity!$B$38</f>
        <v>11264390.384800272</v>
      </c>
      <c r="AL41" s="11">
        <f>Electricity!AL41*Electricity!$B$38</f>
        <v>11999556.621646654</v>
      </c>
      <c r="AM41" s="11">
        <f>Electricity!AM41*Electricity!$B$38</f>
        <v>12782703.208723808</v>
      </c>
      <c r="AN41" s="11">
        <f>Electricity!AN41*Electricity!$B$38</f>
        <v>13616961.565692868</v>
      </c>
      <c r="AO41" s="40">
        <f>Electricity!AO41*Electricity!$B$38</f>
        <v>14505667.483151147</v>
      </c>
      <c r="AP41" s="40">
        <f>Electricity!AP41*Electricity!$B$38</f>
        <v>15452374.46082503</v>
      </c>
      <c r="AQ41" s="40">
        <f>Electricity!AQ41*Electricity!$B$38</f>
        <v>16460867.916275099</v>
      </c>
      <c r="AR41" s="40">
        <f>Electricity!AR41*Electricity!$B$38</f>
        <v>17535180.320927054</v>
      </c>
      <c r="AS41" s="40">
        <f>Electricity!AS41*Electricity!$B$38</f>
        <v>18679607.323950093</v>
      </c>
      <c r="AT41" s="40">
        <f>Electricity!AT41*Electricity!$B$38</f>
        <v>19898724.928454161</v>
      </c>
      <c r="AU41" s="40">
        <f>Electricity!AU41*Electricity!$B$38</f>
        <v>21197407.788685318</v>
      </c>
      <c r="AV41" s="40">
        <f>Electricity!AV41*Electricity!$B$38</f>
        <v>22580848.701380756</v>
      </c>
      <c r="AW41" s="40">
        <f>Electricity!AW41*Electricity!$B$38</f>
        <v>24054579.369219799</v>
      </c>
      <c r="AX41" s="40">
        <f>Electricity!AX41*Electricity!$B$38</f>
        <v>25624492.51939382</v>
      </c>
    </row>
    <row r="42" spans="1:50" x14ac:dyDescent="0.2">
      <c r="A42" s="6" t="s">
        <v>36</v>
      </c>
      <c r="B42" s="11">
        <f>Electricity!B42*Electricity!$B$38</f>
        <v>369076.43923109997</v>
      </c>
      <c r="C42" s="11">
        <f>Electricity!C42*Electricity!$B$38</f>
        <v>393164.07537200587</v>
      </c>
      <c r="D42" s="11">
        <f>Electricity!D42*Electricity!$B$38</f>
        <v>418823.78210095986</v>
      </c>
      <c r="E42" s="11">
        <f>Electricity!E42*Electricity!$B$38</f>
        <v>446158.16001850838</v>
      </c>
      <c r="F42" s="11">
        <f>Electricity!F42*Electricity!$B$38</f>
        <v>475276.50591512281</v>
      </c>
      <c r="G42" s="11">
        <f>Electricity!G42*Electricity!$B$38</f>
        <v>506295.24979553651</v>
      </c>
      <c r="H42" s="11">
        <f>Electricity!H42*Electricity!$B$38</f>
        <v>539338.42042531422</v>
      </c>
      <c r="I42" s="11">
        <f>Electricity!I42*Electricity!$B$38</f>
        <v>574538.14126114151</v>
      </c>
      <c r="J42" s="11">
        <f>Electricity!J42*Electricity!$B$38</f>
        <v>612035.15874782344</v>
      </c>
      <c r="K42" s="11">
        <f>Electricity!K42*Electricity!$B$38</f>
        <v>651979.40509438608</v>
      </c>
      <c r="L42" s="11">
        <f>Electricity!L42*Electricity!$B$38</f>
        <v>694530.59777955315</v>
      </c>
      <c r="M42" s="11">
        <f>Electricity!M42*Electricity!$B$38</f>
        <v>739858.87818372308</v>
      </c>
      <c r="N42" s="11">
        <f>Electricity!N42*Electricity!$B$38</f>
        <v>788145.49190102215</v>
      </c>
      <c r="O42" s="11">
        <f>Electricity!O42*Electricity!$B$38</f>
        <v>839583.51345167414</v>
      </c>
      <c r="P42" s="11">
        <f>Electricity!P42*Electricity!$B$38</f>
        <v>894378.61829244753</v>
      </c>
      <c r="Q42" s="11">
        <f>Electricity!Q42*Electricity!$B$38</f>
        <v>952749.90521207952</v>
      </c>
      <c r="R42" s="11">
        <f>Electricity!R42*Electricity!$B$38</f>
        <v>1014930.7724000316</v>
      </c>
      <c r="S42" s="11">
        <f>Electricity!S42*Electricity!$B$38</f>
        <v>1081169.8506915413</v>
      </c>
      <c r="T42" s="11">
        <f>Electricity!T42*Electricity!$B$38</f>
        <v>1151731.9977205708</v>
      </c>
      <c r="U42" s="11">
        <f>Electricity!U42*Electricity!$B$38</f>
        <v>1226899.3569557692</v>
      </c>
      <c r="V42" s="11">
        <f>Electricity!V42*Electricity!$B$38</f>
        <v>1306972.4858540276</v>
      </c>
      <c r="W42" s="11">
        <f>Electricity!W42*Electricity!$B$38</f>
        <v>1392271.5576425539</v>
      </c>
      <c r="X42" s="11">
        <f>Electricity!X42*Electricity!$B$38</f>
        <v>1483137.6415348046</v>
      </c>
      <c r="Y42" s="11">
        <f>Electricity!Y42*Electricity!$B$38</f>
        <v>1579934.0664992332</v>
      </c>
      <c r="Z42" s="11">
        <f>Electricity!Z42*Electricity!$B$38</f>
        <v>1683047.8740338988</v>
      </c>
      <c r="AA42" s="11">
        <f>Electricity!AA42*Electricity!$B$38</f>
        <v>1792891.3657558656</v>
      </c>
      <c r="AB42" s="11">
        <f>Electricity!AB42*Electricity!$B$38</f>
        <v>1909903.7519934429</v>
      </c>
      <c r="AC42" s="11">
        <f>Electricity!AC42*Electricity!$B$38</f>
        <v>2034552.9079731959</v>
      </c>
      <c r="AD42" s="11">
        <f>Electricity!AD42*Electricity!$B$38</f>
        <v>2167337.2446238319</v>
      </c>
      <c r="AE42" s="11">
        <f>Electricity!AE42*Electricity!$B$38</f>
        <v>2308787.7014774145</v>
      </c>
      <c r="AF42" s="11">
        <f>Electricity!AF42*Electricity!$B$38</f>
        <v>2459469.8696365263</v>
      </c>
      <c r="AG42" s="11">
        <f>Electricity!AG42*Electricity!$B$38</f>
        <v>2619986.253296094</v>
      </c>
      <c r="AH42" s="11">
        <f>Electricity!AH42*Electricity!$B$38</f>
        <v>2790978.6788625903</v>
      </c>
      <c r="AI42" s="11">
        <f>Electricity!AI42*Electricity!$B$38</f>
        <v>2973130.8613035115</v>
      </c>
      <c r="AJ42" s="11">
        <f>Electricity!AJ42*Electricity!$B$38</f>
        <v>3167171.137988674</v>
      </c>
      <c r="AK42" s="11">
        <f>Electricity!AK42*Electricity!$B$38</f>
        <v>3373875.3809546707</v>
      </c>
      <c r="AL42" s="11">
        <f>Electricity!AL42*Electricity!$B$38</f>
        <v>3594070.0992371622</v>
      </c>
      <c r="AM42" s="11">
        <f>Electricity!AM42*Electricity!$B$38</f>
        <v>3828635.7436757297</v>
      </c>
      <c r="AN42" s="11">
        <f>Electricity!AN42*Electricity!$B$38</f>
        <v>4078510.2274055928</v>
      </c>
      <c r="AO42" s="40">
        <f>Electricity!AO42*Electricity!$B$38</f>
        <v>4344692.6761129024</v>
      </c>
      <c r="AP42" s="40">
        <f>Electricity!AP42*Electricity!$B$38</f>
        <v>4628247.423049042</v>
      </c>
      <c r="AQ42" s="40">
        <f>Electricity!AQ42*Electricity!$B$38</f>
        <v>4930308.2647780478</v>
      </c>
      <c r="AR42" s="40">
        <f>Electricity!AR42*Electricity!$B$38</f>
        <v>5252082.9946738025</v>
      </c>
      <c r="AS42" s="40">
        <f>Electricity!AS42*Electricity!$B$38</f>
        <v>5594858.2322942298</v>
      </c>
      <c r="AT42" s="40">
        <f>Electricity!AT42*Electricity!$B$38</f>
        <v>5960004.5679427898</v>
      </c>
      <c r="AU42" s="40">
        <f>Electricity!AU42*Electricity!$B$38</f>
        <v>6348982.042987871</v>
      </c>
      <c r="AV42" s="40">
        <f>Electricity!AV42*Electricity!$B$38</f>
        <v>6763345.9878531713</v>
      </c>
      <c r="AW42" s="40">
        <f>Electricity!AW42*Electricity!$B$38</f>
        <v>7204753.2410223531</v>
      </c>
      <c r="AX42" s="40">
        <f>Electricity!AX42*Electricity!$B$38</f>
        <v>7674968.7739247158</v>
      </c>
    </row>
    <row r="43" spans="1:50" x14ac:dyDescent="0.2">
      <c r="A43" s="6" t="s">
        <v>37</v>
      </c>
      <c r="B43" s="11">
        <f>Electricity!B43*Electricity!$B$38</f>
        <v>404793.51399539999</v>
      </c>
      <c r="C43" s="11">
        <f>Electricity!C43*Electricity!$B$38</f>
        <v>431212.21169832908</v>
      </c>
      <c r="D43" s="11">
        <f>Electricity!D43*Electricity!$B$38</f>
        <v>459355.11585266568</v>
      </c>
      <c r="E43" s="11">
        <f>Electricity!E43*Electricity!$B$38</f>
        <v>489334.75614933175</v>
      </c>
      <c r="F43" s="11">
        <f>Electricity!F43*Electricity!$B$38</f>
        <v>521271.006487554</v>
      </c>
      <c r="G43" s="11">
        <f>Electricity!G43*Electricity!$B$38</f>
        <v>555291.56429187884</v>
      </c>
      <c r="H43" s="11">
        <f>Electricity!H43*Electricity!$B$38</f>
        <v>591532.46111163497</v>
      </c>
      <c r="I43" s="11">
        <f>Electricity!I43*Electricity!$B$38</f>
        <v>630138.60654447787</v>
      </c>
      <c r="J43" s="11">
        <f>Electricity!J43*Electricity!$B$38</f>
        <v>671264.36765890312</v>
      </c>
      <c r="K43" s="11">
        <f>Electricity!K43*Electricity!$B$38</f>
        <v>715074.18623255251</v>
      </c>
      <c r="L43" s="11">
        <f>Electricity!L43*Electricity!$B$38</f>
        <v>761743.23627434869</v>
      </c>
      <c r="M43" s="11">
        <f>Electricity!M43*Electricity!$B$38</f>
        <v>811458.12445956725</v>
      </c>
      <c r="N43" s="11">
        <f>Electricity!N43*Electricity!$B$38</f>
        <v>864417.63627854036</v>
      </c>
      <c r="O43" s="11">
        <f>Electricity!O43*Electricity!$B$38</f>
        <v>920833.53088248137</v>
      </c>
      <c r="P43" s="11">
        <f>Electricity!P43*Electricity!$B$38</f>
        <v>980931.38780461985</v>
      </c>
      <c r="Q43" s="11">
        <f>Electricity!Q43*Electricity!$B$38</f>
        <v>1044951.5089422809</v>
      </c>
      <c r="R43" s="11">
        <f>Electricity!R43*Electricity!$B$38</f>
        <v>1113149.8794064864</v>
      </c>
      <c r="S43" s="11">
        <f>Electricity!S43*Electricity!$B$38</f>
        <v>1185799.1910810454</v>
      </c>
      <c r="T43" s="11">
        <f>Electricity!T43*Electricity!$B$38</f>
        <v>1263189.932983852</v>
      </c>
      <c r="U43" s="11">
        <f>Electricity!U43*Electricity!$B$38</f>
        <v>1345631.5527901987</v>
      </c>
      <c r="V43" s="11">
        <f>Electricity!V43*Electricity!$B$38</f>
        <v>1433453.6941624819</v>
      </c>
      <c r="W43" s="11">
        <f>Electricity!W43*Electricity!$B$38</f>
        <v>1527007.5148337688</v>
      </c>
      <c r="X43" s="11">
        <f>Electricity!X43*Electricity!$B$38</f>
        <v>1626667.0907155923</v>
      </c>
      <c r="Y43" s="11">
        <f>Electricity!Y43*Electricity!$B$38</f>
        <v>1732830.9116443205</v>
      </c>
      <c r="Z43" s="11">
        <f>Electricity!Z43*Electricity!$B$38</f>
        <v>1845923.4747468568</v>
      </c>
      <c r="AA43" s="11">
        <f>Electricity!AA43*Electricity!$B$38</f>
        <v>1966396.9817967562</v>
      </c>
      <c r="AB43" s="11">
        <f>Electricity!AB43*Electricity!$B$38</f>
        <v>2094733.1473476472</v>
      </c>
      <c r="AC43" s="11">
        <f>Electricity!AC43*Electricity!$B$38</f>
        <v>2231445.1248738281</v>
      </c>
      <c r="AD43" s="11">
        <f>Electricity!AD43*Electricity!$B$38</f>
        <v>2377079.5586196873</v>
      </c>
      <c r="AE43" s="11">
        <f>Electricity!AE43*Electricity!$B$38</f>
        <v>2532218.7693623262</v>
      </c>
      <c r="AF43" s="11">
        <f>Electricity!AF43*Electricity!$B$38</f>
        <v>2697483.0828271583</v>
      </c>
      <c r="AG43" s="11">
        <f>Electricity!AG43*Electricity!$B$38</f>
        <v>2873533.3100666837</v>
      </c>
      <c r="AH43" s="11">
        <f>Electricity!AH43*Electricity!$B$38</f>
        <v>3061073.3897202602</v>
      </c>
      <c r="AI43" s="11">
        <f>Electricity!AI43*Electricity!$B$38</f>
        <v>3260853.2027199804</v>
      </c>
      <c r="AJ43" s="11">
        <f>Electricity!AJ43*Electricity!$B$38</f>
        <v>3473671.5706972554</v>
      </c>
      <c r="AK43" s="11">
        <f>Electricity!AK43*Electricity!$B$38</f>
        <v>3700379.4500793167</v>
      </c>
      <c r="AL43" s="11">
        <f>Electricity!AL43*Electricity!$B$38</f>
        <v>3941883.3346472103</v>
      </c>
      <c r="AM43" s="11">
        <f>Electricity!AM43*Electricity!$B$38</f>
        <v>4199148.8801604779</v>
      </c>
      <c r="AN43" s="11">
        <f>Electricity!AN43*Electricity!$B$38</f>
        <v>4473204.7655416187</v>
      </c>
      <c r="AO43" s="40">
        <f>Electricity!AO43*Electricity!$B$38</f>
        <v>4765146.806059313</v>
      </c>
      <c r="AP43" s="40">
        <f>Electricity!AP43*Electricity!$B$38</f>
        <v>5076142.3349570138</v>
      </c>
      <c r="AQ43" s="40">
        <f>Electricity!AQ43*Electricity!$B$38</f>
        <v>5407434.8710468914</v>
      </c>
      <c r="AR43" s="40">
        <f>Electricity!AR43*Electricity!$B$38</f>
        <v>5760349.0909325592</v>
      </c>
      <c r="AS43" s="40">
        <f>Electricity!AS43*Electricity!$B$38</f>
        <v>6136296.1257420601</v>
      </c>
      <c r="AT43" s="40">
        <f>Electricity!AT43*Electricity!$B$38</f>
        <v>6536779.203550159</v>
      </c>
      <c r="AU43" s="40">
        <f>Electricity!AU43*Electricity!$B$38</f>
        <v>6963399.6600512154</v>
      </c>
      <c r="AV43" s="40">
        <f>Electricity!AV43*Electricity!$B$38</f>
        <v>7417863.341516383</v>
      </c>
      <c r="AW43" s="40">
        <f>Electricity!AW43*Electricity!$B$38</f>
        <v>7901987.4256374212</v>
      </c>
      <c r="AX43" s="40">
        <f>Electricity!AX43*Electricity!$B$38</f>
        <v>8417707.6875303369</v>
      </c>
    </row>
    <row r="45" spans="1:50" x14ac:dyDescent="0.2">
      <c r="A45" s="5" t="s">
        <v>157</v>
      </c>
    </row>
    <row r="46" spans="1:50" x14ac:dyDescent="0.2">
      <c r="A46" s="5" t="s">
        <v>4</v>
      </c>
    </row>
    <row r="47" spans="1:50" x14ac:dyDescent="0.2">
      <c r="A47" s="5" t="s">
        <v>50</v>
      </c>
    </row>
    <row r="48" spans="1:50" x14ac:dyDescent="0.2">
      <c r="A48" s="5" t="s">
        <v>6</v>
      </c>
    </row>
    <row r="49" spans="1:50" x14ac:dyDescent="0.2">
      <c r="A49" s="5"/>
    </row>
    <row r="50" spans="1:50" x14ac:dyDescent="0.2">
      <c r="A50" s="6" t="s">
        <v>7</v>
      </c>
      <c r="B50" s="6">
        <v>2022</v>
      </c>
      <c r="C50" s="6">
        <v>2023</v>
      </c>
      <c r="D50" s="6">
        <v>2024</v>
      </c>
      <c r="E50" s="6">
        <v>2025</v>
      </c>
      <c r="F50" s="6">
        <v>2026</v>
      </c>
      <c r="G50" s="6">
        <v>2027</v>
      </c>
      <c r="H50" s="6">
        <v>2028</v>
      </c>
      <c r="I50" s="6">
        <v>2029</v>
      </c>
      <c r="J50" s="6">
        <v>2030</v>
      </c>
      <c r="K50" s="6">
        <v>2031</v>
      </c>
      <c r="L50" s="6">
        <v>2032</v>
      </c>
      <c r="M50" s="6">
        <v>2033</v>
      </c>
      <c r="N50" s="6">
        <v>2034</v>
      </c>
      <c r="O50" s="6">
        <v>2035</v>
      </c>
      <c r="P50" s="6">
        <v>2036</v>
      </c>
      <c r="Q50" s="6">
        <v>2037</v>
      </c>
      <c r="R50" s="6">
        <v>2038</v>
      </c>
      <c r="S50" s="6">
        <v>2039</v>
      </c>
      <c r="T50" s="6">
        <v>2040</v>
      </c>
      <c r="U50" s="6">
        <v>2041</v>
      </c>
      <c r="V50" s="6">
        <v>2042</v>
      </c>
      <c r="W50" s="6">
        <v>2043</v>
      </c>
      <c r="X50" s="6">
        <v>2044</v>
      </c>
      <c r="Y50" s="6">
        <v>2045</v>
      </c>
      <c r="Z50" s="6">
        <v>2046</v>
      </c>
      <c r="AA50" s="6">
        <v>2047</v>
      </c>
      <c r="AB50" s="6">
        <v>2048</v>
      </c>
      <c r="AC50" s="6">
        <v>2049</v>
      </c>
      <c r="AD50" s="6">
        <v>2050</v>
      </c>
      <c r="AE50" s="6">
        <v>2051</v>
      </c>
      <c r="AF50" s="6">
        <v>2052</v>
      </c>
      <c r="AG50" s="6">
        <v>2053</v>
      </c>
      <c r="AH50" s="6">
        <v>2054</v>
      </c>
      <c r="AI50" s="6">
        <v>2055</v>
      </c>
      <c r="AJ50" s="6">
        <v>2056</v>
      </c>
      <c r="AK50" s="6">
        <v>2057</v>
      </c>
      <c r="AL50" s="6">
        <v>2058</v>
      </c>
      <c r="AM50" s="6">
        <v>2059</v>
      </c>
      <c r="AN50" s="6">
        <v>2060</v>
      </c>
      <c r="AO50" s="39">
        <f>AN50+1</f>
        <v>2061</v>
      </c>
      <c r="AP50" s="39">
        <f t="shared" ref="AP50:AX50" si="4">AO50+1</f>
        <v>2062</v>
      </c>
      <c r="AQ50" s="39">
        <f t="shared" si="4"/>
        <v>2063</v>
      </c>
      <c r="AR50" s="39">
        <f t="shared" si="4"/>
        <v>2064</v>
      </c>
      <c r="AS50" s="39">
        <f t="shared" si="4"/>
        <v>2065</v>
      </c>
      <c r="AT50" s="39">
        <f t="shared" si="4"/>
        <v>2066</v>
      </c>
      <c r="AU50" s="39">
        <f t="shared" si="4"/>
        <v>2067</v>
      </c>
      <c r="AV50" s="39">
        <f t="shared" si="4"/>
        <v>2068</v>
      </c>
      <c r="AW50" s="39">
        <f>AV50+1</f>
        <v>2069</v>
      </c>
      <c r="AX50" s="39">
        <f t="shared" si="4"/>
        <v>2070</v>
      </c>
    </row>
    <row r="51" spans="1:50" x14ac:dyDescent="0.2">
      <c r="A51" s="6" t="s">
        <v>34</v>
      </c>
      <c r="B51" s="11">
        <f>Electricity!B51*Electricity!$B$49</f>
        <v>6601434.2236457327</v>
      </c>
      <c r="C51" s="11">
        <f>Electricity!C51*Electricity!$B$49</f>
        <v>7032274.3659170056</v>
      </c>
      <c r="D51" s="11">
        <f>Electricity!D51*Electricity!$B$49</f>
        <v>7491233.1293702424</v>
      </c>
      <c r="E51" s="11">
        <f>Electricity!E51*Electricity!$B$49</f>
        <v>7980145.6653286349</v>
      </c>
      <c r="F51" s="11">
        <f>Electricity!F51*Electricity!$B$49</f>
        <v>8500966.8955819793</v>
      </c>
      <c r="G51" s="11">
        <f>Electricity!G51*Electricity!$B$49</f>
        <v>9055779.3291614838</v>
      </c>
      <c r="H51" s="11">
        <f>Electricity!H51*Electricity!$B$49</f>
        <v>9646801.3892735224</v>
      </c>
      <c r="I51" s="11">
        <f>Electricity!I51*Electricity!$B$49</f>
        <v>10276396.283687543</v>
      </c>
      <c r="J51" s="11">
        <f>Electricity!J51*Electricity!$B$49</f>
        <v>10947081.454046603</v>
      </c>
      <c r="K51" s="11">
        <f>Electricity!K51*Electricity!$B$49</f>
        <v>11661538.641883567</v>
      </c>
      <c r="L51" s="11">
        <f>Electricity!L51*Electricity!$B$49</f>
        <v>12422624.611592188</v>
      </c>
      <c r="M51" s="11">
        <f>Electricity!M51*Electricity!$B$49</f>
        <v>13233382.573228776</v>
      </c>
      <c r="N51" s="11">
        <f>Electricity!N51*Electricity!$B$49</f>
        <v>14097054.350818856</v>
      </c>
      <c r="O51" s="11">
        <f>Electricity!O51*Electricity!$B$49</f>
        <v>15017093.344823781</v>
      </c>
      <c r="P51" s="11">
        <f>Electricity!P51*Electricity!$B$49</f>
        <v>15997178.340597888</v>
      </c>
      <c r="Q51" s="11">
        <f>Electricity!Q51*Electricity!$B$49</f>
        <v>17041228.218049493</v>
      </c>
      <c r="R51" s="11">
        <f>Electricity!R51*Electricity!$B$49</f>
        <v>18153417.621322375</v>
      </c>
      <c r="S51" s="11">
        <f>Electricity!S51*Electricity!$B$49</f>
        <v>19338193.651153203</v>
      </c>
      <c r="T51" s="11">
        <f>Electricity!T51*Electricity!$B$49</f>
        <v>20600293.646649491</v>
      </c>
      <c r="U51" s="11">
        <f>Electricity!U51*Electricity!$B$49</f>
        <v>21944764.127588551</v>
      </c>
      <c r="V51" s="11">
        <f>Electricity!V51*Electricity!$B$49</f>
        <v>23376980.972978599</v>
      </c>
      <c r="W51" s="11">
        <f>Electricity!W51*Electricity!$B$49</f>
        <v>24902670.916566148</v>
      </c>
      <c r="X51" s="11">
        <f>Electricity!X51*Electricity!$B$49</f>
        <v>26527934.445239592</v>
      </c>
      <c r="Y51" s="11">
        <f>Electricity!Y51*Electricity!$B$49</f>
        <v>28259270.191888615</v>
      </c>
      <c r="Z51" s="11">
        <f>Electricity!Z51*Electricity!$B$49</f>
        <v>30103600.920254443</v>
      </c>
      <c r="AA51" s="11">
        <f>Electricity!AA51*Electricity!$B$49</f>
        <v>32068301.205671716</v>
      </c>
      <c r="AB51" s="11">
        <f>Electricity!AB51*Electricity!$B$49</f>
        <v>34161226.922383547</v>
      </c>
      <c r="AC51" s="11">
        <f>Electricity!AC51*Electricity!$B$49</f>
        <v>36390746.655335277</v>
      </c>
      <c r="AD51" s="11">
        <f>Electricity!AD51*Electricity!$B$49</f>
        <v>38765775.16204723</v>
      </c>
      <c r="AE51" s="11">
        <f>Electricity!AE51*Electricity!$B$49</f>
        <v>41295809.018364117</v>
      </c>
      <c r="AF51" s="11">
        <f>Electricity!AF51*Electricity!$B$49</f>
        <v>43990964.590610899</v>
      </c>
      <c r="AG51" s="11">
        <f>Electricity!AG51*Electricity!$B$49</f>
        <v>46862018.485987343</v>
      </c>
      <c r="AH51" s="11">
        <f>Electricity!AH51*Electricity!$B$49</f>
        <v>49920450.642942406</v>
      </c>
      <c r="AI51" s="11">
        <f>Electricity!AI51*Electricity!$B$49</f>
        <v>53178490.233825974</v>
      </c>
      <c r="AJ51" s="11">
        <f>Electricity!AJ51*Electricity!$B$49</f>
        <v>56649164.563359767</v>
      </c>
      <c r="AK51" s="11">
        <f>Electricity!AK51*Electricity!$B$49</f>
        <v>60346351.158449091</v>
      </c>
      <c r="AL51" s="11">
        <f>Electricity!AL51*Electricity!$B$49</f>
        <v>64284833.257616296</v>
      </c>
      <c r="AM51" s="11">
        <f>Electricity!AM51*Electricity!$B$49</f>
        <v>68480358.921931848</v>
      </c>
      <c r="AN51" s="11">
        <f>Electricity!AN51*Electricity!$B$49</f>
        <v>72949704.003797859</v>
      </c>
      <c r="AO51" s="40">
        <f>Electricity!AO51*Electricity!$B$49</f>
        <v>77710739.225366145</v>
      </c>
      <c r="AP51" s="40">
        <f>Electricity!AP51*Electricity!$B$49</f>
        <v>82782501.634803936</v>
      </c>
      <c r="AQ51" s="40">
        <f>Electricity!AQ51*Electricity!$B$49</f>
        <v>88185270.726126298</v>
      </c>
      <c r="AR51" s="40">
        <f>Electricity!AR51*Electricity!$B$49</f>
        <v>93940649.526960969</v>
      </c>
      <c r="AS51" s="40">
        <f>Electricity!AS51*Electricity!$B$49</f>
        <v>100071650.97847581</v>
      </c>
      <c r="AT51" s="40">
        <f>Electricity!AT51*Electricity!$B$49</f>
        <v>106602789.95286024</v>
      </c>
      <c r="AU51" s="40">
        <f>Electricity!AU51*Electricity!$B$49</f>
        <v>113560181.27629301</v>
      </c>
      <c r="AV51" s="40">
        <f>Electricity!AV51*Electricity!$B$49</f>
        <v>120971644.14934267</v>
      </c>
      <c r="AW51" s="40">
        <f>Electricity!AW51*Electricity!$B$49</f>
        <v>128866813.38232626</v>
      </c>
      <c r="AX51" s="40">
        <f>Electricity!AX51*Electricity!$B$49</f>
        <v>137277257.89040241</v>
      </c>
    </row>
    <row r="52" spans="1:50" x14ac:dyDescent="0.2">
      <c r="A52" s="6" t="s">
        <v>35</v>
      </c>
      <c r="B52" s="11">
        <f>Electricity!B52*Electricity!$B$49</f>
        <v>2061081.2734459527</v>
      </c>
      <c r="C52" s="11">
        <f>Electricity!C52*Electricity!$B$49</f>
        <v>2195596.9739740877</v>
      </c>
      <c r="D52" s="11">
        <f>Electricity!D52*Electricity!$B$49</f>
        <v>2338891.7915228358</v>
      </c>
      <c r="E52" s="11">
        <f>Electricity!E52*Electricity!$B$49</f>
        <v>2491538.6918899356</v>
      </c>
      <c r="F52" s="11">
        <f>Electricity!F52*Electricity!$B$49</f>
        <v>2654148.0352722015</v>
      </c>
      <c r="G52" s="11">
        <f>Electricity!G52*Electricity!$B$49</f>
        <v>2827370.0167970248</v>
      </c>
      <c r="H52" s="11">
        <f>Electricity!H52*Electricity!$B$49</f>
        <v>3011897.2663342664</v>
      </c>
      <c r="I52" s="11">
        <f>Electricity!I52*Electricity!$B$49</f>
        <v>3208467.6179838935</v>
      </c>
      <c r="J52" s="11">
        <f>Electricity!J52*Electricity!$B$49</f>
        <v>3417867.0603131927</v>
      </c>
      <c r="K52" s="11">
        <f>Electricity!K52*Electricity!$B$49</f>
        <v>3640932.8791401181</v>
      </c>
      <c r="L52" s="11">
        <f>Electricity!L52*Electricity!$B$49</f>
        <v>3878557.0054292353</v>
      </c>
      <c r="M52" s="11">
        <f>Electricity!M52*Electricity!$B$49</f>
        <v>4131689.581686812</v>
      </c>
      <c r="N52" s="11">
        <f>Electricity!N52*Electricity!$B$49</f>
        <v>4401342.7611153899</v>
      </c>
      <c r="O52" s="11">
        <f>Electricity!O52*Electricity!$B$49</f>
        <v>4688594.7547187367</v>
      </c>
      <c r="P52" s="11">
        <f>Electricity!P52*Electricity!$B$49</f>
        <v>4994594.1425396129</v>
      </c>
      <c r="Q52" s="11">
        <f>Electricity!Q52*Electricity!$B$49</f>
        <v>5320564.4662688458</v>
      </c>
      <c r="R52" s="11">
        <f>Electricity!R52*Electricity!$B$49</f>
        <v>5667809.1215893393</v>
      </c>
      <c r="S52" s="11">
        <f>Electricity!S52*Electricity!$B$49</f>
        <v>6037716.5698170634</v>
      </c>
      <c r="T52" s="11">
        <f>Electricity!T52*Electricity!$B$49</f>
        <v>6431765.8896778943</v>
      </c>
      <c r="U52" s="11">
        <f>Electricity!U52*Electricity!$B$49</f>
        <v>6851532.6914190492</v>
      </c>
      <c r="V52" s="11">
        <f>Electricity!V52*Electricity!$B$49</f>
        <v>7298695.4169028196</v>
      </c>
      <c r="W52" s="11">
        <f>Electricity!W52*Electricity!$B$49</f>
        <v>7775042.0508735925</v>
      </c>
      <c r="X52" s="11">
        <f>Electricity!X52*Electricity!$B$49</f>
        <v>8282477.2702331748</v>
      </c>
      <c r="Y52" s="11">
        <f>Electricity!Y52*Electricity!$B$49</f>
        <v>8823030.0599109251</v>
      </c>
      <c r="Z52" s="11">
        <f>Electricity!Z52*Electricity!$B$49</f>
        <v>9398861.8257807977</v>
      </c>
      <c r="AA52" s="11">
        <f>Electricity!AA52*Electricity!$B$49</f>
        <v>10012275.037064923</v>
      </c>
      <c r="AB52" s="11">
        <f>Electricity!AB52*Electricity!$B$49</f>
        <v>10665722.432780381</v>
      </c>
      <c r="AC52" s="11">
        <f>Electricity!AC52*Electricity!$B$49</f>
        <v>11361816.82904133</v>
      </c>
      <c r="AD52" s="11">
        <f>Electricity!AD52*Electricity!$B$49</f>
        <v>12103341.566431034</v>
      </c>
      <c r="AE52" s="11">
        <f>Electricity!AE52*Electricity!$B$49</f>
        <v>12893261.639217755</v>
      </c>
      <c r="AF52" s="11">
        <f>Electricity!AF52*Electricity!$B$49</f>
        <v>13734735.550914716</v>
      </c>
      <c r="AG52" s="11">
        <f>Electricity!AG52*Electricity!$B$49</f>
        <v>14631127.943588806</v>
      </c>
      <c r="AH52" s="11">
        <f>Electricity!AH52*Electricity!$B$49</f>
        <v>15586023.051416405</v>
      </c>
      <c r="AI52" s="11">
        <f>Electricity!AI52*Electricity!$B$49</f>
        <v>16603239.032280507</v>
      </c>
      <c r="AJ52" s="11">
        <f>Electricity!AJ52*Electricity!$B$49</f>
        <v>17686843.234714136</v>
      </c>
      <c r="AK52" s="11">
        <f>Electricity!AK52*Electricity!$B$49</f>
        <v>18841168.461235236</v>
      </c>
      <c r="AL52" s="11">
        <f>Electricity!AL52*Electricity!$B$49</f>
        <v>20070830.293101918</v>
      </c>
      <c r="AM52" s="11">
        <f>Electricity!AM52*Electricity!$B$49</f>
        <v>21380745.545761526</v>
      </c>
      <c r="AN52" s="11">
        <f>Electricity!AN52*Electricity!$B$49</f>
        <v>22776151.928787567</v>
      </c>
      <c r="AO52" s="40">
        <f>Electricity!AO52*Electricity!$B$49</f>
        <v>24262628.988915216</v>
      </c>
      <c r="AP52" s="40">
        <f>Electricity!AP52*Electricity!$B$49</f>
        <v>25846120.419916157</v>
      </c>
      <c r="AQ52" s="40">
        <f>Electricity!AQ52*Electricity!$B$49</f>
        <v>27532957.828519069</v>
      </c>
      <c r="AR52" s="40">
        <f>Electricity!AR52*Electricity!$B$49</f>
        <v>29329886.0514041</v>
      </c>
      <c r="AS52" s="40">
        <f>Electricity!AS52*Electricity!$B$49</f>
        <v>31244090.124501493</v>
      </c>
      <c r="AT52" s="40">
        <f>Electricity!AT52*Electricity!$B$49</f>
        <v>33283224.012431469</v>
      </c>
      <c r="AU52" s="40">
        <f>Electricity!AU52*Electricity!$B$49</f>
        <v>35455441.212960251</v>
      </c>
      <c r="AV52" s="40">
        <f>Electricity!AV52*Electricity!$B$49</f>
        <v>37769427.358844534</v>
      </c>
      <c r="AW52" s="40">
        <f>Electricity!AW52*Electricity!$B$49</f>
        <v>40234434.947423115</v>
      </c>
      <c r="AX52" s="40">
        <f>Electricity!AX52*Electricity!$B$49</f>
        <v>42860320.336822458</v>
      </c>
    </row>
    <row r="53" spans="1:50" x14ac:dyDescent="0.2">
      <c r="A53" s="6" t="s">
        <v>36</v>
      </c>
      <c r="B53" s="11">
        <f>Electricity!B53*Electricity!$B$49</f>
        <v>617328.69059733837</v>
      </c>
      <c r="C53" s="11">
        <f>Electricity!C53*Electricity!$B$49</f>
        <v>657618.41732557223</v>
      </c>
      <c r="D53" s="11">
        <f>Electricity!D53*Electricity!$B$49</f>
        <v>700537.63804065611</v>
      </c>
      <c r="E53" s="11">
        <f>Electricity!E53*Electricity!$B$49</f>
        <v>746257.96568684059</v>
      </c>
      <c r="F53" s="11">
        <f>Electricity!F53*Electricity!$B$49</f>
        <v>794962.2134631715</v>
      </c>
      <c r="G53" s="11">
        <f>Electricity!G53*Electricity!$B$49</f>
        <v>846845.12580393965</v>
      </c>
      <c r="H53" s="11">
        <f>Electricity!H53*Electricity!$B$49</f>
        <v>902114.15706630202</v>
      </c>
      <c r="I53" s="11">
        <f>Electricity!I53*Electricity!$B$49</f>
        <v>960990.30103865394</v>
      </c>
      <c r="J53" s="11">
        <f>Electricity!J53*Electricity!$B$49</f>
        <v>1023708.9745865599</v>
      </c>
      <c r="K53" s="11">
        <f>Electricity!K53*Electricity!$B$49</f>
        <v>1090520.9589695041</v>
      </c>
      <c r="L53" s="11">
        <f>Electricity!L53*Electricity!$B$49</f>
        <v>1161693.4025923314</v>
      </c>
      <c r="M53" s="11">
        <f>Electricity!M53*Electricity!$B$49</f>
        <v>1237510.8892008811</v>
      </c>
      <c r="N53" s="11">
        <f>Electricity!N53*Electricity!$B$49</f>
        <v>1318276.5757930153</v>
      </c>
      <c r="O53" s="11">
        <f>Electricity!O53*Electricity!$B$49</f>
        <v>1404313.404794984</v>
      </c>
      <c r="P53" s="11">
        <f>Electricity!P53*Electricity!$B$49</f>
        <v>1495965.3953500288</v>
      </c>
      <c r="Q53" s="11">
        <f>Electricity!Q53*Electricity!$B$49</f>
        <v>1593599.0188824562</v>
      </c>
      <c r="R53" s="11">
        <f>Electricity!R53*Electricity!$B$49</f>
        <v>1697604.6644373864</v>
      </c>
      <c r="S53" s="11">
        <f>Electricity!S53*Electricity!$B$49</f>
        <v>1808398.1996553524</v>
      </c>
      <c r="T53" s="11">
        <f>Electricity!T53*Electricity!$B$49</f>
        <v>1926422.6336233309</v>
      </c>
      <c r="U53" s="11">
        <f>Electricity!U53*Electricity!$B$49</f>
        <v>2052149.8882511163</v>
      </c>
      <c r="V53" s="11">
        <f>Electricity!V53*Electricity!$B$49</f>
        <v>2186082.6852559173</v>
      </c>
      <c r="W53" s="11">
        <f>Electricity!W53*Electricity!$B$49</f>
        <v>2328756.5563003034</v>
      </c>
      <c r="X53" s="11">
        <f>Electricity!X53*Electricity!$B$49</f>
        <v>2480741.9843210476</v>
      </c>
      <c r="Y53" s="11">
        <f>Electricity!Y53*Electricity!$B$49</f>
        <v>2642646.6846110015</v>
      </c>
      <c r="Z53" s="11">
        <f>Electricity!Z53*Electricity!$B$49</f>
        <v>2815118.0347749251</v>
      </c>
      <c r="AA53" s="11">
        <f>Electricity!AA53*Electricity!$B$49</f>
        <v>2998845.663275484</v>
      </c>
      <c r="AB53" s="11">
        <f>Electricity!AB53*Electricity!$B$49</f>
        <v>3194564.2069197283</v>
      </c>
      <c r="AC53" s="11">
        <f>Electricity!AC53*Electricity!$B$49</f>
        <v>3403056.2483118959</v>
      </c>
      <c r="AD53" s="11">
        <f>Electricity!AD53*Electricity!$B$49</f>
        <v>3625155.4450179911</v>
      </c>
      <c r="AE53" s="11">
        <f>Electricity!AE53*Electricity!$B$49</f>
        <v>3861749.8629541104</v>
      </c>
      <c r="AF53" s="11">
        <f>Electricity!AF53*Electricity!$B$49</f>
        <v>4113785.5273271129</v>
      </c>
      <c r="AG53" s="11">
        <f>Electricity!AG53*Electricity!$B$49</f>
        <v>4382270.2053261157</v>
      </c>
      <c r="AH53" s="11">
        <f>Electricity!AH53*Electricity!$B$49</f>
        <v>4668277.4356899383</v>
      </c>
      <c r="AI53" s="11">
        <f>Electricity!AI53*Electricity!$B$49</f>
        <v>4972950.8212627601</v>
      </c>
      <c r="AJ53" s="11">
        <f>Electricity!AJ53*Electricity!$B$49</f>
        <v>5297508.6017018184</v>
      </c>
      <c r="AK53" s="11">
        <f>Electricity!AK53*Electricity!$B$49</f>
        <v>5643248.5246211821</v>
      </c>
      <c r="AL53" s="11">
        <f>Electricity!AL53*Electricity!$B$49</f>
        <v>6011553.034648885</v>
      </c>
      <c r="AM53" s="11">
        <f>Electricity!AM53*Electricity!$B$49</f>
        <v>6403894.8011459643</v>
      </c>
      <c r="AN53" s="11">
        <f>Electricity!AN53*Electricity!$B$49</f>
        <v>6821842.6066899961</v>
      </c>
      <c r="AO53" s="40">
        <f>Electricity!AO53*Electricity!$B$49</f>
        <v>7267067.6198683269</v>
      </c>
      <c r="AP53" s="40">
        <f>Electricity!AP53*Electricity!$B$49</f>
        <v>7741350.077462812</v>
      </c>
      <c r="AQ53" s="40">
        <f>Electricity!AQ53*Electricity!$B$49</f>
        <v>8246586.4027448446</v>
      </c>
      <c r="AR53" s="40">
        <f>Electricity!AR53*Electricity!$B$49</f>
        <v>8784796.7883432601</v>
      </c>
      <c r="AS53" s="40">
        <f>Electricity!AS53*Electricity!$B$49</f>
        <v>9358133.2740052808</v>
      </c>
      <c r="AT53" s="40">
        <f>Electricity!AT53*Electricity!$B$49</f>
        <v>9968888.3515495248</v>
      </c>
      <c r="AU53" s="40">
        <f>Electricity!AU53*Electricity!$B$49</f>
        <v>10619504.131418051</v>
      </c>
      <c r="AV53" s="40">
        <f>Electricity!AV53*Electricity!$B$49</f>
        <v>11312582.10748001</v>
      </c>
      <c r="AW53" s="40">
        <f>Electricity!AW53*Electricity!$B$49</f>
        <v>12050893.559131568</v>
      </c>
      <c r="AX53" s="40">
        <f>Electricity!AX53*Electricity!$B$49</f>
        <v>12837390.632284993</v>
      </c>
    </row>
    <row r="54" spans="1:50" x14ac:dyDescent="0.2">
      <c r="A54" s="6" t="s">
        <v>37</v>
      </c>
      <c r="B54" s="11">
        <f>Electricity!B54*Electricity!$B$49</f>
        <v>677070.17678417766</v>
      </c>
      <c r="C54" s="11">
        <f>Electricity!C54*Electricity!$B$49</f>
        <v>721258.90932482108</v>
      </c>
      <c r="D54" s="11">
        <f>Electricity!D54*Electricity!$B$49</f>
        <v>768331.60301233246</v>
      </c>
      <c r="E54" s="11">
        <f>Electricity!E54*Electricity!$B$49</f>
        <v>818476.47849524464</v>
      </c>
      <c r="F54" s="11">
        <f>Electricity!F54*Electricity!$B$49</f>
        <v>871894.04057251068</v>
      </c>
      <c r="G54" s="11">
        <f>Electricity!G54*Electricity!$B$49</f>
        <v>928797.87991399842</v>
      </c>
      <c r="H54" s="11">
        <f>Electricity!H54*Electricity!$B$49</f>
        <v>989415.52710497647</v>
      </c>
      <c r="I54" s="11">
        <f>Electricity!I54*Electricity!$B$49</f>
        <v>1053989.3624294915</v>
      </c>
      <c r="J54" s="11">
        <f>Electricity!J54*Electricity!$B$49</f>
        <v>1122777.5850304207</v>
      </c>
      <c r="K54" s="11">
        <f>Electricity!K54*Electricity!$B$49</f>
        <v>1196055.2453213916</v>
      </c>
      <c r="L54" s="11">
        <f>Electricity!L54*Electricity!$B$49</f>
        <v>1274115.3447786861</v>
      </c>
      <c r="M54" s="11">
        <f>Electricity!M54*Electricity!$B$49</f>
        <v>1357270.0075106437</v>
      </c>
      <c r="N54" s="11">
        <f>Electricity!N54*Electricity!$B$49</f>
        <v>1445851.7282891134</v>
      </c>
      <c r="O54" s="11">
        <f>Electricity!O54*Electricity!$B$49</f>
        <v>1540214.7020332082</v>
      </c>
      <c r="P54" s="11">
        <f>Electricity!P54*Electricity!$B$49</f>
        <v>1640736.240061322</v>
      </c>
      <c r="Q54" s="11">
        <f>Electricity!Q54*Electricity!$B$49</f>
        <v>1747818.2787743069</v>
      </c>
      <c r="R54" s="11">
        <f>Electricity!R54*Electricity!$B$49</f>
        <v>1861888.9868022949</v>
      </c>
      <c r="S54" s="11">
        <f>Electricity!S54*Electricity!$B$49</f>
        <v>1983404.4770413542</v>
      </c>
      <c r="T54" s="11">
        <f>Electricity!T54*Electricity!$B$49</f>
        <v>2112850.6304255887</v>
      </c>
      <c r="U54" s="11">
        <f>Electricity!U54*Electricity!$B$49</f>
        <v>2250745.0387270306</v>
      </c>
      <c r="V54" s="11">
        <f>Electricity!V54*Electricity!$B$49</f>
        <v>2397639.074151651</v>
      </c>
      <c r="W54" s="11">
        <f>Electricity!W54*Electricity!$B$49</f>
        <v>2554120.0940067843</v>
      </c>
      <c r="X54" s="11">
        <f>Electricity!X54*Electricity!$B$49</f>
        <v>2720813.7892553424</v>
      </c>
      <c r="Y54" s="11">
        <f>Electricity!Y54*Electricity!$B$49</f>
        <v>2898386.6863475502</v>
      </c>
      <c r="Z54" s="11">
        <f>Electricity!Z54*Electricity!$B$49</f>
        <v>3087548.8123337892</v>
      </c>
      <c r="AA54" s="11">
        <f>Electricity!AA54*Electricity!$B$49</f>
        <v>3289056.5339150471</v>
      </c>
      <c r="AB54" s="11">
        <f>Electricity!AB54*Electricity!$B$49</f>
        <v>3503715.5817829277</v>
      </c>
      <c r="AC54" s="11">
        <f>Electricity!AC54*Electricity!$B$49</f>
        <v>3732384.2723420793</v>
      </c>
      <c r="AD54" s="11">
        <f>Electricity!AD54*Electricity!$B$49</f>
        <v>3975976.9396971511</v>
      </c>
      <c r="AE54" s="11">
        <f>Electricity!AE54*Electricity!$B$49</f>
        <v>4235467.5916270884</v>
      </c>
      <c r="AF54" s="11">
        <f>Electricity!AF54*Electricity!$B$49</f>
        <v>4511893.8041652208</v>
      </c>
      <c r="AG54" s="11">
        <f>Electricity!AG54*Electricity!$B$49</f>
        <v>4806360.8703576755</v>
      </c>
      <c r="AH54" s="11">
        <f>Electricity!AH54*Electricity!$B$49</f>
        <v>5120046.2197889648</v>
      </c>
      <c r="AI54" s="11">
        <f>Electricity!AI54*Electricity!$B$49</f>
        <v>5454204.1265462535</v>
      </c>
      <c r="AJ54" s="11">
        <f>Electricity!AJ54*Electricity!$B$49</f>
        <v>5810170.7244471554</v>
      </c>
      <c r="AK54" s="11">
        <f>Electricity!AK54*Electricity!$B$49</f>
        <v>6189369.3495845227</v>
      </c>
      <c r="AL54" s="11">
        <f>Electricity!AL54*Electricity!$B$49</f>
        <v>6593316.2315503899</v>
      </c>
      <c r="AM54" s="11">
        <f>Electricity!AM54*Electricity!$B$49</f>
        <v>7023626.5560955731</v>
      </c>
      <c r="AN54" s="11">
        <f>Electricity!AN54*Electricity!$B$49</f>
        <v>7482020.9234664468</v>
      </c>
      <c r="AO54" s="40">
        <f>Electricity!AO54*Electricity!$B$49</f>
        <v>7970332.2282426804</v>
      </c>
      <c r="AP54" s="40">
        <f>Electricity!AP54*Electricity!$B$49</f>
        <v>8490512.9881850183</v>
      </c>
      <c r="AQ54" s="40">
        <f>Electricity!AQ54*Electricity!$B$49</f>
        <v>9044643.151397571</v>
      </c>
      <c r="AR54" s="40">
        <f>Electricity!AR54*Electricity!$B$49</f>
        <v>9634938.413021639</v>
      </c>
      <c r="AS54" s="40">
        <f>Electricity!AS54*Electricity!$B$49</f>
        <v>10263759.074715467</v>
      </c>
      <c r="AT54" s="40">
        <f>Electricity!AT54*Electricity!$B$49</f>
        <v>10933619.482344639</v>
      </c>
      <c r="AU54" s="40">
        <f>Electricity!AU54*Electricity!$B$49</f>
        <v>11647198.079619797</v>
      </c>
      <c r="AV54" s="40">
        <f>Electricity!AV54*Electricity!$B$49</f>
        <v>12407348.1178813</v>
      </c>
      <c r="AW54" s="40">
        <f>Electricity!AW54*Electricity!$B$49</f>
        <v>13217109.064853976</v>
      </c>
      <c r="AX54" s="40">
        <f>Electricity!AX54*Electricity!$B$49</f>
        <v>14079718.75798999</v>
      </c>
    </row>
    <row r="56" spans="1:50" x14ac:dyDescent="0.2">
      <c r="A56" s="5" t="s">
        <v>157</v>
      </c>
    </row>
    <row r="57" spans="1:50" x14ac:dyDescent="0.2">
      <c r="A57" s="5" t="s">
        <v>4</v>
      </c>
    </row>
    <row r="58" spans="1:50" x14ac:dyDescent="0.2">
      <c r="A58" s="5" t="s">
        <v>53</v>
      </c>
    </row>
    <row r="59" spans="1:50" x14ac:dyDescent="0.2">
      <c r="A59" s="5" t="s">
        <v>6</v>
      </c>
    </row>
    <row r="60" spans="1:50" x14ac:dyDescent="0.2">
      <c r="A60" s="5"/>
    </row>
    <row r="61" spans="1:50" x14ac:dyDescent="0.2">
      <c r="A61" s="6" t="s">
        <v>7</v>
      </c>
      <c r="B61" s="6">
        <v>2022</v>
      </c>
      <c r="C61" s="6">
        <v>2023</v>
      </c>
      <c r="D61" s="6">
        <v>2024</v>
      </c>
      <c r="E61" s="6">
        <v>2025</v>
      </c>
      <c r="F61" s="6">
        <v>2026</v>
      </c>
      <c r="G61" s="6">
        <v>2027</v>
      </c>
      <c r="H61" s="6">
        <v>2028</v>
      </c>
      <c r="I61" s="6">
        <v>2029</v>
      </c>
      <c r="J61" s="6">
        <v>2030</v>
      </c>
      <c r="K61" s="6">
        <v>2031</v>
      </c>
      <c r="L61" s="6">
        <v>2032</v>
      </c>
      <c r="M61" s="6">
        <v>2033</v>
      </c>
      <c r="N61" s="6">
        <v>2034</v>
      </c>
      <c r="O61" s="6">
        <v>2035</v>
      </c>
      <c r="P61" s="6">
        <v>2036</v>
      </c>
      <c r="Q61" s="6">
        <v>2037</v>
      </c>
      <c r="R61" s="6">
        <v>2038</v>
      </c>
      <c r="S61" s="6">
        <v>2039</v>
      </c>
      <c r="T61" s="6">
        <v>2040</v>
      </c>
      <c r="U61" s="6">
        <v>2041</v>
      </c>
      <c r="V61" s="6">
        <v>2042</v>
      </c>
      <c r="W61" s="6">
        <v>2043</v>
      </c>
      <c r="X61" s="6">
        <v>2044</v>
      </c>
      <c r="Y61" s="6">
        <v>2045</v>
      </c>
      <c r="Z61" s="6">
        <v>2046</v>
      </c>
      <c r="AA61" s="6">
        <v>2047</v>
      </c>
      <c r="AB61" s="6">
        <v>2048</v>
      </c>
      <c r="AC61" s="6">
        <v>2049</v>
      </c>
      <c r="AD61" s="6">
        <v>2050</v>
      </c>
      <c r="AE61" s="6">
        <v>2051</v>
      </c>
      <c r="AF61" s="6">
        <v>2052</v>
      </c>
      <c r="AG61" s="6">
        <v>2053</v>
      </c>
      <c r="AH61" s="6">
        <v>2054</v>
      </c>
      <c r="AI61" s="6">
        <v>2055</v>
      </c>
      <c r="AJ61" s="6">
        <v>2056</v>
      </c>
      <c r="AK61" s="6">
        <v>2057</v>
      </c>
      <c r="AL61" s="6">
        <v>2058</v>
      </c>
      <c r="AM61" s="6">
        <v>2059</v>
      </c>
      <c r="AN61" s="6">
        <v>2060</v>
      </c>
      <c r="AO61" s="39">
        <f>AN61+1</f>
        <v>2061</v>
      </c>
      <c r="AP61" s="39">
        <f t="shared" ref="AP61:AX61" si="5">AO61+1</f>
        <v>2062</v>
      </c>
      <c r="AQ61" s="39">
        <f t="shared" si="5"/>
        <v>2063</v>
      </c>
      <c r="AR61" s="39">
        <f t="shared" si="5"/>
        <v>2064</v>
      </c>
      <c r="AS61" s="39">
        <f t="shared" si="5"/>
        <v>2065</v>
      </c>
      <c r="AT61" s="39">
        <f t="shared" si="5"/>
        <v>2066</v>
      </c>
      <c r="AU61" s="39">
        <f t="shared" si="5"/>
        <v>2067</v>
      </c>
      <c r="AV61" s="39">
        <f t="shared" si="5"/>
        <v>2068</v>
      </c>
      <c r="AW61" s="39">
        <f>AV61+1</f>
        <v>2069</v>
      </c>
      <c r="AX61" s="39">
        <f t="shared" si="5"/>
        <v>2070</v>
      </c>
    </row>
    <row r="62" spans="1:50" x14ac:dyDescent="0.2">
      <c r="A62" s="6" t="s">
        <v>34</v>
      </c>
      <c r="B62" s="11">
        <f>Electricity!B62*Electricity!$B$60</f>
        <v>712290.10499999998</v>
      </c>
      <c r="C62" s="11">
        <f>Electricity!C62*Electricity!$B$60</f>
        <v>714725.74005049176</v>
      </c>
      <c r="D62" s="11">
        <f>Electricity!D62*Electricity!$B$60</f>
        <v>717161.37510098342</v>
      </c>
      <c r="E62" s="11">
        <f>Electricity!E62*Electricity!$B$60</f>
        <v>719597.0101514752</v>
      </c>
      <c r="F62" s="11">
        <f>Electricity!F62*Electricity!$B$60</f>
        <v>726112.29990367033</v>
      </c>
      <c r="G62" s="11">
        <f>Electricity!G62*Electricity!$B$60</f>
        <v>732627.58965586545</v>
      </c>
      <c r="H62" s="11">
        <f>Electricity!H62*Electricity!$B$60</f>
        <v>739142.87940806069</v>
      </c>
      <c r="I62" s="11">
        <f>Electricity!I62*Electricity!$B$60</f>
        <v>745658.16916025581</v>
      </c>
      <c r="J62" s="11">
        <f>Electricity!J62*Electricity!$B$60</f>
        <v>752173.45891245105</v>
      </c>
      <c r="K62" s="11">
        <f>Electricity!K62*Electricity!$B$60</f>
        <v>757645.79874674825</v>
      </c>
      <c r="L62" s="11">
        <f>Electricity!L62*Electricity!$B$60</f>
        <v>763118.13858104567</v>
      </c>
      <c r="M62" s="11">
        <f>Electricity!M62*Electricity!$B$60</f>
        <v>768590.47841534286</v>
      </c>
      <c r="N62" s="11">
        <f>Electricity!N62*Electricity!$B$60</f>
        <v>774062.81824964017</v>
      </c>
      <c r="O62" s="11">
        <f>Electricity!O62*Electricity!$B$60</f>
        <v>779535.1580839376</v>
      </c>
      <c r="P62" s="11">
        <f>Electricity!P62*Electricity!$B$60</f>
        <v>783952.49113417068</v>
      </c>
      <c r="Q62" s="11">
        <f>Electricity!Q62*Electricity!$B$60</f>
        <v>788369.82418440375</v>
      </c>
      <c r="R62" s="11">
        <f>Electricity!R62*Electricity!$B$60</f>
        <v>792787.15723463695</v>
      </c>
      <c r="S62" s="11">
        <f>Electricity!S62*Electricity!$B$60</f>
        <v>797204.49028486991</v>
      </c>
      <c r="T62" s="11">
        <f>Electricity!T62*Electricity!$B$60</f>
        <v>801621.82333510311</v>
      </c>
      <c r="U62" s="11">
        <f>Electricity!U62*Electricity!$B$60</f>
        <v>805007.30766940548</v>
      </c>
      <c r="V62" s="11">
        <f>Electricity!V62*Electricity!$B$60</f>
        <v>808392.79200370796</v>
      </c>
      <c r="W62" s="11">
        <f>Electricity!W62*Electricity!$B$60</f>
        <v>811778.27633801021</v>
      </c>
      <c r="X62" s="11">
        <f>Electricity!X62*Electricity!$B$60</f>
        <v>815163.7606723127</v>
      </c>
      <c r="Y62" s="11">
        <f>Electricity!Y62*Electricity!$B$60</f>
        <v>818549.24500661495</v>
      </c>
      <c r="Z62" s="11">
        <f>Electricity!Z62*Electricity!$B$60</f>
        <v>820944.70772239391</v>
      </c>
      <c r="AA62" s="11">
        <f>Electricity!AA62*Electricity!$B$60</f>
        <v>823340.17043817276</v>
      </c>
      <c r="AB62" s="11">
        <f>Electricity!AB62*Electricity!$B$60</f>
        <v>825735.63315395161</v>
      </c>
      <c r="AC62" s="11">
        <f>Electricity!AC62*Electricity!$B$60</f>
        <v>828131.09586973046</v>
      </c>
      <c r="AD62" s="11">
        <f>Electricity!AD62*Electricity!$B$60</f>
        <v>830526.55858550931</v>
      </c>
      <c r="AE62" s="11">
        <f>Electricity!AE62*Electricity!$B$60</f>
        <v>830526.55858550931</v>
      </c>
      <c r="AF62" s="11">
        <f>Electricity!AF62*Electricity!$B$60</f>
        <v>830526.55858550931</v>
      </c>
      <c r="AG62" s="11">
        <f>Electricity!AG62*Electricity!$B$60</f>
        <v>830526.55858550931</v>
      </c>
      <c r="AH62" s="11">
        <f>Electricity!AH62*Electricity!$B$60</f>
        <v>830526.55858550931</v>
      </c>
      <c r="AI62" s="11">
        <f>Electricity!AI62*Electricity!$B$60</f>
        <v>830526.55858550931</v>
      </c>
      <c r="AJ62" s="11">
        <f>Electricity!AJ62*Electricity!$B$60</f>
        <v>830526.55858550931</v>
      </c>
      <c r="AK62" s="11">
        <f>Electricity!AK62*Electricity!$B$60</f>
        <v>830526.55858550931</v>
      </c>
      <c r="AL62" s="11">
        <f>Electricity!AL62*Electricity!$B$60</f>
        <v>830526.55858550931</v>
      </c>
      <c r="AM62" s="11">
        <f>Electricity!AM62*Electricity!$B$60</f>
        <v>830526.55858550931</v>
      </c>
      <c r="AN62" s="11">
        <f>Electricity!AN62*Electricity!$B$60</f>
        <v>830526.55858550931</v>
      </c>
      <c r="AO62" s="40">
        <f>Electricity!AO62*Electricity!$B$60</f>
        <v>830526.55858550931</v>
      </c>
      <c r="AP62" s="40">
        <f>Electricity!AP62*Electricity!$B$60</f>
        <v>830526.55858550931</v>
      </c>
      <c r="AQ62" s="40">
        <f>Electricity!AQ62*Electricity!$B$60</f>
        <v>830526.55858550931</v>
      </c>
      <c r="AR62" s="40">
        <f>Electricity!AR62*Electricity!$B$60</f>
        <v>830526.55858550931</v>
      </c>
      <c r="AS62" s="40">
        <f>Electricity!AS62*Electricity!$B$60</f>
        <v>830526.55858550931</v>
      </c>
      <c r="AT62" s="40">
        <f>Electricity!AT62*Electricity!$B$60</f>
        <v>830526.55858550931</v>
      </c>
      <c r="AU62" s="40">
        <f>Electricity!AU62*Electricity!$B$60</f>
        <v>830526.55858550931</v>
      </c>
      <c r="AV62" s="40">
        <f>Electricity!AV62*Electricity!$B$60</f>
        <v>830526.55858550931</v>
      </c>
      <c r="AW62" s="40">
        <f>Electricity!AW62*Electricity!$B$60</f>
        <v>830526.55858550931</v>
      </c>
      <c r="AX62" s="40">
        <f>Electricity!AX62*Electricity!$B$60</f>
        <v>830526.55858550931</v>
      </c>
    </row>
    <row r="63" spans="1:50" x14ac:dyDescent="0.2">
      <c r="A63" s="6" t="s">
        <v>35</v>
      </c>
      <c r="B63" s="11">
        <f>Electricity!B63*Electricity!$B$60</f>
        <v>300967.64999999997</v>
      </c>
      <c r="C63" s="11">
        <f>Electricity!C63*Electricity!$B$60</f>
        <v>301996.79157063033</v>
      </c>
      <c r="D63" s="11">
        <f>Electricity!D63*Electricity!$B$60</f>
        <v>303025.93314126064</v>
      </c>
      <c r="E63" s="11">
        <f>Electricity!E63*Electricity!$B$60</f>
        <v>304055.07471189095</v>
      </c>
      <c r="F63" s="11">
        <f>Electricity!F63*Electricity!$B$60</f>
        <v>306808.01404380443</v>
      </c>
      <c r="G63" s="11">
        <f>Electricity!G63*Electricity!$B$60</f>
        <v>309560.9533757178</v>
      </c>
      <c r="H63" s="11">
        <f>Electricity!H63*Electricity!$B$60</f>
        <v>312313.89270763128</v>
      </c>
      <c r="I63" s="11">
        <f>Electricity!I63*Electricity!$B$60</f>
        <v>315066.83203954471</v>
      </c>
      <c r="J63" s="11">
        <f>Electricity!J63*Electricity!$B$60</f>
        <v>317819.77137145819</v>
      </c>
      <c r="K63" s="11">
        <f>Electricity!K63*Electricity!$B$60</f>
        <v>320132.02763947111</v>
      </c>
      <c r="L63" s="11">
        <f>Electricity!L63*Electricity!$B$60</f>
        <v>322444.28390748415</v>
      </c>
      <c r="M63" s="11">
        <f>Electricity!M63*Electricity!$B$60</f>
        <v>324756.54017549701</v>
      </c>
      <c r="N63" s="11">
        <f>Electricity!N63*Electricity!$B$60</f>
        <v>327068.79644350993</v>
      </c>
      <c r="O63" s="11">
        <f>Electricity!O63*Electricity!$B$60</f>
        <v>329381.05271152291</v>
      </c>
      <c r="P63" s="11">
        <f>Electricity!P63*Electricity!$B$60</f>
        <v>331247.53146514256</v>
      </c>
      <c r="Q63" s="11">
        <f>Electricity!Q63*Electricity!$B$60</f>
        <v>333114.01021876215</v>
      </c>
      <c r="R63" s="11">
        <f>Electricity!R63*Electricity!$B$60</f>
        <v>334980.48897238175</v>
      </c>
      <c r="S63" s="11">
        <f>Electricity!S63*Electricity!$B$60</f>
        <v>336846.9677260014</v>
      </c>
      <c r="T63" s="11">
        <f>Electricity!T63*Electricity!$B$60</f>
        <v>338713.44647962105</v>
      </c>
      <c r="U63" s="11">
        <f>Electricity!U63*Electricity!$B$60</f>
        <v>340143.93281805865</v>
      </c>
      <c r="V63" s="11">
        <f>Electricity!V63*Electricity!$B$60</f>
        <v>341574.41915649635</v>
      </c>
      <c r="W63" s="11">
        <f>Electricity!W63*Electricity!$B$60</f>
        <v>343004.90549493389</v>
      </c>
      <c r="X63" s="11">
        <f>Electricity!X63*Electricity!$B$60</f>
        <v>344435.39183337154</v>
      </c>
      <c r="Y63" s="11">
        <f>Electricity!Y63*Electricity!$B$60</f>
        <v>345865.87817180913</v>
      </c>
      <c r="Z63" s="11">
        <f>Electricity!Z63*Electricity!$B$60</f>
        <v>346878.04551650444</v>
      </c>
      <c r="AA63" s="11">
        <f>Electricity!AA63*Electricity!$B$60</f>
        <v>347890.21286119981</v>
      </c>
      <c r="AB63" s="11">
        <f>Electricity!AB63*Electricity!$B$60</f>
        <v>348902.38020589511</v>
      </c>
      <c r="AC63" s="11">
        <f>Electricity!AC63*Electricity!$B$60</f>
        <v>349914.54755059036</v>
      </c>
      <c r="AD63" s="11">
        <f>Electricity!AD63*Electricity!$B$60</f>
        <v>350926.71489528561</v>
      </c>
      <c r="AE63" s="11">
        <f>Electricity!AE63*Electricity!$B$60</f>
        <v>350926.71489528561</v>
      </c>
      <c r="AF63" s="11">
        <f>Electricity!AF63*Electricity!$B$60</f>
        <v>350926.71489528561</v>
      </c>
      <c r="AG63" s="11">
        <f>Electricity!AG63*Electricity!$B$60</f>
        <v>350926.71489528561</v>
      </c>
      <c r="AH63" s="11">
        <f>Electricity!AH63*Electricity!$B$60</f>
        <v>350926.71489528561</v>
      </c>
      <c r="AI63" s="11">
        <f>Electricity!AI63*Electricity!$B$60</f>
        <v>350926.71489528561</v>
      </c>
      <c r="AJ63" s="11">
        <f>Electricity!AJ63*Electricity!$B$60</f>
        <v>350926.71489528561</v>
      </c>
      <c r="AK63" s="11">
        <f>Electricity!AK63*Electricity!$B$60</f>
        <v>350926.71489528561</v>
      </c>
      <c r="AL63" s="11">
        <f>Electricity!AL63*Electricity!$B$60</f>
        <v>350926.71489528561</v>
      </c>
      <c r="AM63" s="11">
        <f>Electricity!AM63*Electricity!$B$60</f>
        <v>350926.71489528561</v>
      </c>
      <c r="AN63" s="11">
        <f>Electricity!AN63*Electricity!$B$60</f>
        <v>350926.71489528561</v>
      </c>
      <c r="AO63" s="40">
        <f>Electricity!AO63*Electricity!$B$60</f>
        <v>350926.71489528561</v>
      </c>
      <c r="AP63" s="40">
        <f>Electricity!AP63*Electricity!$B$60</f>
        <v>350926.71489528561</v>
      </c>
      <c r="AQ63" s="40">
        <f>Electricity!AQ63*Electricity!$B$60</f>
        <v>350926.71489528561</v>
      </c>
      <c r="AR63" s="40">
        <f>Electricity!AR63*Electricity!$B$60</f>
        <v>350926.71489528561</v>
      </c>
      <c r="AS63" s="40">
        <f>Electricity!AS63*Electricity!$B$60</f>
        <v>350926.71489528561</v>
      </c>
      <c r="AT63" s="40">
        <f>Electricity!AT63*Electricity!$B$60</f>
        <v>350926.71489528561</v>
      </c>
      <c r="AU63" s="40">
        <f>Electricity!AU63*Electricity!$B$60</f>
        <v>350926.71489528561</v>
      </c>
      <c r="AV63" s="40">
        <f>Electricity!AV63*Electricity!$B$60</f>
        <v>350926.71489528561</v>
      </c>
      <c r="AW63" s="40">
        <f>Electricity!AW63*Electricity!$B$60</f>
        <v>350926.71489528561</v>
      </c>
      <c r="AX63" s="40">
        <f>Electricity!AX63*Electricity!$B$60</f>
        <v>350926.71489528561</v>
      </c>
    </row>
    <row r="64" spans="1:50" x14ac:dyDescent="0.2">
      <c r="A64" s="6" t="s">
        <v>36</v>
      </c>
      <c r="B64" s="11">
        <f>Electricity!B64*Electricity!$B$60</f>
        <v>54620.055000000008</v>
      </c>
      <c r="C64" s="11">
        <f>Electricity!C64*Electricity!$B$60</f>
        <v>54806.82513689217</v>
      </c>
      <c r="D64" s="11">
        <f>Electricity!D64*Electricity!$B$60</f>
        <v>54993.595273784333</v>
      </c>
      <c r="E64" s="11">
        <f>Electricity!E64*Electricity!$B$60</f>
        <v>55180.365410676503</v>
      </c>
      <c r="F64" s="11">
        <f>Electricity!F64*Electricity!$B$60</f>
        <v>55679.972919060798</v>
      </c>
      <c r="G64" s="11">
        <f>Electricity!G64*Electricity!$B$60</f>
        <v>56179.580427445078</v>
      </c>
      <c r="H64" s="11">
        <f>Electricity!H64*Electricity!$B$60</f>
        <v>56679.187935829381</v>
      </c>
      <c r="I64" s="11">
        <f>Electricity!I64*Electricity!$B$60</f>
        <v>57178.795444213669</v>
      </c>
      <c r="J64" s="11">
        <f>Electricity!J64*Electricity!$B$60</f>
        <v>57678.402952597964</v>
      </c>
      <c r="K64" s="11">
        <f>Electricity!K64*Electricity!$B$60</f>
        <v>58098.034645681793</v>
      </c>
      <c r="L64" s="11">
        <f>Electricity!L64*Electricity!$B$60</f>
        <v>58517.666338765637</v>
      </c>
      <c r="M64" s="11">
        <f>Electricity!M64*Electricity!$B$60</f>
        <v>58937.298031849452</v>
      </c>
      <c r="N64" s="11">
        <f>Electricity!N64*Electricity!$B$60</f>
        <v>59356.929724933281</v>
      </c>
      <c r="O64" s="11">
        <f>Electricity!O64*Electricity!$B$60</f>
        <v>59776.561418017125</v>
      </c>
      <c r="P64" s="11">
        <f>Electricity!P64*Electricity!$B$60</f>
        <v>60115.292747377716</v>
      </c>
      <c r="Q64" s="11">
        <f>Electricity!Q64*Electricity!$B$60</f>
        <v>60454.024076738322</v>
      </c>
      <c r="R64" s="11">
        <f>Electricity!R64*Electricity!$B$60</f>
        <v>60792.755406098913</v>
      </c>
      <c r="S64" s="11">
        <f>Electricity!S64*Electricity!$B$60</f>
        <v>61131.486735459504</v>
      </c>
      <c r="T64" s="11">
        <f>Electricity!T64*Electricity!$B$60</f>
        <v>61470.21806482011</v>
      </c>
      <c r="U64" s="11">
        <f>Electricity!U64*Electricity!$B$60</f>
        <v>61729.824844758783</v>
      </c>
      <c r="V64" s="11">
        <f>Electricity!V64*Electricity!$B$60</f>
        <v>61989.431624697485</v>
      </c>
      <c r="W64" s="11">
        <f>Electricity!W64*Electricity!$B$60</f>
        <v>62249.038404636143</v>
      </c>
      <c r="X64" s="11">
        <f>Electricity!X64*Electricity!$B$60</f>
        <v>62508.645184574831</v>
      </c>
      <c r="Y64" s="11">
        <f>Electricity!Y64*Electricity!$B$60</f>
        <v>62768.251964513518</v>
      </c>
      <c r="Z64" s="11">
        <f>Electricity!Z64*Electricity!$B$60</f>
        <v>62951.941593735995</v>
      </c>
      <c r="AA64" s="11">
        <f>Electricity!AA64*Electricity!$B$60</f>
        <v>63135.63122295848</v>
      </c>
      <c r="AB64" s="11">
        <f>Electricity!AB64*Electricity!$B$60</f>
        <v>63319.320852180957</v>
      </c>
      <c r="AC64" s="11">
        <f>Electricity!AC64*Electricity!$B$60</f>
        <v>63503.010481403435</v>
      </c>
      <c r="AD64" s="11">
        <f>Electricity!AD64*Electricity!$B$60</f>
        <v>63686.700110625912</v>
      </c>
      <c r="AE64" s="11">
        <f>Electricity!AE64*Electricity!$B$60</f>
        <v>63686.700110625912</v>
      </c>
      <c r="AF64" s="11">
        <f>Electricity!AF64*Electricity!$B$60</f>
        <v>63686.700110625912</v>
      </c>
      <c r="AG64" s="11">
        <f>Electricity!AG64*Electricity!$B$60</f>
        <v>63686.700110625912</v>
      </c>
      <c r="AH64" s="11">
        <f>Electricity!AH64*Electricity!$B$60</f>
        <v>63686.700110625912</v>
      </c>
      <c r="AI64" s="11">
        <f>Electricity!AI64*Electricity!$B$60</f>
        <v>63686.700110625912</v>
      </c>
      <c r="AJ64" s="11">
        <f>Electricity!AJ64*Electricity!$B$60</f>
        <v>63686.700110625912</v>
      </c>
      <c r="AK64" s="11">
        <f>Electricity!AK64*Electricity!$B$60</f>
        <v>63686.700110625912</v>
      </c>
      <c r="AL64" s="11">
        <f>Electricity!AL64*Electricity!$B$60</f>
        <v>63686.700110625912</v>
      </c>
      <c r="AM64" s="11">
        <f>Electricity!AM64*Electricity!$B$60</f>
        <v>63686.700110625912</v>
      </c>
      <c r="AN64" s="11">
        <f>Electricity!AN64*Electricity!$B$60</f>
        <v>63686.700110625912</v>
      </c>
      <c r="AO64" s="40">
        <f>Electricity!AO64*Electricity!$B$60</f>
        <v>63686.700110625912</v>
      </c>
      <c r="AP64" s="40">
        <f>Electricity!AP64*Electricity!$B$60</f>
        <v>63686.700110625912</v>
      </c>
      <c r="AQ64" s="40">
        <f>Electricity!AQ64*Electricity!$B$60</f>
        <v>63686.700110625912</v>
      </c>
      <c r="AR64" s="40">
        <f>Electricity!AR64*Electricity!$B$60</f>
        <v>63686.700110625912</v>
      </c>
      <c r="AS64" s="40">
        <f>Electricity!AS64*Electricity!$B$60</f>
        <v>63686.700110625912</v>
      </c>
      <c r="AT64" s="40">
        <f>Electricity!AT64*Electricity!$B$60</f>
        <v>63686.700110625912</v>
      </c>
      <c r="AU64" s="40">
        <f>Electricity!AU64*Electricity!$B$60</f>
        <v>63686.700110625912</v>
      </c>
      <c r="AV64" s="40">
        <f>Electricity!AV64*Electricity!$B$60</f>
        <v>63686.700110625912</v>
      </c>
      <c r="AW64" s="40">
        <f>Electricity!AW64*Electricity!$B$60</f>
        <v>63686.700110625912</v>
      </c>
      <c r="AX64" s="40">
        <f>Electricity!AX64*Electricity!$B$60</f>
        <v>63686.700110625912</v>
      </c>
    </row>
    <row r="65" spans="1:50" x14ac:dyDescent="0.2">
      <c r="A65" s="6" t="s">
        <v>37</v>
      </c>
      <c r="B65" s="11">
        <f>Electricity!B65*Electricity!$B$60</f>
        <v>46817.19</v>
      </c>
      <c r="C65" s="11">
        <f>Electricity!C65*Electricity!$B$60</f>
        <v>46977.278688764716</v>
      </c>
      <c r="D65" s="11">
        <f>Electricity!D65*Electricity!$B$60</f>
        <v>47137.367377529423</v>
      </c>
      <c r="E65" s="11">
        <f>Electricity!E65*Electricity!$B$60</f>
        <v>47297.456066294137</v>
      </c>
      <c r="F65" s="11">
        <f>Electricity!F65*Electricity!$B$60</f>
        <v>47725.691073480681</v>
      </c>
      <c r="G65" s="11">
        <f>Electricity!G65*Electricity!$B$60</f>
        <v>48153.926080667203</v>
      </c>
      <c r="H65" s="11">
        <f>Electricity!H65*Electricity!$B$60</f>
        <v>48582.161087853747</v>
      </c>
      <c r="I65" s="11">
        <f>Electricity!I65*Electricity!$B$60</f>
        <v>49010.396095040283</v>
      </c>
      <c r="J65" s="11">
        <f>Electricity!J65*Electricity!$B$60</f>
        <v>49438.631102226827</v>
      </c>
      <c r="K65" s="11">
        <f>Electricity!K65*Electricity!$B$60</f>
        <v>49798.315410584386</v>
      </c>
      <c r="L65" s="11">
        <f>Electricity!L65*Electricity!$B$60</f>
        <v>50157.999718941966</v>
      </c>
      <c r="M65" s="11">
        <f>Electricity!M65*Electricity!$B$60</f>
        <v>50517.684027299525</v>
      </c>
      <c r="N65" s="11">
        <f>Electricity!N65*Electricity!$B$60</f>
        <v>50877.368335657091</v>
      </c>
      <c r="O65" s="11">
        <f>Electricity!O65*Electricity!$B$60</f>
        <v>51237.052644014671</v>
      </c>
      <c r="P65" s="11">
        <f>Electricity!P65*Electricity!$B$60</f>
        <v>51527.393783466614</v>
      </c>
      <c r="Q65" s="11">
        <f>Electricity!Q65*Electricity!$B$60</f>
        <v>51817.734922918549</v>
      </c>
      <c r="R65" s="11">
        <f>Electricity!R65*Electricity!$B$60</f>
        <v>52108.076062370492</v>
      </c>
      <c r="S65" s="11">
        <f>Electricity!S65*Electricity!$B$60</f>
        <v>52398.417201822427</v>
      </c>
      <c r="T65" s="11">
        <f>Electricity!T65*Electricity!$B$60</f>
        <v>52688.758341274377</v>
      </c>
      <c r="U65" s="11">
        <f>Electricity!U65*Electricity!$B$60</f>
        <v>52911.278438364672</v>
      </c>
      <c r="V65" s="11">
        <f>Electricity!V65*Electricity!$B$60</f>
        <v>53133.798535454982</v>
      </c>
      <c r="W65" s="11">
        <f>Electricity!W65*Electricity!$B$60</f>
        <v>53356.31863254527</v>
      </c>
      <c r="X65" s="11">
        <f>Electricity!X65*Electricity!$B$60</f>
        <v>53578.838729635572</v>
      </c>
      <c r="Y65" s="11">
        <f>Electricity!Y65*Electricity!$B$60</f>
        <v>53801.358826725867</v>
      </c>
      <c r="Z65" s="11">
        <f>Electricity!Z65*Electricity!$B$60</f>
        <v>53958.807080345134</v>
      </c>
      <c r="AA65" s="11">
        <f>Electricity!AA65*Electricity!$B$60</f>
        <v>54116.255333964407</v>
      </c>
      <c r="AB65" s="11">
        <f>Electricity!AB65*Electricity!$B$60</f>
        <v>54273.703587583674</v>
      </c>
      <c r="AC65" s="11">
        <f>Electricity!AC65*Electricity!$B$60</f>
        <v>54431.15184120294</v>
      </c>
      <c r="AD65" s="11">
        <f>Electricity!AD65*Electricity!$B$60</f>
        <v>54588.600094822199</v>
      </c>
      <c r="AE65" s="11">
        <f>Electricity!AE65*Electricity!$B$60</f>
        <v>54588.600094822199</v>
      </c>
      <c r="AF65" s="11">
        <f>Electricity!AF65*Electricity!$B$60</f>
        <v>54588.600094822199</v>
      </c>
      <c r="AG65" s="11">
        <f>Electricity!AG65*Electricity!$B$60</f>
        <v>54588.600094822199</v>
      </c>
      <c r="AH65" s="11">
        <f>Electricity!AH65*Electricity!$B$60</f>
        <v>54588.600094822199</v>
      </c>
      <c r="AI65" s="11">
        <f>Electricity!AI65*Electricity!$B$60</f>
        <v>54588.600094822199</v>
      </c>
      <c r="AJ65" s="11">
        <f>Electricity!AJ65*Electricity!$B$60</f>
        <v>54588.600094822199</v>
      </c>
      <c r="AK65" s="11">
        <f>Electricity!AK65*Electricity!$B$60</f>
        <v>54588.600094822199</v>
      </c>
      <c r="AL65" s="11">
        <f>Electricity!AL65*Electricity!$B$60</f>
        <v>54588.600094822199</v>
      </c>
      <c r="AM65" s="11">
        <f>Electricity!AM65*Electricity!$B$60</f>
        <v>54588.600094822199</v>
      </c>
      <c r="AN65" s="11">
        <f>Electricity!AN65*Electricity!$B$60</f>
        <v>54588.600094822199</v>
      </c>
      <c r="AO65" s="40">
        <f>Electricity!AO65*Electricity!$B$60</f>
        <v>54588.600094822199</v>
      </c>
      <c r="AP65" s="40">
        <f>Electricity!AP65*Electricity!$B$60</f>
        <v>54588.600094822199</v>
      </c>
      <c r="AQ65" s="40">
        <f>Electricity!AQ65*Electricity!$B$60</f>
        <v>54588.600094822199</v>
      </c>
      <c r="AR65" s="40">
        <f>Electricity!AR65*Electricity!$B$60</f>
        <v>54588.600094822199</v>
      </c>
      <c r="AS65" s="40">
        <f>Electricity!AS65*Electricity!$B$60</f>
        <v>54588.600094822199</v>
      </c>
      <c r="AT65" s="40">
        <f>Electricity!AT65*Electricity!$B$60</f>
        <v>54588.600094822199</v>
      </c>
      <c r="AU65" s="40">
        <f>Electricity!AU65*Electricity!$B$60</f>
        <v>54588.600094822199</v>
      </c>
      <c r="AV65" s="40">
        <f>Electricity!AV65*Electricity!$B$60</f>
        <v>54588.600094822199</v>
      </c>
      <c r="AW65" s="40">
        <f>Electricity!AW65*Electricity!$B$60</f>
        <v>54588.600094822199</v>
      </c>
      <c r="AX65" s="40">
        <f>Electricity!AX65*Electricity!$B$60</f>
        <v>54588.600094822199</v>
      </c>
    </row>
    <row r="67" spans="1:50" x14ac:dyDescent="0.2">
      <c r="A67" s="5" t="s">
        <v>157</v>
      </c>
    </row>
    <row r="68" spans="1:50" x14ac:dyDescent="0.2">
      <c r="A68" s="5" t="s">
        <v>4</v>
      </c>
    </row>
    <row r="69" spans="1:50" x14ac:dyDescent="0.2">
      <c r="A69" s="5" t="s">
        <v>55</v>
      </c>
    </row>
    <row r="70" spans="1:50" x14ac:dyDescent="0.2">
      <c r="A70" s="5" t="s">
        <v>6</v>
      </c>
    </row>
    <row r="71" spans="1:50" x14ac:dyDescent="0.2">
      <c r="A71" s="5"/>
    </row>
    <row r="72" spans="1:50" x14ac:dyDescent="0.2">
      <c r="A72" s="6" t="s">
        <v>7</v>
      </c>
      <c r="B72" s="6">
        <v>2022</v>
      </c>
      <c r="C72" s="6">
        <v>2023</v>
      </c>
      <c r="D72" s="6">
        <v>2024</v>
      </c>
      <c r="E72" s="6">
        <v>2025</v>
      </c>
      <c r="F72" s="6">
        <v>2026</v>
      </c>
      <c r="G72" s="6">
        <v>2027</v>
      </c>
      <c r="H72" s="6">
        <v>2028</v>
      </c>
      <c r="I72" s="6">
        <v>2029</v>
      </c>
      <c r="J72" s="6">
        <v>2030</v>
      </c>
      <c r="K72" s="6">
        <v>2031</v>
      </c>
      <c r="L72" s="6">
        <v>2032</v>
      </c>
      <c r="M72" s="6">
        <v>2033</v>
      </c>
      <c r="N72" s="6">
        <v>2034</v>
      </c>
      <c r="O72" s="6">
        <v>2035</v>
      </c>
      <c r="P72" s="6">
        <v>2036</v>
      </c>
      <c r="Q72" s="6">
        <v>2037</v>
      </c>
      <c r="R72" s="6">
        <v>2038</v>
      </c>
      <c r="S72" s="6">
        <v>2039</v>
      </c>
      <c r="T72" s="6">
        <v>2040</v>
      </c>
      <c r="U72" s="6">
        <v>2041</v>
      </c>
      <c r="V72" s="6">
        <v>2042</v>
      </c>
      <c r="W72" s="6">
        <v>2043</v>
      </c>
      <c r="X72" s="6">
        <v>2044</v>
      </c>
      <c r="Y72" s="6">
        <v>2045</v>
      </c>
      <c r="Z72" s="6">
        <v>2046</v>
      </c>
      <c r="AA72" s="6">
        <v>2047</v>
      </c>
      <c r="AB72" s="6">
        <v>2048</v>
      </c>
      <c r="AC72" s="6">
        <v>2049</v>
      </c>
      <c r="AD72" s="6">
        <v>2050</v>
      </c>
      <c r="AE72" s="6">
        <v>2051</v>
      </c>
      <c r="AF72" s="6">
        <v>2052</v>
      </c>
      <c r="AG72" s="6">
        <v>2053</v>
      </c>
      <c r="AH72" s="6">
        <v>2054</v>
      </c>
      <c r="AI72" s="6">
        <v>2055</v>
      </c>
      <c r="AJ72" s="6">
        <v>2056</v>
      </c>
      <c r="AK72" s="6">
        <v>2057</v>
      </c>
      <c r="AL72" s="6">
        <v>2058</v>
      </c>
      <c r="AM72" s="6">
        <v>2059</v>
      </c>
      <c r="AN72" s="6">
        <v>2060</v>
      </c>
      <c r="AO72" s="39">
        <f>AN72+1</f>
        <v>2061</v>
      </c>
      <c r="AP72" s="39">
        <f t="shared" ref="AP72:AX72" si="6">AO72+1</f>
        <v>2062</v>
      </c>
      <c r="AQ72" s="39">
        <f t="shared" si="6"/>
        <v>2063</v>
      </c>
      <c r="AR72" s="39">
        <f t="shared" si="6"/>
        <v>2064</v>
      </c>
      <c r="AS72" s="39">
        <f t="shared" si="6"/>
        <v>2065</v>
      </c>
      <c r="AT72" s="39">
        <f t="shared" si="6"/>
        <v>2066</v>
      </c>
      <c r="AU72" s="39">
        <f t="shared" si="6"/>
        <v>2067</v>
      </c>
      <c r="AV72" s="39">
        <f t="shared" si="6"/>
        <v>2068</v>
      </c>
      <c r="AW72" s="39">
        <f>AV72+1</f>
        <v>2069</v>
      </c>
      <c r="AX72" s="39">
        <f t="shared" si="6"/>
        <v>2070</v>
      </c>
    </row>
    <row r="73" spans="1:50" x14ac:dyDescent="0.2">
      <c r="A73" s="6" t="s">
        <v>34</v>
      </c>
      <c r="B73" s="11">
        <f>Electricity!B73*Electricity!$B$71</f>
        <v>3610566.1353599997</v>
      </c>
      <c r="C73" s="11">
        <f>Electricity!C73*Electricity!$B$71</f>
        <v>3622912.2586174626</v>
      </c>
      <c r="D73" s="11">
        <f>Electricity!D73*Electricity!$B$71</f>
        <v>3635258.3818749255</v>
      </c>
      <c r="E73" s="11">
        <f>Electricity!E73*Electricity!$B$71</f>
        <v>3647604.5051323879</v>
      </c>
      <c r="F73" s="11">
        <f>Electricity!F73*Electricity!$B$71</f>
        <v>3680630.2124617547</v>
      </c>
      <c r="G73" s="11">
        <f>Electricity!G73*Electricity!$B$71</f>
        <v>3713655.9197911215</v>
      </c>
      <c r="H73" s="11">
        <f>Electricity!H73*Electricity!$B$71</f>
        <v>3746681.6271204883</v>
      </c>
      <c r="I73" s="11">
        <f>Electricity!I73*Electricity!$B$71</f>
        <v>3779707.3344498556</v>
      </c>
      <c r="J73" s="11">
        <f>Electricity!J73*Electricity!$B$71</f>
        <v>3812733.041779222</v>
      </c>
      <c r="K73" s="11">
        <f>Electricity!K73*Electricity!$B$71</f>
        <v>3840472.0834255964</v>
      </c>
      <c r="L73" s="11">
        <f>Electricity!L73*Electricity!$B$71</f>
        <v>3868211.1250719712</v>
      </c>
      <c r="M73" s="11">
        <f>Electricity!M73*Electricity!$B$71</f>
        <v>3895950.1667183451</v>
      </c>
      <c r="N73" s="11">
        <f>Electricity!N73*Electricity!$B$71</f>
        <v>3923689.2083647191</v>
      </c>
      <c r="O73" s="11">
        <f>Electricity!O73*Electricity!$B$71</f>
        <v>3951428.2500110934</v>
      </c>
      <c r="P73" s="11">
        <f>Electricity!P73*Electricity!$B$71</f>
        <v>3973819.5102684274</v>
      </c>
      <c r="Q73" s="11">
        <f>Electricity!Q73*Electricity!$B$71</f>
        <v>3996210.7705257605</v>
      </c>
      <c r="R73" s="11">
        <f>Electricity!R73*Electricity!$B$71</f>
        <v>4018602.0307830926</v>
      </c>
      <c r="S73" s="11">
        <f>Electricity!S73*Electricity!$B$71</f>
        <v>4040993.2910404266</v>
      </c>
      <c r="T73" s="11">
        <f>Electricity!T73*Electricity!$B$71</f>
        <v>4063384.5512977601</v>
      </c>
      <c r="U73" s="11">
        <f>Electricity!U73*Electricity!$B$71</f>
        <v>4080545.4173598029</v>
      </c>
      <c r="V73" s="11">
        <f>Electricity!V73*Electricity!$B$71</f>
        <v>4097706.2834218475</v>
      </c>
      <c r="W73" s="11">
        <f>Electricity!W73*Electricity!$B$71</f>
        <v>4114867.1494838898</v>
      </c>
      <c r="X73" s="11">
        <f>Electricity!X73*Electricity!$B$71</f>
        <v>4132028.0155459349</v>
      </c>
      <c r="Y73" s="11">
        <f>Electricity!Y73*Electricity!$B$71</f>
        <v>4149188.8816079781</v>
      </c>
      <c r="Z73" s="11">
        <f>Electricity!Z73*Electricity!$B$71</f>
        <v>4161331.3731284915</v>
      </c>
      <c r="AA73" s="11">
        <f>Electricity!AA73*Electricity!$B$71</f>
        <v>4173473.8646490057</v>
      </c>
      <c r="AB73" s="11">
        <f>Electricity!AB73*Electricity!$B$71</f>
        <v>4185616.3561695213</v>
      </c>
      <c r="AC73" s="11">
        <f>Electricity!AC73*Electricity!$B$71</f>
        <v>4197758.8476900356</v>
      </c>
      <c r="AD73" s="11">
        <f>Electricity!AD73*Electricity!$B$71</f>
        <v>4209901.3392105484</v>
      </c>
      <c r="AE73" s="11">
        <f>Electricity!AE73*Electricity!$B$71</f>
        <v>4209901.3392105484</v>
      </c>
      <c r="AF73" s="11">
        <f>Electricity!AF73*Electricity!$B$71</f>
        <v>4209901.3392105484</v>
      </c>
      <c r="AG73" s="11">
        <f>Electricity!AG73*Electricity!$B$71</f>
        <v>4209901.3392105484</v>
      </c>
      <c r="AH73" s="11">
        <f>Electricity!AH73*Electricity!$B$71</f>
        <v>4209901.3392105484</v>
      </c>
      <c r="AI73" s="11">
        <f>Electricity!AI73*Electricity!$B$71</f>
        <v>4209901.3392105484</v>
      </c>
      <c r="AJ73" s="11">
        <f>Electricity!AJ73*Electricity!$B$71</f>
        <v>4209901.3392105484</v>
      </c>
      <c r="AK73" s="11">
        <f>Electricity!AK73*Electricity!$B$71</f>
        <v>4209901.3392105484</v>
      </c>
      <c r="AL73" s="11">
        <f>Electricity!AL73*Electricity!$B$71</f>
        <v>4209901.3392105484</v>
      </c>
      <c r="AM73" s="11">
        <f>Electricity!AM73*Electricity!$B$71</f>
        <v>4209901.3392105484</v>
      </c>
      <c r="AN73" s="11">
        <f>Electricity!AN73*Electricity!$B$71</f>
        <v>4209901.3392105484</v>
      </c>
      <c r="AO73" s="40">
        <f>Electricity!AO73*Electricity!$B$71</f>
        <v>4209901.3392105484</v>
      </c>
      <c r="AP73" s="40">
        <f>Electricity!AP73*Electricity!$B$71</f>
        <v>4209901.3392105484</v>
      </c>
      <c r="AQ73" s="40">
        <f>Electricity!AQ73*Electricity!$B$71</f>
        <v>4209901.3392105484</v>
      </c>
      <c r="AR73" s="40">
        <f>Electricity!AR73*Electricity!$B$71</f>
        <v>4209901.3392105484</v>
      </c>
      <c r="AS73" s="40">
        <f>Electricity!AS73*Electricity!$B$71</f>
        <v>4209901.3392105484</v>
      </c>
      <c r="AT73" s="40">
        <f>Electricity!AT73*Electricity!$B$71</f>
        <v>4209901.3392105484</v>
      </c>
      <c r="AU73" s="40">
        <f>Electricity!AU73*Electricity!$B$71</f>
        <v>4209901.3392105484</v>
      </c>
      <c r="AV73" s="40">
        <f>Electricity!AV73*Electricity!$B$71</f>
        <v>4209901.3392105484</v>
      </c>
      <c r="AW73" s="40">
        <f>Electricity!AW73*Electricity!$B$71</f>
        <v>4209901.3392105484</v>
      </c>
      <c r="AX73" s="40">
        <f>Electricity!AX73*Electricity!$B$71</f>
        <v>4209901.3392105484</v>
      </c>
    </row>
    <row r="74" spans="1:50" x14ac:dyDescent="0.2">
      <c r="A74" s="6" t="s">
        <v>35</v>
      </c>
      <c r="B74" s="11">
        <f>Electricity!B74*Electricity!$B$71</f>
        <v>1525591.3248000001</v>
      </c>
      <c r="C74" s="11">
        <f>Electricity!C74*Electricity!$B$71</f>
        <v>1530807.9965989282</v>
      </c>
      <c r="D74" s="11">
        <f>Electricity!D74*Electricity!$B$71</f>
        <v>1536024.6683978559</v>
      </c>
      <c r="E74" s="11">
        <f>Electricity!E74*Electricity!$B$71</f>
        <v>1541241.3401967839</v>
      </c>
      <c r="F74" s="11">
        <f>Electricity!F74*Electricity!$B$71</f>
        <v>1555195.8644204598</v>
      </c>
      <c r="G74" s="11">
        <f>Electricity!G74*Electricity!$B$71</f>
        <v>1569150.3886441363</v>
      </c>
      <c r="H74" s="11">
        <f>Electricity!H74*Electricity!$B$71</f>
        <v>1583104.9128678122</v>
      </c>
      <c r="I74" s="11">
        <f>Electricity!I74*Electricity!$B$71</f>
        <v>1597059.4370914884</v>
      </c>
      <c r="J74" s="11">
        <f>Electricity!J74*Electricity!$B$71</f>
        <v>1611013.9613151646</v>
      </c>
      <c r="K74" s="11">
        <f>Electricity!K74*Electricity!$B$71</f>
        <v>1622734.6831375761</v>
      </c>
      <c r="L74" s="11">
        <f>Electricity!L74*Electricity!$B$71</f>
        <v>1634455.4049599878</v>
      </c>
      <c r="M74" s="11">
        <f>Electricity!M74*Electricity!$B$71</f>
        <v>1646176.1267823994</v>
      </c>
      <c r="N74" s="11">
        <f>Electricity!N74*Electricity!$B$71</f>
        <v>1657896.8486048111</v>
      </c>
      <c r="O74" s="11">
        <f>Electricity!O74*Electricity!$B$71</f>
        <v>1669617.5704272229</v>
      </c>
      <c r="P74" s="11">
        <f>Electricity!P74*Electricity!$B$71</f>
        <v>1679078.6663106033</v>
      </c>
      <c r="Q74" s="11">
        <f>Electricity!Q74*Electricity!$B$71</f>
        <v>1688539.7621939837</v>
      </c>
      <c r="R74" s="11">
        <f>Electricity!R74*Electricity!$B$71</f>
        <v>1698000.8580773633</v>
      </c>
      <c r="S74" s="11">
        <f>Electricity!S74*Electricity!$B$71</f>
        <v>1707461.953960744</v>
      </c>
      <c r="T74" s="11">
        <f>Electricity!T74*Electricity!$B$71</f>
        <v>1716923.0498441241</v>
      </c>
      <c r="U74" s="11">
        <f>Electricity!U74*Electricity!$B$71</f>
        <v>1724174.1200111846</v>
      </c>
      <c r="V74" s="11">
        <f>Electricity!V74*Electricity!$B$71</f>
        <v>1731425.1901782458</v>
      </c>
      <c r="W74" s="11">
        <f>Electricity!W74*Electricity!$B$71</f>
        <v>1738676.2603453058</v>
      </c>
      <c r="X74" s="11">
        <f>Electricity!X74*Electricity!$B$71</f>
        <v>1745927.330512367</v>
      </c>
      <c r="Y74" s="11">
        <f>Electricity!Y74*Electricity!$B$71</f>
        <v>1753178.4006794274</v>
      </c>
      <c r="Z74" s="11">
        <f>Electricity!Z74*Electricity!$B$71</f>
        <v>1758309.0308993631</v>
      </c>
      <c r="AA74" s="11">
        <f>Electricity!AA74*Electricity!$B$71</f>
        <v>1763439.6611192985</v>
      </c>
      <c r="AB74" s="11">
        <f>Electricity!AB74*Electricity!$B$71</f>
        <v>1768570.2913392342</v>
      </c>
      <c r="AC74" s="11">
        <f>Electricity!AC74*Electricity!$B$71</f>
        <v>1773700.9215591697</v>
      </c>
      <c r="AD74" s="11">
        <f>Electricity!AD74*Electricity!$B$71</f>
        <v>1778831.5517791053</v>
      </c>
      <c r="AE74" s="11">
        <f>Electricity!AE74*Electricity!$B$71</f>
        <v>1778831.5517791053</v>
      </c>
      <c r="AF74" s="11">
        <f>Electricity!AF74*Electricity!$B$71</f>
        <v>1778831.5517791053</v>
      </c>
      <c r="AG74" s="11">
        <f>Electricity!AG74*Electricity!$B$71</f>
        <v>1778831.5517791053</v>
      </c>
      <c r="AH74" s="11">
        <f>Electricity!AH74*Electricity!$B$71</f>
        <v>1778831.5517791053</v>
      </c>
      <c r="AI74" s="11">
        <f>Electricity!AI74*Electricity!$B$71</f>
        <v>1778831.5517791053</v>
      </c>
      <c r="AJ74" s="11">
        <f>Electricity!AJ74*Electricity!$B$71</f>
        <v>1778831.5517791053</v>
      </c>
      <c r="AK74" s="11">
        <f>Electricity!AK74*Electricity!$B$71</f>
        <v>1778831.5517791053</v>
      </c>
      <c r="AL74" s="11">
        <f>Electricity!AL74*Electricity!$B$71</f>
        <v>1778831.5517791053</v>
      </c>
      <c r="AM74" s="11">
        <f>Electricity!AM74*Electricity!$B$71</f>
        <v>1778831.5517791053</v>
      </c>
      <c r="AN74" s="11">
        <f>Electricity!AN74*Electricity!$B$71</f>
        <v>1778831.5517791053</v>
      </c>
      <c r="AO74" s="40">
        <f>Electricity!AO74*Electricity!$B$71</f>
        <v>1778831.5517791053</v>
      </c>
      <c r="AP74" s="40">
        <f>Electricity!AP74*Electricity!$B$71</f>
        <v>1778831.5517791053</v>
      </c>
      <c r="AQ74" s="40">
        <f>Electricity!AQ74*Electricity!$B$71</f>
        <v>1778831.5517791053</v>
      </c>
      <c r="AR74" s="40">
        <f>Electricity!AR74*Electricity!$B$71</f>
        <v>1778831.5517791053</v>
      </c>
      <c r="AS74" s="40">
        <f>Electricity!AS74*Electricity!$B$71</f>
        <v>1778831.5517791053</v>
      </c>
      <c r="AT74" s="40">
        <f>Electricity!AT74*Electricity!$B$71</f>
        <v>1778831.5517791053</v>
      </c>
      <c r="AU74" s="40">
        <f>Electricity!AU74*Electricity!$B$71</f>
        <v>1778831.5517791053</v>
      </c>
      <c r="AV74" s="40">
        <f>Electricity!AV74*Electricity!$B$71</f>
        <v>1778831.5517791053</v>
      </c>
      <c r="AW74" s="40">
        <f>Electricity!AW74*Electricity!$B$71</f>
        <v>1778831.5517791053</v>
      </c>
      <c r="AX74" s="40">
        <f>Electricity!AX74*Electricity!$B$71</f>
        <v>1778831.5517791053</v>
      </c>
    </row>
    <row r="75" spans="1:50" x14ac:dyDescent="0.2">
      <c r="A75" s="6" t="s">
        <v>36</v>
      </c>
      <c r="B75" s="11">
        <f>Electricity!B75*Electricity!$B$71</f>
        <v>276866.57376</v>
      </c>
      <c r="C75" s="11">
        <f>Electricity!C75*Electricity!$B$71</f>
        <v>277813.30308647209</v>
      </c>
      <c r="D75" s="11">
        <f>Electricity!D75*Electricity!$B$71</f>
        <v>278760.03241294419</v>
      </c>
      <c r="E75" s="11">
        <f>Electricity!E75*Electricity!$B$71</f>
        <v>279706.76173941628</v>
      </c>
      <c r="F75" s="11">
        <f>Electricity!F75*Electricity!$B$71</f>
        <v>282239.24946889828</v>
      </c>
      <c r="G75" s="11">
        <f>Electricity!G75*Electricity!$B$71</f>
        <v>284771.73719838023</v>
      </c>
      <c r="H75" s="11">
        <f>Electricity!H75*Electricity!$B$71</f>
        <v>287304.22492786217</v>
      </c>
      <c r="I75" s="11">
        <f>Electricity!I75*Electricity!$B$71</f>
        <v>289836.71265734418</v>
      </c>
      <c r="J75" s="11">
        <f>Electricity!J75*Electricity!$B$71</f>
        <v>292369.20038682612</v>
      </c>
      <c r="K75" s="11">
        <f>Electricity!K75*Electricity!$B$71</f>
        <v>294496.29434718972</v>
      </c>
      <c r="L75" s="11">
        <f>Electricity!L75*Electricity!$B$71</f>
        <v>296623.38830755331</v>
      </c>
      <c r="M75" s="11">
        <f>Electricity!M75*Electricity!$B$71</f>
        <v>298750.48226791696</v>
      </c>
      <c r="N75" s="11">
        <f>Electricity!N75*Electricity!$B$71</f>
        <v>300877.57622828049</v>
      </c>
      <c r="O75" s="11">
        <f>Electricity!O75*Electricity!$B$71</f>
        <v>303004.67018864414</v>
      </c>
      <c r="P75" s="11">
        <f>Electricity!P75*Electricity!$B$71</f>
        <v>304721.68388599833</v>
      </c>
      <c r="Q75" s="11">
        <f>Electricity!Q75*Electricity!$B$71</f>
        <v>306438.69758335256</v>
      </c>
      <c r="R75" s="11">
        <f>Electricity!R75*Electricity!$B$71</f>
        <v>308155.71128070669</v>
      </c>
      <c r="S75" s="11">
        <f>Electricity!S75*Electricity!$B$71</f>
        <v>309872.72497806093</v>
      </c>
      <c r="T75" s="11">
        <f>Electricity!T75*Electricity!$B$71</f>
        <v>311589.73867541511</v>
      </c>
      <c r="U75" s="11">
        <f>Electricity!U75*Electricity!$B$71</f>
        <v>312905.67363165942</v>
      </c>
      <c r="V75" s="11">
        <f>Electricity!V75*Electricity!$B$71</f>
        <v>314221.60858790379</v>
      </c>
      <c r="W75" s="11">
        <f>Electricity!W75*Electricity!$B$71</f>
        <v>315537.54354414809</v>
      </c>
      <c r="X75" s="11">
        <f>Electricity!X75*Electricity!$B$71</f>
        <v>316853.47850039246</v>
      </c>
      <c r="Y75" s="11">
        <f>Electricity!Y75*Electricity!$B$71</f>
        <v>318169.41345663677</v>
      </c>
      <c r="Z75" s="11">
        <f>Electricity!Z75*Electricity!$B$71</f>
        <v>319100.52782988438</v>
      </c>
      <c r="AA75" s="11">
        <f>Electricity!AA75*Electricity!$B$71</f>
        <v>320031.64220313192</v>
      </c>
      <c r="AB75" s="11">
        <f>Electricity!AB75*Electricity!$B$71</f>
        <v>320962.75657637947</v>
      </c>
      <c r="AC75" s="11">
        <f>Electricity!AC75*Electricity!$B$71</f>
        <v>321893.87094962713</v>
      </c>
      <c r="AD75" s="11">
        <f>Electricity!AD75*Electricity!$B$71</f>
        <v>322824.98532287468</v>
      </c>
      <c r="AE75" s="11">
        <f>Electricity!AE75*Electricity!$B$71</f>
        <v>322824.98532287468</v>
      </c>
      <c r="AF75" s="11">
        <f>Electricity!AF75*Electricity!$B$71</f>
        <v>322824.98532287468</v>
      </c>
      <c r="AG75" s="11">
        <f>Electricity!AG75*Electricity!$B$71</f>
        <v>322824.98532287468</v>
      </c>
      <c r="AH75" s="11">
        <f>Electricity!AH75*Electricity!$B$71</f>
        <v>322824.98532287468</v>
      </c>
      <c r="AI75" s="11">
        <f>Electricity!AI75*Electricity!$B$71</f>
        <v>322824.98532287468</v>
      </c>
      <c r="AJ75" s="11">
        <f>Electricity!AJ75*Electricity!$B$71</f>
        <v>322824.98532287468</v>
      </c>
      <c r="AK75" s="11">
        <f>Electricity!AK75*Electricity!$B$71</f>
        <v>322824.98532287468</v>
      </c>
      <c r="AL75" s="11">
        <f>Electricity!AL75*Electricity!$B$71</f>
        <v>322824.98532287468</v>
      </c>
      <c r="AM75" s="11">
        <f>Electricity!AM75*Electricity!$B$71</f>
        <v>322824.98532287468</v>
      </c>
      <c r="AN75" s="11">
        <f>Electricity!AN75*Electricity!$B$71</f>
        <v>322824.98532287468</v>
      </c>
      <c r="AO75" s="40">
        <f>Electricity!AO75*Electricity!$B$71</f>
        <v>322824.98532287468</v>
      </c>
      <c r="AP75" s="40">
        <f>Electricity!AP75*Electricity!$B$71</f>
        <v>322824.98532287468</v>
      </c>
      <c r="AQ75" s="40">
        <f>Electricity!AQ75*Electricity!$B$71</f>
        <v>322824.98532287468</v>
      </c>
      <c r="AR75" s="40">
        <f>Electricity!AR75*Electricity!$B$71</f>
        <v>322824.98532287468</v>
      </c>
      <c r="AS75" s="40">
        <f>Electricity!AS75*Electricity!$B$71</f>
        <v>322824.98532287468</v>
      </c>
      <c r="AT75" s="40">
        <f>Electricity!AT75*Electricity!$B$71</f>
        <v>322824.98532287468</v>
      </c>
      <c r="AU75" s="40">
        <f>Electricity!AU75*Electricity!$B$71</f>
        <v>322824.98532287468</v>
      </c>
      <c r="AV75" s="40">
        <f>Electricity!AV75*Electricity!$B$71</f>
        <v>322824.98532287468</v>
      </c>
      <c r="AW75" s="40">
        <f>Electricity!AW75*Electricity!$B$71</f>
        <v>322824.98532287468</v>
      </c>
      <c r="AX75" s="40">
        <f>Electricity!AX75*Electricity!$B$71</f>
        <v>322824.98532287468</v>
      </c>
    </row>
    <row r="76" spans="1:50" x14ac:dyDescent="0.2">
      <c r="A76" s="6" t="s">
        <v>37</v>
      </c>
      <c r="B76" s="11">
        <f>Electricity!B76*Electricity!$B$71</f>
        <v>237314.20608</v>
      </c>
      <c r="C76" s="11">
        <f>Electricity!C76*Electricity!$B$71</f>
        <v>238125.68835983326</v>
      </c>
      <c r="D76" s="11">
        <f>Electricity!D76*Electricity!$B$71</f>
        <v>238937.17063966647</v>
      </c>
      <c r="E76" s="11">
        <f>Electricity!E76*Electricity!$B$71</f>
        <v>239748.6529194997</v>
      </c>
      <c r="F76" s="11">
        <f>Electricity!F76*Electricity!$B$71</f>
        <v>241919.35668762712</v>
      </c>
      <c r="G76" s="11">
        <f>Electricity!G76*Electricity!$B$71</f>
        <v>244090.06045575452</v>
      </c>
      <c r="H76" s="11">
        <f>Electricity!H76*Electricity!$B$71</f>
        <v>246260.76422388188</v>
      </c>
      <c r="I76" s="11">
        <f>Electricity!I76*Electricity!$B$71</f>
        <v>248431.4679920093</v>
      </c>
      <c r="J76" s="11">
        <f>Electricity!J76*Electricity!$B$71</f>
        <v>250602.1717601367</v>
      </c>
      <c r="K76" s="11">
        <f>Electricity!K76*Electricity!$B$71</f>
        <v>252425.39515473405</v>
      </c>
      <c r="L76" s="11">
        <f>Electricity!L76*Electricity!$B$71</f>
        <v>254248.61854933144</v>
      </c>
      <c r="M76" s="11">
        <f>Electricity!M76*Electricity!$B$71</f>
        <v>256071.8419439288</v>
      </c>
      <c r="N76" s="11">
        <f>Electricity!N76*Electricity!$B$71</f>
        <v>257895.06533852618</v>
      </c>
      <c r="O76" s="11">
        <f>Electricity!O76*Electricity!$B$71</f>
        <v>259718.28873312354</v>
      </c>
      <c r="P76" s="11">
        <f>Electricity!P76*Electricity!$B$71</f>
        <v>261190.0147594272</v>
      </c>
      <c r="Q76" s="11">
        <f>Electricity!Q76*Electricity!$B$71</f>
        <v>262661.74078573077</v>
      </c>
      <c r="R76" s="11">
        <f>Electricity!R76*Electricity!$B$71</f>
        <v>264133.46681203431</v>
      </c>
      <c r="S76" s="11">
        <f>Electricity!S76*Electricity!$B$71</f>
        <v>265605.19283833791</v>
      </c>
      <c r="T76" s="11">
        <f>Electricity!T76*Electricity!$B$71</f>
        <v>267076.91886464157</v>
      </c>
      <c r="U76" s="11">
        <f>Electricity!U76*Electricity!$B$71</f>
        <v>268204.86311285099</v>
      </c>
      <c r="V76" s="11">
        <f>Electricity!V76*Electricity!$B$71</f>
        <v>269332.80736106046</v>
      </c>
      <c r="W76" s="11">
        <f>Electricity!W76*Electricity!$B$71</f>
        <v>270460.75160926982</v>
      </c>
      <c r="X76" s="11">
        <f>Electricity!X76*Electricity!$B$71</f>
        <v>271588.69585747935</v>
      </c>
      <c r="Y76" s="11">
        <f>Electricity!Y76*Electricity!$B$71</f>
        <v>272716.64010568877</v>
      </c>
      <c r="Z76" s="11">
        <f>Electricity!Z76*Electricity!$B$71</f>
        <v>273514.73813990096</v>
      </c>
      <c r="AA76" s="11">
        <f>Electricity!AA76*Electricity!$B$71</f>
        <v>274312.83617411315</v>
      </c>
      <c r="AB76" s="11">
        <f>Electricity!AB76*Electricity!$B$71</f>
        <v>275110.93420832528</v>
      </c>
      <c r="AC76" s="11">
        <f>Electricity!AC76*Electricity!$B$71</f>
        <v>275909.03224253748</v>
      </c>
      <c r="AD76" s="11">
        <f>Electricity!AD76*Electricity!$B$71</f>
        <v>276707.13027674973</v>
      </c>
      <c r="AE76" s="11">
        <f>Electricity!AE76*Electricity!$B$71</f>
        <v>276707.13027674973</v>
      </c>
      <c r="AF76" s="11">
        <f>Electricity!AF76*Electricity!$B$71</f>
        <v>276707.13027674973</v>
      </c>
      <c r="AG76" s="11">
        <f>Electricity!AG76*Electricity!$B$71</f>
        <v>276707.13027674973</v>
      </c>
      <c r="AH76" s="11">
        <f>Electricity!AH76*Electricity!$B$71</f>
        <v>276707.13027674973</v>
      </c>
      <c r="AI76" s="11">
        <f>Electricity!AI76*Electricity!$B$71</f>
        <v>276707.13027674973</v>
      </c>
      <c r="AJ76" s="11">
        <f>Electricity!AJ76*Electricity!$B$71</f>
        <v>276707.13027674973</v>
      </c>
      <c r="AK76" s="11">
        <f>Electricity!AK76*Electricity!$B$71</f>
        <v>276707.13027674973</v>
      </c>
      <c r="AL76" s="11">
        <f>Electricity!AL76*Electricity!$B$71</f>
        <v>276707.13027674973</v>
      </c>
      <c r="AM76" s="11">
        <f>Electricity!AM76*Electricity!$B$71</f>
        <v>276707.13027674973</v>
      </c>
      <c r="AN76" s="11">
        <f>Electricity!AN76*Electricity!$B$71</f>
        <v>276707.13027674973</v>
      </c>
      <c r="AO76" s="40">
        <f>Electricity!AO76*Electricity!$B$71</f>
        <v>276707.13027674973</v>
      </c>
      <c r="AP76" s="40">
        <f>Electricity!AP76*Electricity!$B$71</f>
        <v>276707.13027674973</v>
      </c>
      <c r="AQ76" s="40">
        <f>Electricity!AQ76*Electricity!$B$71</f>
        <v>276707.13027674973</v>
      </c>
      <c r="AR76" s="40">
        <f>Electricity!AR76*Electricity!$B$71</f>
        <v>276707.13027674973</v>
      </c>
      <c r="AS76" s="40">
        <f>Electricity!AS76*Electricity!$B$71</f>
        <v>276707.13027674973</v>
      </c>
      <c r="AT76" s="40">
        <f>Electricity!AT76*Electricity!$B$71</f>
        <v>276707.13027674973</v>
      </c>
      <c r="AU76" s="40">
        <f>Electricity!AU76*Electricity!$B$71</f>
        <v>276707.13027674973</v>
      </c>
      <c r="AV76" s="40">
        <f>Electricity!AV76*Electricity!$B$71</f>
        <v>276707.13027674973</v>
      </c>
      <c r="AW76" s="40">
        <f>Electricity!AW76*Electricity!$B$71</f>
        <v>276707.13027674973</v>
      </c>
      <c r="AX76" s="40">
        <f>Electricity!AX76*Electricity!$B$71</f>
        <v>276707.13027674973</v>
      </c>
    </row>
    <row r="78" spans="1:50" x14ac:dyDescent="0.2">
      <c r="A78" s="5" t="s">
        <v>157</v>
      </c>
    </row>
    <row r="79" spans="1:50" x14ac:dyDescent="0.2">
      <c r="A79" s="5" t="s">
        <v>4</v>
      </c>
    </row>
    <row r="80" spans="1:50" x14ac:dyDescent="0.2">
      <c r="A80" s="5" t="s">
        <v>57</v>
      </c>
    </row>
    <row r="81" spans="1:50" x14ac:dyDescent="0.2">
      <c r="A81" s="5" t="s">
        <v>6</v>
      </c>
    </row>
    <row r="82" spans="1:50" x14ac:dyDescent="0.2">
      <c r="A82" s="5"/>
    </row>
    <row r="83" spans="1:50" x14ac:dyDescent="0.2">
      <c r="A83" s="6" t="s">
        <v>7</v>
      </c>
      <c r="B83" s="6">
        <v>2022</v>
      </c>
      <c r="C83" s="6">
        <v>2023</v>
      </c>
      <c r="D83" s="6">
        <v>2024</v>
      </c>
      <c r="E83" s="6">
        <v>2025</v>
      </c>
      <c r="F83" s="6">
        <v>2026</v>
      </c>
      <c r="G83" s="6">
        <v>2027</v>
      </c>
      <c r="H83" s="6">
        <v>2028</v>
      </c>
      <c r="I83" s="6">
        <v>2029</v>
      </c>
      <c r="J83" s="6">
        <v>2030</v>
      </c>
      <c r="K83" s="6">
        <v>2031</v>
      </c>
      <c r="L83" s="6">
        <v>2032</v>
      </c>
      <c r="M83" s="6">
        <v>2033</v>
      </c>
      <c r="N83" s="6">
        <v>2034</v>
      </c>
      <c r="O83" s="6">
        <v>2035</v>
      </c>
      <c r="P83" s="6">
        <v>2036</v>
      </c>
      <c r="Q83" s="6">
        <v>2037</v>
      </c>
      <c r="R83" s="6">
        <v>2038</v>
      </c>
      <c r="S83" s="6">
        <v>2039</v>
      </c>
      <c r="T83" s="6">
        <v>2040</v>
      </c>
      <c r="U83" s="6">
        <v>2041</v>
      </c>
      <c r="V83" s="6">
        <v>2042</v>
      </c>
      <c r="W83" s="6">
        <v>2043</v>
      </c>
      <c r="X83" s="6">
        <v>2044</v>
      </c>
      <c r="Y83" s="6">
        <v>2045</v>
      </c>
      <c r="Z83" s="6">
        <v>2046</v>
      </c>
      <c r="AA83" s="6">
        <v>2047</v>
      </c>
      <c r="AB83" s="6">
        <v>2048</v>
      </c>
      <c r="AC83" s="6">
        <v>2049</v>
      </c>
      <c r="AD83" s="6">
        <v>2050</v>
      </c>
      <c r="AE83" s="6">
        <v>2051</v>
      </c>
      <c r="AF83" s="6">
        <v>2052</v>
      </c>
      <c r="AG83" s="6">
        <v>2053</v>
      </c>
      <c r="AH83" s="6">
        <v>2054</v>
      </c>
      <c r="AI83" s="6">
        <v>2055</v>
      </c>
      <c r="AJ83" s="6">
        <v>2056</v>
      </c>
      <c r="AK83" s="6">
        <v>2057</v>
      </c>
      <c r="AL83" s="6">
        <v>2058</v>
      </c>
      <c r="AM83" s="6">
        <v>2059</v>
      </c>
      <c r="AN83" s="6">
        <v>2060</v>
      </c>
      <c r="AO83" s="39">
        <f>AN83+1</f>
        <v>2061</v>
      </c>
      <c r="AP83" s="39">
        <f t="shared" ref="AP83:AX83" si="7">AO83+1</f>
        <v>2062</v>
      </c>
      <c r="AQ83" s="39">
        <f t="shared" si="7"/>
        <v>2063</v>
      </c>
      <c r="AR83" s="39">
        <f t="shared" si="7"/>
        <v>2064</v>
      </c>
      <c r="AS83" s="39">
        <f t="shared" si="7"/>
        <v>2065</v>
      </c>
      <c r="AT83" s="39">
        <f t="shared" si="7"/>
        <v>2066</v>
      </c>
      <c r="AU83" s="39">
        <f t="shared" si="7"/>
        <v>2067</v>
      </c>
      <c r="AV83" s="39">
        <f t="shared" si="7"/>
        <v>2068</v>
      </c>
      <c r="AW83" s="39">
        <f>AV83+1</f>
        <v>2069</v>
      </c>
      <c r="AX83" s="39">
        <f t="shared" si="7"/>
        <v>2070</v>
      </c>
    </row>
    <row r="84" spans="1:50" x14ac:dyDescent="0.2">
      <c r="A84" s="6" t="s">
        <v>34</v>
      </c>
      <c r="B84" s="11">
        <f>Electricity!B84*Electricity!$B$82</f>
        <v>2326395.072096</v>
      </c>
      <c r="C84" s="11">
        <f>Electricity!C84*Electricity!$B$82</f>
        <v>2334350.0462548621</v>
      </c>
      <c r="D84" s="11">
        <f>Electricity!D84*Electricity!$B$82</f>
        <v>2342305.0204137242</v>
      </c>
      <c r="E84" s="11">
        <f>Electricity!E84*Electricity!$B$82</f>
        <v>2350259.9945725859</v>
      </c>
      <c r="F84" s="11">
        <f>Electricity!F84*Electricity!$B$82</f>
        <v>2371539.4393751845</v>
      </c>
      <c r="G84" s="11">
        <f>Electricity!G84*Electricity!$B$82</f>
        <v>2392818.884177783</v>
      </c>
      <c r="H84" s="11">
        <f>Electricity!H84*Electricity!$B$82</f>
        <v>2414098.3289803816</v>
      </c>
      <c r="I84" s="11">
        <f>Electricity!I84*Electricity!$B$82</f>
        <v>2435377.7737829792</v>
      </c>
      <c r="J84" s="11">
        <f>Electricity!J84*Electricity!$B$82</f>
        <v>2456657.2185855778</v>
      </c>
      <c r="K84" s="11">
        <f>Electricity!K84*Electricity!$B$82</f>
        <v>2474530.307561514</v>
      </c>
      <c r="L84" s="11">
        <f>Electricity!L84*Electricity!$B$82</f>
        <v>2492403.3965374501</v>
      </c>
      <c r="M84" s="11">
        <f>Electricity!M84*Electricity!$B$82</f>
        <v>2510276.4855133863</v>
      </c>
      <c r="N84" s="11">
        <f>Electricity!N84*Electricity!$B$82</f>
        <v>2528149.574489322</v>
      </c>
      <c r="O84" s="11">
        <f>Electricity!O84*Electricity!$B$82</f>
        <v>2546022.6634652582</v>
      </c>
      <c r="P84" s="11">
        <f>Electricity!P84*Electricity!$B$82</f>
        <v>2560450.0179486806</v>
      </c>
      <c r="Q84" s="11">
        <f>Electricity!Q84*Electricity!$B$82</f>
        <v>2574877.3724321034</v>
      </c>
      <c r="R84" s="11">
        <f>Electricity!R84*Electricity!$B$82</f>
        <v>2589304.7269155248</v>
      </c>
      <c r="S84" s="11">
        <f>Electricity!S84*Electricity!$B$82</f>
        <v>2603732.0813989476</v>
      </c>
      <c r="T84" s="11">
        <f>Electricity!T84*Electricity!$B$82</f>
        <v>2618159.43588237</v>
      </c>
      <c r="U84" s="11">
        <f>Electricity!U84*Electricity!$B$82</f>
        <v>2629216.6919311243</v>
      </c>
      <c r="V84" s="11">
        <f>Electricity!V84*Electricity!$B$82</f>
        <v>2640273.9479798791</v>
      </c>
      <c r="W84" s="11">
        <f>Electricity!W84*Electricity!$B$82</f>
        <v>2651331.2040286339</v>
      </c>
      <c r="X84" s="11">
        <f>Electricity!X84*Electricity!$B$82</f>
        <v>2662388.4600773882</v>
      </c>
      <c r="Y84" s="11">
        <f>Electricity!Y84*Electricity!$B$82</f>
        <v>2673445.7161261425</v>
      </c>
      <c r="Z84" s="11">
        <f>Electricity!Z84*Electricity!$B$82</f>
        <v>2681269.4843046684</v>
      </c>
      <c r="AA84" s="11">
        <f>Electricity!AA84*Electricity!$B$82</f>
        <v>2689093.2524831942</v>
      </c>
      <c r="AB84" s="11">
        <f>Electricity!AB84*Electricity!$B$82</f>
        <v>2696917.0206617196</v>
      </c>
      <c r="AC84" s="11">
        <f>Electricity!AC84*Electricity!$B$82</f>
        <v>2704740.7888402455</v>
      </c>
      <c r="AD84" s="11">
        <f>Electricity!AD84*Electricity!$B$82</f>
        <v>2712564.5570187708</v>
      </c>
      <c r="AE84" s="11">
        <f>Electricity!AE84*Electricity!$B$82</f>
        <v>2712564.5570187708</v>
      </c>
      <c r="AF84" s="11">
        <f>Electricity!AF84*Electricity!$B$82</f>
        <v>2712564.5570187708</v>
      </c>
      <c r="AG84" s="11">
        <f>Electricity!AG84*Electricity!$B$82</f>
        <v>2712564.5570187708</v>
      </c>
      <c r="AH84" s="11">
        <f>Electricity!AH84*Electricity!$B$82</f>
        <v>2712564.5570187708</v>
      </c>
      <c r="AI84" s="11">
        <f>Electricity!AI84*Electricity!$B$82</f>
        <v>2712564.5570187708</v>
      </c>
      <c r="AJ84" s="11">
        <f>Electricity!AJ84*Electricity!$B$82</f>
        <v>2712564.5570187708</v>
      </c>
      <c r="AK84" s="11">
        <f>Electricity!AK84*Electricity!$B$82</f>
        <v>2712564.5570187708</v>
      </c>
      <c r="AL84" s="11">
        <f>Electricity!AL84*Electricity!$B$82</f>
        <v>2712564.5570187708</v>
      </c>
      <c r="AM84" s="11">
        <f>Electricity!AM84*Electricity!$B$82</f>
        <v>2712564.5570187708</v>
      </c>
      <c r="AN84" s="11">
        <f>Electricity!AN84*Electricity!$B$82</f>
        <v>2712564.5570187708</v>
      </c>
      <c r="AO84" s="40">
        <f>Electricity!AO84*Electricity!$B$82</f>
        <v>2712564.5570187708</v>
      </c>
      <c r="AP84" s="40">
        <f>Electricity!AP84*Electricity!$B$82</f>
        <v>2712564.5570187708</v>
      </c>
      <c r="AQ84" s="40">
        <f>Electricity!AQ84*Electricity!$B$82</f>
        <v>2712564.5570187708</v>
      </c>
      <c r="AR84" s="40">
        <f>Electricity!AR84*Electricity!$B$82</f>
        <v>2712564.5570187708</v>
      </c>
      <c r="AS84" s="40">
        <f>Electricity!AS84*Electricity!$B$82</f>
        <v>2712564.5570187708</v>
      </c>
      <c r="AT84" s="40">
        <f>Electricity!AT84*Electricity!$B$82</f>
        <v>2712564.5570187708</v>
      </c>
      <c r="AU84" s="40">
        <f>Electricity!AU84*Electricity!$B$82</f>
        <v>2712564.5570187708</v>
      </c>
      <c r="AV84" s="40">
        <f>Electricity!AV84*Electricity!$B$82</f>
        <v>2712564.5570187708</v>
      </c>
      <c r="AW84" s="40">
        <f>Electricity!AW84*Electricity!$B$82</f>
        <v>2712564.5570187708</v>
      </c>
      <c r="AX84" s="40">
        <f>Electricity!AX84*Electricity!$B$82</f>
        <v>2712564.5570187708</v>
      </c>
    </row>
    <row r="85" spans="1:50" x14ac:dyDescent="0.2">
      <c r="A85" s="6" t="s">
        <v>35</v>
      </c>
      <c r="B85" s="11">
        <f>Electricity!B85*Electricity!$B$82</f>
        <v>982983.83328000002</v>
      </c>
      <c r="C85" s="11">
        <f>Electricity!C85*Electricity!$B$82</f>
        <v>986345.08996684314</v>
      </c>
      <c r="D85" s="11">
        <f>Electricity!D85*Electricity!$B$82</f>
        <v>989706.34665368614</v>
      </c>
      <c r="E85" s="11">
        <f>Electricity!E85*Electricity!$B$82</f>
        <v>993067.60334052925</v>
      </c>
      <c r="F85" s="11">
        <f>Electricity!F85*Electricity!$B$82</f>
        <v>1002058.9180458526</v>
      </c>
      <c r="G85" s="11">
        <f>Electricity!G85*Electricity!$B$82</f>
        <v>1011050.2327511759</v>
      </c>
      <c r="H85" s="11">
        <f>Electricity!H85*Electricity!$B$82</f>
        <v>1020041.5474564992</v>
      </c>
      <c r="I85" s="11">
        <f>Electricity!I85*Electricity!$B$82</f>
        <v>1029032.8621618223</v>
      </c>
      <c r="J85" s="11">
        <f>Electricity!J85*Electricity!$B$82</f>
        <v>1038024.1768671456</v>
      </c>
      <c r="K85" s="11">
        <f>Electricity!K85*Electricity!$B$82</f>
        <v>1045576.1862935974</v>
      </c>
      <c r="L85" s="11">
        <f>Electricity!L85*Electricity!$B$82</f>
        <v>1053128.1957200493</v>
      </c>
      <c r="M85" s="11">
        <f>Electricity!M85*Electricity!$B$82</f>
        <v>1060680.2051465011</v>
      </c>
      <c r="N85" s="11">
        <f>Electricity!N85*Electricity!$B$82</f>
        <v>1068232.2145729531</v>
      </c>
      <c r="O85" s="11">
        <f>Electricity!O85*Electricity!$B$82</f>
        <v>1075784.2239994048</v>
      </c>
      <c r="P85" s="11">
        <f>Electricity!P85*Electricity!$B$82</f>
        <v>1081880.2892740904</v>
      </c>
      <c r="Q85" s="11">
        <f>Electricity!Q85*Electricity!$B$82</f>
        <v>1087976.3545487761</v>
      </c>
      <c r="R85" s="11">
        <f>Electricity!R85*Electricity!$B$82</f>
        <v>1094072.4198234614</v>
      </c>
      <c r="S85" s="11">
        <f>Electricity!S85*Electricity!$B$82</f>
        <v>1100168.4850981468</v>
      </c>
      <c r="T85" s="11">
        <f>Electricity!T85*Electricity!$B$82</f>
        <v>1106264.5503728322</v>
      </c>
      <c r="U85" s="11">
        <f>Electricity!U85*Electricity!$B$82</f>
        <v>1110936.6303934327</v>
      </c>
      <c r="V85" s="11">
        <f>Electricity!V85*Electricity!$B$82</f>
        <v>1115608.7104140332</v>
      </c>
      <c r="W85" s="11">
        <f>Electricity!W85*Electricity!$B$82</f>
        <v>1120280.7904346338</v>
      </c>
      <c r="X85" s="11">
        <f>Electricity!X85*Electricity!$B$82</f>
        <v>1124952.8704552345</v>
      </c>
      <c r="Y85" s="11">
        <f>Electricity!Y85*Electricity!$B$82</f>
        <v>1129624.950475835</v>
      </c>
      <c r="Z85" s="11">
        <f>Electricity!Z85*Electricity!$B$82</f>
        <v>1132930.7680160569</v>
      </c>
      <c r="AA85" s="11">
        <f>Electricity!AA85*Electricity!$B$82</f>
        <v>1136236.5855562792</v>
      </c>
      <c r="AB85" s="11">
        <f>Electricity!AB85*Electricity!$B$82</f>
        <v>1139542.4030965012</v>
      </c>
      <c r="AC85" s="11">
        <f>Electricity!AC85*Electricity!$B$82</f>
        <v>1142848.2206367233</v>
      </c>
      <c r="AD85" s="11">
        <f>Electricity!AD85*Electricity!$B$82</f>
        <v>1146154.0381769454</v>
      </c>
      <c r="AE85" s="11">
        <f>Electricity!AE85*Electricity!$B$82</f>
        <v>1146154.0381769454</v>
      </c>
      <c r="AF85" s="11">
        <f>Electricity!AF85*Electricity!$B$82</f>
        <v>1146154.0381769454</v>
      </c>
      <c r="AG85" s="11">
        <f>Electricity!AG85*Electricity!$B$82</f>
        <v>1146154.0381769454</v>
      </c>
      <c r="AH85" s="11">
        <f>Electricity!AH85*Electricity!$B$82</f>
        <v>1146154.0381769454</v>
      </c>
      <c r="AI85" s="11">
        <f>Electricity!AI85*Electricity!$B$82</f>
        <v>1146154.0381769454</v>
      </c>
      <c r="AJ85" s="11">
        <f>Electricity!AJ85*Electricity!$B$82</f>
        <v>1146154.0381769454</v>
      </c>
      <c r="AK85" s="11">
        <f>Electricity!AK85*Electricity!$B$82</f>
        <v>1146154.0381769454</v>
      </c>
      <c r="AL85" s="11">
        <f>Electricity!AL85*Electricity!$B$82</f>
        <v>1146154.0381769454</v>
      </c>
      <c r="AM85" s="11">
        <f>Electricity!AM85*Electricity!$B$82</f>
        <v>1146154.0381769454</v>
      </c>
      <c r="AN85" s="11">
        <f>Electricity!AN85*Electricity!$B$82</f>
        <v>1146154.0381769454</v>
      </c>
      <c r="AO85" s="40">
        <f>Electricity!AO85*Electricity!$B$82</f>
        <v>1146154.0381769454</v>
      </c>
      <c r="AP85" s="40">
        <f>Electricity!AP85*Electricity!$B$82</f>
        <v>1146154.0381769454</v>
      </c>
      <c r="AQ85" s="40">
        <f>Electricity!AQ85*Electricity!$B$82</f>
        <v>1146154.0381769454</v>
      </c>
      <c r="AR85" s="40">
        <f>Electricity!AR85*Electricity!$B$82</f>
        <v>1146154.0381769454</v>
      </c>
      <c r="AS85" s="40">
        <f>Electricity!AS85*Electricity!$B$82</f>
        <v>1146154.0381769454</v>
      </c>
      <c r="AT85" s="40">
        <f>Electricity!AT85*Electricity!$B$82</f>
        <v>1146154.0381769454</v>
      </c>
      <c r="AU85" s="40">
        <f>Electricity!AU85*Electricity!$B$82</f>
        <v>1146154.0381769454</v>
      </c>
      <c r="AV85" s="40">
        <f>Electricity!AV85*Electricity!$B$82</f>
        <v>1146154.0381769454</v>
      </c>
      <c r="AW85" s="40">
        <f>Electricity!AW85*Electricity!$B$82</f>
        <v>1146154.0381769454</v>
      </c>
      <c r="AX85" s="40">
        <f>Electricity!AX85*Electricity!$B$82</f>
        <v>1146154.0381769454</v>
      </c>
    </row>
    <row r="86" spans="1:50" x14ac:dyDescent="0.2">
      <c r="A86" s="6" t="s">
        <v>36</v>
      </c>
      <c r="B86" s="11">
        <f>Electricity!B86*Electricity!$B$82</f>
        <v>178393.36233599999</v>
      </c>
      <c r="C86" s="11">
        <f>Electricity!C86*Electricity!$B$82</f>
        <v>179003.36817916782</v>
      </c>
      <c r="D86" s="11">
        <f>Electricity!D86*Electricity!$B$82</f>
        <v>179613.37402233563</v>
      </c>
      <c r="E86" s="11">
        <f>Electricity!E86*Electricity!$B$82</f>
        <v>180223.37986550346</v>
      </c>
      <c r="F86" s="11">
        <f>Electricity!F86*Electricity!$B$82</f>
        <v>181855.13697869176</v>
      </c>
      <c r="G86" s="11">
        <f>Electricity!G86*Electricity!$B$82</f>
        <v>183486.89409188004</v>
      </c>
      <c r="H86" s="11">
        <f>Electricity!H86*Electricity!$B$82</f>
        <v>185118.65120506837</v>
      </c>
      <c r="I86" s="11">
        <f>Electricity!I86*Electricity!$B$82</f>
        <v>186750.40831825664</v>
      </c>
      <c r="J86" s="11">
        <f>Electricity!J86*Electricity!$B$82</f>
        <v>188382.16543144491</v>
      </c>
      <c r="K86" s="11">
        <f>Electricity!K86*Electricity!$B$82</f>
        <v>189752.71529031952</v>
      </c>
      <c r="L86" s="11">
        <f>Electricity!L86*Electricity!$B$82</f>
        <v>191123.26514919414</v>
      </c>
      <c r="M86" s="11">
        <f>Electricity!M86*Electricity!$B$82</f>
        <v>192493.81500806869</v>
      </c>
      <c r="N86" s="11">
        <f>Electricity!N86*Electricity!$B$82</f>
        <v>193864.3648669433</v>
      </c>
      <c r="O86" s="11">
        <f>Electricity!O86*Electricity!$B$82</f>
        <v>195234.91472581789</v>
      </c>
      <c r="P86" s="11">
        <f>Electricity!P86*Electricity!$B$82</f>
        <v>196341.23768307565</v>
      </c>
      <c r="Q86" s="11">
        <f>Electricity!Q86*Electricity!$B$82</f>
        <v>197447.56064033342</v>
      </c>
      <c r="R86" s="11">
        <f>Electricity!R86*Electricity!$B$82</f>
        <v>198553.88359759111</v>
      </c>
      <c r="S86" s="11">
        <f>Electricity!S86*Electricity!$B$82</f>
        <v>199660.20655484888</v>
      </c>
      <c r="T86" s="11">
        <f>Electricity!T86*Electricity!$B$82</f>
        <v>200766.52951210659</v>
      </c>
      <c r="U86" s="11">
        <f>Electricity!U86*Electricity!$B$82</f>
        <v>201614.42551584519</v>
      </c>
      <c r="V86" s="11">
        <f>Electricity!V86*Electricity!$B$82</f>
        <v>202462.32151958381</v>
      </c>
      <c r="W86" s="11">
        <f>Electricity!W86*Electricity!$B$82</f>
        <v>203310.21752332244</v>
      </c>
      <c r="X86" s="11">
        <f>Electricity!X86*Electricity!$B$82</f>
        <v>204158.11352706107</v>
      </c>
      <c r="Y86" s="11">
        <f>Electricity!Y86*Electricity!$B$82</f>
        <v>205006.00953079967</v>
      </c>
      <c r="Z86" s="11">
        <f>Electricity!Z86*Electricity!$B$82</f>
        <v>205605.95419550664</v>
      </c>
      <c r="AA86" s="11">
        <f>Electricity!AA86*Electricity!$B$82</f>
        <v>206205.89886021361</v>
      </c>
      <c r="AB86" s="11">
        <f>Electricity!AB86*Electricity!$B$82</f>
        <v>206805.84352492058</v>
      </c>
      <c r="AC86" s="11">
        <f>Electricity!AC86*Electricity!$B$82</f>
        <v>207405.78818962755</v>
      </c>
      <c r="AD86" s="11">
        <f>Electricity!AD86*Electricity!$B$82</f>
        <v>208005.73285433452</v>
      </c>
      <c r="AE86" s="11">
        <f>Electricity!AE86*Electricity!$B$82</f>
        <v>208005.73285433452</v>
      </c>
      <c r="AF86" s="11">
        <f>Electricity!AF86*Electricity!$B$82</f>
        <v>208005.73285433452</v>
      </c>
      <c r="AG86" s="11">
        <f>Electricity!AG86*Electricity!$B$82</f>
        <v>208005.73285433452</v>
      </c>
      <c r="AH86" s="11">
        <f>Electricity!AH86*Electricity!$B$82</f>
        <v>208005.73285433452</v>
      </c>
      <c r="AI86" s="11">
        <f>Electricity!AI86*Electricity!$B$82</f>
        <v>208005.73285433452</v>
      </c>
      <c r="AJ86" s="11">
        <f>Electricity!AJ86*Electricity!$B$82</f>
        <v>208005.73285433452</v>
      </c>
      <c r="AK86" s="11">
        <f>Electricity!AK86*Electricity!$B$82</f>
        <v>208005.73285433452</v>
      </c>
      <c r="AL86" s="11">
        <f>Electricity!AL86*Electricity!$B$82</f>
        <v>208005.73285433452</v>
      </c>
      <c r="AM86" s="11">
        <f>Electricity!AM86*Electricity!$B$82</f>
        <v>208005.73285433452</v>
      </c>
      <c r="AN86" s="11">
        <f>Electricity!AN86*Electricity!$B$82</f>
        <v>208005.73285433452</v>
      </c>
      <c r="AO86" s="40">
        <f>Electricity!AO86*Electricity!$B$82</f>
        <v>208005.73285433452</v>
      </c>
      <c r="AP86" s="40">
        <f>Electricity!AP86*Electricity!$B$82</f>
        <v>208005.73285433452</v>
      </c>
      <c r="AQ86" s="40">
        <f>Electricity!AQ86*Electricity!$B$82</f>
        <v>208005.73285433452</v>
      </c>
      <c r="AR86" s="40">
        <f>Electricity!AR86*Electricity!$B$82</f>
        <v>208005.73285433452</v>
      </c>
      <c r="AS86" s="40">
        <f>Electricity!AS86*Electricity!$B$82</f>
        <v>208005.73285433452</v>
      </c>
      <c r="AT86" s="40">
        <f>Electricity!AT86*Electricity!$B$82</f>
        <v>208005.73285433452</v>
      </c>
      <c r="AU86" s="40">
        <f>Electricity!AU86*Electricity!$B$82</f>
        <v>208005.73285433452</v>
      </c>
      <c r="AV86" s="40">
        <f>Electricity!AV86*Electricity!$B$82</f>
        <v>208005.73285433452</v>
      </c>
      <c r="AW86" s="40">
        <f>Electricity!AW86*Electricity!$B$82</f>
        <v>208005.73285433452</v>
      </c>
      <c r="AX86" s="40">
        <f>Electricity!AX86*Electricity!$B$82</f>
        <v>208005.73285433452</v>
      </c>
    </row>
    <row r="87" spans="1:50" x14ac:dyDescent="0.2">
      <c r="A87" s="6" t="s">
        <v>37</v>
      </c>
      <c r="B87" s="11">
        <f>Electricity!B87*Electricity!$B$82</f>
        <v>152908.596288</v>
      </c>
      <c r="C87" s="11">
        <f>Electricity!C87*Electricity!$B$82</f>
        <v>153431.45843928671</v>
      </c>
      <c r="D87" s="11">
        <f>Electricity!D87*Electricity!$B$82</f>
        <v>153954.32059057339</v>
      </c>
      <c r="E87" s="11">
        <f>Electricity!E87*Electricity!$B$82</f>
        <v>154477.1827418601</v>
      </c>
      <c r="F87" s="11">
        <f>Electricity!F87*Electricity!$B$82</f>
        <v>155875.83169602149</v>
      </c>
      <c r="G87" s="11">
        <f>Electricity!G87*Electricity!$B$82</f>
        <v>157274.4806501829</v>
      </c>
      <c r="H87" s="11">
        <f>Electricity!H87*Electricity!$B$82</f>
        <v>158673.12960434429</v>
      </c>
      <c r="I87" s="11">
        <f>Electricity!I87*Electricity!$B$82</f>
        <v>160071.77855850567</v>
      </c>
      <c r="J87" s="11">
        <f>Electricity!J87*Electricity!$B$82</f>
        <v>161470.42751266708</v>
      </c>
      <c r="K87" s="11">
        <f>Electricity!K87*Electricity!$B$82</f>
        <v>162645.18453455961</v>
      </c>
      <c r="L87" s="11">
        <f>Electricity!L87*Electricity!$B$82</f>
        <v>163819.9415564521</v>
      </c>
      <c r="M87" s="11">
        <f>Electricity!M87*Electricity!$B$82</f>
        <v>164994.6985783446</v>
      </c>
      <c r="N87" s="11">
        <f>Electricity!N87*Electricity!$B$82</f>
        <v>166169.4556002371</v>
      </c>
      <c r="O87" s="11">
        <f>Electricity!O87*Electricity!$B$82</f>
        <v>167344.21262212965</v>
      </c>
      <c r="P87" s="11">
        <f>Electricity!P87*Electricity!$B$82</f>
        <v>168292.48944263626</v>
      </c>
      <c r="Q87" s="11">
        <f>Electricity!Q87*Electricity!$B$82</f>
        <v>169240.76626314293</v>
      </c>
      <c r="R87" s="11">
        <f>Electricity!R87*Electricity!$B$82</f>
        <v>170189.04308364954</v>
      </c>
      <c r="S87" s="11">
        <f>Electricity!S87*Electricity!$B$82</f>
        <v>171137.31990415615</v>
      </c>
      <c r="T87" s="11">
        <f>Electricity!T87*Electricity!$B$82</f>
        <v>172085.59672466278</v>
      </c>
      <c r="U87" s="11">
        <f>Electricity!U87*Electricity!$B$82</f>
        <v>172812.3647278673</v>
      </c>
      <c r="V87" s="11">
        <f>Electricity!V87*Electricity!$B$82</f>
        <v>173539.13273107182</v>
      </c>
      <c r="W87" s="11">
        <f>Electricity!W87*Electricity!$B$82</f>
        <v>174265.90073427637</v>
      </c>
      <c r="X87" s="11">
        <f>Electricity!X87*Electricity!$B$82</f>
        <v>174992.66873748091</v>
      </c>
      <c r="Y87" s="11">
        <f>Electricity!Y87*Electricity!$B$82</f>
        <v>175719.43674068543</v>
      </c>
      <c r="Z87" s="11">
        <f>Electricity!Z87*Electricity!$B$82</f>
        <v>176233.67502472</v>
      </c>
      <c r="AA87" s="11">
        <f>Electricity!AA87*Electricity!$B$82</f>
        <v>176747.91330875453</v>
      </c>
      <c r="AB87" s="11">
        <f>Electricity!AB87*Electricity!$B$82</f>
        <v>177262.15159278907</v>
      </c>
      <c r="AC87" s="11">
        <f>Electricity!AC87*Electricity!$B$82</f>
        <v>177776.38987682364</v>
      </c>
      <c r="AD87" s="11">
        <f>Electricity!AD87*Electricity!$B$82</f>
        <v>178290.62816085818</v>
      </c>
      <c r="AE87" s="11">
        <f>Electricity!AE87*Electricity!$B$82</f>
        <v>178290.62816085818</v>
      </c>
      <c r="AF87" s="11">
        <f>Electricity!AF87*Electricity!$B$82</f>
        <v>178290.62816085818</v>
      </c>
      <c r="AG87" s="11">
        <f>Electricity!AG87*Electricity!$B$82</f>
        <v>178290.62816085818</v>
      </c>
      <c r="AH87" s="11">
        <f>Electricity!AH87*Electricity!$B$82</f>
        <v>178290.62816085818</v>
      </c>
      <c r="AI87" s="11">
        <f>Electricity!AI87*Electricity!$B$82</f>
        <v>178290.62816085818</v>
      </c>
      <c r="AJ87" s="11">
        <f>Electricity!AJ87*Electricity!$B$82</f>
        <v>178290.62816085818</v>
      </c>
      <c r="AK87" s="11">
        <f>Electricity!AK87*Electricity!$B$82</f>
        <v>178290.62816085818</v>
      </c>
      <c r="AL87" s="11">
        <f>Electricity!AL87*Electricity!$B$82</f>
        <v>178290.62816085818</v>
      </c>
      <c r="AM87" s="11">
        <f>Electricity!AM87*Electricity!$B$82</f>
        <v>178290.62816085818</v>
      </c>
      <c r="AN87" s="11">
        <f>Electricity!AN87*Electricity!$B$82</f>
        <v>178290.62816085818</v>
      </c>
      <c r="AO87" s="40">
        <f>Electricity!AO87*Electricity!$B$82</f>
        <v>178290.62816085818</v>
      </c>
      <c r="AP87" s="40">
        <f>Electricity!AP87*Electricity!$B$82</f>
        <v>178290.62816085818</v>
      </c>
      <c r="AQ87" s="40">
        <f>Electricity!AQ87*Electricity!$B$82</f>
        <v>178290.62816085818</v>
      </c>
      <c r="AR87" s="40">
        <f>Electricity!AR87*Electricity!$B$82</f>
        <v>178290.62816085818</v>
      </c>
      <c r="AS87" s="40">
        <f>Electricity!AS87*Electricity!$B$82</f>
        <v>178290.62816085818</v>
      </c>
      <c r="AT87" s="40">
        <f>Electricity!AT87*Electricity!$B$82</f>
        <v>178290.62816085818</v>
      </c>
      <c r="AU87" s="40">
        <f>Electricity!AU87*Electricity!$B$82</f>
        <v>178290.62816085818</v>
      </c>
      <c r="AV87" s="40">
        <f>Electricity!AV87*Electricity!$B$82</f>
        <v>178290.62816085818</v>
      </c>
      <c r="AW87" s="40">
        <f>Electricity!AW87*Electricity!$B$82</f>
        <v>178290.62816085818</v>
      </c>
      <c r="AX87" s="40">
        <f>Electricity!AX87*Electricity!$B$82</f>
        <v>178290.62816085818</v>
      </c>
    </row>
    <row r="89" spans="1:50" x14ac:dyDescent="0.2">
      <c r="A89" s="5" t="s">
        <v>157</v>
      </c>
    </row>
    <row r="90" spans="1:50" x14ac:dyDescent="0.2">
      <c r="A90" s="5" t="s">
        <v>4</v>
      </c>
    </row>
    <row r="91" spans="1:50" x14ac:dyDescent="0.2">
      <c r="A91" s="5" t="s">
        <v>59</v>
      </c>
    </row>
    <row r="92" spans="1:50" x14ac:dyDescent="0.2">
      <c r="A92" s="5" t="s">
        <v>6</v>
      </c>
    </row>
    <row r="93" spans="1:50" x14ac:dyDescent="0.2">
      <c r="A93" s="5"/>
    </row>
    <row r="94" spans="1:5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c r="AO94" s="39">
        <f>AN94+1</f>
        <v>2061</v>
      </c>
      <c r="AP94" s="39">
        <f t="shared" ref="AP94:AX94" si="8">AO94+1</f>
        <v>2062</v>
      </c>
      <c r="AQ94" s="39">
        <f t="shared" si="8"/>
        <v>2063</v>
      </c>
      <c r="AR94" s="39">
        <f t="shared" si="8"/>
        <v>2064</v>
      </c>
      <c r="AS94" s="39">
        <f t="shared" si="8"/>
        <v>2065</v>
      </c>
      <c r="AT94" s="39">
        <f t="shared" si="8"/>
        <v>2066</v>
      </c>
      <c r="AU94" s="39">
        <f t="shared" si="8"/>
        <v>2067</v>
      </c>
      <c r="AV94" s="39">
        <f t="shared" si="8"/>
        <v>2068</v>
      </c>
      <c r="AW94" s="39">
        <f>AV94+1</f>
        <v>2069</v>
      </c>
      <c r="AX94" s="39">
        <f t="shared" si="8"/>
        <v>2070</v>
      </c>
    </row>
    <row r="95" spans="1:50" x14ac:dyDescent="0.2">
      <c r="A95" s="6" t="s">
        <v>34</v>
      </c>
      <c r="B95" s="11">
        <f>Electricity!B95*Electricity!$B$93</f>
        <v>552817.17540000007</v>
      </c>
      <c r="C95" s="11">
        <f>Electricity!C95*Electricity!$B$93</f>
        <v>554707.50193895726</v>
      </c>
      <c r="D95" s="11">
        <f>Electricity!D95*Electricity!$B$93</f>
        <v>556597.82847791433</v>
      </c>
      <c r="E95" s="11">
        <f>Electricity!E95*Electricity!$B$93</f>
        <v>558488.1550168714</v>
      </c>
      <c r="F95" s="11">
        <f>Electricity!F95*Electricity!$B$93</f>
        <v>563544.75211465242</v>
      </c>
      <c r="G95" s="11">
        <f>Electricity!G95*Electricity!$B$93</f>
        <v>568601.34921243333</v>
      </c>
      <c r="H95" s="11">
        <f>Electricity!H95*Electricity!$B$93</f>
        <v>573657.94631021447</v>
      </c>
      <c r="I95" s="11">
        <f>Electricity!I95*Electricity!$B$93</f>
        <v>578714.54340799537</v>
      </c>
      <c r="J95" s="11">
        <f>Electricity!J95*Electricity!$B$93</f>
        <v>583771.14050577639</v>
      </c>
      <c r="K95" s="11">
        <f>Electricity!K95*Electricity!$B$93</f>
        <v>588018.2912506616</v>
      </c>
      <c r="L95" s="11">
        <f>Electricity!L95*Electricity!$B$93</f>
        <v>592265.4419955468</v>
      </c>
      <c r="M95" s="11">
        <f>Electricity!M95*Electricity!$B$93</f>
        <v>596512.59274043201</v>
      </c>
      <c r="N95" s="11">
        <f>Electricity!N95*Electricity!$B$93</f>
        <v>600759.74348531722</v>
      </c>
      <c r="O95" s="11">
        <f>Electricity!O95*Electricity!$B$93</f>
        <v>605006.89423020254</v>
      </c>
      <c r="P95" s="11">
        <f>Electricity!P95*Electricity!$B$93</f>
        <v>608435.24113898177</v>
      </c>
      <c r="Q95" s="11">
        <f>Electricity!Q95*Electricity!$B$93</f>
        <v>611863.58804776135</v>
      </c>
      <c r="R95" s="11">
        <f>Electricity!R95*Electricity!$B$93</f>
        <v>615291.93495654082</v>
      </c>
      <c r="S95" s="11">
        <f>Electricity!S95*Electricity!$B$93</f>
        <v>618720.2818653204</v>
      </c>
      <c r="T95" s="11">
        <f>Electricity!T95*Electricity!$B$93</f>
        <v>622148.62877409987</v>
      </c>
      <c r="U95" s="11">
        <f>Electricity!U95*Electricity!$B$93</f>
        <v>624776.14511036838</v>
      </c>
      <c r="V95" s="11">
        <f>Electricity!V95*Electricity!$B$93</f>
        <v>627403.66144663701</v>
      </c>
      <c r="W95" s="11">
        <f>Electricity!W95*Electricity!$B$93</f>
        <v>630031.17778290552</v>
      </c>
      <c r="X95" s="11">
        <f>Electricity!X95*Electricity!$B$93</f>
        <v>632658.69411917427</v>
      </c>
      <c r="Y95" s="11">
        <f>Electricity!Y95*Electricity!$B$93</f>
        <v>635286.2104554429</v>
      </c>
      <c r="Z95" s="11">
        <f>Electricity!Z95*Electricity!$B$93</f>
        <v>637145.35874771478</v>
      </c>
      <c r="AA95" s="11">
        <f>Electricity!AA95*Electricity!$B$93</f>
        <v>639004.50703998655</v>
      </c>
      <c r="AB95" s="11">
        <f>Electricity!AB95*Electricity!$B$93</f>
        <v>640863.65533225844</v>
      </c>
      <c r="AC95" s="11">
        <f>Electricity!AC95*Electricity!$B$93</f>
        <v>642722.80362453021</v>
      </c>
      <c r="AD95" s="11">
        <f>Electricity!AD95*Electricity!$B$93</f>
        <v>644581.95191680221</v>
      </c>
      <c r="AE95" s="11">
        <f>Electricity!AE95*Electricity!$B$93</f>
        <v>644581.95191680221</v>
      </c>
      <c r="AF95" s="11">
        <f>Electricity!AF95*Electricity!$B$93</f>
        <v>644581.95191680221</v>
      </c>
      <c r="AG95" s="11">
        <f>Electricity!AG95*Electricity!$B$93</f>
        <v>644581.95191680221</v>
      </c>
      <c r="AH95" s="11">
        <f>Electricity!AH95*Electricity!$B$93</f>
        <v>644581.95191680221</v>
      </c>
      <c r="AI95" s="11">
        <f>Electricity!AI95*Electricity!$B$93</f>
        <v>644581.95191680221</v>
      </c>
      <c r="AJ95" s="11">
        <f>Electricity!AJ95*Electricity!$B$93</f>
        <v>644581.95191680221</v>
      </c>
      <c r="AK95" s="11">
        <f>Electricity!AK95*Electricity!$B$93</f>
        <v>644581.95191680221</v>
      </c>
      <c r="AL95" s="11">
        <f>Electricity!AL95*Electricity!$B$93</f>
        <v>644581.95191680221</v>
      </c>
      <c r="AM95" s="11">
        <f>Electricity!AM95*Electricity!$B$93</f>
        <v>644581.95191680221</v>
      </c>
      <c r="AN95" s="11">
        <f>Electricity!AN95*Electricity!$B$93</f>
        <v>644581.95191680221</v>
      </c>
      <c r="AO95" s="40">
        <f>Electricity!AO95*Electricity!$B$93</f>
        <v>644581.95191680221</v>
      </c>
      <c r="AP95" s="40">
        <f>Electricity!AP95*Electricity!$B$93</f>
        <v>644581.95191680221</v>
      </c>
      <c r="AQ95" s="40">
        <f>Electricity!AQ95*Electricity!$B$93</f>
        <v>644581.95191680221</v>
      </c>
      <c r="AR95" s="40">
        <f>Electricity!AR95*Electricity!$B$93</f>
        <v>644581.95191680221</v>
      </c>
      <c r="AS95" s="40">
        <f>Electricity!AS95*Electricity!$B$93</f>
        <v>644581.95191680221</v>
      </c>
      <c r="AT95" s="40">
        <f>Electricity!AT95*Electricity!$B$93</f>
        <v>644581.95191680221</v>
      </c>
      <c r="AU95" s="40">
        <f>Electricity!AU95*Electricity!$B$93</f>
        <v>644581.95191680221</v>
      </c>
      <c r="AV95" s="40">
        <f>Electricity!AV95*Electricity!$B$93</f>
        <v>644581.95191680221</v>
      </c>
      <c r="AW95" s="40">
        <f>Electricity!AW95*Electricity!$B$93</f>
        <v>644581.95191680221</v>
      </c>
      <c r="AX95" s="40">
        <f>Electricity!AX95*Electricity!$B$93</f>
        <v>644581.95191680221</v>
      </c>
    </row>
    <row r="96" spans="1:50" x14ac:dyDescent="0.2">
      <c r="A96" s="6" t="s">
        <v>35</v>
      </c>
      <c r="B96" s="11">
        <f>Electricity!B96*Electricity!$B$93</f>
        <v>233584.72199999998</v>
      </c>
      <c r="C96" s="11">
        <f>Electricity!C96*Electricity!$B$93</f>
        <v>234383.45152350306</v>
      </c>
      <c r="D96" s="11">
        <f>Electricity!D96*Electricity!$B$93</f>
        <v>235182.18104700602</v>
      </c>
      <c r="E96" s="11">
        <f>Electricity!E96*Electricity!$B$93</f>
        <v>235980.910570509</v>
      </c>
      <c r="F96" s="11">
        <f>Electricity!F96*Electricity!$B$93</f>
        <v>238117.50089351507</v>
      </c>
      <c r="G96" s="11">
        <f>Electricity!G96*Electricity!$B$93</f>
        <v>240254.09121652113</v>
      </c>
      <c r="H96" s="11">
        <f>Electricity!H96*Electricity!$B$93</f>
        <v>242390.6815395272</v>
      </c>
      <c r="I96" s="11">
        <f>Electricity!I96*Electricity!$B$93</f>
        <v>244527.27186253323</v>
      </c>
      <c r="J96" s="11">
        <f>Electricity!J96*Electricity!$B$93</f>
        <v>246663.8621855393</v>
      </c>
      <c r="K96" s="11">
        <f>Electricity!K96*Electricity!$B$93</f>
        <v>248458.43292281474</v>
      </c>
      <c r="L96" s="11">
        <f>Electricity!L96*Electricity!$B$93</f>
        <v>250253.00366009018</v>
      </c>
      <c r="M96" s="11">
        <f>Electricity!M96*Electricity!$B$93</f>
        <v>252047.57439736562</v>
      </c>
      <c r="N96" s="11">
        <f>Electricity!N96*Electricity!$B$93</f>
        <v>253842.14513464106</v>
      </c>
      <c r="O96" s="11">
        <f>Electricity!O96*Electricity!$B$93</f>
        <v>255636.71587191653</v>
      </c>
      <c r="P96" s="11">
        <f>Electricity!P96*Electricity!$B$93</f>
        <v>257085.3131573163</v>
      </c>
      <c r="Q96" s="11">
        <f>Electricity!Q96*Electricity!$B$93</f>
        <v>258533.91044271609</v>
      </c>
      <c r="R96" s="11">
        <f>Electricity!R96*Electricity!$B$93</f>
        <v>259982.50772811589</v>
      </c>
      <c r="S96" s="11">
        <f>Electricity!S96*Electricity!$B$93</f>
        <v>261431.1050135156</v>
      </c>
      <c r="T96" s="11">
        <f>Electricity!T96*Electricity!$B$93</f>
        <v>262879.70229891536</v>
      </c>
      <c r="U96" s="11">
        <f>Electricity!U96*Electricity!$B$93</f>
        <v>263989.92046916974</v>
      </c>
      <c r="V96" s="11">
        <f>Electricity!V96*Electricity!$B$93</f>
        <v>265100.13863942411</v>
      </c>
      <c r="W96" s="11">
        <f>Electricity!W96*Electricity!$B$93</f>
        <v>266210.35680967837</v>
      </c>
      <c r="X96" s="11">
        <f>Electricity!X96*Electricity!$B$93</f>
        <v>267320.57497993275</v>
      </c>
      <c r="Y96" s="11">
        <f>Electricity!Y96*Electricity!$B$93</f>
        <v>268430.79315018712</v>
      </c>
      <c r="Z96" s="11">
        <f>Electricity!Z96*Electricity!$B$93</f>
        <v>269216.34876664</v>
      </c>
      <c r="AA96" s="11">
        <f>Electricity!AA96*Electricity!$B$93</f>
        <v>270001.90438309289</v>
      </c>
      <c r="AB96" s="11">
        <f>Electricity!AB96*Electricity!$B$93</f>
        <v>270787.45999954583</v>
      </c>
      <c r="AC96" s="11">
        <f>Electricity!AC96*Electricity!$B$93</f>
        <v>271573.01561599871</v>
      </c>
      <c r="AD96" s="11">
        <f>Electricity!AD96*Electricity!$B$93</f>
        <v>272358.57123245165</v>
      </c>
      <c r="AE96" s="11">
        <f>Electricity!AE96*Electricity!$B$93</f>
        <v>272358.57123245165</v>
      </c>
      <c r="AF96" s="11">
        <f>Electricity!AF96*Electricity!$B$93</f>
        <v>272358.57123245165</v>
      </c>
      <c r="AG96" s="11">
        <f>Electricity!AG96*Electricity!$B$93</f>
        <v>272358.57123245165</v>
      </c>
      <c r="AH96" s="11">
        <f>Electricity!AH96*Electricity!$B$93</f>
        <v>272358.57123245165</v>
      </c>
      <c r="AI96" s="11">
        <f>Electricity!AI96*Electricity!$B$93</f>
        <v>272358.57123245165</v>
      </c>
      <c r="AJ96" s="11">
        <f>Electricity!AJ96*Electricity!$B$93</f>
        <v>272358.57123245165</v>
      </c>
      <c r="AK96" s="11">
        <f>Electricity!AK96*Electricity!$B$93</f>
        <v>272358.57123245165</v>
      </c>
      <c r="AL96" s="11">
        <f>Electricity!AL96*Electricity!$B$93</f>
        <v>272358.57123245165</v>
      </c>
      <c r="AM96" s="11">
        <f>Electricity!AM96*Electricity!$B$93</f>
        <v>272358.57123245165</v>
      </c>
      <c r="AN96" s="11">
        <f>Electricity!AN96*Electricity!$B$93</f>
        <v>272358.57123245165</v>
      </c>
      <c r="AO96" s="40">
        <f>Electricity!AO96*Electricity!$B$93</f>
        <v>272358.57123245165</v>
      </c>
      <c r="AP96" s="40">
        <f>Electricity!AP96*Electricity!$B$93</f>
        <v>272358.57123245165</v>
      </c>
      <c r="AQ96" s="40">
        <f>Electricity!AQ96*Electricity!$B$93</f>
        <v>272358.57123245165</v>
      </c>
      <c r="AR96" s="40">
        <f>Electricity!AR96*Electricity!$B$93</f>
        <v>272358.57123245165</v>
      </c>
      <c r="AS96" s="40">
        <f>Electricity!AS96*Electricity!$B$93</f>
        <v>272358.57123245165</v>
      </c>
      <c r="AT96" s="40">
        <f>Electricity!AT96*Electricity!$B$93</f>
        <v>272358.57123245165</v>
      </c>
      <c r="AU96" s="40">
        <f>Electricity!AU96*Electricity!$B$93</f>
        <v>272358.57123245165</v>
      </c>
      <c r="AV96" s="40">
        <f>Electricity!AV96*Electricity!$B$93</f>
        <v>272358.57123245165</v>
      </c>
      <c r="AW96" s="40">
        <f>Electricity!AW96*Electricity!$B$93</f>
        <v>272358.57123245165</v>
      </c>
      <c r="AX96" s="40">
        <f>Electricity!AX96*Electricity!$B$93</f>
        <v>272358.57123245165</v>
      </c>
    </row>
    <row r="97" spans="1:50" x14ac:dyDescent="0.2">
      <c r="A97" s="6" t="s">
        <v>36</v>
      </c>
      <c r="B97" s="11">
        <f>Electricity!B97*Electricity!$B$93</f>
        <v>42391.301399999997</v>
      </c>
      <c r="C97" s="11">
        <f>Electricity!C97*Electricity!$B$93</f>
        <v>42536.256017228327</v>
      </c>
      <c r="D97" s="11">
        <f>Electricity!D97*Electricity!$B$93</f>
        <v>42681.210634456642</v>
      </c>
      <c r="E97" s="11">
        <f>Electricity!E97*Electricity!$B$93</f>
        <v>42826.165251684964</v>
      </c>
      <c r="F97" s="11">
        <f>Electricity!F97*Electricity!$B$93</f>
        <v>43213.916828823101</v>
      </c>
      <c r="G97" s="11">
        <f>Electricity!G97*Electricity!$B$93</f>
        <v>43601.668405961245</v>
      </c>
      <c r="H97" s="11">
        <f>Electricity!H97*Electricity!$B$93</f>
        <v>43989.419983099375</v>
      </c>
      <c r="I97" s="11">
        <f>Electricity!I97*Electricity!$B$93</f>
        <v>44377.171560237512</v>
      </c>
      <c r="J97" s="11">
        <f>Electricity!J97*Electricity!$B$93</f>
        <v>44764.923137375648</v>
      </c>
      <c r="K97" s="11">
        <f>Electricity!K97*Electricity!$B$93</f>
        <v>45090.604493399711</v>
      </c>
      <c r="L97" s="11">
        <f>Electricity!L97*Electricity!$B$93</f>
        <v>45416.285849423773</v>
      </c>
      <c r="M97" s="11">
        <f>Electricity!M97*Electricity!$B$93</f>
        <v>45741.967205447836</v>
      </c>
      <c r="N97" s="11">
        <f>Electricity!N97*Electricity!$B$93</f>
        <v>46067.648561471891</v>
      </c>
      <c r="O97" s="11">
        <f>Electricity!O97*Electricity!$B$93</f>
        <v>46393.329917495961</v>
      </c>
      <c r="P97" s="11">
        <f>Electricity!P97*Electricity!$B$93</f>
        <v>46656.223498920357</v>
      </c>
      <c r="Q97" s="11">
        <f>Electricity!Q97*Electricity!$B$93</f>
        <v>46919.117080344768</v>
      </c>
      <c r="R97" s="11">
        <f>Electricity!R97*Electricity!$B$93</f>
        <v>47182.010661769171</v>
      </c>
      <c r="S97" s="11">
        <f>Electricity!S97*Electricity!$B$93</f>
        <v>47444.904243193574</v>
      </c>
      <c r="T97" s="11">
        <f>Electricity!T97*Electricity!$B$93</f>
        <v>47707.79782461797</v>
      </c>
      <c r="U97" s="11">
        <f>Electricity!U97*Electricity!$B$93</f>
        <v>47909.281862923388</v>
      </c>
      <c r="V97" s="11">
        <f>Electricity!V97*Electricity!$B$93</f>
        <v>48110.765901228813</v>
      </c>
      <c r="W97" s="11">
        <f>Electricity!W97*Electricity!$B$93</f>
        <v>48312.249939534224</v>
      </c>
      <c r="X97" s="11">
        <f>Electricity!X97*Electricity!$B$93</f>
        <v>48513.733977839649</v>
      </c>
      <c r="Y97" s="11">
        <f>Electricity!Y97*Electricity!$B$93</f>
        <v>48715.218016145067</v>
      </c>
      <c r="Z97" s="11">
        <f>Electricity!Z97*Electricity!$B$93</f>
        <v>48857.781813205038</v>
      </c>
      <c r="AA97" s="11">
        <f>Electricity!AA97*Electricity!$B$93</f>
        <v>49000.345610265009</v>
      </c>
      <c r="AB97" s="11">
        <f>Electricity!AB97*Electricity!$B$93</f>
        <v>49142.909407324973</v>
      </c>
      <c r="AC97" s="11">
        <f>Electricity!AC97*Electricity!$B$93</f>
        <v>49285.473204384944</v>
      </c>
      <c r="AD97" s="11">
        <f>Electricity!AD97*Electricity!$B$93</f>
        <v>49428.037001444922</v>
      </c>
      <c r="AE97" s="11">
        <f>Electricity!AE97*Electricity!$B$93</f>
        <v>49428.037001444922</v>
      </c>
      <c r="AF97" s="11">
        <f>Electricity!AF97*Electricity!$B$93</f>
        <v>49428.037001444922</v>
      </c>
      <c r="AG97" s="11">
        <f>Electricity!AG97*Electricity!$B$93</f>
        <v>49428.037001444922</v>
      </c>
      <c r="AH97" s="11">
        <f>Electricity!AH97*Electricity!$B$93</f>
        <v>49428.037001444922</v>
      </c>
      <c r="AI97" s="11">
        <f>Electricity!AI97*Electricity!$B$93</f>
        <v>49428.037001444922</v>
      </c>
      <c r="AJ97" s="11">
        <f>Electricity!AJ97*Electricity!$B$93</f>
        <v>49428.037001444922</v>
      </c>
      <c r="AK97" s="11">
        <f>Electricity!AK97*Electricity!$B$93</f>
        <v>49428.037001444922</v>
      </c>
      <c r="AL97" s="11">
        <f>Electricity!AL97*Electricity!$B$93</f>
        <v>49428.037001444922</v>
      </c>
      <c r="AM97" s="11">
        <f>Electricity!AM97*Electricity!$B$93</f>
        <v>49428.037001444922</v>
      </c>
      <c r="AN97" s="11">
        <f>Electricity!AN97*Electricity!$B$93</f>
        <v>49428.037001444922</v>
      </c>
      <c r="AO97" s="40">
        <f>Electricity!AO97*Electricity!$B$93</f>
        <v>49428.037001444922</v>
      </c>
      <c r="AP97" s="40">
        <f>Electricity!AP97*Electricity!$B$93</f>
        <v>49428.037001444922</v>
      </c>
      <c r="AQ97" s="40">
        <f>Electricity!AQ97*Electricity!$B$93</f>
        <v>49428.037001444922</v>
      </c>
      <c r="AR97" s="40">
        <f>Electricity!AR97*Electricity!$B$93</f>
        <v>49428.037001444922</v>
      </c>
      <c r="AS97" s="40">
        <f>Electricity!AS97*Electricity!$B$93</f>
        <v>49428.037001444922</v>
      </c>
      <c r="AT97" s="40">
        <f>Electricity!AT97*Electricity!$B$93</f>
        <v>49428.037001444922</v>
      </c>
      <c r="AU97" s="40">
        <f>Electricity!AU97*Electricity!$B$93</f>
        <v>49428.037001444922</v>
      </c>
      <c r="AV97" s="40">
        <f>Electricity!AV97*Electricity!$B$93</f>
        <v>49428.037001444922</v>
      </c>
      <c r="AW97" s="40">
        <f>Electricity!AW97*Electricity!$B$93</f>
        <v>49428.037001444922</v>
      </c>
      <c r="AX97" s="40">
        <f>Electricity!AX97*Electricity!$B$93</f>
        <v>49428.037001444922</v>
      </c>
    </row>
    <row r="98" spans="1:50" x14ac:dyDescent="0.2">
      <c r="A98" s="6" t="s">
        <v>37</v>
      </c>
      <c r="B98" s="11">
        <f>Electricity!B98*Electricity!$B$93</f>
        <v>36335.4012</v>
      </c>
      <c r="C98" s="11">
        <f>Electricity!C98*Electricity!$B$93</f>
        <v>36459.648014767139</v>
      </c>
      <c r="D98" s="11">
        <f>Electricity!D98*Electricity!$B$93</f>
        <v>36583.894829534263</v>
      </c>
      <c r="E98" s="11">
        <f>Electricity!E98*Electricity!$B$93</f>
        <v>36708.141644301402</v>
      </c>
      <c r="F98" s="11">
        <f>Electricity!F98*Electricity!$B$93</f>
        <v>37040.500138991236</v>
      </c>
      <c r="G98" s="11">
        <f>Electricity!G98*Electricity!$B$93</f>
        <v>37372.858633681062</v>
      </c>
      <c r="H98" s="11">
        <f>Electricity!H98*Electricity!$B$93</f>
        <v>37705.217128370896</v>
      </c>
      <c r="I98" s="11">
        <f>Electricity!I98*Electricity!$B$93</f>
        <v>38037.575623060729</v>
      </c>
      <c r="J98" s="11">
        <f>Electricity!J98*Electricity!$B$93</f>
        <v>38369.934117750556</v>
      </c>
      <c r="K98" s="11">
        <f>Electricity!K98*Electricity!$B$93</f>
        <v>38649.089565771181</v>
      </c>
      <c r="L98" s="11">
        <f>Electricity!L98*Electricity!$B$93</f>
        <v>38928.245013791806</v>
      </c>
      <c r="M98" s="11">
        <f>Electricity!M98*Electricity!$B$93</f>
        <v>39207.400461812431</v>
      </c>
      <c r="N98" s="11">
        <f>Electricity!N98*Electricity!$B$93</f>
        <v>39486.555909833049</v>
      </c>
      <c r="O98" s="11">
        <f>Electricity!O98*Electricity!$B$93</f>
        <v>39765.711357853681</v>
      </c>
      <c r="P98" s="11">
        <f>Electricity!P98*Electricity!$B$93</f>
        <v>39991.048713360309</v>
      </c>
      <c r="Q98" s="11">
        <f>Electricity!Q98*Electricity!$B$93</f>
        <v>40216.386068866937</v>
      </c>
      <c r="R98" s="11">
        <f>Electricity!R98*Electricity!$B$93</f>
        <v>40441.723424373573</v>
      </c>
      <c r="S98" s="11">
        <f>Electricity!S98*Electricity!$B$93</f>
        <v>40667.060779880208</v>
      </c>
      <c r="T98" s="11">
        <f>Electricity!T98*Electricity!$B$93</f>
        <v>40892.398135386837</v>
      </c>
      <c r="U98" s="11">
        <f>Electricity!U98*Electricity!$B$93</f>
        <v>41065.098739648623</v>
      </c>
      <c r="V98" s="11">
        <f>Electricity!V98*Electricity!$B$93</f>
        <v>41237.79934391041</v>
      </c>
      <c r="W98" s="11">
        <f>Electricity!W98*Electricity!$B$93</f>
        <v>41410.49994817219</v>
      </c>
      <c r="X98" s="11">
        <f>Electricity!X98*Electricity!$B$93</f>
        <v>41583.200552433984</v>
      </c>
      <c r="Y98" s="11">
        <f>Electricity!Y98*Electricity!$B$93</f>
        <v>41755.901156695771</v>
      </c>
      <c r="Z98" s="11">
        <f>Electricity!Z98*Electricity!$B$93</f>
        <v>41878.098697032889</v>
      </c>
      <c r="AA98" s="11">
        <f>Electricity!AA98*Electricity!$B$93</f>
        <v>42000.296237370007</v>
      </c>
      <c r="AB98" s="11">
        <f>Electricity!AB98*Electricity!$B$93</f>
        <v>42122.493777707117</v>
      </c>
      <c r="AC98" s="11">
        <f>Electricity!AC98*Electricity!$B$93</f>
        <v>42244.691318044235</v>
      </c>
      <c r="AD98" s="11">
        <f>Electricity!AD98*Electricity!$B$93</f>
        <v>42366.88885838136</v>
      </c>
      <c r="AE98" s="11">
        <f>Electricity!AE98*Electricity!$B$93</f>
        <v>42366.88885838136</v>
      </c>
      <c r="AF98" s="11">
        <f>Electricity!AF98*Electricity!$B$93</f>
        <v>42366.88885838136</v>
      </c>
      <c r="AG98" s="11">
        <f>Electricity!AG98*Electricity!$B$93</f>
        <v>42366.88885838136</v>
      </c>
      <c r="AH98" s="11">
        <f>Electricity!AH98*Electricity!$B$93</f>
        <v>42366.88885838136</v>
      </c>
      <c r="AI98" s="11">
        <f>Electricity!AI98*Electricity!$B$93</f>
        <v>42366.88885838136</v>
      </c>
      <c r="AJ98" s="11">
        <f>Electricity!AJ98*Electricity!$B$93</f>
        <v>42366.88885838136</v>
      </c>
      <c r="AK98" s="11">
        <f>Electricity!AK98*Electricity!$B$93</f>
        <v>42366.88885838136</v>
      </c>
      <c r="AL98" s="11">
        <f>Electricity!AL98*Electricity!$B$93</f>
        <v>42366.88885838136</v>
      </c>
      <c r="AM98" s="11">
        <f>Electricity!AM98*Electricity!$B$93</f>
        <v>42366.88885838136</v>
      </c>
      <c r="AN98" s="11">
        <f>Electricity!AN98*Electricity!$B$93</f>
        <v>42366.88885838136</v>
      </c>
      <c r="AO98" s="40">
        <f>Electricity!AO98*Electricity!$B$93</f>
        <v>42366.88885838136</v>
      </c>
      <c r="AP98" s="40">
        <f>Electricity!AP98*Electricity!$B$93</f>
        <v>42366.88885838136</v>
      </c>
      <c r="AQ98" s="40">
        <f>Electricity!AQ98*Electricity!$B$93</f>
        <v>42366.88885838136</v>
      </c>
      <c r="AR98" s="40">
        <f>Electricity!AR98*Electricity!$B$93</f>
        <v>42366.88885838136</v>
      </c>
      <c r="AS98" s="40">
        <f>Electricity!AS98*Electricity!$B$93</f>
        <v>42366.88885838136</v>
      </c>
      <c r="AT98" s="40">
        <f>Electricity!AT98*Electricity!$B$93</f>
        <v>42366.88885838136</v>
      </c>
      <c r="AU98" s="40">
        <f>Electricity!AU98*Electricity!$B$93</f>
        <v>42366.88885838136</v>
      </c>
      <c r="AV98" s="40">
        <f>Electricity!AV98*Electricity!$B$93</f>
        <v>42366.88885838136</v>
      </c>
      <c r="AW98" s="40">
        <f>Electricity!AW98*Electricity!$B$93</f>
        <v>42366.88885838136</v>
      </c>
      <c r="AX98" s="40">
        <f>Electricity!AX98*Electricity!$B$93</f>
        <v>42366.88885838136</v>
      </c>
    </row>
    <row r="100" spans="1:50" x14ac:dyDescent="0.2">
      <c r="A100" s="5" t="s">
        <v>157</v>
      </c>
    </row>
    <row r="101" spans="1:50" x14ac:dyDescent="0.2">
      <c r="A101" s="5" t="s">
        <v>4</v>
      </c>
    </row>
    <row r="102" spans="1:50" x14ac:dyDescent="0.2">
      <c r="A102" s="5" t="s">
        <v>61</v>
      </c>
    </row>
    <row r="103" spans="1:50" x14ac:dyDescent="0.2">
      <c r="A103" s="5" t="s">
        <v>6</v>
      </c>
    </row>
    <row r="104" spans="1:50" x14ac:dyDescent="0.2">
      <c r="A104" s="5"/>
    </row>
    <row r="105" spans="1:50" x14ac:dyDescent="0.2">
      <c r="A105" s="6" t="s">
        <v>7</v>
      </c>
      <c r="B105" s="6">
        <v>2022</v>
      </c>
      <c r="C105" s="6">
        <v>2023</v>
      </c>
      <c r="D105" s="6">
        <v>2024</v>
      </c>
      <c r="E105" s="6">
        <v>2025</v>
      </c>
      <c r="F105" s="6">
        <v>2026</v>
      </c>
      <c r="G105" s="6">
        <v>2027</v>
      </c>
      <c r="H105" s="6">
        <v>2028</v>
      </c>
      <c r="I105" s="6">
        <v>2029</v>
      </c>
      <c r="J105" s="6">
        <v>2030</v>
      </c>
      <c r="K105" s="6">
        <v>2031</v>
      </c>
      <c r="L105" s="6">
        <v>2032</v>
      </c>
      <c r="M105" s="6">
        <v>2033</v>
      </c>
      <c r="N105" s="6">
        <v>2034</v>
      </c>
      <c r="O105" s="6">
        <v>2035</v>
      </c>
      <c r="P105" s="6">
        <v>2036</v>
      </c>
      <c r="Q105" s="6">
        <v>2037</v>
      </c>
      <c r="R105" s="6">
        <v>2038</v>
      </c>
      <c r="S105" s="6">
        <v>2039</v>
      </c>
      <c r="T105" s="6">
        <v>2040</v>
      </c>
      <c r="U105" s="6">
        <v>2041</v>
      </c>
      <c r="V105" s="6">
        <v>2042</v>
      </c>
      <c r="W105" s="6">
        <v>2043</v>
      </c>
      <c r="X105" s="6">
        <v>2044</v>
      </c>
      <c r="Y105" s="6">
        <v>2045</v>
      </c>
      <c r="Z105" s="6">
        <v>2046</v>
      </c>
      <c r="AA105" s="6">
        <v>2047</v>
      </c>
      <c r="AB105" s="6">
        <v>2048</v>
      </c>
      <c r="AC105" s="6">
        <v>2049</v>
      </c>
      <c r="AD105" s="6">
        <v>2050</v>
      </c>
      <c r="AE105" s="6">
        <v>2051</v>
      </c>
      <c r="AF105" s="6">
        <v>2052</v>
      </c>
      <c r="AG105" s="6">
        <v>2053</v>
      </c>
      <c r="AH105" s="6">
        <v>2054</v>
      </c>
      <c r="AI105" s="6">
        <v>2055</v>
      </c>
      <c r="AJ105" s="6">
        <v>2056</v>
      </c>
      <c r="AK105" s="6">
        <v>2057</v>
      </c>
      <c r="AL105" s="6">
        <v>2058</v>
      </c>
      <c r="AM105" s="6">
        <v>2059</v>
      </c>
      <c r="AN105" s="6">
        <v>2060</v>
      </c>
      <c r="AO105" s="39">
        <f>AN105+1</f>
        <v>2061</v>
      </c>
      <c r="AP105" s="39">
        <f t="shared" ref="AP105:AX105" si="9">AO105+1</f>
        <v>2062</v>
      </c>
      <c r="AQ105" s="39">
        <f t="shared" si="9"/>
        <v>2063</v>
      </c>
      <c r="AR105" s="39">
        <f t="shared" si="9"/>
        <v>2064</v>
      </c>
      <c r="AS105" s="39">
        <f t="shared" si="9"/>
        <v>2065</v>
      </c>
      <c r="AT105" s="39">
        <f t="shared" si="9"/>
        <v>2066</v>
      </c>
      <c r="AU105" s="39">
        <f t="shared" si="9"/>
        <v>2067</v>
      </c>
      <c r="AV105" s="39">
        <f t="shared" si="9"/>
        <v>2068</v>
      </c>
      <c r="AW105" s="39">
        <f>AV105+1</f>
        <v>2069</v>
      </c>
      <c r="AX105" s="39">
        <f t="shared" si="9"/>
        <v>2070</v>
      </c>
    </row>
    <row r="106" spans="1:50" x14ac:dyDescent="0.2">
      <c r="A106" s="6" t="s">
        <v>34</v>
      </c>
      <c r="B106" s="11">
        <f>Electricity!B106*Electricity!$B$104</f>
        <v>2409580.8946800004</v>
      </c>
      <c r="C106" s="11">
        <f>Electricity!C106*Electricity!$B$104</f>
        <v>2417820.3179752007</v>
      </c>
      <c r="D106" s="11">
        <f>Electricity!D106*Electricity!$B$104</f>
        <v>2426059.7412704006</v>
      </c>
      <c r="E106" s="11">
        <f>Electricity!E106*Electricity!$B$104</f>
        <v>2434299.1645656014</v>
      </c>
      <c r="F106" s="11">
        <f>Electricity!F106*Electricity!$B$104</f>
        <v>2456339.5068362472</v>
      </c>
      <c r="G106" s="11">
        <f>Electricity!G106*Electricity!$B$104</f>
        <v>2478379.849106892</v>
      </c>
      <c r="H106" s="11">
        <f>Electricity!H106*Electricity!$B$104</f>
        <v>2500420.1913775378</v>
      </c>
      <c r="I106" s="11">
        <f>Electricity!I106*Electricity!$B$104</f>
        <v>2522460.5336481826</v>
      </c>
      <c r="J106" s="11">
        <f>Electricity!J106*Electricity!$B$104</f>
        <v>2544500.8759188284</v>
      </c>
      <c r="K106" s="11">
        <f>Electricity!K106*Electricity!$B$104</f>
        <v>2563013.0599592328</v>
      </c>
      <c r="L106" s="11">
        <f>Electricity!L106*Electricity!$B$104</f>
        <v>2581525.2439996372</v>
      </c>
      <c r="M106" s="11">
        <f>Electricity!M106*Electricity!$B$104</f>
        <v>2600037.4280400416</v>
      </c>
      <c r="N106" s="11">
        <f>Electricity!N106*Electricity!$B$104</f>
        <v>2618549.6120804455</v>
      </c>
      <c r="O106" s="11">
        <f>Electricity!O106*Electricity!$B$104</f>
        <v>2637061.7961208508</v>
      </c>
      <c r="P106" s="11">
        <f>Electricity!P106*Electricity!$B$104</f>
        <v>2652005.0351867368</v>
      </c>
      <c r="Q106" s="11">
        <f>Electricity!Q106*Electricity!$B$104</f>
        <v>2666948.2742526238</v>
      </c>
      <c r="R106" s="11">
        <f>Electricity!R106*Electricity!$B$104</f>
        <v>2681891.5133185098</v>
      </c>
      <c r="S106" s="11">
        <f>Electricity!S106*Electricity!$B$104</f>
        <v>2696834.7523843958</v>
      </c>
      <c r="T106" s="11">
        <f>Electricity!T106*Electricity!$B$104</f>
        <v>2711777.9914502823</v>
      </c>
      <c r="U106" s="11">
        <f>Electricity!U106*Electricity!$B$104</f>
        <v>2723230.6261477321</v>
      </c>
      <c r="V106" s="11">
        <f>Electricity!V106*Electricity!$B$104</f>
        <v>2734683.2608451825</v>
      </c>
      <c r="W106" s="11">
        <f>Electricity!W106*Electricity!$B$104</f>
        <v>2746135.8955426323</v>
      </c>
      <c r="X106" s="11">
        <f>Electricity!X106*Electricity!$B$104</f>
        <v>2757588.5302400836</v>
      </c>
      <c r="Y106" s="11">
        <f>Electricity!Y106*Electricity!$B$104</f>
        <v>2769041.1649375339</v>
      </c>
      <c r="Z106" s="11">
        <f>Electricity!Z106*Electricity!$B$104</f>
        <v>2777144.6906686104</v>
      </c>
      <c r="AA106" s="11">
        <f>Electricity!AA106*Electricity!$B$104</f>
        <v>2785248.2163996878</v>
      </c>
      <c r="AB106" s="11">
        <f>Electricity!AB106*Electricity!$B$104</f>
        <v>2793351.7421307643</v>
      </c>
      <c r="AC106" s="11">
        <f>Electricity!AC106*Electricity!$B$104</f>
        <v>2801455.2678618417</v>
      </c>
      <c r="AD106" s="11">
        <f>Electricity!AD106*Electricity!$B$104</f>
        <v>2809558.7935929182</v>
      </c>
      <c r="AE106" s="11">
        <f>Electricity!AE106*Electricity!$B$104</f>
        <v>2809558.7935929182</v>
      </c>
      <c r="AF106" s="11">
        <f>Electricity!AF106*Electricity!$B$104</f>
        <v>2809558.7935929182</v>
      </c>
      <c r="AG106" s="11">
        <f>Electricity!AG106*Electricity!$B$104</f>
        <v>2809558.7935929182</v>
      </c>
      <c r="AH106" s="11">
        <f>Electricity!AH106*Electricity!$B$104</f>
        <v>2809558.7935929182</v>
      </c>
      <c r="AI106" s="11">
        <f>Electricity!AI106*Electricity!$B$104</f>
        <v>2809558.7935929182</v>
      </c>
      <c r="AJ106" s="11">
        <f>Electricity!AJ106*Electricity!$B$104</f>
        <v>2809558.7935929182</v>
      </c>
      <c r="AK106" s="11">
        <f>Electricity!AK106*Electricity!$B$104</f>
        <v>2809558.7935929182</v>
      </c>
      <c r="AL106" s="11">
        <f>Electricity!AL106*Electricity!$B$104</f>
        <v>2809558.7935929182</v>
      </c>
      <c r="AM106" s="11">
        <f>Electricity!AM106*Electricity!$B$104</f>
        <v>2809558.7935929182</v>
      </c>
      <c r="AN106" s="11">
        <f>Electricity!AN106*Electricity!$B$104</f>
        <v>2809558.7935929182</v>
      </c>
      <c r="AO106" s="40">
        <f>Electricity!AO106*Electricity!$B$104</f>
        <v>2809558.7935929182</v>
      </c>
      <c r="AP106" s="40">
        <f>Electricity!AP106*Electricity!$B$104</f>
        <v>2809558.7935929182</v>
      </c>
      <c r="AQ106" s="40">
        <f>Electricity!AQ106*Electricity!$B$104</f>
        <v>2809558.7935929182</v>
      </c>
      <c r="AR106" s="40">
        <f>Electricity!AR106*Electricity!$B$104</f>
        <v>2809558.7935929182</v>
      </c>
      <c r="AS106" s="40">
        <f>Electricity!AS106*Electricity!$B$104</f>
        <v>2809558.7935929182</v>
      </c>
      <c r="AT106" s="40">
        <f>Electricity!AT106*Electricity!$B$104</f>
        <v>2809558.7935929182</v>
      </c>
      <c r="AU106" s="40">
        <f>Electricity!AU106*Electricity!$B$104</f>
        <v>2809558.7935929182</v>
      </c>
      <c r="AV106" s="40">
        <f>Electricity!AV106*Electricity!$B$104</f>
        <v>2809558.7935929182</v>
      </c>
      <c r="AW106" s="40">
        <f>Electricity!AW106*Electricity!$B$104</f>
        <v>2809558.7935929182</v>
      </c>
      <c r="AX106" s="40">
        <f>Electricity!AX106*Electricity!$B$104</f>
        <v>2809558.7935929182</v>
      </c>
    </row>
    <row r="107" spans="1:50" x14ac:dyDescent="0.2">
      <c r="A107" s="6" t="s">
        <v>35</v>
      </c>
      <c r="B107" s="11">
        <f>Electricity!B107*Electricity!$B$104</f>
        <v>1018132.7724</v>
      </c>
      <c r="C107" s="11">
        <f>Electricity!C107*Electricity!$B$104</f>
        <v>1021614.2188627608</v>
      </c>
      <c r="D107" s="11">
        <f>Electricity!D107*Electricity!$B$104</f>
        <v>1025095.6653255214</v>
      </c>
      <c r="E107" s="11">
        <f>Electricity!E107*Electricity!$B$104</f>
        <v>1028577.1117882821</v>
      </c>
      <c r="F107" s="11">
        <f>Electricity!F107*Electricity!$B$104</f>
        <v>1037889.9324660196</v>
      </c>
      <c r="G107" s="11">
        <f>Electricity!G107*Electricity!$B$104</f>
        <v>1047202.753143757</v>
      </c>
      <c r="H107" s="11">
        <f>Electricity!H107*Electricity!$B$104</f>
        <v>1056515.5738214946</v>
      </c>
      <c r="I107" s="11">
        <f>Electricity!I107*Electricity!$B$104</f>
        <v>1065828.3944992323</v>
      </c>
      <c r="J107" s="11">
        <f>Electricity!J107*Electricity!$B$104</f>
        <v>1075141.2151769698</v>
      </c>
      <c r="K107" s="11">
        <f>Electricity!K107*Electricity!$B$104</f>
        <v>1082963.2647715067</v>
      </c>
      <c r="L107" s="11">
        <f>Electricity!L107*Electricity!$B$104</f>
        <v>1090785.314366044</v>
      </c>
      <c r="M107" s="11">
        <f>Electricity!M107*Electricity!$B$104</f>
        <v>1098607.3639605809</v>
      </c>
      <c r="N107" s="11">
        <f>Electricity!N107*Electricity!$B$104</f>
        <v>1106429.4135551178</v>
      </c>
      <c r="O107" s="11">
        <f>Electricity!O107*Electricity!$B$104</f>
        <v>1114251.4631496554</v>
      </c>
      <c r="P107" s="11">
        <f>Electricity!P107*Electricity!$B$104</f>
        <v>1120565.5078253818</v>
      </c>
      <c r="Q107" s="11">
        <f>Electricity!Q107*Electricity!$B$104</f>
        <v>1126879.5525011085</v>
      </c>
      <c r="R107" s="11">
        <f>Electricity!R107*Electricity!$B$104</f>
        <v>1133193.5971768352</v>
      </c>
      <c r="S107" s="11">
        <f>Electricity!S107*Electricity!$B$104</f>
        <v>1139507.6418525616</v>
      </c>
      <c r="T107" s="11">
        <f>Electricity!T107*Electricity!$B$104</f>
        <v>1145821.6865282883</v>
      </c>
      <c r="U107" s="11">
        <f>Electricity!U107*Electricity!$B$104</f>
        <v>1150660.827949746</v>
      </c>
      <c r="V107" s="11">
        <f>Electricity!V107*Electricity!$B$104</f>
        <v>1155499.969371204</v>
      </c>
      <c r="W107" s="11">
        <f>Electricity!W107*Electricity!$B$104</f>
        <v>1160339.1107926616</v>
      </c>
      <c r="X107" s="11">
        <f>Electricity!X107*Electricity!$B$104</f>
        <v>1165178.2522141198</v>
      </c>
      <c r="Y107" s="11">
        <f>Electricity!Y107*Electricity!$B$104</f>
        <v>1170017.3936355775</v>
      </c>
      <c r="Z107" s="11">
        <f>Electricity!Z107*Electricity!$B$104</f>
        <v>1173441.4185923706</v>
      </c>
      <c r="AA107" s="11">
        <f>Electricity!AA107*Electricity!$B$104</f>
        <v>1176865.4435491639</v>
      </c>
      <c r="AB107" s="11">
        <f>Electricity!AB107*Electricity!$B$104</f>
        <v>1180289.4685059567</v>
      </c>
      <c r="AC107" s="11">
        <f>Electricity!AC107*Electricity!$B$104</f>
        <v>1183713.49346275</v>
      </c>
      <c r="AD107" s="11">
        <f>Electricity!AD107*Electricity!$B$104</f>
        <v>1187137.5184195428</v>
      </c>
      <c r="AE107" s="11">
        <f>Electricity!AE107*Electricity!$B$104</f>
        <v>1187137.5184195428</v>
      </c>
      <c r="AF107" s="11">
        <f>Electricity!AF107*Electricity!$B$104</f>
        <v>1187137.5184195428</v>
      </c>
      <c r="AG107" s="11">
        <f>Electricity!AG107*Electricity!$B$104</f>
        <v>1187137.5184195428</v>
      </c>
      <c r="AH107" s="11">
        <f>Electricity!AH107*Electricity!$B$104</f>
        <v>1187137.5184195428</v>
      </c>
      <c r="AI107" s="11">
        <f>Electricity!AI107*Electricity!$B$104</f>
        <v>1187137.5184195428</v>
      </c>
      <c r="AJ107" s="11">
        <f>Electricity!AJ107*Electricity!$B$104</f>
        <v>1187137.5184195428</v>
      </c>
      <c r="AK107" s="11">
        <f>Electricity!AK107*Electricity!$B$104</f>
        <v>1187137.5184195428</v>
      </c>
      <c r="AL107" s="11">
        <f>Electricity!AL107*Electricity!$B$104</f>
        <v>1187137.5184195428</v>
      </c>
      <c r="AM107" s="11">
        <f>Electricity!AM107*Electricity!$B$104</f>
        <v>1187137.5184195428</v>
      </c>
      <c r="AN107" s="11">
        <f>Electricity!AN107*Electricity!$B$104</f>
        <v>1187137.5184195428</v>
      </c>
      <c r="AO107" s="40">
        <f>Electricity!AO107*Electricity!$B$104</f>
        <v>1187137.5184195428</v>
      </c>
      <c r="AP107" s="40">
        <f>Electricity!AP107*Electricity!$B$104</f>
        <v>1187137.5184195428</v>
      </c>
      <c r="AQ107" s="40">
        <f>Electricity!AQ107*Electricity!$B$104</f>
        <v>1187137.5184195428</v>
      </c>
      <c r="AR107" s="40">
        <f>Electricity!AR107*Electricity!$B$104</f>
        <v>1187137.5184195428</v>
      </c>
      <c r="AS107" s="40">
        <f>Electricity!AS107*Electricity!$B$104</f>
        <v>1187137.5184195428</v>
      </c>
      <c r="AT107" s="40">
        <f>Electricity!AT107*Electricity!$B$104</f>
        <v>1187137.5184195428</v>
      </c>
      <c r="AU107" s="40">
        <f>Electricity!AU107*Electricity!$B$104</f>
        <v>1187137.5184195428</v>
      </c>
      <c r="AV107" s="40">
        <f>Electricity!AV107*Electricity!$B$104</f>
        <v>1187137.5184195428</v>
      </c>
      <c r="AW107" s="40">
        <f>Electricity!AW107*Electricity!$B$104</f>
        <v>1187137.5184195428</v>
      </c>
      <c r="AX107" s="40">
        <f>Electricity!AX107*Electricity!$B$104</f>
        <v>1187137.5184195428</v>
      </c>
    </row>
    <row r="108" spans="1:50" x14ac:dyDescent="0.2">
      <c r="A108" s="6" t="s">
        <v>36</v>
      </c>
      <c r="B108" s="11">
        <f>Electricity!B108*Electricity!$B$104</f>
        <v>184772.24387999999</v>
      </c>
      <c r="C108" s="11">
        <f>Electricity!C108*Electricity!$B$104</f>
        <v>185404.0619417603</v>
      </c>
      <c r="D108" s="11">
        <f>Electricity!D108*Electricity!$B$104</f>
        <v>186035.88000352055</v>
      </c>
      <c r="E108" s="11">
        <f>Electricity!E108*Electricity!$B$104</f>
        <v>186667.69806528083</v>
      </c>
      <c r="F108" s="11">
        <f>Electricity!F108*Electricity!$B$104</f>
        <v>188357.80255864802</v>
      </c>
      <c r="G108" s="11">
        <f>Electricity!G108*Electricity!$B$104</f>
        <v>190047.90705201519</v>
      </c>
      <c r="H108" s="11">
        <f>Electricity!H108*Electricity!$B$104</f>
        <v>191738.01154538235</v>
      </c>
      <c r="I108" s="11">
        <f>Electricity!I108*Electricity!$B$104</f>
        <v>193428.11603874955</v>
      </c>
      <c r="J108" s="11">
        <f>Electricity!J108*Electricity!$B$104</f>
        <v>195118.22053211671</v>
      </c>
      <c r="K108" s="11">
        <f>Electricity!K108*Electricity!$B$104</f>
        <v>196537.77768075492</v>
      </c>
      <c r="L108" s="11">
        <f>Electricity!L108*Electricity!$B$104</f>
        <v>197957.33482939313</v>
      </c>
      <c r="M108" s="11">
        <f>Electricity!M108*Electricity!$B$104</f>
        <v>199376.89197803134</v>
      </c>
      <c r="N108" s="11">
        <f>Electricity!N108*Electricity!$B$104</f>
        <v>200796.44912666953</v>
      </c>
      <c r="O108" s="11">
        <f>Electricity!O108*Electricity!$B$104</f>
        <v>202216.00627530779</v>
      </c>
      <c r="P108" s="11">
        <f>Electricity!P108*Electricity!$B$104</f>
        <v>203361.88845719889</v>
      </c>
      <c r="Q108" s="11">
        <f>Electricity!Q108*Electricity!$B$104</f>
        <v>204507.77063909007</v>
      </c>
      <c r="R108" s="11">
        <f>Electricity!R108*Electricity!$B$104</f>
        <v>205653.65282098117</v>
      </c>
      <c r="S108" s="11">
        <f>Electricity!S108*Electricity!$B$104</f>
        <v>206799.53500287229</v>
      </c>
      <c r="T108" s="11">
        <f>Electricity!T108*Electricity!$B$104</f>
        <v>207945.41718476341</v>
      </c>
      <c r="U108" s="11">
        <f>Electricity!U108*Electricity!$B$104</f>
        <v>208823.63173902797</v>
      </c>
      <c r="V108" s="11">
        <f>Electricity!V108*Electricity!$B$104</f>
        <v>209701.84629329253</v>
      </c>
      <c r="W108" s="11">
        <f>Electricity!W108*Electricity!$B$104</f>
        <v>210580.06084755709</v>
      </c>
      <c r="X108" s="11">
        <f>Electricity!X108*Electricity!$B$104</f>
        <v>211458.27540182174</v>
      </c>
      <c r="Y108" s="11">
        <f>Electricity!Y108*Electricity!$B$104</f>
        <v>212336.4899560863</v>
      </c>
      <c r="Z108" s="11">
        <f>Electricity!Z108*Electricity!$B$104</f>
        <v>212957.88707787465</v>
      </c>
      <c r="AA108" s="11">
        <f>Electricity!AA108*Electricity!$B$104</f>
        <v>213579.28419966303</v>
      </c>
      <c r="AB108" s="11">
        <f>Electricity!AB108*Electricity!$B$104</f>
        <v>214200.68132145138</v>
      </c>
      <c r="AC108" s="11">
        <f>Electricity!AC108*Electricity!$B$104</f>
        <v>214822.07844323976</v>
      </c>
      <c r="AD108" s="11">
        <f>Electricity!AD108*Electricity!$B$104</f>
        <v>215443.47556502814</v>
      </c>
      <c r="AE108" s="11">
        <f>Electricity!AE108*Electricity!$B$104</f>
        <v>215443.47556502814</v>
      </c>
      <c r="AF108" s="11">
        <f>Electricity!AF108*Electricity!$B$104</f>
        <v>215443.47556502814</v>
      </c>
      <c r="AG108" s="11">
        <f>Electricity!AG108*Electricity!$B$104</f>
        <v>215443.47556502814</v>
      </c>
      <c r="AH108" s="11">
        <f>Electricity!AH108*Electricity!$B$104</f>
        <v>215443.47556502814</v>
      </c>
      <c r="AI108" s="11">
        <f>Electricity!AI108*Electricity!$B$104</f>
        <v>215443.47556502814</v>
      </c>
      <c r="AJ108" s="11">
        <f>Electricity!AJ108*Electricity!$B$104</f>
        <v>215443.47556502814</v>
      </c>
      <c r="AK108" s="11">
        <f>Electricity!AK108*Electricity!$B$104</f>
        <v>215443.47556502814</v>
      </c>
      <c r="AL108" s="11">
        <f>Electricity!AL108*Electricity!$B$104</f>
        <v>215443.47556502814</v>
      </c>
      <c r="AM108" s="11">
        <f>Electricity!AM108*Electricity!$B$104</f>
        <v>215443.47556502814</v>
      </c>
      <c r="AN108" s="11">
        <f>Electricity!AN108*Electricity!$B$104</f>
        <v>215443.47556502814</v>
      </c>
      <c r="AO108" s="40">
        <f>Electricity!AO108*Electricity!$B$104</f>
        <v>215443.47556502814</v>
      </c>
      <c r="AP108" s="40">
        <f>Electricity!AP108*Electricity!$B$104</f>
        <v>215443.47556502814</v>
      </c>
      <c r="AQ108" s="40">
        <f>Electricity!AQ108*Electricity!$B$104</f>
        <v>215443.47556502814</v>
      </c>
      <c r="AR108" s="40">
        <f>Electricity!AR108*Electricity!$B$104</f>
        <v>215443.47556502814</v>
      </c>
      <c r="AS108" s="40">
        <f>Electricity!AS108*Electricity!$B$104</f>
        <v>215443.47556502814</v>
      </c>
      <c r="AT108" s="40">
        <f>Electricity!AT108*Electricity!$B$104</f>
        <v>215443.47556502814</v>
      </c>
      <c r="AU108" s="40">
        <f>Electricity!AU108*Electricity!$B$104</f>
        <v>215443.47556502814</v>
      </c>
      <c r="AV108" s="40">
        <f>Electricity!AV108*Electricity!$B$104</f>
        <v>215443.47556502814</v>
      </c>
      <c r="AW108" s="40">
        <f>Electricity!AW108*Electricity!$B$104</f>
        <v>215443.47556502814</v>
      </c>
      <c r="AX108" s="40">
        <f>Electricity!AX108*Electricity!$B$104</f>
        <v>215443.47556502814</v>
      </c>
    </row>
    <row r="109" spans="1:50" x14ac:dyDescent="0.2">
      <c r="A109" s="6" t="s">
        <v>37</v>
      </c>
      <c r="B109" s="11">
        <f>Electricity!B109*Electricity!$B$104</f>
        <v>158376.20903999999</v>
      </c>
      <c r="C109" s="11">
        <f>Electricity!C109*Electricity!$B$104</f>
        <v>158917.76737865168</v>
      </c>
      <c r="D109" s="11">
        <f>Electricity!D109*Electricity!$B$104</f>
        <v>159459.32571730332</v>
      </c>
      <c r="E109" s="11">
        <f>Electricity!E109*Electricity!$B$104</f>
        <v>160000.88405595502</v>
      </c>
      <c r="F109" s="11">
        <f>Electricity!F109*Electricity!$B$104</f>
        <v>161449.54505026972</v>
      </c>
      <c r="G109" s="11">
        <f>Electricity!G109*Electricity!$B$104</f>
        <v>162898.20604458445</v>
      </c>
      <c r="H109" s="11">
        <f>Electricity!H109*Electricity!$B$104</f>
        <v>164346.86703889916</v>
      </c>
      <c r="I109" s="11">
        <f>Electricity!I109*Electricity!$B$104</f>
        <v>165795.52803321389</v>
      </c>
      <c r="J109" s="11">
        <f>Electricity!J109*Electricity!$B$104</f>
        <v>167244.18902752863</v>
      </c>
      <c r="K109" s="11">
        <f>Electricity!K109*Electricity!$B$104</f>
        <v>168460.95229778992</v>
      </c>
      <c r="L109" s="11">
        <f>Electricity!L109*Electricity!$B$104</f>
        <v>169677.71556805127</v>
      </c>
      <c r="M109" s="11">
        <f>Electricity!M109*Electricity!$B$104</f>
        <v>170894.47883831259</v>
      </c>
      <c r="N109" s="11">
        <f>Electricity!N109*Electricity!$B$104</f>
        <v>172111.24210857388</v>
      </c>
      <c r="O109" s="11">
        <f>Electricity!O109*Electricity!$B$104</f>
        <v>173328.00537883525</v>
      </c>
      <c r="P109" s="11">
        <f>Electricity!P109*Electricity!$B$104</f>
        <v>174310.19010617048</v>
      </c>
      <c r="Q109" s="11">
        <f>Electricity!Q109*Electricity!$B$104</f>
        <v>175292.37483350578</v>
      </c>
      <c r="R109" s="11">
        <f>Electricity!R109*Electricity!$B$104</f>
        <v>176274.55956084101</v>
      </c>
      <c r="S109" s="11">
        <f>Electricity!S109*Electricity!$B$104</f>
        <v>177256.74428817624</v>
      </c>
      <c r="T109" s="11">
        <f>Electricity!T109*Electricity!$B$104</f>
        <v>178238.9290155115</v>
      </c>
      <c r="U109" s="11">
        <f>Electricity!U109*Electricity!$B$104</f>
        <v>178991.68434773822</v>
      </c>
      <c r="V109" s="11">
        <f>Electricity!V109*Electricity!$B$104</f>
        <v>179744.43967996503</v>
      </c>
      <c r="W109" s="11">
        <f>Electricity!W109*Electricity!$B$104</f>
        <v>180497.19501219181</v>
      </c>
      <c r="X109" s="11">
        <f>Electricity!X109*Electricity!$B$104</f>
        <v>181249.95034441864</v>
      </c>
      <c r="Y109" s="11">
        <f>Electricity!Y109*Electricity!$B$104</f>
        <v>182002.70567664542</v>
      </c>
      <c r="Z109" s="11">
        <f>Electricity!Z109*Electricity!$B$104</f>
        <v>182535.33178103541</v>
      </c>
      <c r="AA109" s="11">
        <f>Electricity!AA109*Electricity!$B$104</f>
        <v>183067.95788542545</v>
      </c>
      <c r="AB109" s="11">
        <f>Electricity!AB109*Electricity!$B$104</f>
        <v>183600.58398981547</v>
      </c>
      <c r="AC109" s="11">
        <f>Electricity!AC109*Electricity!$B$104</f>
        <v>184133.21009420554</v>
      </c>
      <c r="AD109" s="11">
        <f>Electricity!AD109*Electricity!$B$104</f>
        <v>184665.83619859553</v>
      </c>
      <c r="AE109" s="11">
        <f>Electricity!AE109*Electricity!$B$104</f>
        <v>184665.83619859553</v>
      </c>
      <c r="AF109" s="11">
        <f>Electricity!AF109*Electricity!$B$104</f>
        <v>184665.83619859553</v>
      </c>
      <c r="AG109" s="11">
        <f>Electricity!AG109*Electricity!$B$104</f>
        <v>184665.83619859553</v>
      </c>
      <c r="AH109" s="11">
        <f>Electricity!AH109*Electricity!$B$104</f>
        <v>184665.83619859553</v>
      </c>
      <c r="AI109" s="11">
        <f>Electricity!AI109*Electricity!$B$104</f>
        <v>184665.83619859553</v>
      </c>
      <c r="AJ109" s="11">
        <f>Electricity!AJ109*Electricity!$B$104</f>
        <v>184665.83619859553</v>
      </c>
      <c r="AK109" s="11">
        <f>Electricity!AK109*Electricity!$B$104</f>
        <v>184665.83619859553</v>
      </c>
      <c r="AL109" s="11">
        <f>Electricity!AL109*Electricity!$B$104</f>
        <v>184665.83619859553</v>
      </c>
      <c r="AM109" s="11">
        <f>Electricity!AM109*Electricity!$B$104</f>
        <v>184665.83619859553</v>
      </c>
      <c r="AN109" s="11">
        <f>Electricity!AN109*Electricity!$B$104</f>
        <v>184665.83619859553</v>
      </c>
      <c r="AO109" s="40">
        <f>Electricity!AO109*Electricity!$B$104</f>
        <v>184665.83619859553</v>
      </c>
      <c r="AP109" s="40">
        <f>Electricity!AP109*Electricity!$B$104</f>
        <v>184665.83619859553</v>
      </c>
      <c r="AQ109" s="40">
        <f>Electricity!AQ109*Electricity!$B$104</f>
        <v>184665.83619859553</v>
      </c>
      <c r="AR109" s="40">
        <f>Electricity!AR109*Electricity!$B$104</f>
        <v>184665.83619859553</v>
      </c>
      <c r="AS109" s="40">
        <f>Electricity!AS109*Electricity!$B$104</f>
        <v>184665.83619859553</v>
      </c>
      <c r="AT109" s="40">
        <f>Electricity!AT109*Electricity!$B$104</f>
        <v>184665.83619859553</v>
      </c>
      <c r="AU109" s="40">
        <f>Electricity!AU109*Electricity!$B$104</f>
        <v>184665.83619859553</v>
      </c>
      <c r="AV109" s="40">
        <f>Electricity!AV109*Electricity!$B$104</f>
        <v>184665.83619859553</v>
      </c>
      <c r="AW109" s="40">
        <f>Electricity!AW109*Electricity!$B$104</f>
        <v>184665.83619859553</v>
      </c>
      <c r="AX109" s="40">
        <f>Electricity!AX109*Electricity!$B$104</f>
        <v>184665.83619859553</v>
      </c>
    </row>
    <row r="111" spans="1:50" x14ac:dyDescent="0.2">
      <c r="A111" s="5" t="s">
        <v>157</v>
      </c>
    </row>
    <row r="112" spans="1:50" x14ac:dyDescent="0.2">
      <c r="A112" s="5" t="s">
        <v>4</v>
      </c>
    </row>
    <row r="113" spans="1:50" x14ac:dyDescent="0.2">
      <c r="A113" s="5" t="s">
        <v>63</v>
      </c>
    </row>
    <row r="114" spans="1:50" x14ac:dyDescent="0.2">
      <c r="A114" s="5" t="s">
        <v>6</v>
      </c>
    </row>
    <row r="115" spans="1:50" x14ac:dyDescent="0.2">
      <c r="A115" s="5"/>
    </row>
    <row r="116" spans="1:50" x14ac:dyDescent="0.2">
      <c r="A116" s="6" t="s">
        <v>7</v>
      </c>
      <c r="B116" s="6">
        <v>2022</v>
      </c>
      <c r="C116" s="6">
        <v>2023</v>
      </c>
      <c r="D116" s="6">
        <v>2024</v>
      </c>
      <c r="E116" s="6">
        <v>2025</v>
      </c>
      <c r="F116" s="6">
        <v>2026</v>
      </c>
      <c r="G116" s="6">
        <v>2027</v>
      </c>
      <c r="H116" s="6">
        <v>2028</v>
      </c>
      <c r="I116" s="6">
        <v>2029</v>
      </c>
      <c r="J116" s="6">
        <v>2030</v>
      </c>
      <c r="K116" s="6">
        <v>2031</v>
      </c>
      <c r="L116" s="6">
        <v>2032</v>
      </c>
      <c r="M116" s="6">
        <v>2033</v>
      </c>
      <c r="N116" s="6">
        <v>2034</v>
      </c>
      <c r="O116" s="6">
        <v>2035</v>
      </c>
      <c r="P116" s="6">
        <v>2036</v>
      </c>
      <c r="Q116" s="6">
        <v>2037</v>
      </c>
      <c r="R116" s="6">
        <v>2038</v>
      </c>
      <c r="S116" s="6">
        <v>2039</v>
      </c>
      <c r="T116" s="6">
        <v>2040</v>
      </c>
      <c r="U116" s="6">
        <v>2041</v>
      </c>
      <c r="V116" s="6">
        <v>2042</v>
      </c>
      <c r="W116" s="6">
        <v>2043</v>
      </c>
      <c r="X116" s="6">
        <v>2044</v>
      </c>
      <c r="Y116" s="6">
        <v>2045</v>
      </c>
      <c r="Z116" s="6">
        <v>2046</v>
      </c>
      <c r="AA116" s="6">
        <v>2047</v>
      </c>
      <c r="AB116" s="6">
        <v>2048</v>
      </c>
      <c r="AC116" s="6">
        <v>2049</v>
      </c>
      <c r="AD116" s="6">
        <v>2050</v>
      </c>
      <c r="AE116" s="6">
        <v>2051</v>
      </c>
      <c r="AF116" s="6">
        <v>2052</v>
      </c>
      <c r="AG116" s="6">
        <v>2053</v>
      </c>
      <c r="AH116" s="6">
        <v>2054</v>
      </c>
      <c r="AI116" s="6">
        <v>2055</v>
      </c>
      <c r="AJ116" s="6">
        <v>2056</v>
      </c>
      <c r="AK116" s="6">
        <v>2057</v>
      </c>
      <c r="AL116" s="6">
        <v>2058</v>
      </c>
      <c r="AM116" s="6">
        <v>2059</v>
      </c>
      <c r="AN116" s="6">
        <v>2060</v>
      </c>
      <c r="AO116" s="39">
        <f>AN116+1</f>
        <v>2061</v>
      </c>
      <c r="AP116" s="39">
        <f t="shared" ref="AP116:AX116" si="10">AO116+1</f>
        <v>2062</v>
      </c>
      <c r="AQ116" s="39">
        <f t="shared" si="10"/>
        <v>2063</v>
      </c>
      <c r="AR116" s="39">
        <f t="shared" si="10"/>
        <v>2064</v>
      </c>
      <c r="AS116" s="39">
        <f t="shared" si="10"/>
        <v>2065</v>
      </c>
      <c r="AT116" s="39">
        <f t="shared" si="10"/>
        <v>2066</v>
      </c>
      <c r="AU116" s="39">
        <f t="shared" si="10"/>
        <v>2067</v>
      </c>
      <c r="AV116" s="39">
        <f t="shared" si="10"/>
        <v>2068</v>
      </c>
      <c r="AW116" s="39">
        <f>AV116+1</f>
        <v>2069</v>
      </c>
      <c r="AX116" s="39">
        <f t="shared" si="10"/>
        <v>2070</v>
      </c>
    </row>
    <row r="117" spans="1:50" x14ac:dyDescent="0.2">
      <c r="A117" s="6" t="s">
        <v>34</v>
      </c>
      <c r="B117" s="11">
        <f>Electricity!B117*Electricity!$B$115</f>
        <v>3560259.6079199999</v>
      </c>
      <c r="C117" s="11">
        <f>Electricity!C117*Electricity!$B$115</f>
        <v>3572433.7108999928</v>
      </c>
      <c r="D117" s="11">
        <f>Electricity!D117*Electricity!$B$115</f>
        <v>3584607.8138799849</v>
      </c>
      <c r="E117" s="11">
        <f>Electricity!E117*Electricity!$B$115</f>
        <v>3596781.9168599783</v>
      </c>
      <c r="F117" s="11">
        <f>Electricity!F117*Electricity!$B$115</f>
        <v>3629347.472348968</v>
      </c>
      <c r="G117" s="11">
        <f>Electricity!G117*Electricity!$B$115</f>
        <v>3661913.0278379568</v>
      </c>
      <c r="H117" s="11">
        <f>Electricity!H117*Electricity!$B$115</f>
        <v>3694478.5833269465</v>
      </c>
      <c r="I117" s="11">
        <f>Electricity!I117*Electricity!$B$115</f>
        <v>3727044.1388159357</v>
      </c>
      <c r="J117" s="11">
        <f>Electricity!J117*Electricity!$B$115</f>
        <v>3759609.6943049259</v>
      </c>
      <c r="K117" s="11">
        <f>Electricity!K117*Electricity!$B$115</f>
        <v>3786962.2439698689</v>
      </c>
      <c r="L117" s="11">
        <f>Electricity!L117*Electricity!$B$115</f>
        <v>3814314.7936348128</v>
      </c>
      <c r="M117" s="11">
        <f>Electricity!M117*Electricity!$B$115</f>
        <v>3841667.3432997554</v>
      </c>
      <c r="N117" s="11">
        <f>Electricity!N117*Electricity!$B$115</f>
        <v>3869019.8929646988</v>
      </c>
      <c r="O117" s="11">
        <f>Electricity!O117*Electricity!$B$115</f>
        <v>3896372.4426296423</v>
      </c>
      <c r="P117" s="11">
        <f>Electricity!P117*Electricity!$B$115</f>
        <v>3918451.7222982473</v>
      </c>
      <c r="Q117" s="11">
        <f>Electricity!Q117*Electricity!$B$115</f>
        <v>3940531.0019668532</v>
      </c>
      <c r="R117" s="11">
        <f>Electricity!R117*Electricity!$B$115</f>
        <v>3962610.2816354567</v>
      </c>
      <c r="S117" s="11">
        <f>Electricity!S117*Electricity!$B$115</f>
        <v>3984689.5613040626</v>
      </c>
      <c r="T117" s="11">
        <f>Electricity!T117*Electricity!$B$115</f>
        <v>4006768.8409726676</v>
      </c>
      <c r="U117" s="11">
        <f>Electricity!U117*Electricity!$B$115</f>
        <v>4023690.6022663503</v>
      </c>
      <c r="V117" s="11">
        <f>Electricity!V117*Electricity!$B$115</f>
        <v>4040612.3635600349</v>
      </c>
      <c r="W117" s="11">
        <f>Electricity!W117*Electricity!$B$115</f>
        <v>4057534.1248537176</v>
      </c>
      <c r="X117" s="11">
        <f>Electricity!X117*Electricity!$B$115</f>
        <v>4074455.8861474013</v>
      </c>
      <c r="Y117" s="11">
        <f>Electricity!Y117*Electricity!$B$115</f>
        <v>4091377.6474410845</v>
      </c>
      <c r="Z117" s="11">
        <f>Electricity!Z117*Electricity!$B$115</f>
        <v>4103350.9559138538</v>
      </c>
      <c r="AA117" s="11">
        <f>Electricity!AA117*Electricity!$B$115</f>
        <v>4115324.2643866222</v>
      </c>
      <c r="AB117" s="11">
        <f>Electricity!AB117*Electricity!$B$115</f>
        <v>4127297.5728593911</v>
      </c>
      <c r="AC117" s="11">
        <f>Electricity!AC117*Electricity!$B$115</f>
        <v>4139270.8813321604</v>
      </c>
      <c r="AD117" s="11">
        <f>Electricity!AD117*Electricity!$B$115</f>
        <v>4151244.1898049284</v>
      </c>
      <c r="AE117" s="11">
        <f>Electricity!AE117*Electricity!$B$115</f>
        <v>4151244.1898049284</v>
      </c>
      <c r="AF117" s="11">
        <f>Electricity!AF117*Electricity!$B$115</f>
        <v>4151244.1898049284</v>
      </c>
      <c r="AG117" s="11">
        <f>Electricity!AG117*Electricity!$B$115</f>
        <v>4151244.1898049284</v>
      </c>
      <c r="AH117" s="11">
        <f>Electricity!AH117*Electricity!$B$115</f>
        <v>4151244.1898049284</v>
      </c>
      <c r="AI117" s="11">
        <f>Electricity!AI117*Electricity!$B$115</f>
        <v>4151244.1898049284</v>
      </c>
      <c r="AJ117" s="11">
        <f>Electricity!AJ117*Electricity!$B$115</f>
        <v>4151244.1898049284</v>
      </c>
      <c r="AK117" s="11">
        <f>Electricity!AK117*Electricity!$B$115</f>
        <v>4151244.1898049284</v>
      </c>
      <c r="AL117" s="11">
        <f>Electricity!AL117*Electricity!$B$115</f>
        <v>4151244.1898049284</v>
      </c>
      <c r="AM117" s="11">
        <f>Electricity!AM117*Electricity!$B$115</f>
        <v>4151244.1898049284</v>
      </c>
      <c r="AN117" s="11">
        <f>Electricity!AN117*Electricity!$B$115</f>
        <v>4151244.1898049284</v>
      </c>
      <c r="AO117" s="40">
        <f>Electricity!AO117*Electricity!$B$115</f>
        <v>4151244.1898049284</v>
      </c>
      <c r="AP117" s="40">
        <f>Electricity!AP117*Electricity!$B$115</f>
        <v>4151244.1898049284</v>
      </c>
      <c r="AQ117" s="40">
        <f>Electricity!AQ117*Electricity!$B$115</f>
        <v>4151244.1898049284</v>
      </c>
      <c r="AR117" s="40">
        <f>Electricity!AR117*Electricity!$B$115</f>
        <v>4151244.1898049284</v>
      </c>
      <c r="AS117" s="40">
        <f>Electricity!AS117*Electricity!$B$115</f>
        <v>4151244.1898049284</v>
      </c>
      <c r="AT117" s="40">
        <f>Electricity!AT117*Electricity!$B$115</f>
        <v>4151244.1898049284</v>
      </c>
      <c r="AU117" s="40">
        <f>Electricity!AU117*Electricity!$B$115</f>
        <v>4151244.1898049284</v>
      </c>
      <c r="AV117" s="40">
        <f>Electricity!AV117*Electricity!$B$115</f>
        <v>4151244.1898049284</v>
      </c>
      <c r="AW117" s="40">
        <f>Electricity!AW117*Electricity!$B$115</f>
        <v>4151244.1898049284</v>
      </c>
      <c r="AX117" s="40">
        <f>Electricity!AX117*Electricity!$B$115</f>
        <v>4151244.1898049284</v>
      </c>
    </row>
    <row r="118" spans="1:50" x14ac:dyDescent="0.2">
      <c r="A118" s="6" t="s">
        <v>35</v>
      </c>
      <c r="B118" s="11">
        <f>Electricity!B118*Electricity!$B$115</f>
        <v>1504335.0456000001</v>
      </c>
      <c r="C118" s="11">
        <f>Electricity!C118*Electricity!$B$115</f>
        <v>1509479.0327746449</v>
      </c>
      <c r="D118" s="11">
        <f>Electricity!D118*Electricity!$B$115</f>
        <v>1514623.0199492893</v>
      </c>
      <c r="E118" s="11">
        <f>Electricity!E118*Electricity!$B$115</f>
        <v>1519767.0071239343</v>
      </c>
      <c r="F118" s="11">
        <f>Electricity!F118*Electricity!$B$115</f>
        <v>1533527.1009925215</v>
      </c>
      <c r="G118" s="11">
        <f>Electricity!G118*Electricity!$B$115</f>
        <v>1547287.1948611084</v>
      </c>
      <c r="H118" s="11">
        <f>Electricity!H118*Electricity!$B$115</f>
        <v>1561047.2887296956</v>
      </c>
      <c r="I118" s="11">
        <f>Electricity!I118*Electricity!$B$115</f>
        <v>1574807.3825982828</v>
      </c>
      <c r="J118" s="11">
        <f>Electricity!J118*Electricity!$B$115</f>
        <v>1588567.4764668699</v>
      </c>
      <c r="K118" s="11">
        <f>Electricity!K118*Electricity!$B$115</f>
        <v>1600124.8918182545</v>
      </c>
      <c r="L118" s="11">
        <f>Electricity!L118*Electricity!$B$115</f>
        <v>1611682.307169639</v>
      </c>
      <c r="M118" s="11">
        <f>Electricity!M118*Electricity!$B$115</f>
        <v>1623239.7225210234</v>
      </c>
      <c r="N118" s="11">
        <f>Electricity!N118*Electricity!$B$115</f>
        <v>1634797.1378724079</v>
      </c>
      <c r="O118" s="11">
        <f>Electricity!O118*Electricity!$B$115</f>
        <v>1646354.5532237925</v>
      </c>
      <c r="P118" s="11">
        <f>Electricity!P118*Electricity!$B$115</f>
        <v>1655683.8263232033</v>
      </c>
      <c r="Q118" s="11">
        <f>Electricity!Q118*Electricity!$B$115</f>
        <v>1665013.0994226139</v>
      </c>
      <c r="R118" s="11">
        <f>Electricity!R118*Electricity!$B$115</f>
        <v>1674342.3725220237</v>
      </c>
      <c r="S118" s="11">
        <f>Electricity!S118*Electricity!$B$115</f>
        <v>1683671.6456214346</v>
      </c>
      <c r="T118" s="11">
        <f>Electricity!T118*Electricity!$B$115</f>
        <v>1693000.9187208454</v>
      </c>
      <c r="U118" s="11">
        <f>Electricity!U118*Electricity!$B$115</f>
        <v>1700150.9587040916</v>
      </c>
      <c r="V118" s="11">
        <f>Electricity!V118*Electricity!$B$115</f>
        <v>1707300.9986873388</v>
      </c>
      <c r="W118" s="11">
        <f>Electricity!W118*Electricity!$B$115</f>
        <v>1714451.038670585</v>
      </c>
      <c r="X118" s="11">
        <f>Electricity!X118*Electricity!$B$115</f>
        <v>1721601.0786538315</v>
      </c>
      <c r="Y118" s="11">
        <f>Electricity!Y118*Electricity!$B$115</f>
        <v>1728751.1186370775</v>
      </c>
      <c r="Z118" s="11">
        <f>Electricity!Z118*Electricity!$B$115</f>
        <v>1733810.2630621914</v>
      </c>
      <c r="AA118" s="11">
        <f>Electricity!AA118*Electricity!$B$115</f>
        <v>1738869.4074873049</v>
      </c>
      <c r="AB118" s="11">
        <f>Electricity!AB118*Electricity!$B$115</f>
        <v>1743928.5519124188</v>
      </c>
      <c r="AC118" s="11">
        <f>Electricity!AC118*Electricity!$B$115</f>
        <v>1748987.6963375323</v>
      </c>
      <c r="AD118" s="11">
        <f>Electricity!AD118*Electricity!$B$115</f>
        <v>1754046.8407626457</v>
      </c>
      <c r="AE118" s="11">
        <f>Electricity!AE118*Electricity!$B$115</f>
        <v>1754046.8407626457</v>
      </c>
      <c r="AF118" s="11">
        <f>Electricity!AF118*Electricity!$B$115</f>
        <v>1754046.8407626457</v>
      </c>
      <c r="AG118" s="11">
        <f>Electricity!AG118*Electricity!$B$115</f>
        <v>1754046.8407626457</v>
      </c>
      <c r="AH118" s="11">
        <f>Electricity!AH118*Electricity!$B$115</f>
        <v>1754046.8407626457</v>
      </c>
      <c r="AI118" s="11">
        <f>Electricity!AI118*Electricity!$B$115</f>
        <v>1754046.8407626457</v>
      </c>
      <c r="AJ118" s="11">
        <f>Electricity!AJ118*Electricity!$B$115</f>
        <v>1754046.8407626457</v>
      </c>
      <c r="AK118" s="11">
        <f>Electricity!AK118*Electricity!$B$115</f>
        <v>1754046.8407626457</v>
      </c>
      <c r="AL118" s="11">
        <f>Electricity!AL118*Electricity!$B$115</f>
        <v>1754046.8407626457</v>
      </c>
      <c r="AM118" s="11">
        <f>Electricity!AM118*Electricity!$B$115</f>
        <v>1754046.8407626457</v>
      </c>
      <c r="AN118" s="11">
        <f>Electricity!AN118*Electricity!$B$115</f>
        <v>1754046.8407626457</v>
      </c>
      <c r="AO118" s="40">
        <f>Electricity!AO118*Electricity!$B$115</f>
        <v>1754046.8407626457</v>
      </c>
      <c r="AP118" s="40">
        <f>Electricity!AP118*Electricity!$B$115</f>
        <v>1754046.8407626457</v>
      </c>
      <c r="AQ118" s="40">
        <f>Electricity!AQ118*Electricity!$B$115</f>
        <v>1754046.8407626457</v>
      </c>
      <c r="AR118" s="40">
        <f>Electricity!AR118*Electricity!$B$115</f>
        <v>1754046.8407626457</v>
      </c>
      <c r="AS118" s="40">
        <f>Electricity!AS118*Electricity!$B$115</f>
        <v>1754046.8407626457</v>
      </c>
      <c r="AT118" s="40">
        <f>Electricity!AT118*Electricity!$B$115</f>
        <v>1754046.8407626457</v>
      </c>
      <c r="AU118" s="40">
        <f>Electricity!AU118*Electricity!$B$115</f>
        <v>1754046.8407626457</v>
      </c>
      <c r="AV118" s="40">
        <f>Electricity!AV118*Electricity!$B$115</f>
        <v>1754046.8407626457</v>
      </c>
      <c r="AW118" s="40">
        <f>Electricity!AW118*Electricity!$B$115</f>
        <v>1754046.8407626457</v>
      </c>
      <c r="AX118" s="40">
        <f>Electricity!AX118*Electricity!$B$115</f>
        <v>1754046.8407626457</v>
      </c>
    </row>
    <row r="119" spans="1:50" x14ac:dyDescent="0.2">
      <c r="A119" s="6" t="s">
        <v>36</v>
      </c>
      <c r="B119" s="11">
        <f>Electricity!B119*Electricity!$B$115</f>
        <v>273008.95272</v>
      </c>
      <c r="C119" s="11">
        <f>Electricity!C119*Electricity!$B$115</f>
        <v>273942.49113317626</v>
      </c>
      <c r="D119" s="11">
        <f>Electricity!D119*Electricity!$B$115</f>
        <v>274876.02954635251</v>
      </c>
      <c r="E119" s="11">
        <f>Electricity!E119*Electricity!$B$115</f>
        <v>275809.56795952882</v>
      </c>
      <c r="F119" s="11">
        <f>Electricity!F119*Electricity!$B$115</f>
        <v>278306.77018012427</v>
      </c>
      <c r="G119" s="11">
        <f>Electricity!G119*Electricity!$B$115</f>
        <v>280803.97240071971</v>
      </c>
      <c r="H119" s="11">
        <f>Electricity!H119*Electricity!$B$115</f>
        <v>283301.17462131515</v>
      </c>
      <c r="I119" s="11">
        <f>Electricity!I119*Electricity!$B$115</f>
        <v>285798.37684191059</v>
      </c>
      <c r="J119" s="11">
        <f>Electricity!J119*Electricity!$B$115</f>
        <v>288295.57906250603</v>
      </c>
      <c r="K119" s="11">
        <f>Electricity!K119*Electricity!$B$115</f>
        <v>290393.03592257207</v>
      </c>
      <c r="L119" s="11">
        <f>Electricity!L119*Electricity!$B$115</f>
        <v>292490.49278263818</v>
      </c>
      <c r="M119" s="11">
        <f>Electricity!M119*Electricity!$B$115</f>
        <v>294587.94964270422</v>
      </c>
      <c r="N119" s="11">
        <f>Electricity!N119*Electricity!$B$115</f>
        <v>296685.40650277032</v>
      </c>
      <c r="O119" s="11">
        <f>Electricity!O119*Electricity!$B$115</f>
        <v>298782.86336283636</v>
      </c>
      <c r="P119" s="11">
        <f>Electricity!P119*Electricity!$B$115</f>
        <v>300475.95366606279</v>
      </c>
      <c r="Q119" s="11">
        <f>Electricity!Q119*Electricity!$B$115</f>
        <v>302169.04396928917</v>
      </c>
      <c r="R119" s="11">
        <f>Electricity!R119*Electricity!$B$115</f>
        <v>303862.13427251548</v>
      </c>
      <c r="S119" s="11">
        <f>Electricity!S119*Electricity!$B$115</f>
        <v>305555.2245757418</v>
      </c>
      <c r="T119" s="11">
        <f>Electricity!T119*Electricity!$B$115</f>
        <v>307248.31487896823</v>
      </c>
      <c r="U119" s="11">
        <f>Electricity!U119*Electricity!$B$115</f>
        <v>308545.91472777957</v>
      </c>
      <c r="V119" s="11">
        <f>Electricity!V119*Electricity!$B$115</f>
        <v>309843.51457659109</v>
      </c>
      <c r="W119" s="11">
        <f>Electricity!W119*Electricity!$B$115</f>
        <v>311141.11442540243</v>
      </c>
      <c r="X119" s="11">
        <f>Electricity!X119*Electricity!$B$115</f>
        <v>312438.71427421382</v>
      </c>
      <c r="Y119" s="11">
        <f>Electricity!Y119*Electricity!$B$115</f>
        <v>313736.31412302516</v>
      </c>
      <c r="Z119" s="11">
        <f>Electricity!Z119*Electricity!$B$115</f>
        <v>314654.45514832361</v>
      </c>
      <c r="AA119" s="11">
        <f>Electricity!AA119*Electricity!$B$115</f>
        <v>315572.59617362201</v>
      </c>
      <c r="AB119" s="11">
        <f>Electricity!AB119*Electricity!$B$115</f>
        <v>316490.7371989204</v>
      </c>
      <c r="AC119" s="11">
        <f>Electricity!AC119*Electricity!$B$115</f>
        <v>317408.87822421885</v>
      </c>
      <c r="AD119" s="11">
        <f>Electricity!AD119*Electricity!$B$115</f>
        <v>318327.01924951718</v>
      </c>
      <c r="AE119" s="11">
        <f>Electricity!AE119*Electricity!$B$115</f>
        <v>318327.01924951718</v>
      </c>
      <c r="AF119" s="11">
        <f>Electricity!AF119*Electricity!$B$115</f>
        <v>318327.01924951718</v>
      </c>
      <c r="AG119" s="11">
        <f>Electricity!AG119*Electricity!$B$115</f>
        <v>318327.01924951718</v>
      </c>
      <c r="AH119" s="11">
        <f>Electricity!AH119*Electricity!$B$115</f>
        <v>318327.01924951718</v>
      </c>
      <c r="AI119" s="11">
        <f>Electricity!AI119*Electricity!$B$115</f>
        <v>318327.01924951718</v>
      </c>
      <c r="AJ119" s="11">
        <f>Electricity!AJ119*Electricity!$B$115</f>
        <v>318327.01924951718</v>
      </c>
      <c r="AK119" s="11">
        <f>Electricity!AK119*Electricity!$B$115</f>
        <v>318327.01924951718</v>
      </c>
      <c r="AL119" s="11">
        <f>Electricity!AL119*Electricity!$B$115</f>
        <v>318327.01924951718</v>
      </c>
      <c r="AM119" s="11">
        <f>Electricity!AM119*Electricity!$B$115</f>
        <v>318327.01924951718</v>
      </c>
      <c r="AN119" s="11">
        <f>Electricity!AN119*Electricity!$B$115</f>
        <v>318327.01924951718</v>
      </c>
      <c r="AO119" s="40">
        <f>Electricity!AO119*Electricity!$B$115</f>
        <v>318327.01924951718</v>
      </c>
      <c r="AP119" s="40">
        <f>Electricity!AP119*Electricity!$B$115</f>
        <v>318327.01924951718</v>
      </c>
      <c r="AQ119" s="40">
        <f>Electricity!AQ119*Electricity!$B$115</f>
        <v>318327.01924951718</v>
      </c>
      <c r="AR119" s="40">
        <f>Electricity!AR119*Electricity!$B$115</f>
        <v>318327.01924951718</v>
      </c>
      <c r="AS119" s="40">
        <f>Electricity!AS119*Electricity!$B$115</f>
        <v>318327.01924951718</v>
      </c>
      <c r="AT119" s="40">
        <f>Electricity!AT119*Electricity!$B$115</f>
        <v>318327.01924951718</v>
      </c>
      <c r="AU119" s="40">
        <f>Electricity!AU119*Electricity!$B$115</f>
        <v>318327.01924951718</v>
      </c>
      <c r="AV119" s="40">
        <f>Electricity!AV119*Electricity!$B$115</f>
        <v>318327.01924951718</v>
      </c>
      <c r="AW119" s="40">
        <f>Electricity!AW119*Electricity!$B$115</f>
        <v>318327.01924951718</v>
      </c>
      <c r="AX119" s="40">
        <f>Electricity!AX119*Electricity!$B$115</f>
        <v>318327.01924951718</v>
      </c>
    </row>
    <row r="120" spans="1:50" x14ac:dyDescent="0.2">
      <c r="A120" s="6" t="s">
        <v>37</v>
      </c>
      <c r="B120" s="11">
        <f>Electricity!B120*Electricity!$B$115</f>
        <v>234007.67376000001</v>
      </c>
      <c r="C120" s="11">
        <f>Electricity!C120*Electricity!$B$115</f>
        <v>234807.84954272251</v>
      </c>
      <c r="D120" s="11">
        <f>Electricity!D120*Electricity!$B$115</f>
        <v>235608.02532544502</v>
      </c>
      <c r="E120" s="11">
        <f>Electricity!E120*Electricity!$B$115</f>
        <v>236408.20110816756</v>
      </c>
      <c r="F120" s="11">
        <f>Electricity!F120*Electricity!$B$115</f>
        <v>238548.66015439222</v>
      </c>
      <c r="G120" s="11">
        <f>Electricity!G120*Electricity!$B$115</f>
        <v>240689.11920061687</v>
      </c>
      <c r="H120" s="11">
        <f>Electricity!H120*Electricity!$B$115</f>
        <v>242829.57824684153</v>
      </c>
      <c r="I120" s="11">
        <f>Electricity!I120*Electricity!$B$115</f>
        <v>244970.03729306618</v>
      </c>
      <c r="J120" s="11">
        <f>Electricity!J120*Electricity!$B$115</f>
        <v>247110.49633929087</v>
      </c>
      <c r="K120" s="11">
        <f>Electricity!K120*Electricity!$B$115</f>
        <v>248908.31650506181</v>
      </c>
      <c r="L120" s="11">
        <f>Electricity!L120*Electricity!$B$115</f>
        <v>250706.13667083273</v>
      </c>
      <c r="M120" s="11">
        <f>Electricity!M120*Electricity!$B$115</f>
        <v>252503.95683660361</v>
      </c>
      <c r="N120" s="11">
        <f>Electricity!N120*Electricity!$B$115</f>
        <v>254301.77700237455</v>
      </c>
      <c r="O120" s="11">
        <f>Electricity!O120*Electricity!$B$115</f>
        <v>256099.59716814553</v>
      </c>
      <c r="P120" s="11">
        <f>Electricity!P120*Electricity!$B$115</f>
        <v>257550.81742805385</v>
      </c>
      <c r="Q120" s="11">
        <f>Electricity!Q120*Electricity!$B$115</f>
        <v>259002.03768796218</v>
      </c>
      <c r="R120" s="11">
        <f>Electricity!R120*Electricity!$B$115</f>
        <v>260453.25794787038</v>
      </c>
      <c r="S120" s="11">
        <f>Electricity!S120*Electricity!$B$115</f>
        <v>261904.47820777877</v>
      </c>
      <c r="T120" s="11">
        <f>Electricity!T120*Electricity!$B$115</f>
        <v>263355.69846768706</v>
      </c>
      <c r="U120" s="11">
        <f>Electricity!U120*Electricity!$B$115</f>
        <v>264467.92690952535</v>
      </c>
      <c r="V120" s="11">
        <f>Electricity!V120*Electricity!$B$115</f>
        <v>265580.15535136376</v>
      </c>
      <c r="W120" s="11">
        <f>Electricity!W120*Electricity!$B$115</f>
        <v>266692.38379320211</v>
      </c>
      <c r="X120" s="11">
        <f>Electricity!X120*Electricity!$B$115</f>
        <v>267804.6122350404</v>
      </c>
      <c r="Y120" s="11">
        <f>Electricity!Y120*Electricity!$B$115</f>
        <v>268916.84067687875</v>
      </c>
      <c r="Z120" s="11">
        <f>Electricity!Z120*Electricity!$B$115</f>
        <v>269703.81869856309</v>
      </c>
      <c r="AA120" s="11">
        <f>Electricity!AA120*Electricity!$B$115</f>
        <v>270490.79672024742</v>
      </c>
      <c r="AB120" s="11">
        <f>Electricity!AB120*Electricity!$B$115</f>
        <v>271277.77474193176</v>
      </c>
      <c r="AC120" s="11">
        <f>Electricity!AC120*Electricity!$B$115</f>
        <v>272064.7527636161</v>
      </c>
      <c r="AD120" s="11">
        <f>Electricity!AD120*Electricity!$B$115</f>
        <v>272851.73078530043</v>
      </c>
      <c r="AE120" s="11">
        <f>Electricity!AE120*Electricity!$B$115</f>
        <v>272851.73078530043</v>
      </c>
      <c r="AF120" s="11">
        <f>Electricity!AF120*Electricity!$B$115</f>
        <v>272851.73078530043</v>
      </c>
      <c r="AG120" s="11">
        <f>Electricity!AG120*Electricity!$B$115</f>
        <v>272851.73078530043</v>
      </c>
      <c r="AH120" s="11">
        <f>Electricity!AH120*Electricity!$B$115</f>
        <v>272851.73078530043</v>
      </c>
      <c r="AI120" s="11">
        <f>Electricity!AI120*Electricity!$B$115</f>
        <v>272851.73078530043</v>
      </c>
      <c r="AJ120" s="11">
        <f>Electricity!AJ120*Electricity!$B$115</f>
        <v>272851.73078530043</v>
      </c>
      <c r="AK120" s="11">
        <f>Electricity!AK120*Electricity!$B$115</f>
        <v>272851.73078530043</v>
      </c>
      <c r="AL120" s="11">
        <f>Electricity!AL120*Electricity!$B$115</f>
        <v>272851.73078530043</v>
      </c>
      <c r="AM120" s="11">
        <f>Electricity!AM120*Electricity!$B$115</f>
        <v>272851.73078530043</v>
      </c>
      <c r="AN120" s="11">
        <f>Electricity!AN120*Electricity!$B$115</f>
        <v>272851.73078530043</v>
      </c>
      <c r="AO120" s="40">
        <f>Electricity!AO120*Electricity!$B$115</f>
        <v>272851.73078530043</v>
      </c>
      <c r="AP120" s="40">
        <f>Electricity!AP120*Electricity!$B$115</f>
        <v>272851.73078530043</v>
      </c>
      <c r="AQ120" s="40">
        <f>Electricity!AQ120*Electricity!$B$115</f>
        <v>272851.73078530043</v>
      </c>
      <c r="AR120" s="40">
        <f>Electricity!AR120*Electricity!$B$115</f>
        <v>272851.73078530043</v>
      </c>
      <c r="AS120" s="40">
        <f>Electricity!AS120*Electricity!$B$115</f>
        <v>272851.73078530043</v>
      </c>
      <c r="AT120" s="40">
        <f>Electricity!AT120*Electricity!$B$115</f>
        <v>272851.73078530043</v>
      </c>
      <c r="AU120" s="40">
        <f>Electricity!AU120*Electricity!$B$115</f>
        <v>272851.73078530043</v>
      </c>
      <c r="AV120" s="40">
        <f>Electricity!AV120*Electricity!$B$115</f>
        <v>272851.73078530043</v>
      </c>
      <c r="AW120" s="40">
        <f>Electricity!AW120*Electricity!$B$115</f>
        <v>272851.73078530043</v>
      </c>
      <c r="AX120" s="40">
        <f>Electricity!AX120*Electricity!$B$115</f>
        <v>272851.73078530043</v>
      </c>
    </row>
    <row r="122" spans="1:50" x14ac:dyDescent="0.2">
      <c r="A122" s="5" t="s">
        <v>157</v>
      </c>
    </row>
    <row r="123" spans="1:50" x14ac:dyDescent="0.2">
      <c r="A123" s="5" t="s">
        <v>4</v>
      </c>
    </row>
    <row r="124" spans="1:50" x14ac:dyDescent="0.2">
      <c r="A124" s="5" t="s">
        <v>65</v>
      </c>
    </row>
    <row r="125" spans="1:50" x14ac:dyDescent="0.2">
      <c r="A125" s="5" t="s">
        <v>6</v>
      </c>
    </row>
    <row r="126" spans="1:50" x14ac:dyDescent="0.2">
      <c r="A126" s="5"/>
    </row>
    <row r="127" spans="1:50" x14ac:dyDescent="0.2">
      <c r="A127" s="6" t="s">
        <v>7</v>
      </c>
      <c r="B127" s="6">
        <v>2022</v>
      </c>
      <c r="C127" s="6">
        <v>2023</v>
      </c>
      <c r="D127" s="6">
        <v>2024</v>
      </c>
      <c r="E127" s="6">
        <v>2025</v>
      </c>
      <c r="F127" s="6">
        <v>2026</v>
      </c>
      <c r="G127" s="6">
        <v>2027</v>
      </c>
      <c r="H127" s="6">
        <v>2028</v>
      </c>
      <c r="I127" s="6">
        <v>2029</v>
      </c>
      <c r="J127" s="6">
        <v>2030</v>
      </c>
      <c r="K127" s="6">
        <v>2031</v>
      </c>
      <c r="L127" s="6">
        <v>2032</v>
      </c>
      <c r="M127" s="6">
        <v>2033</v>
      </c>
      <c r="N127" s="6">
        <v>2034</v>
      </c>
      <c r="O127" s="6">
        <v>2035</v>
      </c>
      <c r="P127" s="6">
        <v>2036</v>
      </c>
      <c r="Q127" s="6">
        <v>2037</v>
      </c>
      <c r="R127" s="6">
        <v>2038</v>
      </c>
      <c r="S127" s="6">
        <v>2039</v>
      </c>
      <c r="T127" s="6">
        <v>2040</v>
      </c>
      <c r="U127" s="6">
        <v>2041</v>
      </c>
      <c r="V127" s="6">
        <v>2042</v>
      </c>
      <c r="W127" s="6">
        <v>2043</v>
      </c>
      <c r="X127" s="6">
        <v>2044</v>
      </c>
      <c r="Y127" s="6">
        <v>2045</v>
      </c>
      <c r="Z127" s="6">
        <v>2046</v>
      </c>
      <c r="AA127" s="6">
        <v>2047</v>
      </c>
      <c r="AB127" s="6">
        <v>2048</v>
      </c>
      <c r="AC127" s="6">
        <v>2049</v>
      </c>
      <c r="AD127" s="6">
        <v>2050</v>
      </c>
      <c r="AE127" s="6">
        <v>2051</v>
      </c>
      <c r="AF127" s="6">
        <v>2052</v>
      </c>
      <c r="AG127" s="6">
        <v>2053</v>
      </c>
      <c r="AH127" s="6">
        <v>2054</v>
      </c>
      <c r="AI127" s="6">
        <v>2055</v>
      </c>
      <c r="AJ127" s="6">
        <v>2056</v>
      </c>
      <c r="AK127" s="6">
        <v>2057</v>
      </c>
      <c r="AL127" s="6">
        <v>2058</v>
      </c>
      <c r="AM127" s="6">
        <v>2059</v>
      </c>
      <c r="AN127" s="6">
        <v>2060</v>
      </c>
      <c r="AO127" s="39">
        <f>AN127+1</f>
        <v>2061</v>
      </c>
      <c r="AP127" s="39">
        <f t="shared" ref="AP127:AX127" si="11">AO127+1</f>
        <v>2062</v>
      </c>
      <c r="AQ127" s="39">
        <f t="shared" si="11"/>
        <v>2063</v>
      </c>
      <c r="AR127" s="39">
        <f t="shared" si="11"/>
        <v>2064</v>
      </c>
      <c r="AS127" s="39">
        <f t="shared" si="11"/>
        <v>2065</v>
      </c>
      <c r="AT127" s="39">
        <f t="shared" si="11"/>
        <v>2066</v>
      </c>
      <c r="AU127" s="39">
        <f t="shared" si="11"/>
        <v>2067</v>
      </c>
      <c r="AV127" s="39">
        <f t="shared" si="11"/>
        <v>2068</v>
      </c>
      <c r="AW127" s="39">
        <f>AV127+1</f>
        <v>2069</v>
      </c>
      <c r="AX127" s="39">
        <f t="shared" si="11"/>
        <v>2070</v>
      </c>
    </row>
    <row r="128" spans="1:50" x14ac:dyDescent="0.2">
      <c r="A128" s="6" t="s">
        <v>34</v>
      </c>
      <c r="B128" s="11">
        <f>Electricity!B128*Electricity!$B$126</f>
        <v>2804955.7836527997</v>
      </c>
      <c r="C128" s="11">
        <f>Electricity!C128*Electricity!$B$126</f>
        <v>2804955.7836527997</v>
      </c>
      <c r="D128" s="11">
        <f>Electricity!D128*Electricity!$B$126</f>
        <v>2804955.7836527997</v>
      </c>
      <c r="E128" s="11">
        <f>Electricity!E128*Electricity!$B$126</f>
        <v>2804955.7836527997</v>
      </c>
      <c r="F128" s="11">
        <f>Electricity!F128*Electricity!$B$126</f>
        <v>2804955.7836527997</v>
      </c>
      <c r="G128" s="11">
        <f>Electricity!G128*Electricity!$B$126</f>
        <v>2804955.7836527997</v>
      </c>
      <c r="H128" s="11">
        <f>Electricity!H128*Electricity!$B$126</f>
        <v>2804955.7836527997</v>
      </c>
      <c r="I128" s="11">
        <f>Electricity!I128*Electricity!$B$126</f>
        <v>2804955.7836527997</v>
      </c>
      <c r="J128" s="11">
        <f>Electricity!J128*Electricity!$B$126</f>
        <v>2804955.7836527997</v>
      </c>
      <c r="K128" s="11">
        <f>Electricity!K128*Electricity!$B$126</f>
        <v>2804955.7836527997</v>
      </c>
      <c r="L128" s="11">
        <f>Electricity!L128*Electricity!$B$126</f>
        <v>2804955.7836527997</v>
      </c>
      <c r="M128" s="11">
        <f>Electricity!M128*Electricity!$B$126</f>
        <v>2804955.7836527997</v>
      </c>
      <c r="N128" s="11">
        <f>Electricity!N128*Electricity!$B$126</f>
        <v>2804955.7836527997</v>
      </c>
      <c r="O128" s="11">
        <f>Electricity!O128*Electricity!$B$126</f>
        <v>2804955.7836527997</v>
      </c>
      <c r="P128" s="11">
        <f>Electricity!P128*Electricity!$B$126</f>
        <v>2804955.7836527997</v>
      </c>
      <c r="Q128" s="11">
        <f>Electricity!Q128*Electricity!$B$126</f>
        <v>2804955.7836527997</v>
      </c>
      <c r="R128" s="11">
        <f>Electricity!R128*Electricity!$B$126</f>
        <v>2804955.7836527997</v>
      </c>
      <c r="S128" s="11">
        <f>Electricity!S128*Electricity!$B$126</f>
        <v>2804955.7836527997</v>
      </c>
      <c r="T128" s="11">
        <f>Electricity!T128*Electricity!$B$126</f>
        <v>2804955.7836527997</v>
      </c>
      <c r="U128" s="11">
        <f>Electricity!U128*Electricity!$B$126</f>
        <v>2804955.7836527997</v>
      </c>
      <c r="V128" s="11">
        <f>Electricity!V128*Electricity!$B$126</f>
        <v>2804955.7836527997</v>
      </c>
      <c r="W128" s="11">
        <f>Electricity!W128*Electricity!$B$126</f>
        <v>2804955.7836527997</v>
      </c>
      <c r="X128" s="11">
        <f>Electricity!X128*Electricity!$B$126</f>
        <v>2804955.7836527997</v>
      </c>
      <c r="Y128" s="11">
        <f>Electricity!Y128*Electricity!$B$126</f>
        <v>2804955.7836527997</v>
      </c>
      <c r="Z128" s="11">
        <f>Electricity!Z128*Electricity!$B$126</f>
        <v>2804955.7836527997</v>
      </c>
      <c r="AA128" s="11">
        <f>Electricity!AA128*Electricity!$B$126</f>
        <v>2804955.7836527997</v>
      </c>
      <c r="AB128" s="11">
        <f>Electricity!AB128*Electricity!$B$126</f>
        <v>2804955.7836527997</v>
      </c>
      <c r="AC128" s="11">
        <f>Electricity!AC128*Electricity!$B$126</f>
        <v>2804955.7836527997</v>
      </c>
      <c r="AD128" s="11">
        <f>Electricity!AD128*Electricity!$B$126</f>
        <v>2804955.7836527997</v>
      </c>
      <c r="AE128" s="11">
        <f>Electricity!AE128*Electricity!$B$126</f>
        <v>2804955.7836527997</v>
      </c>
      <c r="AF128" s="11">
        <f>Electricity!AF128*Electricity!$B$126</f>
        <v>2804955.7836527997</v>
      </c>
      <c r="AG128" s="11">
        <f>Electricity!AG128*Electricity!$B$126</f>
        <v>2804955.7836527997</v>
      </c>
      <c r="AH128" s="11">
        <f>Electricity!AH128*Electricity!$B$126</f>
        <v>2804955.7836527997</v>
      </c>
      <c r="AI128" s="11">
        <f>Electricity!AI128*Electricity!$B$126</f>
        <v>2804955.7836527997</v>
      </c>
      <c r="AJ128" s="11">
        <f>Electricity!AJ128*Electricity!$B$126</f>
        <v>2804955.7836527997</v>
      </c>
      <c r="AK128" s="11">
        <f>Electricity!AK128*Electricity!$B$126</f>
        <v>2804955.7836527997</v>
      </c>
      <c r="AL128" s="11">
        <f>Electricity!AL128*Electricity!$B$126</f>
        <v>2804955.7836527997</v>
      </c>
      <c r="AM128" s="11">
        <f>Electricity!AM128*Electricity!$B$126</f>
        <v>2804955.7836527997</v>
      </c>
      <c r="AN128" s="11">
        <f>Electricity!AN128*Electricity!$B$126</f>
        <v>2804955.7836527997</v>
      </c>
      <c r="AO128" s="40">
        <f>Electricity!AO128*Electricity!$B$126</f>
        <v>2804955.7836527997</v>
      </c>
      <c r="AP128" s="40">
        <f>Electricity!AP128*Electricity!$B$126</f>
        <v>2804955.7836527997</v>
      </c>
      <c r="AQ128" s="40">
        <f>Electricity!AQ128*Electricity!$B$126</f>
        <v>2804955.7836527997</v>
      </c>
      <c r="AR128" s="40">
        <f>Electricity!AR128*Electricity!$B$126</f>
        <v>2804955.7836527997</v>
      </c>
      <c r="AS128" s="40">
        <f>Electricity!AS128*Electricity!$B$126</f>
        <v>2804955.7836527997</v>
      </c>
      <c r="AT128" s="40">
        <f>Electricity!AT128*Electricity!$B$126</f>
        <v>2804955.7836527997</v>
      </c>
      <c r="AU128" s="40">
        <f>Electricity!AU128*Electricity!$B$126</f>
        <v>2804955.7836527997</v>
      </c>
      <c r="AV128" s="40">
        <f>Electricity!AV128*Electricity!$B$126</f>
        <v>2804955.7836527997</v>
      </c>
      <c r="AW128" s="40">
        <f>Electricity!AW128*Electricity!$B$126</f>
        <v>2804955.7836527997</v>
      </c>
      <c r="AX128" s="40">
        <f>Electricity!AX128*Electricity!$B$126</f>
        <v>2804955.7836527997</v>
      </c>
    </row>
    <row r="129" spans="1:50" x14ac:dyDescent="0.2">
      <c r="A129" s="6" t="s">
        <v>35</v>
      </c>
      <c r="B129" s="11">
        <f>Electricity!B129*Electricity!$B$126</f>
        <v>1195116.2957376</v>
      </c>
      <c r="C129" s="11">
        <f>Electricity!C129*Electricity!$B$126</f>
        <v>1195116.2957376</v>
      </c>
      <c r="D129" s="11">
        <f>Electricity!D129*Electricity!$B$126</f>
        <v>1195116.2957376</v>
      </c>
      <c r="E129" s="11">
        <f>Electricity!E129*Electricity!$B$126</f>
        <v>1195116.2957376</v>
      </c>
      <c r="F129" s="11">
        <f>Electricity!F129*Electricity!$B$126</f>
        <v>1195116.2957376</v>
      </c>
      <c r="G129" s="11">
        <f>Electricity!G129*Electricity!$B$126</f>
        <v>1195116.2957376</v>
      </c>
      <c r="H129" s="11">
        <f>Electricity!H129*Electricity!$B$126</f>
        <v>1195116.2957376</v>
      </c>
      <c r="I129" s="11">
        <f>Electricity!I129*Electricity!$B$126</f>
        <v>1195116.2957376</v>
      </c>
      <c r="J129" s="11">
        <f>Electricity!J129*Electricity!$B$126</f>
        <v>1195116.2957376</v>
      </c>
      <c r="K129" s="11">
        <f>Electricity!K129*Electricity!$B$126</f>
        <v>1195116.2957376</v>
      </c>
      <c r="L129" s="11">
        <f>Electricity!L129*Electricity!$B$126</f>
        <v>1195116.2957376</v>
      </c>
      <c r="M129" s="11">
        <f>Electricity!M129*Electricity!$B$126</f>
        <v>1195116.2957376</v>
      </c>
      <c r="N129" s="11">
        <f>Electricity!N129*Electricity!$B$126</f>
        <v>1195116.2957376</v>
      </c>
      <c r="O129" s="11">
        <f>Electricity!O129*Electricity!$B$126</f>
        <v>1195116.2957376</v>
      </c>
      <c r="P129" s="11">
        <f>Electricity!P129*Electricity!$B$126</f>
        <v>1195116.2957376</v>
      </c>
      <c r="Q129" s="11">
        <f>Electricity!Q129*Electricity!$B$126</f>
        <v>1195116.2957376</v>
      </c>
      <c r="R129" s="11">
        <f>Electricity!R129*Electricity!$B$126</f>
        <v>1195116.2957376</v>
      </c>
      <c r="S129" s="11">
        <f>Electricity!S129*Electricity!$B$126</f>
        <v>1195116.2957376</v>
      </c>
      <c r="T129" s="11">
        <f>Electricity!T129*Electricity!$B$126</f>
        <v>1195116.2957376</v>
      </c>
      <c r="U129" s="11">
        <f>Electricity!U129*Electricity!$B$126</f>
        <v>1195116.2957376</v>
      </c>
      <c r="V129" s="11">
        <f>Electricity!V129*Electricity!$B$126</f>
        <v>1195116.2957376</v>
      </c>
      <c r="W129" s="11">
        <f>Electricity!W129*Electricity!$B$126</f>
        <v>1195116.2957376</v>
      </c>
      <c r="X129" s="11">
        <f>Electricity!X129*Electricity!$B$126</f>
        <v>1195116.2957376</v>
      </c>
      <c r="Y129" s="11">
        <f>Electricity!Y129*Electricity!$B$126</f>
        <v>1195116.2957376</v>
      </c>
      <c r="Z129" s="11">
        <f>Electricity!Z129*Electricity!$B$126</f>
        <v>1195116.2957376</v>
      </c>
      <c r="AA129" s="11">
        <f>Electricity!AA129*Electricity!$B$126</f>
        <v>1195116.2957376</v>
      </c>
      <c r="AB129" s="11">
        <f>Electricity!AB129*Electricity!$B$126</f>
        <v>1195116.2957376</v>
      </c>
      <c r="AC129" s="11">
        <f>Electricity!AC129*Electricity!$B$126</f>
        <v>1195116.2957376</v>
      </c>
      <c r="AD129" s="11">
        <f>Electricity!AD129*Electricity!$B$126</f>
        <v>1195116.2957376</v>
      </c>
      <c r="AE129" s="11">
        <f>Electricity!AE129*Electricity!$B$126</f>
        <v>1195116.2957376</v>
      </c>
      <c r="AF129" s="11">
        <f>Electricity!AF129*Electricity!$B$126</f>
        <v>1195116.2957376</v>
      </c>
      <c r="AG129" s="11">
        <f>Electricity!AG129*Electricity!$B$126</f>
        <v>1195116.2957376</v>
      </c>
      <c r="AH129" s="11">
        <f>Electricity!AH129*Electricity!$B$126</f>
        <v>1195116.2957376</v>
      </c>
      <c r="AI129" s="11">
        <f>Electricity!AI129*Electricity!$B$126</f>
        <v>1195116.2957376</v>
      </c>
      <c r="AJ129" s="11">
        <f>Electricity!AJ129*Electricity!$B$126</f>
        <v>1195116.2957376</v>
      </c>
      <c r="AK129" s="11">
        <f>Electricity!AK129*Electricity!$B$126</f>
        <v>1195116.2957376</v>
      </c>
      <c r="AL129" s="11">
        <f>Electricity!AL129*Electricity!$B$126</f>
        <v>1195116.2957376</v>
      </c>
      <c r="AM129" s="11">
        <f>Electricity!AM129*Electricity!$B$126</f>
        <v>1195116.2957376</v>
      </c>
      <c r="AN129" s="11">
        <f>Electricity!AN129*Electricity!$B$126</f>
        <v>1195116.2957376</v>
      </c>
      <c r="AO129" s="40">
        <f>Electricity!AO129*Electricity!$B$126</f>
        <v>1195116.2957376</v>
      </c>
      <c r="AP129" s="40">
        <f>Electricity!AP129*Electricity!$B$126</f>
        <v>1195116.2957376</v>
      </c>
      <c r="AQ129" s="40">
        <f>Electricity!AQ129*Electricity!$B$126</f>
        <v>1195116.2957376</v>
      </c>
      <c r="AR129" s="40">
        <f>Electricity!AR129*Electricity!$B$126</f>
        <v>1195116.2957376</v>
      </c>
      <c r="AS129" s="40">
        <f>Electricity!AS129*Electricity!$B$126</f>
        <v>1195116.2957376</v>
      </c>
      <c r="AT129" s="40">
        <f>Electricity!AT129*Electricity!$B$126</f>
        <v>1195116.2957376</v>
      </c>
      <c r="AU129" s="40">
        <f>Electricity!AU129*Electricity!$B$126</f>
        <v>1195116.2957376</v>
      </c>
      <c r="AV129" s="40">
        <f>Electricity!AV129*Electricity!$B$126</f>
        <v>1195116.2957376</v>
      </c>
      <c r="AW129" s="40">
        <f>Electricity!AW129*Electricity!$B$126</f>
        <v>1195116.2957376</v>
      </c>
      <c r="AX129" s="40">
        <f>Electricity!AX129*Electricity!$B$126</f>
        <v>1195116.2957376</v>
      </c>
    </row>
    <row r="130" spans="1:50" x14ac:dyDescent="0.2">
      <c r="A130" s="6" t="s">
        <v>36</v>
      </c>
      <c r="B130" s="11">
        <f>Electricity!B130*Electricity!$B$126</f>
        <v>276482.1281184</v>
      </c>
      <c r="C130" s="11">
        <f>Electricity!C130*Electricity!$B$126</f>
        <v>276482.1281184</v>
      </c>
      <c r="D130" s="11">
        <f>Electricity!D130*Electricity!$B$126</f>
        <v>276482.1281184</v>
      </c>
      <c r="E130" s="11">
        <f>Electricity!E130*Electricity!$B$126</f>
        <v>276482.1281184</v>
      </c>
      <c r="F130" s="11">
        <f>Electricity!F130*Electricity!$B$126</f>
        <v>276482.1281184</v>
      </c>
      <c r="G130" s="11">
        <f>Electricity!G130*Electricity!$B$126</f>
        <v>276482.1281184</v>
      </c>
      <c r="H130" s="11">
        <f>Electricity!H130*Electricity!$B$126</f>
        <v>276482.1281184</v>
      </c>
      <c r="I130" s="11">
        <f>Electricity!I130*Electricity!$B$126</f>
        <v>276482.1281184</v>
      </c>
      <c r="J130" s="11">
        <f>Electricity!J130*Electricity!$B$126</f>
        <v>276482.1281184</v>
      </c>
      <c r="K130" s="11">
        <f>Electricity!K130*Electricity!$B$126</f>
        <v>276482.1281184</v>
      </c>
      <c r="L130" s="11">
        <f>Electricity!L130*Electricity!$B$126</f>
        <v>276482.1281184</v>
      </c>
      <c r="M130" s="11">
        <f>Electricity!M130*Electricity!$B$126</f>
        <v>276482.1281184</v>
      </c>
      <c r="N130" s="11">
        <f>Electricity!N130*Electricity!$B$126</f>
        <v>276482.1281184</v>
      </c>
      <c r="O130" s="11">
        <f>Electricity!O130*Electricity!$B$126</f>
        <v>276482.1281184</v>
      </c>
      <c r="P130" s="11">
        <f>Electricity!P130*Electricity!$B$126</f>
        <v>276482.1281184</v>
      </c>
      <c r="Q130" s="11">
        <f>Electricity!Q130*Electricity!$B$126</f>
        <v>276482.1281184</v>
      </c>
      <c r="R130" s="11">
        <f>Electricity!R130*Electricity!$B$126</f>
        <v>276482.1281184</v>
      </c>
      <c r="S130" s="11">
        <f>Electricity!S130*Electricity!$B$126</f>
        <v>276482.1281184</v>
      </c>
      <c r="T130" s="11">
        <f>Electricity!T130*Electricity!$B$126</f>
        <v>276482.1281184</v>
      </c>
      <c r="U130" s="11">
        <f>Electricity!U130*Electricity!$B$126</f>
        <v>276482.1281184</v>
      </c>
      <c r="V130" s="11">
        <f>Electricity!V130*Electricity!$B$126</f>
        <v>276482.1281184</v>
      </c>
      <c r="W130" s="11">
        <f>Electricity!W130*Electricity!$B$126</f>
        <v>276482.1281184</v>
      </c>
      <c r="X130" s="11">
        <f>Electricity!X130*Electricity!$B$126</f>
        <v>276482.1281184</v>
      </c>
      <c r="Y130" s="11">
        <f>Electricity!Y130*Electricity!$B$126</f>
        <v>276482.1281184</v>
      </c>
      <c r="Z130" s="11">
        <f>Electricity!Z130*Electricity!$B$126</f>
        <v>276482.1281184</v>
      </c>
      <c r="AA130" s="11">
        <f>Electricity!AA130*Electricity!$B$126</f>
        <v>276482.1281184</v>
      </c>
      <c r="AB130" s="11">
        <f>Electricity!AB130*Electricity!$B$126</f>
        <v>276482.1281184</v>
      </c>
      <c r="AC130" s="11">
        <f>Electricity!AC130*Electricity!$B$126</f>
        <v>276482.1281184</v>
      </c>
      <c r="AD130" s="11">
        <f>Electricity!AD130*Electricity!$B$126</f>
        <v>276482.1281184</v>
      </c>
      <c r="AE130" s="11">
        <f>Electricity!AE130*Electricity!$B$126</f>
        <v>276482.1281184</v>
      </c>
      <c r="AF130" s="11">
        <f>Electricity!AF130*Electricity!$B$126</f>
        <v>276482.1281184</v>
      </c>
      <c r="AG130" s="11">
        <f>Electricity!AG130*Electricity!$B$126</f>
        <v>276482.1281184</v>
      </c>
      <c r="AH130" s="11">
        <f>Electricity!AH130*Electricity!$B$126</f>
        <v>276482.1281184</v>
      </c>
      <c r="AI130" s="11">
        <f>Electricity!AI130*Electricity!$B$126</f>
        <v>276482.1281184</v>
      </c>
      <c r="AJ130" s="11">
        <f>Electricity!AJ130*Electricity!$B$126</f>
        <v>276482.1281184</v>
      </c>
      <c r="AK130" s="11">
        <f>Electricity!AK130*Electricity!$B$126</f>
        <v>276482.1281184</v>
      </c>
      <c r="AL130" s="11">
        <f>Electricity!AL130*Electricity!$B$126</f>
        <v>276482.1281184</v>
      </c>
      <c r="AM130" s="11">
        <f>Electricity!AM130*Electricity!$B$126</f>
        <v>276482.1281184</v>
      </c>
      <c r="AN130" s="11">
        <f>Electricity!AN130*Electricity!$B$126</f>
        <v>276482.1281184</v>
      </c>
      <c r="AO130" s="40">
        <f>Electricity!AO130*Electricity!$B$126</f>
        <v>276482.1281184</v>
      </c>
      <c r="AP130" s="40">
        <f>Electricity!AP130*Electricity!$B$126</f>
        <v>276482.1281184</v>
      </c>
      <c r="AQ130" s="40">
        <f>Electricity!AQ130*Electricity!$B$126</f>
        <v>276482.1281184</v>
      </c>
      <c r="AR130" s="40">
        <f>Electricity!AR130*Electricity!$B$126</f>
        <v>276482.1281184</v>
      </c>
      <c r="AS130" s="40">
        <f>Electricity!AS130*Electricity!$B$126</f>
        <v>276482.1281184</v>
      </c>
      <c r="AT130" s="40">
        <f>Electricity!AT130*Electricity!$B$126</f>
        <v>276482.1281184</v>
      </c>
      <c r="AU130" s="40">
        <f>Electricity!AU130*Electricity!$B$126</f>
        <v>276482.1281184</v>
      </c>
      <c r="AV130" s="40">
        <f>Electricity!AV130*Electricity!$B$126</f>
        <v>276482.1281184</v>
      </c>
      <c r="AW130" s="40">
        <f>Electricity!AW130*Electricity!$B$126</f>
        <v>276482.1281184</v>
      </c>
      <c r="AX130" s="40">
        <f>Electricity!AX130*Electricity!$B$126</f>
        <v>276482.1281184</v>
      </c>
    </row>
    <row r="131" spans="1:50" x14ac:dyDescent="0.2">
      <c r="A131" s="6" t="s">
        <v>37</v>
      </c>
      <c r="B131" s="11">
        <f>Electricity!B131*Electricity!$B$126</f>
        <v>182834.95569119998</v>
      </c>
      <c r="C131" s="11">
        <f>Electricity!C131*Electricity!$B$126</f>
        <v>182834.95569119998</v>
      </c>
      <c r="D131" s="11">
        <f>Electricity!D131*Electricity!$B$126</f>
        <v>182834.95569119998</v>
      </c>
      <c r="E131" s="11">
        <f>Electricity!E131*Electricity!$B$126</f>
        <v>182834.95569119998</v>
      </c>
      <c r="F131" s="11">
        <f>Electricity!F131*Electricity!$B$126</f>
        <v>182834.95569119998</v>
      </c>
      <c r="G131" s="11">
        <f>Electricity!G131*Electricity!$B$126</f>
        <v>182834.95569119998</v>
      </c>
      <c r="H131" s="11">
        <f>Electricity!H131*Electricity!$B$126</f>
        <v>182834.95569119998</v>
      </c>
      <c r="I131" s="11">
        <f>Electricity!I131*Electricity!$B$126</f>
        <v>182834.95569119998</v>
      </c>
      <c r="J131" s="11">
        <f>Electricity!J131*Electricity!$B$126</f>
        <v>182834.95569119998</v>
      </c>
      <c r="K131" s="11">
        <f>Electricity!K131*Electricity!$B$126</f>
        <v>182834.95569119998</v>
      </c>
      <c r="L131" s="11">
        <f>Electricity!L131*Electricity!$B$126</f>
        <v>182834.95569119998</v>
      </c>
      <c r="M131" s="11">
        <f>Electricity!M131*Electricity!$B$126</f>
        <v>182834.95569119998</v>
      </c>
      <c r="N131" s="11">
        <f>Electricity!N131*Electricity!$B$126</f>
        <v>182834.95569119998</v>
      </c>
      <c r="O131" s="11">
        <f>Electricity!O131*Electricity!$B$126</f>
        <v>182834.95569119998</v>
      </c>
      <c r="P131" s="11">
        <f>Electricity!P131*Electricity!$B$126</f>
        <v>182834.95569119998</v>
      </c>
      <c r="Q131" s="11">
        <f>Electricity!Q131*Electricity!$B$126</f>
        <v>182834.95569119998</v>
      </c>
      <c r="R131" s="11">
        <f>Electricity!R131*Electricity!$B$126</f>
        <v>182834.95569119998</v>
      </c>
      <c r="S131" s="11">
        <f>Electricity!S131*Electricity!$B$126</f>
        <v>182834.95569119998</v>
      </c>
      <c r="T131" s="11">
        <f>Electricity!T131*Electricity!$B$126</f>
        <v>182834.95569119998</v>
      </c>
      <c r="U131" s="11">
        <f>Electricity!U131*Electricity!$B$126</f>
        <v>182834.95569119998</v>
      </c>
      <c r="V131" s="11">
        <f>Electricity!V131*Electricity!$B$126</f>
        <v>182834.95569119998</v>
      </c>
      <c r="W131" s="11">
        <f>Electricity!W131*Electricity!$B$126</f>
        <v>182834.95569119998</v>
      </c>
      <c r="X131" s="11">
        <f>Electricity!X131*Electricity!$B$126</f>
        <v>182834.95569119998</v>
      </c>
      <c r="Y131" s="11">
        <f>Electricity!Y131*Electricity!$B$126</f>
        <v>182834.95569119998</v>
      </c>
      <c r="Z131" s="11">
        <f>Electricity!Z131*Electricity!$B$126</f>
        <v>182834.95569119998</v>
      </c>
      <c r="AA131" s="11">
        <f>Electricity!AA131*Electricity!$B$126</f>
        <v>182834.95569119998</v>
      </c>
      <c r="AB131" s="11">
        <f>Electricity!AB131*Electricity!$B$126</f>
        <v>182834.95569119998</v>
      </c>
      <c r="AC131" s="11">
        <f>Electricity!AC131*Electricity!$B$126</f>
        <v>182834.95569119998</v>
      </c>
      <c r="AD131" s="11">
        <f>Electricity!AD131*Electricity!$B$126</f>
        <v>182834.95569119998</v>
      </c>
      <c r="AE131" s="11">
        <f>Electricity!AE131*Electricity!$B$126</f>
        <v>182834.95569119998</v>
      </c>
      <c r="AF131" s="11">
        <f>Electricity!AF131*Electricity!$B$126</f>
        <v>182834.95569119998</v>
      </c>
      <c r="AG131" s="11">
        <f>Electricity!AG131*Electricity!$B$126</f>
        <v>182834.95569119998</v>
      </c>
      <c r="AH131" s="11">
        <f>Electricity!AH131*Electricity!$B$126</f>
        <v>182834.95569119998</v>
      </c>
      <c r="AI131" s="11">
        <f>Electricity!AI131*Electricity!$B$126</f>
        <v>182834.95569119998</v>
      </c>
      <c r="AJ131" s="11">
        <f>Electricity!AJ131*Electricity!$B$126</f>
        <v>182834.95569119998</v>
      </c>
      <c r="AK131" s="11">
        <f>Electricity!AK131*Electricity!$B$126</f>
        <v>182834.95569119998</v>
      </c>
      <c r="AL131" s="11">
        <f>Electricity!AL131*Electricity!$B$126</f>
        <v>182834.95569119998</v>
      </c>
      <c r="AM131" s="11">
        <f>Electricity!AM131*Electricity!$B$126</f>
        <v>182834.95569119998</v>
      </c>
      <c r="AN131" s="11">
        <f>Electricity!AN131*Electricity!$B$126</f>
        <v>182834.95569119998</v>
      </c>
      <c r="AO131" s="40">
        <f>Electricity!AO131*Electricity!$B$126</f>
        <v>182834.95569119998</v>
      </c>
      <c r="AP131" s="40">
        <f>Electricity!AP131*Electricity!$B$126</f>
        <v>182834.95569119998</v>
      </c>
      <c r="AQ131" s="40">
        <f>Electricity!AQ131*Electricity!$B$126</f>
        <v>182834.95569119998</v>
      </c>
      <c r="AR131" s="40">
        <f>Electricity!AR131*Electricity!$B$126</f>
        <v>182834.95569119998</v>
      </c>
      <c r="AS131" s="40">
        <f>Electricity!AS131*Electricity!$B$126</f>
        <v>182834.95569119998</v>
      </c>
      <c r="AT131" s="40">
        <f>Electricity!AT131*Electricity!$B$126</f>
        <v>182834.95569119998</v>
      </c>
      <c r="AU131" s="40">
        <f>Electricity!AU131*Electricity!$B$126</f>
        <v>182834.95569119998</v>
      </c>
      <c r="AV131" s="40">
        <f>Electricity!AV131*Electricity!$B$126</f>
        <v>182834.95569119998</v>
      </c>
      <c r="AW131" s="40">
        <f>Electricity!AW131*Electricity!$B$126</f>
        <v>182834.95569119998</v>
      </c>
      <c r="AX131" s="40">
        <f>Electricity!AX131*Electricity!$B$126</f>
        <v>182834.95569119998</v>
      </c>
    </row>
    <row r="133" spans="1:50" x14ac:dyDescent="0.2">
      <c r="A133" s="5" t="s">
        <v>157</v>
      </c>
    </row>
    <row r="134" spans="1:50" x14ac:dyDescent="0.2">
      <c r="A134" s="5" t="s">
        <v>4</v>
      </c>
    </row>
    <row r="135" spans="1:50" x14ac:dyDescent="0.2">
      <c r="A135" s="5" t="s">
        <v>68</v>
      </c>
    </row>
    <row r="136" spans="1:50" x14ac:dyDescent="0.2">
      <c r="A136" s="5" t="s">
        <v>6</v>
      </c>
    </row>
    <row r="137" spans="1:50" x14ac:dyDescent="0.2">
      <c r="A137" s="5"/>
    </row>
    <row r="138" spans="1:50" x14ac:dyDescent="0.2">
      <c r="A138" s="6" t="s">
        <v>7</v>
      </c>
      <c r="B138" s="6">
        <v>2022</v>
      </c>
      <c r="C138" s="6">
        <v>2023</v>
      </c>
      <c r="D138" s="6">
        <v>2024</v>
      </c>
      <c r="E138" s="6">
        <v>2025</v>
      </c>
      <c r="F138" s="6">
        <v>2026</v>
      </c>
      <c r="G138" s="6">
        <v>2027</v>
      </c>
      <c r="H138" s="6">
        <v>2028</v>
      </c>
      <c r="I138" s="6">
        <v>2029</v>
      </c>
      <c r="J138" s="6">
        <v>2030</v>
      </c>
      <c r="K138" s="6">
        <v>2031</v>
      </c>
      <c r="L138" s="6">
        <v>2032</v>
      </c>
      <c r="M138" s="6">
        <v>2033</v>
      </c>
      <c r="N138" s="6">
        <v>2034</v>
      </c>
      <c r="O138" s="6">
        <v>2035</v>
      </c>
      <c r="P138" s="6">
        <v>2036</v>
      </c>
      <c r="Q138" s="6">
        <v>2037</v>
      </c>
      <c r="R138" s="6">
        <v>2038</v>
      </c>
      <c r="S138" s="6">
        <v>2039</v>
      </c>
      <c r="T138" s="6">
        <v>2040</v>
      </c>
      <c r="U138" s="6">
        <v>2041</v>
      </c>
      <c r="V138" s="6">
        <v>2042</v>
      </c>
      <c r="W138" s="6">
        <v>2043</v>
      </c>
      <c r="X138" s="6">
        <v>2044</v>
      </c>
      <c r="Y138" s="6">
        <v>2045</v>
      </c>
      <c r="Z138" s="6">
        <v>2046</v>
      </c>
      <c r="AA138" s="6">
        <v>2047</v>
      </c>
      <c r="AB138" s="6">
        <v>2048</v>
      </c>
      <c r="AC138" s="6">
        <v>2049</v>
      </c>
      <c r="AD138" s="6">
        <v>2050</v>
      </c>
      <c r="AE138" s="6">
        <v>2051</v>
      </c>
      <c r="AF138" s="6">
        <v>2052</v>
      </c>
      <c r="AG138" s="6">
        <v>2053</v>
      </c>
      <c r="AH138" s="6">
        <v>2054</v>
      </c>
      <c r="AI138" s="6">
        <v>2055</v>
      </c>
      <c r="AJ138" s="6">
        <v>2056</v>
      </c>
      <c r="AK138" s="6">
        <v>2057</v>
      </c>
      <c r="AL138" s="6">
        <v>2058</v>
      </c>
      <c r="AM138" s="6">
        <v>2059</v>
      </c>
      <c r="AN138" s="6">
        <v>2060</v>
      </c>
      <c r="AO138" s="39">
        <f>AN138+1</f>
        <v>2061</v>
      </c>
      <c r="AP138" s="39">
        <f t="shared" ref="AP138:AX138" si="12">AO138+1</f>
        <v>2062</v>
      </c>
      <c r="AQ138" s="39">
        <f t="shared" si="12"/>
        <v>2063</v>
      </c>
      <c r="AR138" s="39">
        <f t="shared" si="12"/>
        <v>2064</v>
      </c>
      <c r="AS138" s="39">
        <f t="shared" si="12"/>
        <v>2065</v>
      </c>
      <c r="AT138" s="39">
        <f t="shared" si="12"/>
        <v>2066</v>
      </c>
      <c r="AU138" s="39">
        <f t="shared" si="12"/>
        <v>2067</v>
      </c>
      <c r="AV138" s="39">
        <f t="shared" si="12"/>
        <v>2068</v>
      </c>
      <c r="AW138" s="39">
        <f>AV138+1</f>
        <v>2069</v>
      </c>
      <c r="AX138" s="39">
        <f t="shared" si="12"/>
        <v>2070</v>
      </c>
    </row>
    <row r="139" spans="1:50" x14ac:dyDescent="0.2">
      <c r="A139" s="6" t="s">
        <v>34</v>
      </c>
      <c r="B139" s="11">
        <f>Electricity!B139*Electricity!$B$137</f>
        <v>4168749.0780000002</v>
      </c>
      <c r="C139" s="11">
        <f>Electricity!C139*Electricity!$B$137</f>
        <v>4377186.5319000008</v>
      </c>
      <c r="D139" s="11">
        <f>Electricity!D139*Electricity!$B$137</f>
        <v>4596045.8584949998</v>
      </c>
      <c r="E139" s="11">
        <f>Electricity!E139*Electricity!$B$137</f>
        <v>4825848.1514197513</v>
      </c>
      <c r="F139" s="11">
        <f>Electricity!F139*Electricity!$B$137</f>
        <v>5067140.5589907393</v>
      </c>
      <c r="G139" s="11">
        <f>Electricity!G139*Electricity!$B$137</f>
        <v>5320497.5869402764</v>
      </c>
      <c r="H139" s="11">
        <f>Electricity!H139*Electricity!$B$137</f>
        <v>5586522.4662872897</v>
      </c>
      <c r="I139" s="11">
        <f>Electricity!I139*Electricity!$B$137</f>
        <v>5865848.5896016546</v>
      </c>
      <c r="J139" s="11">
        <f>Electricity!J139*Electricity!$B$137</f>
        <v>6159141.0190817378</v>
      </c>
      <c r="K139" s="11">
        <f>Electricity!K139*Electricity!$B$137</f>
        <v>6467098.0700358246</v>
      </c>
      <c r="L139" s="11">
        <f>Electricity!L139*Electricity!$B$137</f>
        <v>6790452.9735376146</v>
      </c>
      <c r="M139" s="11">
        <f>Electricity!M139*Electricity!$B$137</f>
        <v>7129975.6222144971</v>
      </c>
      <c r="N139" s="11">
        <f>Electricity!N139*Electricity!$B$137</f>
        <v>7486474.4033252224</v>
      </c>
      <c r="O139" s="11">
        <f>Electricity!O139*Electricity!$B$137</f>
        <v>7860798.1234914847</v>
      </c>
      <c r="P139" s="11">
        <f>Electricity!P139*Electricity!$B$137</f>
        <v>8253838.0296660578</v>
      </c>
      <c r="Q139" s="11">
        <f>Electricity!Q139*Electricity!$B$137</f>
        <v>8666529.9311493617</v>
      </c>
      <c r="R139" s="11">
        <f>Electricity!R139*Electricity!$B$137</f>
        <v>9099856.4277068302</v>
      </c>
      <c r="S139" s="11">
        <f>Electricity!S139*Electricity!$B$137</f>
        <v>9554849.2490921691</v>
      </c>
      <c r="T139" s="11">
        <f>Electricity!T139*Electricity!$B$137</f>
        <v>10032591.711546779</v>
      </c>
      <c r="U139" s="11">
        <f>Electricity!U139*Electricity!$B$137</f>
        <v>10534221.297124119</v>
      </c>
      <c r="V139" s="11">
        <f>Electricity!V139*Electricity!$B$137</f>
        <v>11060932.361980326</v>
      </c>
      <c r="W139" s="11">
        <f>Electricity!W139*Electricity!$B$137</f>
        <v>11613978.980079344</v>
      </c>
      <c r="X139" s="11">
        <f>Electricity!X139*Electricity!$B$137</f>
        <v>12194677.92908331</v>
      </c>
      <c r="Y139" s="11">
        <f>Electricity!Y139*Electricity!$B$137</f>
        <v>12804411.825537477</v>
      </c>
      <c r="Z139" s="11">
        <f>Electricity!Z139*Electricity!$B$137</f>
        <v>13444632.41681435</v>
      </c>
      <c r="AA139" s="11">
        <f>Electricity!AA139*Electricity!$B$137</f>
        <v>14116864.037655067</v>
      </c>
      <c r="AB139" s="11">
        <f>Electricity!AB139*Electricity!$B$137</f>
        <v>14822707.239537824</v>
      </c>
      <c r="AC139" s="11">
        <f>Electricity!AC139*Electricity!$B$137</f>
        <v>15563842.601514714</v>
      </c>
      <c r="AD139" s="11">
        <f>Electricity!AD139*Electricity!$B$137</f>
        <v>16342034.731590444</v>
      </c>
      <c r="AE139" s="11">
        <f>Electricity!AE139*Electricity!$B$137</f>
        <v>17159136.468169972</v>
      </c>
      <c r="AF139" s="11">
        <f>Electricity!AF139*Electricity!$B$137</f>
        <v>18017093.291578472</v>
      </c>
      <c r="AG139" s="11">
        <f>Electricity!AG139*Electricity!$B$137</f>
        <v>18917947.956157397</v>
      </c>
      <c r="AH139" s="11">
        <f>Electricity!AH139*Electricity!$B$137</f>
        <v>19863845.353965264</v>
      </c>
      <c r="AI139" s="11">
        <f>Electricity!AI139*Electricity!$B$137</f>
        <v>20857037.621663529</v>
      </c>
      <c r="AJ139" s="11">
        <f>Electricity!AJ139*Electricity!$B$137</f>
        <v>21899889.502746709</v>
      </c>
      <c r="AK139" s="11">
        <f>Electricity!AK139*Electricity!$B$137</f>
        <v>22994883.977884047</v>
      </c>
      <c r="AL139" s="11">
        <f>Electricity!AL139*Electricity!$B$137</f>
        <v>24144628.176778246</v>
      </c>
      <c r="AM139" s="11">
        <f>Electricity!AM139*Electricity!$B$137</f>
        <v>25351859.585617166</v>
      </c>
      <c r="AN139" s="11">
        <f>Electricity!AN139*Electricity!$B$137</f>
        <v>26619452.564898025</v>
      </c>
      <c r="AO139" s="40">
        <f>Electricity!AO139*Electricity!$B$137</f>
        <v>27950425.193142932</v>
      </c>
      <c r="AP139" s="40">
        <f>Electricity!AP139*Electricity!$B$137</f>
        <v>29347946.452800076</v>
      </c>
      <c r="AQ139" s="40">
        <f>Electricity!AQ139*Electricity!$B$137</f>
        <v>30815343.775440086</v>
      </c>
      <c r="AR139" s="40">
        <f>Electricity!AR139*Electricity!$B$137</f>
        <v>32356110.964212094</v>
      </c>
      <c r="AS139" s="40">
        <f>Electricity!AS139*Electricity!$B$137</f>
        <v>33973916.512422696</v>
      </c>
      <c r="AT139" s="40">
        <f>Electricity!AT139*Electricity!$B$137</f>
        <v>35672612.338043831</v>
      </c>
      <c r="AU139" s="40">
        <f>Electricity!AU139*Electricity!$B$137</f>
        <v>37456242.954946026</v>
      </c>
      <c r="AV139" s="40">
        <f>Electricity!AV139*Electricity!$B$137</f>
        <v>39329055.102693334</v>
      </c>
      <c r="AW139" s="40">
        <f>Electricity!AW139*Electricity!$B$137</f>
        <v>41295507.857827999</v>
      </c>
      <c r="AX139" s="40">
        <f>Electricity!AX139*Electricity!$B$137</f>
        <v>43360283.250719406</v>
      </c>
    </row>
    <row r="140" spans="1:50" x14ac:dyDescent="0.2">
      <c r="A140" s="6" t="s">
        <v>35</v>
      </c>
      <c r="B140" s="11">
        <f>Electricity!B140*Electricity!$B$137</f>
        <v>1776191.9760000005</v>
      </c>
      <c r="C140" s="11">
        <f>Electricity!C140*Electricity!$B$137</f>
        <v>1865001.5748000003</v>
      </c>
      <c r="D140" s="11">
        <f>Electricity!D140*Electricity!$B$137</f>
        <v>1958251.6535400003</v>
      </c>
      <c r="E140" s="11">
        <f>Electricity!E140*Electricity!$B$137</f>
        <v>2056164.2362170005</v>
      </c>
      <c r="F140" s="11">
        <f>Electricity!F140*Electricity!$B$137</f>
        <v>2158972.4480278511</v>
      </c>
      <c r="G140" s="11">
        <f>Electricity!G140*Electricity!$B$137</f>
        <v>2266921.0704292436</v>
      </c>
      <c r="H140" s="11">
        <f>Electricity!H140*Electricity!$B$137</f>
        <v>2380267.1239507054</v>
      </c>
      <c r="I140" s="11">
        <f>Electricity!I140*Electricity!$B$137</f>
        <v>2499280.4801482414</v>
      </c>
      <c r="J140" s="11">
        <f>Electricity!J140*Electricity!$B$137</f>
        <v>2624244.5041556535</v>
      </c>
      <c r="K140" s="11">
        <f>Electricity!K140*Electricity!$B$137</f>
        <v>2755456.7293634363</v>
      </c>
      <c r="L140" s="11">
        <f>Electricity!L140*Electricity!$B$137</f>
        <v>2893229.5658316072</v>
      </c>
      <c r="M140" s="11">
        <f>Electricity!M140*Electricity!$B$137</f>
        <v>3037891.0441231881</v>
      </c>
      <c r="N140" s="11">
        <f>Electricity!N140*Electricity!$B$137</f>
        <v>3189785.5963293482</v>
      </c>
      <c r="O140" s="11">
        <f>Electricity!O140*Electricity!$B$137</f>
        <v>3349274.8761458155</v>
      </c>
      <c r="P140" s="11">
        <f>Electricity!P140*Electricity!$B$137</f>
        <v>3516738.6199531066</v>
      </c>
      <c r="Q140" s="11">
        <f>Electricity!Q140*Electricity!$B$137</f>
        <v>3692575.5509507619</v>
      </c>
      <c r="R140" s="11">
        <f>Electricity!R140*Electricity!$B$137</f>
        <v>3877204.3284983006</v>
      </c>
      <c r="S140" s="11">
        <f>Electricity!S140*Electricity!$B$137</f>
        <v>4071064.5449232138</v>
      </c>
      <c r="T140" s="11">
        <f>Electricity!T140*Electricity!$B$137</f>
        <v>4274617.7721693749</v>
      </c>
      <c r="U140" s="11">
        <f>Electricity!U140*Electricity!$B$137</f>
        <v>4488348.6607778454</v>
      </c>
      <c r="V140" s="11">
        <f>Electricity!V140*Electricity!$B$137</f>
        <v>4712766.0938167376</v>
      </c>
      <c r="W140" s="11">
        <f>Electricity!W140*Electricity!$B$137</f>
        <v>4948404.3985075746</v>
      </c>
      <c r="X140" s="11">
        <f>Electricity!X140*Electricity!$B$137</f>
        <v>5195824.618432953</v>
      </c>
      <c r="Y140" s="11">
        <f>Electricity!Y140*Electricity!$B$137</f>
        <v>5455615.8493546005</v>
      </c>
      <c r="Z140" s="11">
        <f>Electricity!Z140*Electricity!$B$137</f>
        <v>5728396.6418223307</v>
      </c>
      <c r="AA140" s="11">
        <f>Electricity!AA140*Electricity!$B$137</f>
        <v>6014816.473913447</v>
      </c>
      <c r="AB140" s="11">
        <f>Electricity!AB140*Electricity!$B$137</f>
        <v>6315557.2976091206</v>
      </c>
      <c r="AC140" s="11">
        <f>Electricity!AC140*Electricity!$B$137</f>
        <v>6631335.1624895763</v>
      </c>
      <c r="AD140" s="11">
        <f>Electricity!AD140*Electricity!$B$137</f>
        <v>6962901.9206140544</v>
      </c>
      <c r="AE140" s="11">
        <f>Electricity!AE140*Electricity!$B$137</f>
        <v>7311047.0166447582</v>
      </c>
      <c r="AF140" s="11">
        <f>Electricity!AF140*Electricity!$B$137</f>
        <v>7676599.367476996</v>
      </c>
      <c r="AG140" s="11">
        <f>Electricity!AG140*Electricity!$B$137</f>
        <v>8060429.335850847</v>
      </c>
      <c r="AH140" s="11">
        <f>Electricity!AH140*Electricity!$B$137</f>
        <v>8463450.8026433885</v>
      </c>
      <c r="AI140" s="11">
        <f>Electricity!AI140*Electricity!$B$137</f>
        <v>8886623.3427755591</v>
      </c>
      <c r="AJ140" s="11">
        <f>Electricity!AJ140*Electricity!$B$137</f>
        <v>9330954.5099143386</v>
      </c>
      <c r="AK140" s="11">
        <f>Electricity!AK140*Electricity!$B$137</f>
        <v>9797502.2354100551</v>
      </c>
      <c r="AL140" s="11">
        <f>Electricity!AL140*Electricity!$B$137</f>
        <v>10287377.347180558</v>
      </c>
      <c r="AM140" s="11">
        <f>Electricity!AM140*Electricity!$B$137</f>
        <v>10801746.214539587</v>
      </c>
      <c r="AN140" s="11">
        <f>Electricity!AN140*Electricity!$B$137</f>
        <v>11341833.525266569</v>
      </c>
      <c r="AO140" s="40">
        <f>Electricity!AO140*Electricity!$B$137</f>
        <v>11908925.201529898</v>
      </c>
      <c r="AP140" s="40">
        <f>Electricity!AP140*Electricity!$B$137</f>
        <v>12504371.461606394</v>
      </c>
      <c r="AQ140" s="40">
        <f>Electricity!AQ140*Electricity!$B$137</f>
        <v>13129590.034686714</v>
      </c>
      <c r="AR140" s="40">
        <f>Electricity!AR140*Electricity!$B$137</f>
        <v>13786069.536421051</v>
      </c>
      <c r="AS140" s="40">
        <f>Electricity!AS140*Electricity!$B$137</f>
        <v>14475373.013242103</v>
      </c>
      <c r="AT140" s="40">
        <f>Electricity!AT140*Electricity!$B$137</f>
        <v>15199141.663904209</v>
      </c>
      <c r="AU140" s="40">
        <f>Electricity!AU140*Electricity!$B$137</f>
        <v>15959098.74709942</v>
      </c>
      <c r="AV140" s="40">
        <f>Electricity!AV140*Electricity!$B$137</f>
        <v>16757053.684454391</v>
      </c>
      <c r="AW140" s="40">
        <f>Electricity!AW140*Electricity!$B$137</f>
        <v>17594906.368677113</v>
      </c>
      <c r="AX140" s="40">
        <f>Electricity!AX140*Electricity!$B$137</f>
        <v>18474651.687110968</v>
      </c>
    </row>
    <row r="141" spans="1:50" x14ac:dyDescent="0.2">
      <c r="A141" s="6" t="s">
        <v>36</v>
      </c>
      <c r="B141" s="11">
        <f>Electricity!B141*Electricity!$B$137</f>
        <v>410910.08400000003</v>
      </c>
      <c r="C141" s="11">
        <f>Electricity!C141*Electricity!$B$137</f>
        <v>431455.58820000006</v>
      </c>
      <c r="D141" s="11">
        <f>Electricity!D141*Electricity!$B$137</f>
        <v>453028.36761000002</v>
      </c>
      <c r="E141" s="11">
        <f>Electricity!E141*Electricity!$B$137</f>
        <v>475679.78599050012</v>
      </c>
      <c r="F141" s="11">
        <f>Electricity!F141*Electricity!$B$137</f>
        <v>499463.77529002511</v>
      </c>
      <c r="G141" s="11">
        <f>Electricity!G141*Electricity!$B$137</f>
        <v>524436.96405452641</v>
      </c>
      <c r="H141" s="11">
        <f>Electricity!H141*Electricity!$B$137</f>
        <v>550658.81225725275</v>
      </c>
      <c r="I141" s="11">
        <f>Electricity!I141*Electricity!$B$137</f>
        <v>578191.75287011545</v>
      </c>
      <c r="J141" s="11">
        <f>Electricity!J141*Electricity!$B$137</f>
        <v>607101.34051362122</v>
      </c>
      <c r="K141" s="11">
        <f>Electricity!K141*Electricity!$B$137</f>
        <v>637456.40753930225</v>
      </c>
      <c r="L141" s="11">
        <f>Electricity!L141*Electricity!$B$137</f>
        <v>669329.22791626735</v>
      </c>
      <c r="M141" s="11">
        <f>Electricity!M141*Electricity!$B$137</f>
        <v>702795.68931208074</v>
      </c>
      <c r="N141" s="11">
        <f>Electricity!N141*Electricity!$B$137</f>
        <v>737935.47377768497</v>
      </c>
      <c r="O141" s="11">
        <f>Electricity!O141*Electricity!$B$137</f>
        <v>774832.24746656918</v>
      </c>
      <c r="P141" s="11">
        <f>Electricity!P141*Electricity!$B$137</f>
        <v>813573.8598398976</v>
      </c>
      <c r="Q141" s="11">
        <f>Electricity!Q141*Electricity!$B$137</f>
        <v>854252.55283189251</v>
      </c>
      <c r="R141" s="11">
        <f>Electricity!R141*Electricity!$B$137</f>
        <v>896965.18047348736</v>
      </c>
      <c r="S141" s="11">
        <f>Electricity!S141*Electricity!$B$137</f>
        <v>941813.43949716142</v>
      </c>
      <c r="T141" s="11">
        <f>Electricity!T141*Electricity!$B$137</f>
        <v>988904.11147201946</v>
      </c>
      <c r="U141" s="11">
        <f>Electricity!U141*Electricity!$B$137</f>
        <v>1038349.3170456206</v>
      </c>
      <c r="V141" s="11">
        <f>Electricity!V141*Electricity!$B$137</f>
        <v>1090266.782897902</v>
      </c>
      <c r="W141" s="11">
        <f>Electricity!W141*Electricity!$B$137</f>
        <v>1144780.122042797</v>
      </c>
      <c r="X141" s="11">
        <f>Electricity!X141*Electricity!$B$137</f>
        <v>1202019.1281449369</v>
      </c>
      <c r="Y141" s="11">
        <f>Electricity!Y141*Electricity!$B$137</f>
        <v>1262120.0845521837</v>
      </c>
      <c r="Z141" s="11">
        <f>Electricity!Z141*Electricity!$B$137</f>
        <v>1325226.0887797929</v>
      </c>
      <c r="AA141" s="11">
        <f>Electricity!AA141*Electricity!$B$137</f>
        <v>1391487.3932187823</v>
      </c>
      <c r="AB141" s="11">
        <f>Electricity!AB141*Electricity!$B$137</f>
        <v>1461061.7628797218</v>
      </c>
      <c r="AC141" s="11">
        <f>Electricity!AC141*Electricity!$B$137</f>
        <v>1534114.8510237078</v>
      </c>
      <c r="AD141" s="11">
        <f>Electricity!AD141*Electricity!$B$137</f>
        <v>1610820.593574893</v>
      </c>
      <c r="AE141" s="11">
        <f>Electricity!AE141*Electricity!$B$137</f>
        <v>1691361.6232536379</v>
      </c>
      <c r="AF141" s="11">
        <f>Electricity!AF141*Electricity!$B$137</f>
        <v>1775929.70441632</v>
      </c>
      <c r="AG141" s="11">
        <f>Electricity!AG141*Electricity!$B$137</f>
        <v>1864726.1896371362</v>
      </c>
      <c r="AH141" s="11">
        <f>Electricity!AH141*Electricity!$B$137</f>
        <v>1957962.4991189931</v>
      </c>
      <c r="AI141" s="11">
        <f>Electricity!AI141*Electricity!$B$137</f>
        <v>2055860.6240749429</v>
      </c>
      <c r="AJ141" s="11">
        <f>Electricity!AJ141*Electricity!$B$137</f>
        <v>2158653.6552786902</v>
      </c>
      <c r="AK141" s="11">
        <f>Electricity!AK141*Electricity!$B$137</f>
        <v>2266586.3380426243</v>
      </c>
      <c r="AL141" s="11">
        <f>Electricity!AL141*Electricity!$B$137</f>
        <v>2379915.6549447556</v>
      </c>
      <c r="AM141" s="11">
        <f>Electricity!AM141*Electricity!$B$137</f>
        <v>2498911.437691994</v>
      </c>
      <c r="AN141" s="11">
        <f>Electricity!AN141*Electricity!$B$137</f>
        <v>2623857.009576594</v>
      </c>
      <c r="AO141" s="40">
        <f>Electricity!AO141*Electricity!$B$137</f>
        <v>2755049.8600554238</v>
      </c>
      <c r="AP141" s="40">
        <f>Electricity!AP141*Electricity!$B$137</f>
        <v>2892802.3530581952</v>
      </c>
      <c r="AQ141" s="40">
        <f>Electricity!AQ141*Electricity!$B$137</f>
        <v>3037442.470711105</v>
      </c>
      <c r="AR141" s="40">
        <f>Electricity!AR141*Electricity!$B$137</f>
        <v>3189314.5942466608</v>
      </c>
      <c r="AS141" s="40">
        <f>Electricity!AS141*Electricity!$B$137</f>
        <v>3348780.3239589939</v>
      </c>
      <c r="AT141" s="40">
        <f>Electricity!AT141*Electricity!$B$137</f>
        <v>3516219.340156944</v>
      </c>
      <c r="AU141" s="40">
        <f>Electricity!AU141*Electricity!$B$137</f>
        <v>3692030.3071647915</v>
      </c>
      <c r="AV141" s="40">
        <f>Electricity!AV141*Electricity!$B$137</f>
        <v>3876631.8225230314</v>
      </c>
      <c r="AW141" s="40">
        <f>Electricity!AW141*Electricity!$B$137</f>
        <v>4070463.4136491828</v>
      </c>
      <c r="AX141" s="40">
        <f>Electricity!AX141*Electricity!$B$137</f>
        <v>4273986.5843316419</v>
      </c>
    </row>
    <row r="142" spans="1:50" x14ac:dyDescent="0.2">
      <c r="A142" s="6" t="s">
        <v>37</v>
      </c>
      <c r="B142" s="11">
        <f>Electricity!B142*Electricity!$B$137</f>
        <v>271730.86200000002</v>
      </c>
      <c r="C142" s="11">
        <f>Electricity!C142*Electricity!$B$137</f>
        <v>285317.40510000003</v>
      </c>
      <c r="D142" s="11">
        <f>Electricity!D142*Electricity!$B$137</f>
        <v>299583.27535500005</v>
      </c>
      <c r="E142" s="11">
        <f>Electricity!E142*Electricity!$B$137</f>
        <v>314562.43912275007</v>
      </c>
      <c r="F142" s="11">
        <f>Electricity!F142*Electricity!$B$137</f>
        <v>330290.56107888761</v>
      </c>
      <c r="G142" s="11">
        <f>Electricity!G142*Electricity!$B$137</f>
        <v>346805.08913283196</v>
      </c>
      <c r="H142" s="11">
        <f>Electricity!H142*Electricity!$B$137</f>
        <v>364145.34358947357</v>
      </c>
      <c r="I142" s="11">
        <f>Electricity!I142*Electricity!$B$137</f>
        <v>382352.61076894728</v>
      </c>
      <c r="J142" s="11">
        <f>Electricity!J142*Electricity!$B$137</f>
        <v>401470.2413073947</v>
      </c>
      <c r="K142" s="11">
        <f>Electricity!K142*Electricity!$B$137</f>
        <v>421543.75337276439</v>
      </c>
      <c r="L142" s="11">
        <f>Electricity!L142*Electricity!$B$137</f>
        <v>442620.94104140258</v>
      </c>
      <c r="M142" s="11">
        <f>Electricity!M142*Electricity!$B$137</f>
        <v>464751.98809347278</v>
      </c>
      <c r="N142" s="11">
        <f>Electricity!N142*Electricity!$B$137</f>
        <v>487989.58749814646</v>
      </c>
      <c r="O142" s="11">
        <f>Electricity!O142*Electricity!$B$137</f>
        <v>512389.06687305385</v>
      </c>
      <c r="P142" s="11">
        <f>Electricity!P142*Electricity!$B$137</f>
        <v>538008.52021670656</v>
      </c>
      <c r="Q142" s="11">
        <f>Electricity!Q142*Electricity!$B$137</f>
        <v>564908.94622754189</v>
      </c>
      <c r="R142" s="11">
        <f>Electricity!R142*Electricity!$B$137</f>
        <v>593154.39353891904</v>
      </c>
      <c r="S142" s="11">
        <f>Electricity!S142*Electricity!$B$137</f>
        <v>622812.11321586475</v>
      </c>
      <c r="T142" s="11">
        <f>Electricity!T142*Electricity!$B$137</f>
        <v>653952.71887665801</v>
      </c>
      <c r="U142" s="11">
        <f>Electricity!U142*Electricity!$B$137</f>
        <v>686650.35482049105</v>
      </c>
      <c r="V142" s="11">
        <f>Electricity!V142*Electricity!$B$137</f>
        <v>720982.87256151577</v>
      </c>
      <c r="W142" s="11">
        <f>Electricity!W142*Electricity!$B$137</f>
        <v>757032.01618959161</v>
      </c>
      <c r="X142" s="11">
        <f>Electricity!X142*Electricity!$B$137</f>
        <v>794883.61699907109</v>
      </c>
      <c r="Y142" s="11">
        <f>Electricity!Y142*Electricity!$B$137</f>
        <v>834627.79784902465</v>
      </c>
      <c r="Z142" s="11">
        <f>Electricity!Z142*Electricity!$B$137</f>
        <v>876359.18774147599</v>
      </c>
      <c r="AA142" s="11">
        <f>Electricity!AA142*Electricity!$B$137</f>
        <v>920177.14712854952</v>
      </c>
      <c r="AB142" s="11">
        <f>Electricity!AB142*Electricity!$B$137</f>
        <v>966186.00448497734</v>
      </c>
      <c r="AC142" s="11">
        <f>Electricity!AC142*Electricity!$B$137</f>
        <v>1014495.3047092262</v>
      </c>
      <c r="AD142" s="11">
        <f>Electricity!AD142*Electricity!$B$137</f>
        <v>1065220.0699446872</v>
      </c>
      <c r="AE142" s="11">
        <f>Electricity!AE142*Electricity!$B$137</f>
        <v>1118481.073441922</v>
      </c>
      <c r="AF142" s="11">
        <f>Electricity!AF142*Electricity!$B$137</f>
        <v>1174405.127114018</v>
      </c>
      <c r="AG142" s="11">
        <f>Electricity!AG142*Electricity!$B$137</f>
        <v>1233125.3834697192</v>
      </c>
      <c r="AH142" s="11">
        <f>Electricity!AH142*Electricity!$B$137</f>
        <v>1294781.6526432049</v>
      </c>
      <c r="AI142" s="11">
        <f>Electricity!AI142*Electricity!$B$137</f>
        <v>1359520.7352753654</v>
      </c>
      <c r="AJ142" s="11">
        <f>Electricity!AJ142*Electricity!$B$137</f>
        <v>1427496.7720391338</v>
      </c>
      <c r="AK142" s="11">
        <f>Electricity!AK142*Electricity!$B$137</f>
        <v>1498871.6106410904</v>
      </c>
      <c r="AL142" s="11">
        <f>Electricity!AL142*Electricity!$B$137</f>
        <v>1573815.1911731448</v>
      </c>
      <c r="AM142" s="11">
        <f>Electricity!AM142*Electricity!$B$137</f>
        <v>1652505.9507318023</v>
      </c>
      <c r="AN142" s="11">
        <f>Electricity!AN142*Electricity!$B$137</f>
        <v>1735131.2482683929</v>
      </c>
      <c r="AO142" s="40">
        <f>Electricity!AO142*Electricity!$B$137</f>
        <v>1821887.8106818127</v>
      </c>
      <c r="AP142" s="40">
        <f>Electricity!AP142*Electricity!$B$137</f>
        <v>1912982.2012159033</v>
      </c>
      <c r="AQ142" s="40">
        <f>Electricity!AQ142*Electricity!$B$137</f>
        <v>2008631.3112766985</v>
      </c>
      <c r="AR142" s="40">
        <f>Electricity!AR142*Electricity!$B$137</f>
        <v>2109062.8768405332</v>
      </c>
      <c r="AS142" s="40">
        <f>Electricity!AS142*Electricity!$B$137</f>
        <v>2214516.0206825603</v>
      </c>
      <c r="AT142" s="40">
        <f>Electricity!AT142*Electricity!$B$137</f>
        <v>2325241.8217166886</v>
      </c>
      <c r="AU142" s="40">
        <f>Electricity!AU142*Electricity!$B$137</f>
        <v>2441503.9128025235</v>
      </c>
      <c r="AV142" s="40">
        <f>Electricity!AV142*Electricity!$B$137</f>
        <v>2563579.1084426497</v>
      </c>
      <c r="AW142" s="40">
        <f>Electricity!AW142*Electricity!$B$137</f>
        <v>2691758.0638647825</v>
      </c>
      <c r="AX142" s="40">
        <f>Electricity!AX142*Electricity!$B$137</f>
        <v>2826345.9670580216</v>
      </c>
    </row>
    <row r="144" spans="1:50" x14ac:dyDescent="0.2">
      <c r="A144" s="5" t="s">
        <v>157</v>
      </c>
    </row>
    <row r="145" spans="1:50" x14ac:dyDescent="0.2">
      <c r="A145" s="5" t="s">
        <v>4</v>
      </c>
    </row>
    <row r="146" spans="1:50" x14ac:dyDescent="0.2">
      <c r="A146" s="5" t="s">
        <v>70</v>
      </c>
    </row>
    <row r="147" spans="1:50" x14ac:dyDescent="0.2">
      <c r="A147" s="5" t="s">
        <v>6</v>
      </c>
    </row>
    <row r="148" spans="1:50" x14ac:dyDescent="0.2">
      <c r="A148" s="5"/>
    </row>
    <row r="149" spans="1:50" x14ac:dyDescent="0.2">
      <c r="A149" s="6" t="s">
        <v>7</v>
      </c>
      <c r="B149" s="6">
        <v>2022</v>
      </c>
      <c r="C149" s="6">
        <v>2023</v>
      </c>
      <c r="D149" s="6">
        <v>2024</v>
      </c>
      <c r="E149" s="6">
        <v>2025</v>
      </c>
      <c r="F149" s="6">
        <v>2026</v>
      </c>
      <c r="G149" s="6">
        <v>2027</v>
      </c>
      <c r="H149" s="6">
        <v>2028</v>
      </c>
      <c r="I149" s="6">
        <v>2029</v>
      </c>
      <c r="J149" s="6">
        <v>2030</v>
      </c>
      <c r="K149" s="6">
        <v>2031</v>
      </c>
      <c r="L149" s="6">
        <v>2032</v>
      </c>
      <c r="M149" s="6">
        <v>2033</v>
      </c>
      <c r="N149" s="6">
        <v>2034</v>
      </c>
      <c r="O149" s="6">
        <v>2035</v>
      </c>
      <c r="P149" s="6">
        <v>2036</v>
      </c>
      <c r="Q149" s="6">
        <v>2037</v>
      </c>
      <c r="R149" s="6">
        <v>2038</v>
      </c>
      <c r="S149" s="6">
        <v>2039</v>
      </c>
      <c r="T149" s="6">
        <v>2040</v>
      </c>
      <c r="U149" s="6">
        <v>2041</v>
      </c>
      <c r="V149" s="6">
        <v>2042</v>
      </c>
      <c r="W149" s="6">
        <v>2043</v>
      </c>
      <c r="X149" s="6">
        <v>2044</v>
      </c>
      <c r="Y149" s="6">
        <v>2045</v>
      </c>
      <c r="Z149" s="6">
        <v>2046</v>
      </c>
      <c r="AA149" s="6">
        <v>2047</v>
      </c>
      <c r="AB149" s="6">
        <v>2048</v>
      </c>
      <c r="AC149" s="6">
        <v>2049</v>
      </c>
      <c r="AD149" s="6">
        <v>2050</v>
      </c>
      <c r="AE149" s="6">
        <v>2051</v>
      </c>
      <c r="AF149" s="6">
        <v>2052</v>
      </c>
      <c r="AG149" s="6">
        <v>2053</v>
      </c>
      <c r="AH149" s="6">
        <v>2054</v>
      </c>
      <c r="AI149" s="6">
        <v>2055</v>
      </c>
      <c r="AJ149" s="6">
        <v>2056</v>
      </c>
      <c r="AK149" s="6">
        <v>2057</v>
      </c>
      <c r="AL149" s="6">
        <v>2058</v>
      </c>
      <c r="AM149" s="6">
        <v>2059</v>
      </c>
      <c r="AN149" s="6">
        <v>2060</v>
      </c>
      <c r="AO149" s="39">
        <f>AN149+1</f>
        <v>2061</v>
      </c>
      <c r="AP149" s="39">
        <f t="shared" ref="AP149:AX149" si="13">AO149+1</f>
        <v>2062</v>
      </c>
      <c r="AQ149" s="39">
        <f t="shared" si="13"/>
        <v>2063</v>
      </c>
      <c r="AR149" s="39">
        <f t="shared" si="13"/>
        <v>2064</v>
      </c>
      <c r="AS149" s="39">
        <f t="shared" si="13"/>
        <v>2065</v>
      </c>
      <c r="AT149" s="39">
        <f t="shared" si="13"/>
        <v>2066</v>
      </c>
      <c r="AU149" s="39">
        <f t="shared" si="13"/>
        <v>2067</v>
      </c>
      <c r="AV149" s="39">
        <f t="shared" si="13"/>
        <v>2068</v>
      </c>
      <c r="AW149" s="39">
        <f>AV149+1</f>
        <v>2069</v>
      </c>
      <c r="AX149" s="39">
        <f t="shared" si="13"/>
        <v>2070</v>
      </c>
    </row>
    <row r="150" spans="1:50" x14ac:dyDescent="0.2">
      <c r="A150" s="6" t="s">
        <v>34</v>
      </c>
      <c r="B150" s="11">
        <f>Electricity!B150*Electricity!$B$148</f>
        <v>4436349.5296799997</v>
      </c>
      <c r="C150" s="11">
        <f>Electricity!C150*Electricity!$B$148</f>
        <v>4658167.0061640004</v>
      </c>
      <c r="D150" s="11">
        <f>Electricity!D150*Electricity!$B$148</f>
        <v>4891075.3564721998</v>
      </c>
      <c r="E150" s="11">
        <f>Electricity!E150*Electricity!$B$148</f>
        <v>5135629.1242958102</v>
      </c>
      <c r="F150" s="11">
        <f>Electricity!F150*Electricity!$B$148</f>
        <v>5392410.5805106023</v>
      </c>
      <c r="G150" s="11">
        <f>Electricity!G150*Electricity!$B$148</f>
        <v>5662031.1095361309</v>
      </c>
      <c r="H150" s="11">
        <f>Electricity!H150*Electricity!$B$148</f>
        <v>5945132.665012938</v>
      </c>
      <c r="I150" s="11">
        <f>Electricity!I150*Electricity!$B$148</f>
        <v>6242389.2982635861</v>
      </c>
      <c r="J150" s="11">
        <f>Electricity!J150*Electricity!$B$148</f>
        <v>6554508.7631767653</v>
      </c>
      <c r="K150" s="11">
        <f>Electricity!K150*Electricity!$B$148</f>
        <v>6882234.2013356034</v>
      </c>
      <c r="L150" s="11">
        <f>Electricity!L150*Electricity!$B$148</f>
        <v>7226345.9114023838</v>
      </c>
      <c r="M150" s="11">
        <f>Electricity!M150*Electricity!$B$148</f>
        <v>7587663.2069725022</v>
      </c>
      <c r="N150" s="11">
        <f>Electricity!N150*Electricity!$B$148</f>
        <v>7967046.3673211299</v>
      </c>
      <c r="O150" s="11">
        <f>Electricity!O150*Electricity!$B$148</f>
        <v>8365398.6856871881</v>
      </c>
      <c r="P150" s="11">
        <f>Electricity!P150*Electricity!$B$148</f>
        <v>8783668.6199715454</v>
      </c>
      <c r="Q150" s="11">
        <f>Electricity!Q150*Electricity!$B$148</f>
        <v>9222852.0509701241</v>
      </c>
      <c r="R150" s="11">
        <f>Electricity!R150*Electricity!$B$148</f>
        <v>9683994.6535186283</v>
      </c>
      <c r="S150" s="11">
        <f>Electricity!S150*Electricity!$B$148</f>
        <v>10168194.386194563</v>
      </c>
      <c r="T150" s="11">
        <f>Electricity!T150*Electricity!$B$148</f>
        <v>10676604.105504289</v>
      </c>
      <c r="U150" s="11">
        <f>Electricity!U150*Electricity!$B$148</f>
        <v>11210434.310779504</v>
      </c>
      <c r="V150" s="11">
        <f>Electricity!V150*Electricity!$B$148</f>
        <v>11770956.026318479</v>
      </c>
      <c r="W150" s="11">
        <f>Electricity!W150*Electricity!$B$148</f>
        <v>12359503.827634405</v>
      </c>
      <c r="X150" s="11">
        <f>Electricity!X150*Electricity!$B$148</f>
        <v>12977479.019016126</v>
      </c>
      <c r="Y150" s="11">
        <f>Electricity!Y150*Electricity!$B$148</f>
        <v>13626352.969966929</v>
      </c>
      <c r="Z150" s="11">
        <f>Electricity!Z150*Electricity!$B$148</f>
        <v>14307670.618465276</v>
      </c>
      <c r="AA150" s="11">
        <f>Electricity!AA150*Electricity!$B$148</f>
        <v>15023054.149388544</v>
      </c>
      <c r="AB150" s="11">
        <f>Electricity!AB150*Electricity!$B$148</f>
        <v>15774206.85685797</v>
      </c>
      <c r="AC150" s="11">
        <f>Electricity!AC150*Electricity!$B$148</f>
        <v>16562917.199700866</v>
      </c>
      <c r="AD150" s="11">
        <f>Electricity!AD150*Electricity!$B$148</f>
        <v>17391063.059685912</v>
      </c>
      <c r="AE150" s="11">
        <f>Electricity!AE150*Electricity!$B$148</f>
        <v>18260616.212670207</v>
      </c>
      <c r="AF150" s="11">
        <f>Electricity!AF150*Electricity!$B$148</f>
        <v>19173647.023303721</v>
      </c>
      <c r="AG150" s="11">
        <f>Electricity!AG150*Electricity!$B$148</f>
        <v>20132329.374468908</v>
      </c>
      <c r="AH150" s="11">
        <f>Electricity!AH150*Electricity!$B$148</f>
        <v>21138945.843192354</v>
      </c>
      <c r="AI150" s="11">
        <f>Electricity!AI150*Electricity!$B$148</f>
        <v>22195893.135351975</v>
      </c>
      <c r="AJ150" s="11">
        <f>Electricity!AJ150*Electricity!$B$148</f>
        <v>23305687.792119574</v>
      </c>
      <c r="AK150" s="11">
        <f>Electricity!AK150*Electricity!$B$148</f>
        <v>24470972.181725554</v>
      </c>
      <c r="AL150" s="11">
        <f>Electricity!AL150*Electricity!$B$148</f>
        <v>25694520.790811833</v>
      </c>
      <c r="AM150" s="11">
        <f>Electricity!AM150*Electricity!$B$148</f>
        <v>26979246.830352422</v>
      </c>
      <c r="AN150" s="11">
        <f>Electricity!AN150*Electricity!$B$148</f>
        <v>28328209.171870049</v>
      </c>
      <c r="AO150" s="40">
        <f>Electricity!AO150*Electricity!$B$148</f>
        <v>29744619.630463555</v>
      </c>
      <c r="AP150" s="40">
        <f>Electricity!AP150*Electricity!$B$148</f>
        <v>31231850.611986741</v>
      </c>
      <c r="AQ150" s="40">
        <f>Electricity!AQ150*Electricity!$B$148</f>
        <v>32793443.142586086</v>
      </c>
      <c r="AR150" s="40">
        <f>Electricity!AR150*Electricity!$B$148</f>
        <v>34433115.2997154</v>
      </c>
      <c r="AS150" s="40">
        <f>Electricity!AS150*Electricity!$B$148</f>
        <v>36154771.06470117</v>
      </c>
      <c r="AT150" s="40">
        <f>Electricity!AT150*Electricity!$B$148</f>
        <v>37962509.617936239</v>
      </c>
      <c r="AU150" s="40">
        <f>Electricity!AU150*Electricity!$B$148</f>
        <v>39860635.098833062</v>
      </c>
      <c r="AV150" s="40">
        <f>Electricity!AV150*Electricity!$B$148</f>
        <v>41853666.853774726</v>
      </c>
      <c r="AW150" s="40">
        <f>Electricity!AW150*Electricity!$B$148</f>
        <v>43946350.196463473</v>
      </c>
      <c r="AX150" s="40">
        <f>Electricity!AX150*Electricity!$B$148</f>
        <v>46143667.706286646</v>
      </c>
    </row>
    <row r="151" spans="1:50" x14ac:dyDescent="0.2">
      <c r="A151" s="6" t="s">
        <v>35</v>
      </c>
      <c r="B151" s="11">
        <f>Electricity!B151*Electricity!$B$148</f>
        <v>1890209.3385599998</v>
      </c>
      <c r="C151" s="11">
        <f>Electricity!C151*Electricity!$B$148</f>
        <v>1984719.8054880002</v>
      </c>
      <c r="D151" s="11">
        <f>Electricity!D151*Electricity!$B$148</f>
        <v>2083955.7957623999</v>
      </c>
      <c r="E151" s="11">
        <f>Electricity!E151*Electricity!$B$148</f>
        <v>2188153.5855505201</v>
      </c>
      <c r="F151" s="11">
        <f>Electricity!F151*Electricity!$B$148</f>
        <v>2297561.2648280468</v>
      </c>
      <c r="G151" s="11">
        <f>Electricity!G151*Electricity!$B$148</f>
        <v>2412439.3280694485</v>
      </c>
      <c r="H151" s="11">
        <f>Electricity!H151*Electricity!$B$148</f>
        <v>2533061.2944729212</v>
      </c>
      <c r="I151" s="11">
        <f>Electricity!I151*Electricity!$B$148</f>
        <v>2659714.3591965679</v>
      </c>
      <c r="J151" s="11">
        <f>Electricity!J151*Electricity!$B$148</f>
        <v>2792700.0771563961</v>
      </c>
      <c r="K151" s="11">
        <f>Electricity!K151*Electricity!$B$148</f>
        <v>2932335.0810142155</v>
      </c>
      <c r="L151" s="11">
        <f>Electricity!L151*Electricity!$B$148</f>
        <v>3078951.8350649262</v>
      </c>
      <c r="M151" s="11">
        <f>Electricity!M151*Electricity!$B$148</f>
        <v>3232899.4268181729</v>
      </c>
      <c r="N151" s="11">
        <f>Electricity!N151*Electricity!$B$148</f>
        <v>3394544.398159082</v>
      </c>
      <c r="O151" s="11">
        <f>Electricity!O151*Electricity!$B$148</f>
        <v>3564271.6180670364</v>
      </c>
      <c r="P151" s="11">
        <f>Electricity!P151*Electricity!$B$148</f>
        <v>3742485.1989703882</v>
      </c>
      <c r="Q151" s="11">
        <f>Electricity!Q151*Electricity!$B$148</f>
        <v>3929609.4589189081</v>
      </c>
      <c r="R151" s="11">
        <f>Electricity!R151*Electricity!$B$148</f>
        <v>4126089.931864853</v>
      </c>
      <c r="S151" s="11">
        <f>Electricity!S151*Electricity!$B$148</f>
        <v>4332394.4284580955</v>
      </c>
      <c r="T151" s="11">
        <f>Electricity!T151*Electricity!$B$148</f>
        <v>4549014.1498810006</v>
      </c>
      <c r="U151" s="11">
        <f>Electricity!U151*Electricity!$B$148</f>
        <v>4776464.8573750518</v>
      </c>
      <c r="V151" s="11">
        <f>Electricity!V151*Electricity!$B$148</f>
        <v>5015288.100243804</v>
      </c>
      <c r="W151" s="11">
        <f>Electricity!W151*Electricity!$B$148</f>
        <v>5266052.5052559944</v>
      </c>
      <c r="X151" s="11">
        <f>Electricity!X151*Electricity!$B$148</f>
        <v>5529355.1305187941</v>
      </c>
      <c r="Y151" s="11">
        <f>Electricity!Y151*Electricity!$B$148</f>
        <v>5805822.8870447334</v>
      </c>
      <c r="Z151" s="11">
        <f>Electricity!Z151*Electricity!$B$148</f>
        <v>6096114.0313969692</v>
      </c>
      <c r="AA151" s="11">
        <f>Electricity!AA151*Electricity!$B$148</f>
        <v>6400919.7329668198</v>
      </c>
      <c r="AB151" s="11">
        <f>Electricity!AB151*Electricity!$B$148</f>
        <v>6720965.7196151605</v>
      </c>
      <c r="AC151" s="11">
        <f>Electricity!AC151*Electricity!$B$148</f>
        <v>7057014.0055959187</v>
      </c>
      <c r="AD151" s="11">
        <f>Electricity!AD151*Electricity!$B$148</f>
        <v>7409864.7058757134</v>
      </c>
      <c r="AE151" s="11">
        <f>Electricity!AE151*Electricity!$B$148</f>
        <v>7780357.9411694994</v>
      </c>
      <c r="AF151" s="11">
        <f>Electricity!AF151*Electricity!$B$148</f>
        <v>8169375.8382279761</v>
      </c>
      <c r="AG151" s="11">
        <f>Electricity!AG151*Electricity!$B$148</f>
        <v>8577844.6301393751</v>
      </c>
      <c r="AH151" s="11">
        <f>Electricity!AH151*Electricity!$B$148</f>
        <v>9006736.8616463449</v>
      </c>
      <c r="AI151" s="11">
        <f>Electricity!AI151*Electricity!$B$148</f>
        <v>9457073.704728663</v>
      </c>
      <c r="AJ151" s="11">
        <f>Electricity!AJ151*Electricity!$B$148</f>
        <v>9929927.3899650965</v>
      </c>
      <c r="AK151" s="11">
        <f>Electricity!AK151*Electricity!$B$148</f>
        <v>10426423.759463353</v>
      </c>
      <c r="AL151" s="11">
        <f>Electricity!AL151*Electricity!$B$148</f>
        <v>10947744.947436521</v>
      </c>
      <c r="AM151" s="11">
        <f>Electricity!AM151*Electricity!$B$148</f>
        <v>11495132.194808345</v>
      </c>
      <c r="AN151" s="11">
        <f>Electricity!AN151*Electricity!$B$148</f>
        <v>12069888.804548765</v>
      </c>
      <c r="AO151" s="40">
        <f>Electricity!AO151*Electricity!$B$148</f>
        <v>12673383.244776206</v>
      </c>
      <c r="AP151" s="40">
        <f>Electricity!AP151*Electricity!$B$148</f>
        <v>13307052.40701502</v>
      </c>
      <c r="AQ151" s="40">
        <f>Electricity!AQ151*Electricity!$B$148</f>
        <v>13972405.027365774</v>
      </c>
      <c r="AR151" s="40">
        <f>Electricity!AR151*Electricity!$B$148</f>
        <v>14671025.278734066</v>
      </c>
      <c r="AS151" s="40">
        <f>Electricity!AS151*Electricity!$B$148</f>
        <v>15404576.542670771</v>
      </c>
      <c r="AT151" s="40">
        <f>Electricity!AT151*Electricity!$B$148</f>
        <v>16174805.369804315</v>
      </c>
      <c r="AU151" s="40">
        <f>Electricity!AU151*Electricity!$B$148</f>
        <v>16983545.638294533</v>
      </c>
      <c r="AV151" s="40">
        <f>Electricity!AV151*Electricity!$B$148</f>
        <v>17832722.920209263</v>
      </c>
      <c r="AW151" s="40">
        <f>Electricity!AW151*Electricity!$B$148</f>
        <v>18724359.066219728</v>
      </c>
      <c r="AX151" s="40">
        <f>Electricity!AX151*Electricity!$B$148</f>
        <v>19660577.019530721</v>
      </c>
    </row>
    <row r="152" spans="1:50" x14ac:dyDescent="0.2">
      <c r="A152" s="6" t="s">
        <v>36</v>
      </c>
      <c r="B152" s="11">
        <f>Electricity!B152*Electricity!$B$148</f>
        <v>437287.23503999994</v>
      </c>
      <c r="C152" s="11">
        <f>Electricity!C152*Electricity!$B$148</f>
        <v>459151.59679200005</v>
      </c>
      <c r="D152" s="11">
        <f>Electricity!D152*Electricity!$B$148</f>
        <v>482109.17663159996</v>
      </c>
      <c r="E152" s="11">
        <f>Electricity!E152*Electricity!$B$148</f>
        <v>506214.6354631799</v>
      </c>
      <c r="F152" s="11">
        <f>Electricity!F152*Electricity!$B$148</f>
        <v>531525.36723633914</v>
      </c>
      <c r="G152" s="11">
        <f>Electricity!G152*Electricity!$B$148</f>
        <v>558101.63559815602</v>
      </c>
      <c r="H152" s="11">
        <f>Electricity!H152*Electricity!$B$148</f>
        <v>586006.71737806383</v>
      </c>
      <c r="I152" s="11">
        <f>Electricity!I152*Electricity!$B$148</f>
        <v>615307.05324696726</v>
      </c>
      <c r="J152" s="11">
        <f>Electricity!J152*Electricity!$B$148</f>
        <v>646072.40590931557</v>
      </c>
      <c r="K152" s="11">
        <f>Electricity!K152*Electricity!$B$148</f>
        <v>678376.02620478126</v>
      </c>
      <c r="L152" s="11">
        <f>Electricity!L152*Electricity!$B$148</f>
        <v>712294.82751502038</v>
      </c>
      <c r="M152" s="11">
        <f>Electricity!M152*Electricity!$B$148</f>
        <v>747909.56889077125</v>
      </c>
      <c r="N152" s="11">
        <f>Electricity!N152*Electricity!$B$148</f>
        <v>785305.04733531002</v>
      </c>
      <c r="O152" s="11">
        <f>Electricity!O152*Electricity!$B$148</f>
        <v>824570.29970207566</v>
      </c>
      <c r="P152" s="11">
        <f>Electricity!P152*Electricity!$B$148</f>
        <v>865798.81468717929</v>
      </c>
      <c r="Q152" s="11">
        <f>Electricity!Q152*Electricity!$B$148</f>
        <v>909088.75542153837</v>
      </c>
      <c r="R152" s="11">
        <f>Electricity!R152*Electricity!$B$148</f>
        <v>954543.19319261529</v>
      </c>
      <c r="S152" s="11">
        <f>Electricity!S152*Electricity!$B$148</f>
        <v>1002270.352852246</v>
      </c>
      <c r="T152" s="11">
        <f>Electricity!T152*Electricity!$B$148</f>
        <v>1052383.8704948584</v>
      </c>
      <c r="U152" s="11">
        <f>Electricity!U152*Electricity!$B$148</f>
        <v>1105003.0640196013</v>
      </c>
      <c r="V152" s="11">
        <f>Electricity!V152*Electricity!$B$148</f>
        <v>1160253.2172205814</v>
      </c>
      <c r="W152" s="11">
        <f>Electricity!W152*Electricity!$B$148</f>
        <v>1218265.8780816107</v>
      </c>
      <c r="X152" s="11">
        <f>Electricity!X152*Electricity!$B$148</f>
        <v>1279179.1719856912</v>
      </c>
      <c r="Y152" s="11">
        <f>Electricity!Y152*Electricity!$B$148</f>
        <v>1343138.1305849755</v>
      </c>
      <c r="Z152" s="11">
        <f>Electricity!Z152*Electricity!$B$148</f>
        <v>1410295.0371142244</v>
      </c>
      <c r="AA152" s="11">
        <f>Electricity!AA152*Electricity!$B$148</f>
        <v>1480809.7889699358</v>
      </c>
      <c r="AB152" s="11">
        <f>Electricity!AB152*Electricity!$B$148</f>
        <v>1554850.2784184327</v>
      </c>
      <c r="AC152" s="11">
        <f>Electricity!AC152*Electricity!$B$148</f>
        <v>1632592.7923393543</v>
      </c>
      <c r="AD152" s="11">
        <f>Electricity!AD152*Electricity!$B$148</f>
        <v>1714222.4319563219</v>
      </c>
      <c r="AE152" s="11">
        <f>Electricity!AE152*Electricity!$B$148</f>
        <v>1799933.5535541382</v>
      </c>
      <c r="AF152" s="11">
        <f>Electricity!AF152*Electricity!$B$148</f>
        <v>1889930.2312318452</v>
      </c>
      <c r="AG152" s="11">
        <f>Electricity!AG152*Electricity!$B$148</f>
        <v>1984426.7427934373</v>
      </c>
      <c r="AH152" s="11">
        <f>Electricity!AH152*Electricity!$B$148</f>
        <v>2083648.0799331097</v>
      </c>
      <c r="AI152" s="11">
        <f>Electricity!AI152*Electricity!$B$148</f>
        <v>2187830.4839297649</v>
      </c>
      <c r="AJ152" s="11">
        <f>Electricity!AJ152*Electricity!$B$148</f>
        <v>2297222.0081262537</v>
      </c>
      <c r="AK152" s="11">
        <f>Electricity!AK152*Electricity!$B$148</f>
        <v>2412083.1085325666</v>
      </c>
      <c r="AL152" s="11">
        <f>Electricity!AL152*Electricity!$B$148</f>
        <v>2532687.263959195</v>
      </c>
      <c r="AM152" s="11">
        <f>Electricity!AM152*Electricity!$B$148</f>
        <v>2659321.6271571545</v>
      </c>
      <c r="AN152" s="11">
        <f>Electricity!AN152*Electricity!$B$148</f>
        <v>2792287.7085150126</v>
      </c>
      <c r="AO152" s="40">
        <f>Electricity!AO152*Electricity!$B$148</f>
        <v>2931902.0939407642</v>
      </c>
      <c r="AP152" s="40">
        <f>Electricity!AP152*Electricity!$B$148</f>
        <v>3078497.1986378026</v>
      </c>
      <c r="AQ152" s="40">
        <f>Electricity!AQ152*Electricity!$B$148</f>
        <v>3232422.0585696935</v>
      </c>
      <c r="AR152" s="40">
        <f>Electricity!AR152*Electricity!$B$148</f>
        <v>3394043.1614981792</v>
      </c>
      <c r="AS152" s="40">
        <f>Electricity!AS152*Electricity!$B$148</f>
        <v>3563745.319573089</v>
      </c>
      <c r="AT152" s="40">
        <f>Electricity!AT152*Electricity!$B$148</f>
        <v>3741932.5855517443</v>
      </c>
      <c r="AU152" s="40">
        <f>Electricity!AU152*Electricity!$B$148</f>
        <v>3929029.2148293327</v>
      </c>
      <c r="AV152" s="40">
        <f>Electricity!AV152*Electricity!$B$148</f>
        <v>4125480.6755708</v>
      </c>
      <c r="AW152" s="40">
        <f>Electricity!AW152*Electricity!$B$148</f>
        <v>4331754.7093493398</v>
      </c>
      <c r="AX152" s="40">
        <f>Electricity!AX152*Electricity!$B$148</f>
        <v>4548342.4448168082</v>
      </c>
    </row>
    <row r="153" spans="1:50" x14ac:dyDescent="0.2">
      <c r="A153" s="6" t="s">
        <v>37</v>
      </c>
      <c r="B153" s="11">
        <f>Electricity!B153*Electricity!$B$148</f>
        <v>289173.81672</v>
      </c>
      <c r="C153" s="11">
        <f>Electricity!C153*Electricity!$B$148</f>
        <v>303632.50755600003</v>
      </c>
      <c r="D153" s="11">
        <f>Electricity!D153*Electricity!$B$148</f>
        <v>318814.13293379999</v>
      </c>
      <c r="E153" s="11">
        <f>Electricity!E153*Electricity!$B$148</f>
        <v>334754.83958049002</v>
      </c>
      <c r="F153" s="11">
        <f>Electricity!F153*Electricity!$B$148</f>
        <v>351492.58155951463</v>
      </c>
      <c r="G153" s="11">
        <f>Electricity!G153*Electricity!$B$148</f>
        <v>369067.21063749027</v>
      </c>
      <c r="H153" s="11">
        <f>Electricity!H153*Electricity!$B$148</f>
        <v>387520.57116936485</v>
      </c>
      <c r="I153" s="11">
        <f>Electricity!I153*Electricity!$B$148</f>
        <v>406896.59972783318</v>
      </c>
      <c r="J153" s="11">
        <f>Electricity!J153*Electricity!$B$148</f>
        <v>427241.42971422477</v>
      </c>
      <c r="K153" s="11">
        <f>Electricity!K153*Electricity!$B$148</f>
        <v>448603.50119993603</v>
      </c>
      <c r="L153" s="11">
        <f>Electricity!L153*Electricity!$B$148</f>
        <v>471033.67625993281</v>
      </c>
      <c r="M153" s="11">
        <f>Electricity!M153*Electricity!$B$148</f>
        <v>494585.36007292941</v>
      </c>
      <c r="N153" s="11">
        <f>Electricity!N153*Electricity!$B$148</f>
        <v>519314.62807657605</v>
      </c>
      <c r="O153" s="11">
        <f>Electricity!O153*Electricity!$B$148</f>
        <v>545280.35948040488</v>
      </c>
      <c r="P153" s="11">
        <f>Electricity!P153*Electricity!$B$148</f>
        <v>572544.37745442521</v>
      </c>
      <c r="Q153" s="11">
        <f>Electricity!Q153*Electricity!$B$148</f>
        <v>601171.5963271464</v>
      </c>
      <c r="R153" s="11">
        <f>Electricity!R153*Electricity!$B$148</f>
        <v>631230.17614350375</v>
      </c>
      <c r="S153" s="11">
        <f>Electricity!S153*Electricity!$B$148</f>
        <v>662791.68495067896</v>
      </c>
      <c r="T153" s="11">
        <f>Electricity!T153*Electricity!$B$148</f>
        <v>695931.26919821289</v>
      </c>
      <c r="U153" s="11">
        <f>Electricity!U153*Electricity!$B$148</f>
        <v>730727.83265812357</v>
      </c>
      <c r="V153" s="11">
        <f>Electricity!V153*Electricity!$B$148</f>
        <v>767264.22429102985</v>
      </c>
      <c r="W153" s="11">
        <f>Electricity!W153*Electricity!$B$148</f>
        <v>805627.43550558132</v>
      </c>
      <c r="X153" s="11">
        <f>Electricity!X153*Electricity!$B$148</f>
        <v>845908.80728086038</v>
      </c>
      <c r="Y153" s="11">
        <f>Electricity!Y153*Electricity!$B$148</f>
        <v>888204.24764490325</v>
      </c>
      <c r="Z153" s="11">
        <f>Electricity!Z153*Electricity!$B$148</f>
        <v>932614.46002714837</v>
      </c>
      <c r="AA153" s="11">
        <f>Electricity!AA153*Electricity!$B$148</f>
        <v>979245.183028506</v>
      </c>
      <c r="AB153" s="11">
        <f>Electricity!AB153*Electricity!$B$148</f>
        <v>1028207.4421799314</v>
      </c>
      <c r="AC153" s="11">
        <f>Electricity!AC153*Electricity!$B$148</f>
        <v>1079617.8142889279</v>
      </c>
      <c r="AD153" s="11">
        <f>Electricity!AD153*Electricity!$B$148</f>
        <v>1133598.7050033743</v>
      </c>
      <c r="AE153" s="11">
        <f>Electricity!AE153*Electricity!$B$148</f>
        <v>1190278.6402535432</v>
      </c>
      <c r="AF153" s="11">
        <f>Electricity!AF153*Electricity!$B$148</f>
        <v>1249792.5722662203</v>
      </c>
      <c r="AG153" s="11">
        <f>Electricity!AG153*Electricity!$B$148</f>
        <v>1312282.2008795314</v>
      </c>
      <c r="AH153" s="11">
        <f>Electricity!AH153*Electricity!$B$148</f>
        <v>1377896.3109235081</v>
      </c>
      <c r="AI153" s="11">
        <f>Electricity!AI153*Electricity!$B$148</f>
        <v>1446791.1264696836</v>
      </c>
      <c r="AJ153" s="11">
        <f>Electricity!AJ153*Electricity!$B$148</f>
        <v>1519130.6827931679</v>
      </c>
      <c r="AK153" s="11">
        <f>Electricity!AK153*Electricity!$B$148</f>
        <v>1595087.2169328264</v>
      </c>
      <c r="AL153" s="11">
        <f>Electricity!AL153*Electricity!$B$148</f>
        <v>1674841.5777794679</v>
      </c>
      <c r="AM153" s="11">
        <f>Electricity!AM153*Electricity!$B$148</f>
        <v>1758583.6566684409</v>
      </c>
      <c r="AN153" s="11">
        <f>Electricity!AN153*Electricity!$B$148</f>
        <v>1846512.8395018633</v>
      </c>
      <c r="AO153" s="40">
        <f>Electricity!AO153*Electricity!$B$148</f>
        <v>1938838.4814769567</v>
      </c>
      <c r="AP153" s="40">
        <f>Electricity!AP153*Electricity!$B$148</f>
        <v>2035780.4055508049</v>
      </c>
      <c r="AQ153" s="40">
        <f>Electricity!AQ153*Electricity!$B$148</f>
        <v>2137569.4258283456</v>
      </c>
      <c r="AR153" s="40">
        <f>Electricity!AR153*Electricity!$B$148</f>
        <v>2244447.8971197633</v>
      </c>
      <c r="AS153" s="40">
        <f>Electricity!AS153*Electricity!$B$148</f>
        <v>2356670.2919757525</v>
      </c>
      <c r="AT153" s="40">
        <f>Electricity!AT153*Electricity!$B$148</f>
        <v>2474503.8065745402</v>
      </c>
      <c r="AU153" s="40">
        <f>Electricity!AU153*Electricity!$B$148</f>
        <v>2598228.9969032682</v>
      </c>
      <c r="AV153" s="40">
        <f>Electricity!AV153*Electricity!$B$148</f>
        <v>2728140.4467484322</v>
      </c>
      <c r="AW153" s="40">
        <f>Electricity!AW153*Electricity!$B$148</f>
        <v>2864547.4690858545</v>
      </c>
      <c r="AX153" s="40">
        <f>Electricity!AX153*Electricity!$B$148</f>
        <v>3007774.8425401477</v>
      </c>
    </row>
    <row r="155" spans="1:50" x14ac:dyDescent="0.2">
      <c r="A155" s="5" t="s">
        <v>157</v>
      </c>
    </row>
    <row r="156" spans="1:50" x14ac:dyDescent="0.2">
      <c r="A156" s="5" t="s">
        <v>4</v>
      </c>
    </row>
    <row r="157" spans="1:50" x14ac:dyDescent="0.2">
      <c r="A157" s="5" t="s">
        <v>72</v>
      </c>
    </row>
    <row r="158" spans="1:50" x14ac:dyDescent="0.2">
      <c r="A158" s="5" t="s">
        <v>6</v>
      </c>
    </row>
    <row r="159" spans="1:50" x14ac:dyDescent="0.2">
      <c r="A159" s="5"/>
    </row>
    <row r="160" spans="1:50" x14ac:dyDescent="0.2">
      <c r="A160" s="6" t="s">
        <v>7</v>
      </c>
      <c r="B160" s="6">
        <v>2022</v>
      </c>
      <c r="C160" s="6">
        <v>2023</v>
      </c>
      <c r="D160" s="6">
        <v>2024</v>
      </c>
      <c r="E160" s="6">
        <v>2025</v>
      </c>
      <c r="F160" s="6">
        <v>2026</v>
      </c>
      <c r="G160" s="6">
        <v>2027</v>
      </c>
      <c r="H160" s="6">
        <v>2028</v>
      </c>
      <c r="I160" s="6">
        <v>2029</v>
      </c>
      <c r="J160" s="6">
        <v>2030</v>
      </c>
      <c r="K160" s="6">
        <v>2031</v>
      </c>
      <c r="L160" s="6">
        <v>2032</v>
      </c>
      <c r="M160" s="6">
        <v>2033</v>
      </c>
      <c r="N160" s="6">
        <v>2034</v>
      </c>
      <c r="O160" s="6">
        <v>2035</v>
      </c>
      <c r="P160" s="6">
        <v>2036</v>
      </c>
      <c r="Q160" s="6">
        <v>2037</v>
      </c>
      <c r="R160" s="6">
        <v>2038</v>
      </c>
      <c r="S160" s="6">
        <v>2039</v>
      </c>
      <c r="T160" s="6">
        <v>2040</v>
      </c>
      <c r="U160" s="6">
        <v>2041</v>
      </c>
      <c r="V160" s="6">
        <v>2042</v>
      </c>
      <c r="W160" s="6">
        <v>2043</v>
      </c>
      <c r="X160" s="6">
        <v>2044</v>
      </c>
      <c r="Y160" s="6">
        <v>2045</v>
      </c>
      <c r="Z160" s="6">
        <v>2046</v>
      </c>
      <c r="AA160" s="6">
        <v>2047</v>
      </c>
      <c r="AB160" s="6">
        <v>2048</v>
      </c>
      <c r="AC160" s="6">
        <v>2049</v>
      </c>
      <c r="AD160" s="6">
        <v>2050</v>
      </c>
      <c r="AE160" s="6">
        <v>2051</v>
      </c>
      <c r="AF160" s="6">
        <v>2052</v>
      </c>
      <c r="AG160" s="6">
        <v>2053</v>
      </c>
      <c r="AH160" s="6">
        <v>2054</v>
      </c>
      <c r="AI160" s="6">
        <v>2055</v>
      </c>
      <c r="AJ160" s="6">
        <v>2056</v>
      </c>
      <c r="AK160" s="6">
        <v>2057</v>
      </c>
      <c r="AL160" s="6">
        <v>2058</v>
      </c>
      <c r="AM160" s="6">
        <v>2059</v>
      </c>
      <c r="AN160" s="6">
        <v>2060</v>
      </c>
      <c r="AO160" s="39">
        <f>AN160+1</f>
        <v>2061</v>
      </c>
      <c r="AP160" s="39">
        <f t="shared" ref="AP160:AX160" si="14">AO160+1</f>
        <v>2062</v>
      </c>
      <c r="AQ160" s="39">
        <f t="shared" si="14"/>
        <v>2063</v>
      </c>
      <c r="AR160" s="39">
        <f t="shared" si="14"/>
        <v>2064</v>
      </c>
      <c r="AS160" s="39">
        <f t="shared" si="14"/>
        <v>2065</v>
      </c>
      <c r="AT160" s="39">
        <f t="shared" si="14"/>
        <v>2066</v>
      </c>
      <c r="AU160" s="39">
        <f t="shared" si="14"/>
        <v>2067</v>
      </c>
      <c r="AV160" s="39">
        <f t="shared" si="14"/>
        <v>2068</v>
      </c>
      <c r="AW160" s="39">
        <f>AV160+1</f>
        <v>2069</v>
      </c>
      <c r="AX160" s="39">
        <f t="shared" si="14"/>
        <v>2070</v>
      </c>
    </row>
    <row r="161" spans="1:50" x14ac:dyDescent="0.2">
      <c r="A161" s="6" t="s">
        <v>34</v>
      </c>
      <c r="B161" s="11">
        <f>Electricity!B161*Electricity!$B$159</f>
        <v>10634196.905452799</v>
      </c>
      <c r="C161" s="11">
        <f>Electricity!C161*Electricity!$B$159</f>
        <v>11165906.750725439</v>
      </c>
      <c r="D161" s="11">
        <f>Electricity!D161*Electricity!$B$159</f>
        <v>11724202.088261712</v>
      </c>
      <c r="E161" s="11">
        <f>Electricity!E161*Electricity!$B$159</f>
        <v>12310412.192674797</v>
      </c>
      <c r="F161" s="11">
        <f>Electricity!F161*Electricity!$B$159</f>
        <v>12925932.802308537</v>
      </c>
      <c r="G161" s="11">
        <f>Electricity!G161*Electricity!$B$159</f>
        <v>13572229.442423966</v>
      </c>
      <c r="H161" s="11">
        <f>Electricity!H161*Electricity!$B$159</f>
        <v>14250840.914545165</v>
      </c>
      <c r="I161" s="11">
        <f>Electricity!I161*Electricity!$B$159</f>
        <v>14963382.960272426</v>
      </c>
      <c r="J161" s="11">
        <f>Electricity!J161*Electricity!$B$159</f>
        <v>15711552.108286042</v>
      </c>
      <c r="K161" s="11">
        <f>Electricity!K161*Electricity!$B$159</f>
        <v>16497129.71370035</v>
      </c>
      <c r="L161" s="11">
        <f>Electricity!L161*Electricity!$B$159</f>
        <v>17321986.199385367</v>
      </c>
      <c r="M161" s="11">
        <f>Electricity!M161*Electricity!$B$159</f>
        <v>18188085.509354632</v>
      </c>
      <c r="N161" s="11">
        <f>Electricity!N161*Electricity!$B$159</f>
        <v>19097489.784822371</v>
      </c>
      <c r="O161" s="11">
        <f>Electricity!O161*Electricity!$B$159</f>
        <v>20052364.274063487</v>
      </c>
      <c r="P161" s="11">
        <f>Electricity!P161*Electricity!$B$159</f>
        <v>21054982.487766664</v>
      </c>
      <c r="Q161" s="11">
        <f>Electricity!Q161*Electricity!$B$159</f>
        <v>22107731.612154998</v>
      </c>
      <c r="R161" s="11">
        <f>Electricity!R161*Electricity!$B$159</f>
        <v>23213118.192762744</v>
      </c>
      <c r="S161" s="11">
        <f>Electricity!S161*Electricity!$B$159</f>
        <v>24373774.10240088</v>
      </c>
      <c r="T161" s="11">
        <f>Electricity!T161*Electricity!$B$159</f>
        <v>25592462.80752093</v>
      </c>
      <c r="U161" s="11">
        <f>Electricity!U161*Electricity!$B$159</f>
        <v>26872085.947896976</v>
      </c>
      <c r="V161" s="11">
        <f>Electricity!V161*Electricity!$B$159</f>
        <v>28215690.245291825</v>
      </c>
      <c r="W161" s="11">
        <f>Electricity!W161*Electricity!$B$159</f>
        <v>29626474.757556416</v>
      </c>
      <c r="X161" s="11">
        <f>Electricity!X161*Electricity!$B$159</f>
        <v>31107798.495434247</v>
      </c>
      <c r="Y161" s="11">
        <f>Electricity!Y161*Electricity!$B$159</f>
        <v>32663188.420205947</v>
      </c>
      <c r="Z161" s="11">
        <f>Electricity!Z161*Electricity!$B$159</f>
        <v>34296347.841216259</v>
      </c>
      <c r="AA161" s="11">
        <f>Electricity!AA161*Electricity!$B$159</f>
        <v>36011165.23327706</v>
      </c>
      <c r="AB161" s="11">
        <f>Electricity!AB161*Electricity!$B$159</f>
        <v>37811723.494940922</v>
      </c>
      <c r="AC161" s="11">
        <f>Electricity!AC161*Electricity!$B$159</f>
        <v>39702309.669687971</v>
      </c>
      <c r="AD161" s="11">
        <f>Electricity!AD161*Electricity!$B$159</f>
        <v>41687425.153172366</v>
      </c>
      <c r="AE161" s="11">
        <f>Electricity!AE161*Electricity!$B$159</f>
        <v>43771796.410830982</v>
      </c>
      <c r="AF161" s="11">
        <f>Electricity!AF161*Electricity!$B$159</f>
        <v>45960386.231372528</v>
      </c>
      <c r="AG161" s="11">
        <f>Electricity!AG161*Electricity!$B$159</f>
        <v>48258405.542941161</v>
      </c>
      <c r="AH161" s="11">
        <f>Electricity!AH161*Electricity!$B$159</f>
        <v>50671325.820088238</v>
      </c>
      <c r="AI161" s="11">
        <f>Electricity!AI161*Electricity!$B$159</f>
        <v>53204892.111092634</v>
      </c>
      <c r="AJ161" s="11">
        <f>Electricity!AJ161*Electricity!$B$159</f>
        <v>55865136.716647267</v>
      </c>
      <c r="AK161" s="11">
        <f>Electricity!AK161*Electricity!$B$159</f>
        <v>58658393.552479647</v>
      </c>
      <c r="AL161" s="11">
        <f>Electricity!AL161*Electricity!$B$159</f>
        <v>61591313.230103627</v>
      </c>
      <c r="AM161" s="11">
        <f>Electricity!AM161*Electricity!$B$159</f>
        <v>64670878.891608812</v>
      </c>
      <c r="AN161" s="11">
        <f>Electricity!AN161*Electricity!$B$159</f>
        <v>67904422.836189255</v>
      </c>
      <c r="AO161" s="40">
        <f>Electricity!AO161*Electricity!$B$159</f>
        <v>71299643.977998734</v>
      </c>
      <c r="AP161" s="40">
        <f>Electricity!AP161*Electricity!$B$159</f>
        <v>74864626.176898673</v>
      </c>
      <c r="AQ161" s="40">
        <f>Electricity!AQ161*Electricity!$B$159</f>
        <v>78607857.485743612</v>
      </c>
      <c r="AR161" s="40">
        <f>Electricity!AR161*Electricity!$B$159</f>
        <v>82538250.3600308</v>
      </c>
      <c r="AS161" s="40">
        <f>Electricity!AS161*Electricity!$B$159</f>
        <v>86665162.878032342</v>
      </c>
      <c r="AT161" s="40">
        <f>Electricity!AT161*Electricity!$B$159</f>
        <v>90998421.021933973</v>
      </c>
      <c r="AU161" s="40">
        <f>Electricity!AU161*Electricity!$B$159</f>
        <v>95548342.07303068</v>
      </c>
      <c r="AV161" s="40">
        <f>Electricity!AV161*Electricity!$B$159</f>
        <v>100325759.17668222</v>
      </c>
      <c r="AW161" s="40">
        <f>Electricity!AW161*Electricity!$B$159</f>
        <v>105342047.13551635</v>
      </c>
      <c r="AX161" s="40">
        <f>Electricity!AX161*Electricity!$B$159</f>
        <v>110609149.49229218</v>
      </c>
    </row>
    <row r="162" spans="1:50" x14ac:dyDescent="0.2">
      <c r="A162" s="6" t="s">
        <v>35</v>
      </c>
      <c r="B162" s="11">
        <f>Electricity!B162*Electricity!$B$159</f>
        <v>4530945.5813376</v>
      </c>
      <c r="C162" s="11">
        <f>Electricity!C162*Electricity!$B$159</f>
        <v>4757492.8604044793</v>
      </c>
      <c r="D162" s="11">
        <f>Electricity!D162*Electricity!$B$159</f>
        <v>4995367.5034247031</v>
      </c>
      <c r="E162" s="11">
        <f>Electricity!E162*Electricity!$B$159</f>
        <v>5245135.8785959389</v>
      </c>
      <c r="F162" s="11">
        <f>Electricity!F162*Electricity!$B$159</f>
        <v>5507392.6725257365</v>
      </c>
      <c r="G162" s="11">
        <f>Electricity!G162*Electricity!$B$159</f>
        <v>5782762.3061520234</v>
      </c>
      <c r="H162" s="11">
        <f>Electricity!H162*Electricity!$B$159</f>
        <v>6071900.4214596264</v>
      </c>
      <c r="I162" s="11">
        <f>Electricity!I162*Electricity!$B$159</f>
        <v>6375495.4425326074</v>
      </c>
      <c r="J162" s="11">
        <f>Electricity!J162*Electricity!$B$159</f>
        <v>6694270.2146592364</v>
      </c>
      <c r="K162" s="11">
        <f>Electricity!K162*Electricity!$B$159</f>
        <v>7028983.7253921991</v>
      </c>
      <c r="L162" s="11">
        <f>Electricity!L162*Electricity!$B$159</f>
        <v>7380432.9116618102</v>
      </c>
      <c r="M162" s="11">
        <f>Electricity!M162*Electricity!$B$159</f>
        <v>7749454.5572448997</v>
      </c>
      <c r="N162" s="11">
        <f>Electricity!N162*Electricity!$B$159</f>
        <v>8136927.2851071469</v>
      </c>
      <c r="O162" s="11">
        <f>Electricity!O162*Electricity!$B$159</f>
        <v>8543773.6493625026</v>
      </c>
      <c r="P162" s="11">
        <f>Electricity!P162*Electricity!$B$159</f>
        <v>8970962.3318306301</v>
      </c>
      <c r="Q162" s="11">
        <f>Electricity!Q162*Electricity!$B$159</f>
        <v>9419510.4484221619</v>
      </c>
      <c r="R162" s="11">
        <f>Electricity!R162*Electricity!$B$159</f>
        <v>9890485.9708432686</v>
      </c>
      <c r="S162" s="11">
        <f>Electricity!S162*Electricity!$B$159</f>
        <v>10385010.269385431</v>
      </c>
      <c r="T162" s="11">
        <f>Electricity!T162*Electricity!$B$159</f>
        <v>10904260.782854704</v>
      </c>
      <c r="U162" s="11">
        <f>Electricity!U162*Electricity!$B$159</f>
        <v>11449473.821997439</v>
      </c>
      <c r="V162" s="11">
        <f>Electricity!V162*Electricity!$B$159</f>
        <v>12021947.513097312</v>
      </c>
      <c r="W162" s="11">
        <f>Electricity!W162*Electricity!$B$159</f>
        <v>12623044.888752177</v>
      </c>
      <c r="X162" s="11">
        <f>Electricity!X162*Electricity!$B$159</f>
        <v>13254197.13318979</v>
      </c>
      <c r="Y162" s="11">
        <f>Electricity!Y162*Electricity!$B$159</f>
        <v>13916906.989849279</v>
      </c>
      <c r="Z162" s="11">
        <f>Electricity!Z162*Electricity!$B$159</f>
        <v>14612752.339341743</v>
      </c>
      <c r="AA162" s="11">
        <f>Electricity!AA162*Electricity!$B$159</f>
        <v>15343389.956308829</v>
      </c>
      <c r="AB162" s="11">
        <f>Electricity!AB162*Electricity!$B$159</f>
        <v>16110559.45412427</v>
      </c>
      <c r="AC162" s="11">
        <f>Electricity!AC162*Electricity!$B$159</f>
        <v>16916087.426830485</v>
      </c>
      <c r="AD162" s="11">
        <f>Electricity!AD162*Electricity!$B$159</f>
        <v>17761891.798172008</v>
      </c>
      <c r="AE162" s="11">
        <f>Electricity!AE162*Electricity!$B$159</f>
        <v>18649986.388080608</v>
      </c>
      <c r="AF162" s="11">
        <f>Electricity!AF162*Electricity!$B$159</f>
        <v>19582485.70748464</v>
      </c>
      <c r="AG162" s="11">
        <f>Electricity!AG162*Electricity!$B$159</f>
        <v>20561609.992858876</v>
      </c>
      <c r="AH162" s="11">
        <f>Electricity!AH162*Electricity!$B$159</f>
        <v>21589690.492501825</v>
      </c>
      <c r="AI162" s="11">
        <f>Electricity!AI162*Electricity!$B$159</f>
        <v>22669175.017126907</v>
      </c>
      <c r="AJ162" s="11">
        <f>Electricity!AJ162*Electricity!$B$159</f>
        <v>23802633.767983254</v>
      </c>
      <c r="AK162" s="11">
        <f>Electricity!AK162*Electricity!$B$159</f>
        <v>24992765.456382424</v>
      </c>
      <c r="AL162" s="11">
        <f>Electricity!AL162*Electricity!$B$159</f>
        <v>26242403.729201544</v>
      </c>
      <c r="AM162" s="11">
        <f>Electricity!AM162*Electricity!$B$159</f>
        <v>27554523.915661622</v>
      </c>
      <c r="AN162" s="11">
        <f>Electricity!AN162*Electricity!$B$159</f>
        <v>28932250.111444704</v>
      </c>
      <c r="AO162" s="40">
        <f>Electricity!AO162*Electricity!$B$159</f>
        <v>30378862.617016941</v>
      </c>
      <c r="AP162" s="40">
        <f>Electricity!AP162*Electricity!$B$159</f>
        <v>31897805.747867793</v>
      </c>
      <c r="AQ162" s="40">
        <f>Electricity!AQ162*Electricity!$B$159</f>
        <v>33492696.035261184</v>
      </c>
      <c r="AR162" s="40">
        <f>Electricity!AR162*Electricity!$B$159</f>
        <v>35167330.837024242</v>
      </c>
      <c r="AS162" s="40">
        <f>Electricity!AS162*Electricity!$B$159</f>
        <v>36925697.378875464</v>
      </c>
      <c r="AT162" s="40">
        <f>Electricity!AT162*Electricity!$B$159</f>
        <v>38771982.247819237</v>
      </c>
      <c r="AU162" s="40">
        <f>Electricity!AU162*Electricity!$B$159</f>
        <v>40710581.360210203</v>
      </c>
      <c r="AV162" s="40">
        <f>Electricity!AV162*Electricity!$B$159</f>
        <v>42746110.428220719</v>
      </c>
      <c r="AW162" s="40">
        <f>Electricity!AW162*Electricity!$B$159</f>
        <v>44883415.949631751</v>
      </c>
      <c r="AX162" s="40">
        <f>Electricity!AX162*Electricity!$B$159</f>
        <v>47127586.747113347</v>
      </c>
    </row>
    <row r="163" spans="1:50" x14ac:dyDescent="0.2">
      <c r="A163" s="6" t="s">
        <v>36</v>
      </c>
      <c r="B163" s="11">
        <f>Electricity!B163*Electricity!$B$159</f>
        <v>1048203.8285183999</v>
      </c>
      <c r="C163" s="11">
        <f>Electricity!C163*Electricity!$B$159</f>
        <v>1100614.01994432</v>
      </c>
      <c r="D163" s="11">
        <f>Electricity!D163*Electricity!$B$159</f>
        <v>1155644.7209415359</v>
      </c>
      <c r="E163" s="11">
        <f>Electricity!E163*Electricity!$B$159</f>
        <v>1213426.9569886129</v>
      </c>
      <c r="F163" s="11">
        <f>Electricity!F163*Electricity!$B$159</f>
        <v>1274098.3048380434</v>
      </c>
      <c r="G163" s="11">
        <f>Electricity!G163*Electricity!$B$159</f>
        <v>1337803.2200799459</v>
      </c>
      <c r="H163" s="11">
        <f>Electricity!H163*Electricity!$B$159</f>
        <v>1404693.3810839432</v>
      </c>
      <c r="I163" s="11">
        <f>Electricity!I163*Electricity!$B$159</f>
        <v>1474928.0501381403</v>
      </c>
      <c r="J163" s="11">
        <f>Electricity!J163*Electricity!$B$159</f>
        <v>1548674.4526450473</v>
      </c>
      <c r="K163" s="11">
        <f>Electricity!K163*Electricity!$B$159</f>
        <v>1626108.1752772997</v>
      </c>
      <c r="L163" s="11">
        <f>Electricity!L163*Electricity!$B$159</f>
        <v>1707413.584041165</v>
      </c>
      <c r="M163" s="11">
        <f>Electricity!M163*Electricity!$B$159</f>
        <v>1792784.2632432228</v>
      </c>
      <c r="N163" s="11">
        <f>Electricity!N163*Electricity!$B$159</f>
        <v>1882423.4764053845</v>
      </c>
      <c r="O163" s="11">
        <f>Electricity!O163*Electricity!$B$159</f>
        <v>1976544.6502256535</v>
      </c>
      <c r="P163" s="11">
        <f>Electricity!P163*Electricity!$B$159</f>
        <v>2075371.8827369369</v>
      </c>
      <c r="Q163" s="11">
        <f>Electricity!Q163*Electricity!$B$159</f>
        <v>2179140.4768737834</v>
      </c>
      <c r="R163" s="11">
        <f>Electricity!R163*Electricity!$B$159</f>
        <v>2288097.5007174728</v>
      </c>
      <c r="S163" s="11">
        <f>Electricity!S163*Electricity!$B$159</f>
        <v>2402502.3757533464</v>
      </c>
      <c r="T163" s="11">
        <f>Electricity!T163*Electricity!$B$159</f>
        <v>2522627.4945410136</v>
      </c>
      <c r="U163" s="11">
        <f>Electricity!U163*Electricity!$B$159</f>
        <v>2648758.8692680644</v>
      </c>
      <c r="V163" s="11">
        <f>Electricity!V163*Electricity!$B$159</f>
        <v>2781196.8127314677</v>
      </c>
      <c r="W163" s="11">
        <f>Electricity!W163*Electricity!$B$159</f>
        <v>2920256.6533680414</v>
      </c>
      <c r="X163" s="11">
        <f>Electricity!X163*Electricity!$B$159</f>
        <v>3066269.4860364441</v>
      </c>
      <c r="Y163" s="11">
        <f>Electricity!Y163*Electricity!$B$159</f>
        <v>3219582.9603382656</v>
      </c>
      <c r="Z163" s="11">
        <f>Electricity!Z163*Electricity!$B$159</f>
        <v>3380562.108355179</v>
      </c>
      <c r="AA163" s="11">
        <f>Electricity!AA163*Electricity!$B$159</f>
        <v>3549590.2137729377</v>
      </c>
      <c r="AB163" s="11">
        <f>Electricity!AB163*Electricity!$B$159</f>
        <v>3727069.7244615848</v>
      </c>
      <c r="AC163" s="11">
        <f>Electricity!AC163*Electricity!$B$159</f>
        <v>3913423.210684665</v>
      </c>
      <c r="AD163" s="11">
        <f>Electricity!AD163*Electricity!$B$159</f>
        <v>4109094.3712188974</v>
      </c>
      <c r="AE163" s="11">
        <f>Electricity!AE163*Electricity!$B$159</f>
        <v>4314549.0897798426</v>
      </c>
      <c r="AF163" s="11">
        <f>Electricity!AF163*Electricity!$B$159</f>
        <v>4530276.5442688344</v>
      </c>
      <c r="AG163" s="11">
        <f>Electricity!AG163*Electricity!$B$159</f>
        <v>4756790.3714822764</v>
      </c>
      <c r="AH163" s="11">
        <f>Electricity!AH163*Electricity!$B$159</f>
        <v>4994629.8900563922</v>
      </c>
      <c r="AI163" s="11">
        <f>Electricity!AI163*Electricity!$B$159</f>
        <v>5244361.3845592104</v>
      </c>
      <c r="AJ163" s="11">
        <f>Electricity!AJ163*Electricity!$B$159</f>
        <v>5506579.4537871713</v>
      </c>
      <c r="AK163" s="11">
        <f>Electricity!AK163*Electricity!$B$159</f>
        <v>5781908.4264765307</v>
      </c>
      <c r="AL163" s="11">
        <f>Electricity!AL163*Electricity!$B$159</f>
        <v>6071003.8478003573</v>
      </c>
      <c r="AM163" s="11">
        <f>Electricity!AM163*Electricity!$B$159</f>
        <v>6374554.0401903754</v>
      </c>
      <c r="AN163" s="11">
        <f>Electricity!AN163*Electricity!$B$159</f>
        <v>6693281.742199895</v>
      </c>
      <c r="AO163" s="40">
        <f>Electricity!AO163*Electricity!$B$159</f>
        <v>7027945.829309891</v>
      </c>
      <c r="AP163" s="40">
        <f>Electricity!AP163*Electricity!$B$159</f>
        <v>7379343.1207753867</v>
      </c>
      <c r="AQ163" s="40">
        <f>Electricity!AQ163*Electricity!$B$159</f>
        <v>7748310.2768141562</v>
      </c>
      <c r="AR163" s="40">
        <f>Electricity!AR163*Electricity!$B$159</f>
        <v>8135725.7906548651</v>
      </c>
      <c r="AS163" s="40">
        <f>Electricity!AS163*Electricity!$B$159</f>
        <v>8542512.0801876094</v>
      </c>
      <c r="AT163" s="40">
        <f>Electricity!AT163*Electricity!$B$159</f>
        <v>8969637.6841969918</v>
      </c>
      <c r="AU163" s="40">
        <f>Electricity!AU163*Electricity!$B$159</f>
        <v>9418119.5684068426</v>
      </c>
      <c r="AV163" s="40">
        <f>Electricity!AV163*Electricity!$B$159</f>
        <v>9889025.546827184</v>
      </c>
      <c r="AW163" s="40">
        <f>Electricity!AW163*Electricity!$B$159</f>
        <v>10383476.824168544</v>
      </c>
      <c r="AX163" s="40">
        <f>Electricity!AX163*Electricity!$B$159</f>
        <v>10902650.665376972</v>
      </c>
    </row>
    <row r="164" spans="1:50" x14ac:dyDescent="0.2">
      <c r="A164" s="6" t="s">
        <v>37</v>
      </c>
      <c r="B164" s="11">
        <f>Electricity!B164*Electricity!$B$159</f>
        <v>693167.04789119994</v>
      </c>
      <c r="C164" s="11">
        <f>Electricity!C164*Electricity!$B$159</f>
        <v>727825.40028576006</v>
      </c>
      <c r="D164" s="11">
        <f>Electricity!D164*Electricity!$B$159</f>
        <v>764216.67030004796</v>
      </c>
      <c r="E164" s="11">
        <f>Electricity!E164*Electricity!$B$159</f>
        <v>802427.50381505059</v>
      </c>
      <c r="F164" s="11">
        <f>Electricity!F164*Electricity!$B$159</f>
        <v>842548.87900580303</v>
      </c>
      <c r="G164" s="11">
        <f>Electricity!G164*Electricity!$B$159</f>
        <v>884676.32295609312</v>
      </c>
      <c r="H164" s="11">
        <f>Electricity!H164*Electricity!$B$159</f>
        <v>928910.13910389808</v>
      </c>
      <c r="I164" s="11">
        <f>Electricity!I164*Electricity!$B$159</f>
        <v>975355.64605909295</v>
      </c>
      <c r="J164" s="11">
        <f>Electricity!J164*Electricity!$B$159</f>
        <v>1024123.4283620475</v>
      </c>
      <c r="K164" s="11">
        <f>Electricity!K164*Electricity!$B$159</f>
        <v>1075329.59978015</v>
      </c>
      <c r="L164" s="11">
        <f>Electricity!L164*Electricity!$B$159</f>
        <v>1129096.0797691578</v>
      </c>
      <c r="M164" s="11">
        <f>Electricity!M164*Electricity!$B$159</f>
        <v>1185550.8837576152</v>
      </c>
      <c r="N164" s="11">
        <f>Electricity!N164*Electricity!$B$159</f>
        <v>1244828.4279454963</v>
      </c>
      <c r="O164" s="11">
        <f>Electricity!O164*Electricity!$B$159</f>
        <v>1307069.8493427711</v>
      </c>
      <c r="P164" s="11">
        <f>Electricity!P164*Electricity!$B$159</f>
        <v>1372423.3418099098</v>
      </c>
      <c r="Q164" s="11">
        <f>Electricity!Q164*Electricity!$B$159</f>
        <v>1441044.5089004054</v>
      </c>
      <c r="R164" s="11">
        <f>Electricity!R164*Electricity!$B$159</f>
        <v>1513096.7343454254</v>
      </c>
      <c r="S164" s="11">
        <f>Electricity!S164*Electricity!$B$159</f>
        <v>1588751.5710626969</v>
      </c>
      <c r="T164" s="11">
        <f>Electricity!T164*Electricity!$B$159</f>
        <v>1668189.1496158319</v>
      </c>
      <c r="U164" s="11">
        <f>Electricity!U164*Electricity!$B$159</f>
        <v>1751598.6070966234</v>
      </c>
      <c r="V164" s="11">
        <f>Electricity!V164*Electricity!$B$159</f>
        <v>1839178.5374514544</v>
      </c>
      <c r="W164" s="11">
        <f>Electricity!W164*Electricity!$B$159</f>
        <v>1931137.4643240275</v>
      </c>
      <c r="X164" s="11">
        <f>Electricity!X164*Electricity!$B$159</f>
        <v>2027694.3375402291</v>
      </c>
      <c r="Y164" s="11">
        <f>Electricity!Y164*Electricity!$B$159</f>
        <v>2129079.0544172404</v>
      </c>
      <c r="Z164" s="11">
        <f>Electricity!Z164*Electricity!$B$159</f>
        <v>2235533.0071381023</v>
      </c>
      <c r="AA164" s="11">
        <f>Electricity!AA164*Electricity!$B$159</f>
        <v>2347309.6574950074</v>
      </c>
      <c r="AB164" s="11">
        <f>Electricity!AB164*Electricity!$B$159</f>
        <v>2464675.1403697585</v>
      </c>
      <c r="AC164" s="11">
        <f>Electricity!AC164*Electricity!$B$159</f>
        <v>2587908.8973882459</v>
      </c>
      <c r="AD164" s="11">
        <f>Electricity!AD164*Electricity!$B$159</f>
        <v>2717304.342257658</v>
      </c>
      <c r="AE164" s="11">
        <f>Electricity!AE164*Electricity!$B$159</f>
        <v>2853169.5593705415</v>
      </c>
      <c r="AF164" s="11">
        <f>Electricity!AF164*Electricity!$B$159</f>
        <v>2995828.0373390685</v>
      </c>
      <c r="AG164" s="11">
        <f>Electricity!AG164*Electricity!$B$159</f>
        <v>3145619.4392060218</v>
      </c>
      <c r="AH164" s="11">
        <f>Electricity!AH164*Electricity!$B$159</f>
        <v>3302900.4111663243</v>
      </c>
      <c r="AI164" s="11">
        <f>Electricity!AI164*Electricity!$B$159</f>
        <v>3468045.4317246391</v>
      </c>
      <c r="AJ164" s="11">
        <f>Electricity!AJ164*Electricity!$B$159</f>
        <v>3641447.7033108715</v>
      </c>
      <c r="AK164" s="11">
        <f>Electricity!AK164*Electricity!$B$159</f>
        <v>3823520.0884764162</v>
      </c>
      <c r="AL164" s="11">
        <f>Electricity!AL164*Electricity!$B$159</f>
        <v>4014696.0929002366</v>
      </c>
      <c r="AM164" s="11">
        <f>Electricity!AM164*Electricity!$B$159</f>
        <v>4215430.8975452483</v>
      </c>
      <c r="AN164" s="11">
        <f>Electricity!AN164*Electricity!$B$159</f>
        <v>4426202.4424225111</v>
      </c>
      <c r="AO164" s="40">
        <f>Electricity!AO164*Electricity!$B$159</f>
        <v>4647512.5645436374</v>
      </c>
      <c r="AP164" s="40">
        <f>Electricity!AP164*Electricity!$B$159</f>
        <v>4879888.1927708201</v>
      </c>
      <c r="AQ164" s="40">
        <f>Electricity!AQ164*Electricity!$B$159</f>
        <v>5123882.6024093619</v>
      </c>
      <c r="AR164" s="40">
        <f>Electricity!AR164*Electricity!$B$159</f>
        <v>5380076.7325298302</v>
      </c>
      <c r="AS164" s="40">
        <f>Electricity!AS164*Electricity!$B$159</f>
        <v>5649080.5691563226</v>
      </c>
      <c r="AT164" s="40">
        <f>Electricity!AT164*Electricity!$B$159</f>
        <v>5931534.5976141393</v>
      </c>
      <c r="AU164" s="40">
        <f>Electricity!AU164*Electricity!$B$159</f>
        <v>6228111.3274948476</v>
      </c>
      <c r="AV164" s="40">
        <f>Electricity!AV164*Electricity!$B$159</f>
        <v>6539516.8938695909</v>
      </c>
      <c r="AW164" s="40">
        <f>Electricity!AW164*Electricity!$B$159</f>
        <v>6866492.738563071</v>
      </c>
      <c r="AX164" s="40">
        <f>Electricity!AX164*Electricity!$B$159</f>
        <v>7209817.3754912261</v>
      </c>
    </row>
    <row r="167" spans="1:50" x14ac:dyDescent="0.2">
      <c r="A167" s="5" t="s">
        <v>157</v>
      </c>
    </row>
    <row r="168" spans="1:50" x14ac:dyDescent="0.2">
      <c r="A168" s="5" t="s">
        <v>4</v>
      </c>
    </row>
    <row r="169" spans="1:50" x14ac:dyDescent="0.2">
      <c r="A169" s="5" t="s">
        <v>74</v>
      </c>
    </row>
    <row r="170" spans="1:50" x14ac:dyDescent="0.2">
      <c r="A170" s="5" t="s">
        <v>6</v>
      </c>
    </row>
    <row r="171" spans="1:50" x14ac:dyDescent="0.2">
      <c r="A171" s="5"/>
    </row>
    <row r="172" spans="1:50" x14ac:dyDescent="0.2">
      <c r="A172" s="6" t="s">
        <v>7</v>
      </c>
      <c r="B172" s="6">
        <v>2022</v>
      </c>
      <c r="C172" s="6">
        <v>2023</v>
      </c>
      <c r="D172" s="6">
        <v>2024</v>
      </c>
      <c r="E172" s="6">
        <v>2025</v>
      </c>
      <c r="F172" s="6">
        <v>2026</v>
      </c>
      <c r="G172" s="6">
        <v>2027</v>
      </c>
      <c r="H172" s="6">
        <v>2028</v>
      </c>
      <c r="I172" s="6">
        <v>2029</v>
      </c>
      <c r="J172" s="6">
        <v>2030</v>
      </c>
      <c r="K172" s="6">
        <v>2031</v>
      </c>
      <c r="L172" s="6">
        <v>2032</v>
      </c>
      <c r="M172" s="6">
        <v>2033</v>
      </c>
      <c r="N172" s="6">
        <v>2034</v>
      </c>
      <c r="O172" s="6">
        <v>2035</v>
      </c>
      <c r="P172" s="6">
        <v>2036</v>
      </c>
      <c r="Q172" s="6">
        <v>2037</v>
      </c>
      <c r="R172" s="6">
        <v>2038</v>
      </c>
      <c r="S172" s="6">
        <v>2039</v>
      </c>
      <c r="T172" s="6">
        <v>2040</v>
      </c>
      <c r="U172" s="6">
        <v>2041</v>
      </c>
      <c r="V172" s="6">
        <v>2042</v>
      </c>
      <c r="W172" s="6">
        <v>2043</v>
      </c>
      <c r="X172" s="6">
        <v>2044</v>
      </c>
      <c r="Y172" s="6">
        <v>2045</v>
      </c>
      <c r="Z172" s="6">
        <v>2046</v>
      </c>
      <c r="AA172" s="6">
        <v>2047</v>
      </c>
      <c r="AB172" s="6">
        <v>2048</v>
      </c>
      <c r="AC172" s="6">
        <v>2049</v>
      </c>
      <c r="AD172" s="6">
        <v>2050</v>
      </c>
      <c r="AE172" s="6">
        <v>2051</v>
      </c>
      <c r="AF172" s="6">
        <v>2052</v>
      </c>
      <c r="AG172" s="6">
        <v>2053</v>
      </c>
      <c r="AH172" s="6">
        <v>2054</v>
      </c>
      <c r="AI172" s="6">
        <v>2055</v>
      </c>
      <c r="AJ172" s="6">
        <v>2056</v>
      </c>
      <c r="AK172" s="6">
        <v>2057</v>
      </c>
      <c r="AL172" s="6">
        <v>2058</v>
      </c>
      <c r="AM172" s="6">
        <v>2059</v>
      </c>
      <c r="AN172" s="6">
        <v>2060</v>
      </c>
      <c r="AO172" s="39">
        <f>AN172+1</f>
        <v>2061</v>
      </c>
      <c r="AP172" s="39">
        <f t="shared" ref="AP172:AX172" si="15">AO172+1</f>
        <v>2062</v>
      </c>
      <c r="AQ172" s="39">
        <f t="shared" si="15"/>
        <v>2063</v>
      </c>
      <c r="AR172" s="39">
        <f t="shared" si="15"/>
        <v>2064</v>
      </c>
      <c r="AS172" s="39">
        <f t="shared" si="15"/>
        <v>2065</v>
      </c>
      <c r="AT172" s="39">
        <f t="shared" si="15"/>
        <v>2066</v>
      </c>
      <c r="AU172" s="39">
        <f t="shared" si="15"/>
        <v>2067</v>
      </c>
      <c r="AV172" s="39">
        <f t="shared" si="15"/>
        <v>2068</v>
      </c>
      <c r="AW172" s="39">
        <f>AV172+1</f>
        <v>2069</v>
      </c>
      <c r="AX172" s="39">
        <f t="shared" si="15"/>
        <v>2070</v>
      </c>
    </row>
    <row r="173" spans="1:50" x14ac:dyDescent="0.2">
      <c r="A173" s="6" t="s">
        <v>34</v>
      </c>
      <c r="B173" s="11">
        <f>Electricity!B173*Electricity!$B$171</f>
        <v>60376923.983079128</v>
      </c>
      <c r="C173" s="11">
        <f>Electricity!C173*Electricity!$B$171</f>
        <v>60583379.402383387</v>
      </c>
      <c r="D173" s="11">
        <f>Electricity!D173*Electricity!$B$171</f>
        <v>60789834.821687669</v>
      </c>
      <c r="E173" s="11">
        <f>Electricity!E173*Electricity!$B$171</f>
        <v>60996290.240991943</v>
      </c>
      <c r="F173" s="11">
        <f>Electricity!F173*Electricity!$B$171</f>
        <v>61548555.604970314</v>
      </c>
      <c r="G173" s="11">
        <f>Electricity!G173*Electricity!$B$171</f>
        <v>62100820.9689487</v>
      </c>
      <c r="H173" s="11">
        <f>Electricity!H173*Electricity!$B$171</f>
        <v>62653086.332927093</v>
      </c>
      <c r="I173" s="11">
        <f>Electricity!I173*Electricity!$B$171</f>
        <v>63205351.696905456</v>
      </c>
      <c r="J173" s="11">
        <f>Electricity!J173*Electricity!$B$171</f>
        <v>63757617.060883828</v>
      </c>
      <c r="K173" s="11">
        <f>Electricity!K173*Electricity!$B$171</f>
        <v>64221477.282815374</v>
      </c>
      <c r="L173" s="11">
        <f>Electricity!L173*Electricity!$B$171</f>
        <v>64685337.504746936</v>
      </c>
      <c r="M173" s="11">
        <f>Electricity!M173*Electricity!$B$171</f>
        <v>65149197.726678468</v>
      </c>
      <c r="N173" s="11">
        <f>Electricity!N173*Electricity!$B$171</f>
        <v>65613057.948610023</v>
      </c>
      <c r="O173" s="11">
        <f>Electricity!O173*Electricity!$B$171</f>
        <v>66076918.170541562</v>
      </c>
      <c r="P173" s="11">
        <f>Electricity!P173*Electricity!$B$171</f>
        <v>66451351.256035395</v>
      </c>
      <c r="Q173" s="11">
        <f>Electricity!Q173*Electricity!$B$171</f>
        <v>66825784.341529213</v>
      </c>
      <c r="R173" s="11">
        <f>Electricity!R173*Electricity!$B$171</f>
        <v>67200217.427023023</v>
      </c>
      <c r="S173" s="11">
        <f>Electricity!S173*Electricity!$B$171</f>
        <v>67574650.512516841</v>
      </c>
      <c r="T173" s="11">
        <f>Electricity!T173*Electricity!$B$171</f>
        <v>67949083.598010674</v>
      </c>
      <c r="U173" s="11">
        <f>Electricity!U173*Electricity!$B$171</f>
        <v>68236052.529437944</v>
      </c>
      <c r="V173" s="11">
        <f>Electricity!V173*Electricity!$B$171</f>
        <v>68523021.460865229</v>
      </c>
      <c r="W173" s="11">
        <f>Electricity!W173*Electricity!$B$171</f>
        <v>68809990.392292529</v>
      </c>
      <c r="X173" s="11">
        <f>Electricity!X173*Electricity!$B$171</f>
        <v>69096959.323719814</v>
      </c>
      <c r="Y173" s="11">
        <f>Electricity!Y173*Electricity!$B$171</f>
        <v>69383928.255147114</v>
      </c>
      <c r="Z173" s="11">
        <f>Electricity!Z173*Electricity!$B$171</f>
        <v>69586978.486056715</v>
      </c>
      <c r="AA173" s="11">
        <f>Electricity!AA173*Electricity!$B$171</f>
        <v>69790028.716966316</v>
      </c>
      <c r="AB173" s="11">
        <f>Electricity!AB173*Electricity!$B$171</f>
        <v>69993078.947875947</v>
      </c>
      <c r="AC173" s="11">
        <f>Electricity!AC173*Electricity!$B$171</f>
        <v>70196129.178785533</v>
      </c>
      <c r="AD173" s="11">
        <f>Electricity!AD173*Electricity!$B$171</f>
        <v>70399179.409695163</v>
      </c>
      <c r="AE173" s="11">
        <f>Electricity!AE173*Electricity!$B$171</f>
        <v>70399179.409695163</v>
      </c>
      <c r="AF173" s="11">
        <f>Electricity!AF173*Electricity!$B$171</f>
        <v>70399179.409695163</v>
      </c>
      <c r="AG173" s="11">
        <f>Electricity!AG173*Electricity!$B$171</f>
        <v>70399179.409695163</v>
      </c>
      <c r="AH173" s="11">
        <f>Electricity!AH173*Electricity!$B$171</f>
        <v>70399179.409695163</v>
      </c>
      <c r="AI173" s="11">
        <f>Electricity!AI173*Electricity!$B$171</f>
        <v>70399179.409695163</v>
      </c>
      <c r="AJ173" s="11">
        <f>Electricity!AJ173*Electricity!$B$171</f>
        <v>70399179.409695163</v>
      </c>
      <c r="AK173" s="11">
        <f>Electricity!AK173*Electricity!$B$171</f>
        <v>70399179.409695163</v>
      </c>
      <c r="AL173" s="11">
        <f>Electricity!AL173*Electricity!$B$171</f>
        <v>70399179.409695163</v>
      </c>
      <c r="AM173" s="11">
        <f>Electricity!AM173*Electricity!$B$171</f>
        <v>70399179.409695163</v>
      </c>
      <c r="AN173" s="11">
        <f>Electricity!AN173*Electricity!$B$171</f>
        <v>70399179.409695163</v>
      </c>
      <c r="AO173" s="40">
        <f>Electricity!AO173*Electricity!$B$171</f>
        <v>70399179.409695163</v>
      </c>
      <c r="AP173" s="40">
        <f>Electricity!AP173*Electricity!$B$171</f>
        <v>70399179.409695163</v>
      </c>
      <c r="AQ173" s="40">
        <f>Electricity!AQ173*Electricity!$B$171</f>
        <v>70399179.409695163</v>
      </c>
      <c r="AR173" s="40">
        <f>Electricity!AR173*Electricity!$B$171</f>
        <v>70399179.409695163</v>
      </c>
      <c r="AS173" s="40">
        <f>Electricity!AS173*Electricity!$B$171</f>
        <v>70399179.409695163</v>
      </c>
      <c r="AT173" s="40">
        <f>Electricity!AT173*Electricity!$B$171</f>
        <v>70399179.409695163</v>
      </c>
      <c r="AU173" s="40">
        <f>Electricity!AU173*Electricity!$B$171</f>
        <v>70399179.409695163</v>
      </c>
      <c r="AV173" s="40">
        <f>Electricity!AV173*Electricity!$B$171</f>
        <v>70399179.409695163</v>
      </c>
      <c r="AW173" s="40">
        <f>Electricity!AW173*Electricity!$B$171</f>
        <v>70399179.409695163</v>
      </c>
      <c r="AX173" s="40">
        <f>Electricity!AX173*Electricity!$B$171</f>
        <v>70399179.409695163</v>
      </c>
    </row>
    <row r="174" spans="1:50" x14ac:dyDescent="0.2">
      <c r="A174" s="6" t="s">
        <v>35</v>
      </c>
      <c r="B174" s="11">
        <f>Electricity!B174*Electricity!$B$171</f>
        <v>23547942.2710917</v>
      </c>
      <c r="C174" s="11">
        <f>Electricity!C174*Electricity!$B$171</f>
        <v>23628463.105453737</v>
      </c>
      <c r="D174" s="11">
        <f>Electricity!D174*Electricity!$B$171</f>
        <v>23708983.939815778</v>
      </c>
      <c r="E174" s="11">
        <f>Electricity!E174*Electricity!$B$171</f>
        <v>23789504.774177823</v>
      </c>
      <c r="F174" s="11">
        <f>Electricity!F174*Electricity!$B$171</f>
        <v>24004896.881813694</v>
      </c>
      <c r="G174" s="11">
        <f>Electricity!G174*Electricity!$B$171</f>
        <v>24220288.989449568</v>
      </c>
      <c r="H174" s="11">
        <f>Electricity!H174*Electricity!$B$171</f>
        <v>24435681.097085442</v>
      </c>
      <c r="I174" s="11">
        <f>Electricity!I174*Electricity!$B$171</f>
        <v>24651073.204721313</v>
      </c>
      <c r="J174" s="11">
        <f>Electricity!J174*Electricity!$B$171</f>
        <v>24866465.312357184</v>
      </c>
      <c r="K174" s="11">
        <f>Electricity!K174*Electricity!$B$171</f>
        <v>25047378.035419412</v>
      </c>
      <c r="L174" s="11">
        <f>Electricity!L174*Electricity!$B$171</f>
        <v>25228290.75848164</v>
      </c>
      <c r="M174" s="11">
        <f>Electricity!M174*Electricity!$B$171</f>
        <v>25409203.481543861</v>
      </c>
      <c r="N174" s="11">
        <f>Electricity!N174*Electricity!$B$171</f>
        <v>25590116.20460609</v>
      </c>
      <c r="O174" s="11">
        <f>Electricity!O174*Electricity!$B$171</f>
        <v>25771028.927668314</v>
      </c>
      <c r="P174" s="11">
        <f>Electricity!P174*Electricity!$B$171</f>
        <v>25917063.672400691</v>
      </c>
      <c r="Q174" s="11">
        <f>Electricity!Q174*Electricity!$B$171</f>
        <v>26063098.417133074</v>
      </c>
      <c r="R174" s="11">
        <f>Electricity!R174*Electricity!$B$171</f>
        <v>26209133.16186545</v>
      </c>
      <c r="S174" s="11">
        <f>Electricity!S174*Electricity!$B$171</f>
        <v>26355167.90659783</v>
      </c>
      <c r="T174" s="11">
        <f>Electricity!T174*Electricity!$B$171</f>
        <v>26501202.651330214</v>
      </c>
      <c r="U174" s="11">
        <f>Electricity!U174*Electricity!$B$171</f>
        <v>26613125.011481259</v>
      </c>
      <c r="V174" s="11">
        <f>Electricity!V174*Electricity!$B$171</f>
        <v>26725047.371632304</v>
      </c>
      <c r="W174" s="11">
        <f>Electricity!W174*Electricity!$B$171</f>
        <v>26836969.731783357</v>
      </c>
      <c r="X174" s="11">
        <f>Electricity!X174*Electricity!$B$171</f>
        <v>26948892.091934402</v>
      </c>
      <c r="Y174" s="11">
        <f>Electricity!Y174*Electricity!$B$171</f>
        <v>27060814.452085454</v>
      </c>
      <c r="Z174" s="11">
        <f>Electricity!Z174*Electricity!$B$171</f>
        <v>27140007.209850509</v>
      </c>
      <c r="AA174" s="11">
        <f>Electricity!AA174*Electricity!$B$171</f>
        <v>27219199.967615567</v>
      </c>
      <c r="AB174" s="11">
        <f>Electricity!AB174*Electricity!$B$171</f>
        <v>27298392.725380629</v>
      </c>
      <c r="AC174" s="11">
        <f>Electricity!AC174*Electricity!$B$171</f>
        <v>27377585.483145688</v>
      </c>
      <c r="AD174" s="11">
        <f>Electricity!AD174*Electricity!$B$171</f>
        <v>27456778.240910742</v>
      </c>
      <c r="AE174" s="11">
        <f>Electricity!AE174*Electricity!$B$171</f>
        <v>27456778.240910742</v>
      </c>
      <c r="AF174" s="11">
        <f>Electricity!AF174*Electricity!$B$171</f>
        <v>27456778.240910742</v>
      </c>
      <c r="AG174" s="11">
        <f>Electricity!AG174*Electricity!$B$171</f>
        <v>27456778.240910742</v>
      </c>
      <c r="AH174" s="11">
        <f>Electricity!AH174*Electricity!$B$171</f>
        <v>27456778.240910742</v>
      </c>
      <c r="AI174" s="11">
        <f>Electricity!AI174*Electricity!$B$171</f>
        <v>27456778.240910742</v>
      </c>
      <c r="AJ174" s="11">
        <f>Electricity!AJ174*Electricity!$B$171</f>
        <v>27456778.240910742</v>
      </c>
      <c r="AK174" s="11">
        <f>Electricity!AK174*Electricity!$B$171</f>
        <v>27456778.240910742</v>
      </c>
      <c r="AL174" s="11">
        <f>Electricity!AL174*Electricity!$B$171</f>
        <v>27456778.240910742</v>
      </c>
      <c r="AM174" s="11">
        <f>Electricity!AM174*Electricity!$B$171</f>
        <v>27456778.240910742</v>
      </c>
      <c r="AN174" s="11">
        <f>Electricity!AN174*Electricity!$B$171</f>
        <v>27456778.240910742</v>
      </c>
      <c r="AO174" s="40">
        <f>Electricity!AO174*Electricity!$B$171</f>
        <v>27456778.240910742</v>
      </c>
      <c r="AP174" s="40">
        <f>Electricity!AP174*Electricity!$B$171</f>
        <v>27456778.240910742</v>
      </c>
      <c r="AQ174" s="40">
        <f>Electricity!AQ174*Electricity!$B$171</f>
        <v>27456778.240910742</v>
      </c>
      <c r="AR174" s="40">
        <f>Electricity!AR174*Electricity!$B$171</f>
        <v>27456778.240910742</v>
      </c>
      <c r="AS174" s="40">
        <f>Electricity!AS174*Electricity!$B$171</f>
        <v>27456778.240910742</v>
      </c>
      <c r="AT174" s="40">
        <f>Electricity!AT174*Electricity!$B$171</f>
        <v>27456778.240910742</v>
      </c>
      <c r="AU174" s="40">
        <f>Electricity!AU174*Electricity!$B$171</f>
        <v>27456778.240910742</v>
      </c>
      <c r="AV174" s="40">
        <f>Electricity!AV174*Electricity!$B$171</f>
        <v>27456778.240910742</v>
      </c>
      <c r="AW174" s="40">
        <f>Electricity!AW174*Electricity!$B$171</f>
        <v>27456778.240910742</v>
      </c>
      <c r="AX174" s="40">
        <f>Electricity!AX174*Electricity!$B$171</f>
        <v>27456778.240910742</v>
      </c>
    </row>
    <row r="175" spans="1:50" x14ac:dyDescent="0.2">
      <c r="A175" s="6" t="s">
        <v>36</v>
      </c>
      <c r="B175" s="11">
        <f>Electricity!B175*Electricity!$B$171</f>
        <v>6405040.2977369437</v>
      </c>
      <c r="C175" s="11">
        <f>Electricity!C175*Electricity!$B$171</f>
        <v>6426941.9646834172</v>
      </c>
      <c r="D175" s="11">
        <f>Electricity!D175*Electricity!$B$171</f>
        <v>6448843.6316298926</v>
      </c>
      <c r="E175" s="11">
        <f>Electricity!E175*Electricity!$B$171</f>
        <v>6470745.298576368</v>
      </c>
      <c r="F175" s="11">
        <f>Electricity!F175*Electricity!$B$171</f>
        <v>6529331.9518533256</v>
      </c>
      <c r="G175" s="11">
        <f>Electricity!G175*Electricity!$B$171</f>
        <v>6587918.6051302832</v>
      </c>
      <c r="H175" s="11">
        <f>Electricity!H175*Electricity!$B$171</f>
        <v>6646505.2584072417</v>
      </c>
      <c r="I175" s="11">
        <f>Electricity!I175*Electricity!$B$171</f>
        <v>6705091.9116841983</v>
      </c>
      <c r="J175" s="11">
        <f>Electricity!J175*Electricity!$B$171</f>
        <v>6763678.5649611549</v>
      </c>
      <c r="K175" s="11">
        <f>Electricity!K175*Electricity!$B$171</f>
        <v>6812886.8256340809</v>
      </c>
      <c r="L175" s="11">
        <f>Electricity!L175*Electricity!$B$171</f>
        <v>6862095.0863070078</v>
      </c>
      <c r="M175" s="11">
        <f>Electricity!M175*Electricity!$B$171</f>
        <v>6911303.346979931</v>
      </c>
      <c r="N175" s="11">
        <f>Electricity!N175*Electricity!$B$171</f>
        <v>6960511.607652857</v>
      </c>
      <c r="O175" s="11">
        <f>Electricity!O175*Electricity!$B$171</f>
        <v>7009719.868325782</v>
      </c>
      <c r="P175" s="11">
        <f>Electricity!P175*Electricity!$B$171</f>
        <v>7049441.3188929893</v>
      </c>
      <c r="Q175" s="11">
        <f>Electricity!Q175*Electricity!$B$171</f>
        <v>7089162.7694601966</v>
      </c>
      <c r="R175" s="11">
        <f>Electricity!R175*Electricity!$B$171</f>
        <v>7128884.220027403</v>
      </c>
      <c r="S175" s="11">
        <f>Electricity!S175*Electricity!$B$171</f>
        <v>7168605.6705946103</v>
      </c>
      <c r="T175" s="11">
        <f>Electricity!T175*Electricity!$B$171</f>
        <v>7208327.1211618185</v>
      </c>
      <c r="U175" s="11">
        <f>Electricity!U175*Electricity!$B$171</f>
        <v>7238770.0031229034</v>
      </c>
      <c r="V175" s="11">
        <f>Electricity!V175*Electricity!$B$171</f>
        <v>7269212.8850839874</v>
      </c>
      <c r="W175" s="11">
        <f>Electricity!W175*Electricity!$B$171</f>
        <v>7299655.7670450741</v>
      </c>
      <c r="X175" s="11">
        <f>Electricity!X175*Electricity!$B$171</f>
        <v>7330098.6490061581</v>
      </c>
      <c r="Y175" s="11">
        <f>Electricity!Y175*Electricity!$B$171</f>
        <v>7360541.5309672449</v>
      </c>
      <c r="Z175" s="11">
        <f>Electricity!Z175*Electricity!$B$171</f>
        <v>7382081.9610793395</v>
      </c>
      <c r="AA175" s="11">
        <f>Electricity!AA175*Electricity!$B$171</f>
        <v>7403622.391191435</v>
      </c>
      <c r="AB175" s="11">
        <f>Electricity!AB175*Electricity!$B$171</f>
        <v>7425162.8213035325</v>
      </c>
      <c r="AC175" s="11">
        <f>Electricity!AC175*Electricity!$B$171</f>
        <v>7446703.2514156271</v>
      </c>
      <c r="AD175" s="11">
        <f>Electricity!AD175*Electricity!$B$171</f>
        <v>7468243.6815277236</v>
      </c>
      <c r="AE175" s="11">
        <f>Electricity!AE175*Electricity!$B$171</f>
        <v>7468243.6815277236</v>
      </c>
      <c r="AF175" s="11">
        <f>Electricity!AF175*Electricity!$B$171</f>
        <v>7468243.6815277236</v>
      </c>
      <c r="AG175" s="11">
        <f>Electricity!AG175*Electricity!$B$171</f>
        <v>7468243.6815277236</v>
      </c>
      <c r="AH175" s="11">
        <f>Electricity!AH175*Electricity!$B$171</f>
        <v>7468243.6815277236</v>
      </c>
      <c r="AI175" s="11">
        <f>Electricity!AI175*Electricity!$B$171</f>
        <v>7468243.6815277236</v>
      </c>
      <c r="AJ175" s="11">
        <f>Electricity!AJ175*Electricity!$B$171</f>
        <v>7468243.6815277236</v>
      </c>
      <c r="AK175" s="11">
        <f>Electricity!AK175*Electricity!$B$171</f>
        <v>7468243.6815277236</v>
      </c>
      <c r="AL175" s="11">
        <f>Electricity!AL175*Electricity!$B$171</f>
        <v>7468243.6815277236</v>
      </c>
      <c r="AM175" s="11">
        <f>Electricity!AM175*Electricity!$B$171</f>
        <v>7468243.6815277236</v>
      </c>
      <c r="AN175" s="11">
        <f>Electricity!AN175*Electricity!$B$171</f>
        <v>7468243.6815277236</v>
      </c>
      <c r="AO175" s="40">
        <f>Electricity!AO175*Electricity!$B$171</f>
        <v>7468243.6815277236</v>
      </c>
      <c r="AP175" s="40">
        <f>Electricity!AP175*Electricity!$B$171</f>
        <v>7468243.6815277236</v>
      </c>
      <c r="AQ175" s="40">
        <f>Electricity!AQ175*Electricity!$B$171</f>
        <v>7468243.6815277236</v>
      </c>
      <c r="AR175" s="40">
        <f>Electricity!AR175*Electricity!$B$171</f>
        <v>7468243.6815277236</v>
      </c>
      <c r="AS175" s="40">
        <f>Electricity!AS175*Electricity!$B$171</f>
        <v>7468243.6815277236</v>
      </c>
      <c r="AT175" s="40">
        <f>Electricity!AT175*Electricity!$B$171</f>
        <v>7468243.6815277236</v>
      </c>
      <c r="AU175" s="40">
        <f>Electricity!AU175*Electricity!$B$171</f>
        <v>7468243.6815277236</v>
      </c>
      <c r="AV175" s="40">
        <f>Electricity!AV175*Electricity!$B$171</f>
        <v>7468243.6815277236</v>
      </c>
      <c r="AW175" s="40">
        <f>Electricity!AW175*Electricity!$B$171</f>
        <v>7468243.6815277236</v>
      </c>
      <c r="AX175" s="40">
        <f>Electricity!AX175*Electricity!$B$171</f>
        <v>7468243.6815277236</v>
      </c>
    </row>
    <row r="176" spans="1:50" x14ac:dyDescent="0.2">
      <c r="A176" s="6" t="s">
        <v>37</v>
      </c>
      <c r="B176" s="11">
        <f>Electricity!B176*Electricity!$B$171</f>
        <v>3861862.5324590392</v>
      </c>
      <c r="C176" s="11">
        <f>Electricity!C176*Electricity!$B$171</f>
        <v>3875067.949294413</v>
      </c>
      <c r="D176" s="11">
        <f>Electricity!D176*Electricity!$B$171</f>
        <v>3888273.3661297881</v>
      </c>
      <c r="E176" s="11">
        <f>Electricity!E176*Electricity!$B$171</f>
        <v>3901478.7829651628</v>
      </c>
      <c r="F176" s="11">
        <f>Electricity!F176*Electricity!$B$171</f>
        <v>3936803.0886174459</v>
      </c>
      <c r="G176" s="11">
        <f>Electricity!G176*Electricity!$B$171</f>
        <v>3972127.394269729</v>
      </c>
      <c r="H176" s="11">
        <f>Electricity!H176*Electricity!$B$171</f>
        <v>4007451.6999220136</v>
      </c>
      <c r="I176" s="11">
        <f>Electricity!I176*Electricity!$B$171</f>
        <v>4042776.0055742958</v>
      </c>
      <c r="J176" s="11">
        <f>Electricity!J176*Electricity!$B$171</f>
        <v>4078100.3112265789</v>
      </c>
      <c r="K176" s="11">
        <f>Electricity!K176*Electricity!$B$171</f>
        <v>4107769.9978087833</v>
      </c>
      <c r="L176" s="11">
        <f>Electricity!L176*Electricity!$B$171</f>
        <v>4137439.6843909896</v>
      </c>
      <c r="M176" s="11">
        <f>Electricity!M176*Electricity!$B$171</f>
        <v>4167109.3709731945</v>
      </c>
      <c r="N176" s="11">
        <f>Electricity!N176*Electricity!$B$171</f>
        <v>4196779.0575553989</v>
      </c>
      <c r="O176" s="11">
        <f>Electricity!O176*Electricity!$B$171</f>
        <v>4226448.7441376038</v>
      </c>
      <c r="P176" s="11">
        <f>Electricity!P176*Electricity!$B$171</f>
        <v>4250398.4422737136</v>
      </c>
      <c r="Q176" s="11">
        <f>Electricity!Q176*Electricity!$B$171</f>
        <v>4274348.1404098235</v>
      </c>
      <c r="R176" s="11">
        <f>Electricity!R176*Electricity!$B$171</f>
        <v>4298297.8385459343</v>
      </c>
      <c r="S176" s="11">
        <f>Electricity!S176*Electricity!$B$171</f>
        <v>4322247.5366820442</v>
      </c>
      <c r="T176" s="11">
        <f>Electricity!T176*Electricity!$B$171</f>
        <v>4346197.2348181549</v>
      </c>
      <c r="U176" s="11">
        <f>Electricity!U176*Electricity!$B$171</f>
        <v>4364552.5018829266</v>
      </c>
      <c r="V176" s="11">
        <f>Electricity!V176*Electricity!$B$171</f>
        <v>4382907.7689476972</v>
      </c>
      <c r="W176" s="11">
        <f>Electricity!W176*Electricity!$B$171</f>
        <v>4401263.0360124707</v>
      </c>
      <c r="X176" s="11">
        <f>Electricity!X176*Electricity!$B$171</f>
        <v>4419618.3030772423</v>
      </c>
      <c r="Y176" s="11">
        <f>Electricity!Y176*Electricity!$B$171</f>
        <v>4437973.5701420149</v>
      </c>
      <c r="Z176" s="11">
        <f>Electricity!Z176*Electricity!$B$171</f>
        <v>4450961.1824154835</v>
      </c>
      <c r="AA176" s="11">
        <f>Electricity!AA176*Electricity!$B$171</f>
        <v>4463948.7946889531</v>
      </c>
      <c r="AB176" s="11">
        <f>Electricity!AB176*Electricity!$B$171</f>
        <v>4476936.4069624236</v>
      </c>
      <c r="AC176" s="11">
        <f>Electricity!AC176*Electricity!$B$171</f>
        <v>4489924.0192358922</v>
      </c>
      <c r="AD176" s="11">
        <f>Electricity!AD176*Electricity!$B$171</f>
        <v>4502911.6315093618</v>
      </c>
      <c r="AE176" s="11">
        <f>Electricity!AE176*Electricity!$B$171</f>
        <v>4502911.6315093618</v>
      </c>
      <c r="AF176" s="11">
        <f>Electricity!AF176*Electricity!$B$171</f>
        <v>4502911.6315093618</v>
      </c>
      <c r="AG176" s="11">
        <f>Electricity!AG176*Electricity!$B$171</f>
        <v>4502911.6315093618</v>
      </c>
      <c r="AH176" s="11">
        <f>Electricity!AH176*Electricity!$B$171</f>
        <v>4502911.6315093618</v>
      </c>
      <c r="AI176" s="11">
        <f>Electricity!AI176*Electricity!$B$171</f>
        <v>4502911.6315093618</v>
      </c>
      <c r="AJ176" s="11">
        <f>Electricity!AJ176*Electricity!$B$171</f>
        <v>4502911.6315093618</v>
      </c>
      <c r="AK176" s="11">
        <f>Electricity!AK176*Electricity!$B$171</f>
        <v>4502911.6315093618</v>
      </c>
      <c r="AL176" s="11">
        <f>Electricity!AL176*Electricity!$B$171</f>
        <v>4502911.6315093618</v>
      </c>
      <c r="AM176" s="11">
        <f>Electricity!AM176*Electricity!$B$171</f>
        <v>4502911.6315093618</v>
      </c>
      <c r="AN176" s="11">
        <f>Electricity!AN176*Electricity!$B$171</f>
        <v>4502911.6315093618</v>
      </c>
      <c r="AO176" s="40">
        <f>Electricity!AO176*Electricity!$B$171</f>
        <v>4502911.6315093618</v>
      </c>
      <c r="AP176" s="40">
        <f>Electricity!AP176*Electricity!$B$171</f>
        <v>4502911.6315093618</v>
      </c>
      <c r="AQ176" s="40">
        <f>Electricity!AQ176*Electricity!$B$171</f>
        <v>4502911.6315093618</v>
      </c>
      <c r="AR176" s="40">
        <f>Electricity!AR176*Electricity!$B$171</f>
        <v>4502911.6315093618</v>
      </c>
      <c r="AS176" s="40">
        <f>Electricity!AS176*Electricity!$B$171</f>
        <v>4502911.6315093618</v>
      </c>
      <c r="AT176" s="40">
        <f>Electricity!AT176*Electricity!$B$171</f>
        <v>4502911.6315093618</v>
      </c>
      <c r="AU176" s="40">
        <f>Electricity!AU176*Electricity!$B$171</f>
        <v>4502911.6315093618</v>
      </c>
      <c r="AV176" s="40">
        <f>Electricity!AV176*Electricity!$B$171</f>
        <v>4502911.6315093618</v>
      </c>
      <c r="AW176" s="40">
        <f>Electricity!AW176*Electricity!$B$171</f>
        <v>4502911.6315093618</v>
      </c>
      <c r="AX176" s="40">
        <f>Electricity!AX176*Electricity!$B$171</f>
        <v>4502911.6315093618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696E-A60D-2941-8034-43D77D1C6C06}">
  <dimension ref="A1:AX70"/>
  <sheetViews>
    <sheetView topLeftCell="AB1" workbookViewId="0">
      <selection activeCell="AO1" sqref="AO1:AX1"/>
    </sheetView>
  </sheetViews>
  <sheetFormatPr baseColWidth="10" defaultRowHeight="16" x14ac:dyDescent="0.2"/>
  <sheetData>
    <row r="1" spans="1:50" s="3" customFormat="1" x14ac:dyDescent="0.2">
      <c r="A1" s="10" t="s">
        <v>11</v>
      </c>
      <c r="B1" s="8">
        <v>2022</v>
      </c>
      <c r="C1" s="8">
        <v>2023</v>
      </c>
      <c r="D1" s="8">
        <v>2024</v>
      </c>
      <c r="E1" s="8">
        <v>2025</v>
      </c>
      <c r="F1" s="8">
        <v>2026</v>
      </c>
      <c r="G1" s="8">
        <v>2027</v>
      </c>
      <c r="H1" s="8">
        <v>2028</v>
      </c>
      <c r="I1" s="8">
        <v>2029</v>
      </c>
      <c r="J1" s="8">
        <v>2030</v>
      </c>
      <c r="K1" s="8">
        <v>2031</v>
      </c>
      <c r="L1" s="8">
        <v>2032</v>
      </c>
      <c r="M1" s="8">
        <v>2033</v>
      </c>
      <c r="N1" s="8">
        <v>2034</v>
      </c>
      <c r="O1" s="8">
        <v>2035</v>
      </c>
      <c r="P1" s="8">
        <v>2036</v>
      </c>
      <c r="Q1" s="8">
        <v>2037</v>
      </c>
      <c r="R1" s="8">
        <v>2038</v>
      </c>
      <c r="S1" s="8">
        <v>2039</v>
      </c>
      <c r="T1" s="8">
        <v>2040</v>
      </c>
      <c r="U1" s="8">
        <v>2041</v>
      </c>
      <c r="V1" s="8">
        <v>2042</v>
      </c>
      <c r="W1" s="8">
        <v>2043</v>
      </c>
      <c r="X1" s="8">
        <v>2044</v>
      </c>
      <c r="Y1" s="8">
        <v>2045</v>
      </c>
      <c r="Z1" s="8">
        <v>2046</v>
      </c>
      <c r="AA1" s="8">
        <v>2047</v>
      </c>
      <c r="AB1" s="8">
        <v>2048</v>
      </c>
      <c r="AC1" s="8">
        <v>2049</v>
      </c>
      <c r="AD1" s="8">
        <v>2050</v>
      </c>
      <c r="AE1" s="8">
        <v>2051</v>
      </c>
      <c r="AF1" s="8">
        <v>2052</v>
      </c>
      <c r="AG1" s="8">
        <v>2053</v>
      </c>
      <c r="AH1" s="8">
        <v>2054</v>
      </c>
      <c r="AI1" s="8">
        <v>2055</v>
      </c>
      <c r="AJ1" s="8">
        <v>2056</v>
      </c>
      <c r="AK1" s="8">
        <v>2057</v>
      </c>
      <c r="AL1" s="8">
        <v>2058</v>
      </c>
      <c r="AM1" s="8">
        <v>2059</v>
      </c>
      <c r="AN1" s="8">
        <v>2060</v>
      </c>
      <c r="AO1" s="44">
        <f>AN1+1</f>
        <v>2061</v>
      </c>
      <c r="AP1" s="44">
        <f t="shared" ref="AP1:AW1" si="0">AO1+1</f>
        <v>2062</v>
      </c>
      <c r="AQ1" s="44">
        <f t="shared" si="0"/>
        <v>2063</v>
      </c>
      <c r="AR1" s="44">
        <f t="shared" si="0"/>
        <v>2064</v>
      </c>
      <c r="AS1" s="44">
        <f t="shared" si="0"/>
        <v>2065</v>
      </c>
      <c r="AT1" s="44">
        <f t="shared" si="0"/>
        <v>2066</v>
      </c>
      <c r="AU1" s="44">
        <f>AT1+1</f>
        <v>2067</v>
      </c>
      <c r="AV1" s="44">
        <f t="shared" si="0"/>
        <v>2068</v>
      </c>
      <c r="AW1" s="44">
        <f t="shared" si="0"/>
        <v>2069</v>
      </c>
      <c r="AX1" s="44">
        <f>AW1+1</f>
        <v>2070</v>
      </c>
    </row>
    <row r="2" spans="1:50" x14ac:dyDescent="0.2">
      <c r="A2" s="10" t="s">
        <v>40</v>
      </c>
      <c r="B2" s="4">
        <f>'Commercial-Conversion'!B17+'Commercial-Conversion'!B32+'Commercial-Conversion'!B47+'Commercial-Conversion'!B62+'Commercial-Conversion'!B77+'Commercial-Conversion'!B92+'Commercial-Conversion'!B122+'Commercial-Conversion'!B152</f>
        <v>7420588.1681196541</v>
      </c>
      <c r="C2" s="4">
        <f>'Commercial-Conversion'!C17+'Commercial-Conversion'!C32+'Commercial-Conversion'!C47+'Commercial-Conversion'!C62+'Commercial-Conversion'!C77+'Commercial-Conversion'!C92+'Commercial-Conversion'!C122+'Commercial-Conversion'!C152</f>
        <v>7755874.2757369736</v>
      </c>
      <c r="D2" s="4">
        <f>'Commercial-Conversion'!D17+'Commercial-Conversion'!D32+'Commercial-Conversion'!D47+'Commercial-Conversion'!D62+'Commercial-Conversion'!D77+'Commercial-Conversion'!D92+'Commercial-Conversion'!D122+'Commercial-Conversion'!D152</f>
        <v>8112504.9818514977</v>
      </c>
      <c r="E2" s="4">
        <f>'Commercial-Conversion'!E17+'Commercial-Conversion'!E32+'Commercial-Conversion'!E47+'Commercial-Conversion'!E62+'Commercial-Conversion'!E77+'Commercial-Conversion'!E92+'Commercial-Conversion'!E122+'Commercial-Conversion'!E152</f>
        <v>8491873.33372261</v>
      </c>
      <c r="F2" s="4">
        <f>'Commercial-Conversion'!F17+'Commercial-Conversion'!F32+'Commercial-Conversion'!F47+'Commercial-Conversion'!F62+'Commercial-Conversion'!F77+'Commercial-Conversion'!F92+'Commercial-Conversion'!F122+'Commercial-Conversion'!F152</f>
        <v>8909263.7360791825</v>
      </c>
      <c r="G2" s="4">
        <f>'Commercial-Conversion'!G17+'Commercial-Conversion'!G32+'Commercial-Conversion'!G47+'Commercial-Conversion'!G62+'Commercial-Conversion'!G77+'Commercial-Conversion'!G92+'Commercial-Conversion'!G122+'Commercial-Conversion'!G152</f>
        <v>9352456.5624855906</v>
      </c>
      <c r="H2" s="4">
        <f>'Commercial-Conversion'!H17+'Commercial-Conversion'!H32+'Commercial-Conversion'!H47+'Commercial-Conversion'!H62+'Commercial-Conversion'!H77+'Commercial-Conversion'!H92+'Commercial-Conversion'!H122+'Commercial-Conversion'!H152</f>
        <v>9823135.7985231485</v>
      </c>
      <c r="I2" s="4">
        <f>'Commercial-Conversion'!I17+'Commercial-Conversion'!I32+'Commercial-Conversion'!I47+'Commercial-Conversion'!I62+'Commercial-Conversion'!I77+'Commercial-Conversion'!I92+'Commercial-Conversion'!I122+'Commercial-Conversion'!I152</f>
        <v>10323095.334463999</v>
      </c>
      <c r="J2" s="4">
        <f>'Commercial-Conversion'!J17+'Commercial-Conversion'!J32+'Commercial-Conversion'!J47+'Commercial-Conversion'!J62+'Commercial-Conversion'!J77+'Commercial-Conversion'!J92+'Commercial-Conversion'!J122+'Commercial-Conversion'!J152</f>
        <v>10854246.138159785</v>
      </c>
      <c r="K2" s="4">
        <f>'Commercial-Conversion'!K17+'Commercial-Conversion'!K32+'Commercial-Conversion'!K47+'Commercial-Conversion'!K62+'Commercial-Conversion'!K77+'Commercial-Conversion'!K92+'Commercial-Conversion'!K122+'Commercial-Conversion'!K152</f>
        <v>11415095.860090172</v>
      </c>
      <c r="L2" s="4">
        <f>'Commercial-Conversion'!L17+'Commercial-Conversion'!L32+'Commercial-Conversion'!L47+'Commercial-Conversion'!L62+'Commercial-Conversion'!L77+'Commercial-Conversion'!L92+'Commercial-Conversion'!L122+'Commercial-Conversion'!L152</f>
        <v>12011341.081004076</v>
      </c>
      <c r="M2" s="4">
        <f>'Commercial-Conversion'!M17+'Commercial-Conversion'!M32+'Commercial-Conversion'!M47+'Commercial-Conversion'!M62+'Commercial-Conversion'!M77+'Commercial-Conversion'!M92+'Commercial-Conversion'!M122+'Commercial-Conversion'!M152</f>
        <v>12645291.874940138</v>
      </c>
      <c r="N2" s="4">
        <f>'Commercial-Conversion'!N17+'Commercial-Conversion'!N32+'Commercial-Conversion'!N47+'Commercial-Conversion'!N62+'Commercial-Conversion'!N77+'Commercial-Conversion'!N92+'Commercial-Conversion'!N122+'Commercial-Conversion'!N152</f>
        <v>13319409.082057459</v>
      </c>
      <c r="O2" s="4">
        <f>'Commercial-Conversion'!O17+'Commercial-Conversion'!O32+'Commercial-Conversion'!O47+'Commercial-Conversion'!O62+'Commercial-Conversion'!O77+'Commercial-Conversion'!O92+'Commercial-Conversion'!O122+'Commercial-Conversion'!O152</f>
        <v>14036314.148330254</v>
      </c>
      <c r="P2" s="4">
        <f>'Commercial-Conversion'!P17+'Commercial-Conversion'!P32+'Commercial-Conversion'!P47+'Commercial-Conversion'!P62+'Commercial-Conversion'!P77+'Commercial-Conversion'!P92+'Commercial-Conversion'!P122+'Commercial-Conversion'!P152</f>
        <v>14795230.786119444</v>
      </c>
      <c r="Q2" s="4">
        <f>'Commercial-Conversion'!Q17+'Commercial-Conversion'!Q32+'Commercial-Conversion'!Q47+'Commercial-Conversion'!Q62+'Commercial-Conversion'!Q77+'Commercial-Conversion'!Q92+'Commercial-Conversion'!Q122+'Commercial-Conversion'!Q152</f>
        <v>15602702.604068143</v>
      </c>
      <c r="R2" s="4">
        <f>'Commercial-Conversion'!R17+'Commercial-Conversion'!R32+'Commercial-Conversion'!R47+'Commercial-Conversion'!R62+'Commercial-Conversion'!R77+'Commercial-Conversion'!R92+'Commercial-Conversion'!R122+'Commercial-Conversion'!R152</f>
        <v>16461898.53789838</v>
      </c>
      <c r="S2" s="4">
        <f>'Commercial-Conversion'!S17+'Commercial-Conversion'!S32+'Commercial-Conversion'!S47+'Commercial-Conversion'!S62+'Commercial-Conversion'!S77+'Commercial-Conversion'!S92+'Commercial-Conversion'!S122+'Commercial-Conversion'!S152</f>
        <v>17376194.34274007</v>
      </c>
      <c r="T2" s="4">
        <f>'Commercial-Conversion'!T17+'Commercial-Conversion'!T32+'Commercial-Conversion'!T47+'Commercial-Conversion'!T62+'Commercial-Conversion'!T77+'Commercial-Conversion'!T92+'Commercial-Conversion'!T122+'Commercial-Conversion'!T152</f>
        <v>18349186.091122523</v>
      </c>
      <c r="U2" s="4">
        <f>'Commercial-Conversion'!U17+'Commercial-Conversion'!U32+'Commercial-Conversion'!U47+'Commercial-Conversion'!U62+'Commercial-Conversion'!U77+'Commercial-Conversion'!U92+'Commercial-Conversion'!U122+'Commercial-Conversion'!U152</f>
        <v>19381214.068491854</v>
      </c>
      <c r="V2" s="4">
        <f>'Commercial-Conversion'!V17+'Commercial-Conversion'!V32+'Commercial-Conversion'!V47+'Commercial-Conversion'!V62+'Commercial-Conversion'!V77+'Commercial-Conversion'!V92+'Commercial-Conversion'!V122+'Commercial-Conversion'!V152</f>
        <v>20479849.540826034</v>
      </c>
      <c r="W2" s="4">
        <f>'Commercial-Conversion'!W17+'Commercial-Conversion'!W32+'Commercial-Conversion'!W47+'Commercial-Conversion'!W62+'Commercial-Conversion'!W77+'Commercial-Conversion'!W92+'Commercial-Conversion'!W122+'Commercial-Conversion'!W152</f>
        <v>21649439.62143933</v>
      </c>
      <c r="X2" s="4">
        <f>'Commercial-Conversion'!X17+'Commercial-Conversion'!X32+'Commercial-Conversion'!X47+'Commercial-Conversion'!X62+'Commercial-Conversion'!X77+'Commercial-Conversion'!X92+'Commercial-Conversion'!X122+'Commercial-Conversion'!X152</f>
        <v>22894615.136375021</v>
      </c>
      <c r="Y2" s="4">
        <f>'Commercial-Conversion'!Y17+'Commercial-Conversion'!Y32+'Commercial-Conversion'!Y47+'Commercial-Conversion'!Y62+'Commercial-Conversion'!Y77+'Commercial-Conversion'!Y92+'Commercial-Conversion'!Y122+'Commercial-Conversion'!Y152</f>
        <v>24220309.140810788</v>
      </c>
      <c r="Z2" s="4">
        <f>'Commercial-Conversion'!Z17+'Commercial-Conversion'!Z32+'Commercial-Conversion'!Z47+'Commercial-Conversion'!Z62+'Commercial-Conversion'!Z77+'Commercial-Conversion'!Z92+'Commercial-Conversion'!Z122+'Commercial-Conversion'!Z152</f>
        <v>25628427.651014082</v>
      </c>
      <c r="AA2" s="4">
        <f>'Commercial-Conversion'!AA17+'Commercial-Conversion'!AA32+'Commercial-Conversion'!AA47+'Commercial-Conversion'!AA62+'Commercial-Conversion'!AA77+'Commercial-Conversion'!AA92+'Commercial-Conversion'!AA122+'Commercial-Conversion'!AA152</f>
        <v>27127917.635299366</v>
      </c>
      <c r="AB2" s="4">
        <f>'Commercial-Conversion'!AB17+'Commercial-Conversion'!AB32+'Commercial-Conversion'!AB47+'Commercial-Conversion'!AB62+'Commercial-Conversion'!AB77+'Commercial-Conversion'!AB92+'Commercial-Conversion'!AB122+'Commercial-Conversion'!AB152</f>
        <v>28724742.418841057</v>
      </c>
      <c r="AC2" s="4">
        <f>'Commercial-Conversion'!AC17+'Commercial-Conversion'!AC32+'Commercial-Conversion'!AC47+'Commercial-Conversion'!AC62+'Commercial-Conversion'!AC77+'Commercial-Conversion'!AC92+'Commercial-Conversion'!AC122+'Commercial-Conversion'!AC152</f>
        <v>30425254.521006718</v>
      </c>
      <c r="AD2" s="4">
        <f>'Commercial-Conversion'!AD17+'Commercial-Conversion'!AD32+'Commercial-Conversion'!AD47+'Commercial-Conversion'!AD62+'Commercial-Conversion'!AD77+'Commercial-Conversion'!AD92+'Commercial-Conversion'!AD122+'Commercial-Conversion'!AD152</f>
        <v>32236221.055970985</v>
      </c>
      <c r="AE2" s="4">
        <f>'Commercial-Conversion'!AE17+'Commercial-Conversion'!AE32+'Commercial-Conversion'!AE47+'Commercial-Conversion'!AE62+'Commercial-Conversion'!AE77+'Commercial-Conversion'!AE92+'Commercial-Conversion'!AE122+'Commercial-Conversion'!AE152</f>
        <v>34156747.546155207</v>
      </c>
      <c r="AF2" s="4">
        <f>'Commercial-Conversion'!AF17+'Commercial-Conversion'!AF32+'Commercial-Conversion'!AF47+'Commercial-Conversion'!AF62+'Commercial-Conversion'!AF77+'Commercial-Conversion'!AF92+'Commercial-Conversion'!AF122+'Commercial-Conversion'!AF152</f>
        <v>36202616.481364921</v>
      </c>
      <c r="AG2" s="4">
        <f>'Commercial-Conversion'!AG17+'Commercial-Conversion'!AG32+'Commercial-Conversion'!AG47+'Commercial-Conversion'!AG62+'Commercial-Conversion'!AG77+'Commercial-Conversion'!AG92+'Commercial-Conversion'!AG122+'Commercial-Conversion'!AG152</f>
        <v>38382008.289521985</v>
      </c>
      <c r="AH2" s="4">
        <f>'Commercial-Conversion'!AH17+'Commercial-Conversion'!AH32+'Commercial-Conversion'!AH47+'Commercial-Conversion'!AH62+'Commercial-Conversion'!AH77+'Commercial-Conversion'!AH92+'Commercial-Conversion'!AH122+'Commercial-Conversion'!AH152</f>
        <v>40703637.291125268</v>
      </c>
      <c r="AI2" s="4">
        <f>'Commercial-Conversion'!AI17+'Commercial-Conversion'!AI32+'Commercial-Conversion'!AI47+'Commercial-Conversion'!AI62+'Commercial-Conversion'!AI77+'Commercial-Conversion'!AI92+'Commercial-Conversion'!AI122+'Commercial-Conversion'!AI152</f>
        <v>43176786.543550581</v>
      </c>
      <c r="AJ2" s="4">
        <f>'Commercial-Conversion'!AJ17+'Commercial-Conversion'!AJ32+'Commercial-Conversion'!AJ47+'Commercial-Conversion'!AJ62+'Commercial-Conversion'!AJ77+'Commercial-Conversion'!AJ92+'Commercial-Conversion'!AJ122+'Commercial-Conversion'!AJ152</f>
        <v>45811344.959450759</v>
      </c>
      <c r="AK2" s="4">
        <f>'Commercial-Conversion'!AK17+'Commercial-Conversion'!AK32+'Commercial-Conversion'!AK47+'Commercial-Conversion'!AK62+'Commercial-Conversion'!AK77+'Commercial-Conversion'!AK92+'Commercial-Conversion'!AK122+'Commercial-Conversion'!AK152</f>
        <v>48617846.847674385</v>
      </c>
      <c r="AL2" s="4">
        <f>'Commercial-Conversion'!AL17+'Commercial-Conversion'!AL32+'Commercial-Conversion'!AL47+'Commercial-Conversion'!AL62+'Commercial-Conversion'!AL77+'Commercial-Conversion'!AL92+'Commercial-Conversion'!AL122+'Commercial-Conversion'!AL152</f>
        <v>51607514.034807704</v>
      </c>
      <c r="AM2" s="4">
        <f>'Commercial-Conversion'!AM17+'Commercial-Conversion'!AM32+'Commercial-Conversion'!AM47+'Commercial-Conversion'!AM62+'Commercial-Conversion'!AM77+'Commercial-Conversion'!AM92+'Commercial-Conversion'!AM122+'Commercial-Conversion'!AM152</f>
        <v>54792300.735763431</v>
      </c>
      <c r="AN2" s="4">
        <f>'Commercial-Conversion'!AN17+'Commercial-Conversion'!AN32+'Commercial-Conversion'!AN47+'Commercial-Conversion'!AN62+'Commercial-Conversion'!AN77+'Commercial-Conversion'!AN92+'Commercial-Conversion'!AN122+'Commercial-Conversion'!AN152</f>
        <v>58184941.352831587</v>
      </c>
      <c r="AO2" s="42">
        <f>'Commercial-Conversion'!AO17+'Commercial-Conversion'!AO32+'Commercial-Conversion'!AO47+'Commercial-Conversion'!AO62+'Commercial-Conversion'!AO77+'Commercial-Conversion'!AO92+'Commercial-Conversion'!AO122+'Commercial-Conversion'!AO152</f>
        <v>61799001.394317746</v>
      </c>
      <c r="AP2" s="42">
        <f>'Commercial-Conversion'!AP17+'Commercial-Conversion'!AP32+'Commercial-Conversion'!AP47+'Commercial-Conversion'!AP62+'Commercial-Conversion'!AP77+'Commercial-Conversion'!AP92+'Commercial-Conversion'!AP122+'Commercial-Conversion'!AP152</f>
        <v>65648931.716367111</v>
      </c>
      <c r="AQ2" s="42">
        <f>'Commercial-Conversion'!AQ17+'Commercial-Conversion'!AQ32+'Commercial-Conversion'!AQ47+'Commercial-Conversion'!AQ62+'Commercial-Conversion'!AQ77+'Commercial-Conversion'!AQ92+'Commercial-Conversion'!AQ122+'Commercial-Conversion'!AQ152</f>
        <v>69750126.304861024</v>
      </c>
      <c r="AR2" s="42">
        <f>'Commercial-Conversion'!AR17+'Commercial-Conversion'!AR32+'Commercial-Conversion'!AR47+'Commercial-Conversion'!AR62+'Commercial-Conversion'!AR77+'Commercial-Conversion'!AR92+'Commercial-Conversion'!AR122+'Commercial-Conversion'!AR152</f>
        <v>74118983.828427404</v>
      </c>
      <c r="AS2" s="42">
        <f>'Commercial-Conversion'!AS17+'Commercial-Conversion'!AS32+'Commercial-Conversion'!AS47+'Commercial-Conversion'!AS62+'Commercial-Conversion'!AS77+'Commercial-Conversion'!AS92+'Commercial-Conversion'!AS122+'Commercial-Conversion'!AS152</f>
        <v>78772973.208685488</v>
      </c>
      <c r="AT2" s="42">
        <f>'Commercial-Conversion'!AT17+'Commercial-Conversion'!AT32+'Commercial-Conversion'!AT47+'Commercial-Conversion'!AT62+'Commercial-Conversion'!AT77+'Commercial-Conversion'!AT92+'Commercial-Conversion'!AT122+'Commercial-Conversion'!AT152</f>
        <v>83730703.469908074</v>
      </c>
      <c r="AU2" s="42">
        <f>'Commercial-Conversion'!AU17+'Commercial-Conversion'!AU32+'Commercial-Conversion'!AU47+'Commercial-Conversion'!AU62+'Commercial-Conversion'!AU77+'Commercial-Conversion'!AU92+'Commercial-Conversion'!AU122+'Commercial-Conversion'!AU152</f>
        <v>89011998.147395954</v>
      </c>
      <c r="AV2" s="42">
        <f>'Commercial-Conversion'!AV17+'Commercial-Conversion'!AV32+'Commercial-Conversion'!AV47+'Commercial-Conversion'!AV62+'Commercial-Conversion'!AV77+'Commercial-Conversion'!AV92+'Commercial-Conversion'!AV122+'Commercial-Conversion'!AV152</f>
        <v>94637974.552087188</v>
      </c>
      <c r="AW2" s="42">
        <f>'Commercial-Conversion'!AW17+'Commercial-Conversion'!AW32+'Commercial-Conversion'!AW47+'Commercial-Conversion'!AW62+'Commercial-Conversion'!AW77+'Commercial-Conversion'!AW92+'Commercial-Conversion'!AW122+'Commercial-Conversion'!AW152</f>
        <v>100631128.20834139</v>
      </c>
      <c r="AX2" s="42">
        <f>'Commercial-Conversion'!AX17+'Commercial-Conversion'!AX32+'Commercial-Conversion'!AX47+'Commercial-Conversion'!AX62+'Commercial-Conversion'!AX77+'Commercial-Conversion'!AX92+'Commercial-Conversion'!AX122+'Commercial-Conversion'!AX152</f>
        <v>107015422.8025247</v>
      </c>
    </row>
    <row r="3" spans="1:50" x14ac:dyDescent="0.2">
      <c r="A3" s="10" t="s">
        <v>41</v>
      </c>
      <c r="B3" s="4">
        <f>'Commercial-Conversion'!B18+'Commercial-Conversion'!B33+'Commercial-Conversion'!B48+'Commercial-Conversion'!B63+'Commercial-Conversion'!B78+'Commercial-Conversion'!B93+'Commercial-Conversion'!B108+'Commercial-Conversion'!B123+'Commercial-Conversion'!B138+'Commercial-Conversion'!B153</f>
        <v>5359282.5791786565</v>
      </c>
      <c r="C3" s="4">
        <f>'Commercial-Conversion'!C18+'Commercial-Conversion'!C33+'Commercial-Conversion'!C48+'Commercial-Conversion'!C63+'Commercial-Conversion'!C78+'Commercial-Conversion'!C93+'Commercial-Conversion'!C108+'Commercial-Conversion'!C123+'Commercial-Conversion'!C138+'Commercial-Conversion'!C153</f>
        <v>5566922.1123801591</v>
      </c>
      <c r="D3" s="4">
        <f>'Commercial-Conversion'!D18+'Commercial-Conversion'!D33+'Commercial-Conversion'!D48+'Commercial-Conversion'!D63+'Commercial-Conversion'!D78+'Commercial-Conversion'!D93+'Commercial-Conversion'!D108+'Commercial-Conversion'!D123+'Commercial-Conversion'!D138+'Commercial-Conversion'!D153</f>
        <v>5787600.2781136483</v>
      </c>
      <c r="E3" s="4">
        <f>'Commercial-Conversion'!E18+'Commercial-Conversion'!E33+'Commercial-Conversion'!E48+'Commercial-Conversion'!E63+'Commercial-Conversion'!E78+'Commercial-Conversion'!E93+'Commercial-Conversion'!E108+'Commercial-Conversion'!E123+'Commercial-Conversion'!E138+'Commercial-Conversion'!E153</f>
        <v>6022168.0378679102</v>
      </c>
      <c r="F3" s="4">
        <f>'Commercial-Conversion'!F18+'Commercial-Conversion'!F33+'Commercial-Conversion'!F48+'Commercial-Conversion'!F63+'Commercial-Conversion'!F78+'Commercial-Conversion'!F93+'Commercial-Conversion'!F108+'Commercial-Conversion'!F123+'Commercial-Conversion'!F138+'Commercial-Conversion'!F153</f>
        <v>6284694.8220135197</v>
      </c>
      <c r="G3" s="4">
        <f>'Commercial-Conversion'!G18+'Commercial-Conversion'!G33+'Commercial-Conversion'!G48+'Commercial-Conversion'!G63+'Commercial-Conversion'!G78+'Commercial-Conversion'!G93+'Commercial-Conversion'!G108+'Commercial-Conversion'!G123+'Commercial-Conversion'!G138+'Commercial-Conversion'!G153</f>
        <v>6562983.3608561931</v>
      </c>
      <c r="H3" s="4">
        <f>'Commercial-Conversion'!H18+'Commercial-Conversion'!H33+'Commercial-Conversion'!H48+'Commercial-Conversion'!H63+'Commercial-Conversion'!H78+'Commercial-Conversion'!H93+'Commercial-Conversion'!H108+'Commercial-Conversion'!H123+'Commercial-Conversion'!H138+'Commercial-Conversion'!H153</f>
        <v>6858062.3394371057</v>
      </c>
      <c r="I3" s="4">
        <f>'Commercial-Conversion'!I18+'Commercial-Conversion'!I33+'Commercial-Conversion'!I48+'Commercial-Conversion'!I63+'Commercial-Conversion'!I78+'Commercial-Conversion'!I93+'Commercial-Conversion'!I108+'Commercial-Conversion'!I123+'Commercial-Conversion'!I138+'Commercial-Conversion'!I153</f>
        <v>7171027.5795429358</v>
      </c>
      <c r="J3" s="4">
        <f>'Commercial-Conversion'!J18+'Commercial-Conversion'!J33+'Commercial-Conversion'!J48+'Commercial-Conversion'!J63+'Commercial-Conversion'!J78+'Commercial-Conversion'!J93+'Commercial-Conversion'!J108+'Commercial-Conversion'!J123+'Commercial-Conversion'!J138+'Commercial-Conversion'!J153</f>
        <v>7503046.4213605318</v>
      </c>
      <c r="K3" s="4">
        <f>'Commercial-Conversion'!K18+'Commercial-Conversion'!K33+'Commercial-Conversion'!K48+'Commercial-Conversion'!K63+'Commercial-Conversion'!K78+'Commercial-Conversion'!K93+'Commercial-Conversion'!K108+'Commercial-Conversion'!K123+'Commercial-Conversion'!K138+'Commercial-Conversion'!K153</f>
        <v>7851997.3322846657</v>
      </c>
      <c r="L3" s="4">
        <f>'Commercial-Conversion'!L18+'Commercial-Conversion'!L33+'Commercial-Conversion'!L48+'Commercial-Conversion'!L63+'Commercial-Conversion'!L78+'Commercial-Conversion'!L93+'Commercial-Conversion'!L108+'Commercial-Conversion'!L123+'Commercial-Conversion'!L138+'Commercial-Conversion'!L153</f>
        <v>8222570.0556121934</v>
      </c>
      <c r="M3" s="4">
        <f>'Commercial-Conversion'!M18+'Commercial-Conversion'!M33+'Commercial-Conversion'!M48+'Commercial-Conversion'!M63+'Commercial-Conversion'!M78+'Commercial-Conversion'!M93+'Commercial-Conversion'!M108+'Commercial-Conversion'!M123+'Commercial-Conversion'!M138+'Commercial-Conversion'!M153</f>
        <v>8616175.730864685</v>
      </c>
      <c r="N3" s="4">
        <f>'Commercial-Conversion'!N18+'Commercial-Conversion'!N33+'Commercial-Conversion'!N48+'Commercial-Conversion'!N63+'Commercial-Conversion'!N78+'Commercial-Conversion'!N93+'Commercial-Conversion'!N108+'Commercial-Conversion'!N123+'Commercial-Conversion'!N138+'Commercial-Conversion'!N153</f>
        <v>9034317.5950582325</v>
      </c>
      <c r="O3" s="4">
        <f>'Commercial-Conversion'!O18+'Commercial-Conversion'!O33+'Commercial-Conversion'!O48+'Commercial-Conversion'!O63+'Commercial-Conversion'!O78+'Commercial-Conversion'!O93+'Commercial-Conversion'!O108+'Commercial-Conversion'!O123+'Commercial-Conversion'!O138+'Commercial-Conversion'!O153</f>
        <v>9478596.993412083</v>
      </c>
      <c r="P3" s="4">
        <f>'Commercial-Conversion'!P18+'Commercial-Conversion'!P33+'Commercial-Conversion'!P48+'Commercial-Conversion'!P63+'Commercial-Conversion'!P78+'Commercial-Conversion'!P93+'Commercial-Conversion'!P108+'Commercial-Conversion'!P123+'Commercial-Conversion'!P138+'Commercial-Conversion'!P153</f>
        <v>9947315.8222720139</v>
      </c>
      <c r="Q3" s="4">
        <f>'Commercial-Conversion'!Q18+'Commercial-Conversion'!Q33+'Commercial-Conversion'!Q48+'Commercial-Conversion'!Q63+'Commercial-Conversion'!Q78+'Commercial-Conversion'!Q93+'Commercial-Conversion'!Q108+'Commercial-Conversion'!Q123+'Commercial-Conversion'!Q138+'Commercial-Conversion'!Q153</f>
        <v>10445695.230210399</v>
      </c>
      <c r="R3" s="4">
        <f>'Commercial-Conversion'!R18+'Commercial-Conversion'!R33+'Commercial-Conversion'!R48+'Commercial-Conversion'!R63+'Commercial-Conversion'!R78+'Commercial-Conversion'!R93+'Commercial-Conversion'!R108+'Commercial-Conversion'!R123+'Commercial-Conversion'!R138+'Commercial-Conversion'!R153</f>
        <v>10975671.0038574</v>
      </c>
      <c r="S3" s="4">
        <f>'Commercial-Conversion'!S18+'Commercial-Conversion'!S33+'Commercial-Conversion'!S48+'Commercial-Conversion'!S63+'Commercial-Conversion'!S78+'Commercial-Conversion'!S93+'Commercial-Conversion'!S108+'Commercial-Conversion'!S123+'Commercial-Conversion'!S138+'Commercial-Conversion'!S153</f>
        <v>11539305.268235542</v>
      </c>
      <c r="T3" s="4">
        <f>'Commercial-Conversion'!T18+'Commercial-Conversion'!T33+'Commercial-Conversion'!T48+'Commercial-Conversion'!T63+'Commercial-Conversion'!T78+'Commercial-Conversion'!T93+'Commercial-Conversion'!T108+'Commercial-Conversion'!T123+'Commercial-Conversion'!T138+'Commercial-Conversion'!T153</f>
        <v>12138794.732187774</v>
      </c>
      <c r="U3" s="4">
        <f>'Commercial-Conversion'!U18+'Commercial-Conversion'!U33+'Commercial-Conversion'!U48+'Commercial-Conversion'!U63+'Commercial-Conversion'!U78+'Commercial-Conversion'!U93+'Commercial-Conversion'!U108+'Commercial-Conversion'!U123+'Commercial-Conversion'!U138+'Commercial-Conversion'!U153</f>
        <v>12773150.23095125</v>
      </c>
      <c r="V3" s="4">
        <f>'Commercial-Conversion'!V18+'Commercial-Conversion'!V33+'Commercial-Conversion'!V48+'Commercial-Conversion'!V63+'Commercial-Conversion'!V78+'Commercial-Conversion'!V93+'Commercial-Conversion'!V108+'Commercial-Conversion'!V123+'Commercial-Conversion'!V138+'Commercial-Conversion'!V153</f>
        <v>13448193.805943303</v>
      </c>
      <c r="W3" s="4">
        <f>'Commercial-Conversion'!W18+'Commercial-Conversion'!W33+'Commercial-Conversion'!W48+'Commercial-Conversion'!W63+'Commercial-Conversion'!W78+'Commercial-Conversion'!W93+'Commercial-Conversion'!W108+'Commercial-Conversion'!W123+'Commercial-Conversion'!W138+'Commercial-Conversion'!W153</f>
        <v>14166580.949282337</v>
      </c>
      <c r="X3" s="4">
        <f>'Commercial-Conversion'!X18+'Commercial-Conversion'!X33+'Commercial-Conversion'!X48+'Commercial-Conversion'!X63+'Commercial-Conversion'!X78+'Commercial-Conversion'!X93+'Commercial-Conversion'!X108+'Commercial-Conversion'!X123+'Commercial-Conversion'!X138+'Commercial-Conversion'!X153</f>
        <v>14931140.462789366</v>
      </c>
      <c r="Y3" s="4">
        <f>'Commercial-Conversion'!Y18+'Commercial-Conversion'!Y33+'Commercial-Conversion'!Y48+'Commercial-Conversion'!Y63+'Commercial-Conversion'!Y78+'Commercial-Conversion'!Y93+'Commercial-Conversion'!Y108+'Commercial-Conversion'!Y123+'Commercial-Conversion'!Y138+'Commercial-Conversion'!Y153</f>
        <v>15744885.76898111</v>
      </c>
      <c r="Z3" s="4">
        <f>'Commercial-Conversion'!Z18+'Commercial-Conversion'!Z33+'Commercial-Conversion'!Z48+'Commercial-Conversion'!Z63+'Commercial-Conversion'!Z78+'Commercial-Conversion'!Z93+'Commercial-Conversion'!Z108+'Commercial-Conversion'!Z123+'Commercial-Conversion'!Z138+'Commercial-Conversion'!Z153</f>
        <v>16607832.673645711</v>
      </c>
      <c r="AA3" s="4">
        <f>'Commercial-Conversion'!AA18+'Commercial-Conversion'!AA33+'Commercial-Conversion'!AA48+'Commercial-Conversion'!AA63+'Commercial-Conversion'!AA78+'Commercial-Conversion'!AA93+'Commercial-Conversion'!AA108+'Commercial-Conversion'!AA123+'Commercial-Conversion'!AA138+'Commercial-Conversion'!AA153</f>
        <v>17526595.061305553</v>
      </c>
      <c r="AB3" s="4">
        <f>'Commercial-Conversion'!AB18+'Commercial-Conversion'!AB33+'Commercial-Conversion'!AB48+'Commercial-Conversion'!AB63+'Commercial-Conversion'!AB78+'Commercial-Conversion'!AB93+'Commercial-Conversion'!AB108+'Commercial-Conversion'!AB123+'Commercial-Conversion'!AB138+'Commercial-Conversion'!AB153</f>
        <v>18504815.708639145</v>
      </c>
      <c r="AC3" s="4">
        <f>'Commercial-Conversion'!AC18+'Commercial-Conversion'!AC33+'Commercial-Conversion'!AC48+'Commercial-Conversion'!AC63+'Commercial-Conversion'!AC78+'Commercial-Conversion'!AC93+'Commercial-Conversion'!AC108+'Commercial-Conversion'!AC123+'Commercial-Conversion'!AC138+'Commercial-Conversion'!AC153</f>
        <v>19546375.136786163</v>
      </c>
      <c r="AD3" s="4">
        <f>'Commercial-Conversion'!AD18+'Commercial-Conversion'!AD33+'Commercial-Conversion'!AD48+'Commercial-Conversion'!AD63+'Commercial-Conversion'!AD78+'Commercial-Conversion'!AD93+'Commercial-Conversion'!AD108+'Commercial-Conversion'!AD123+'Commercial-Conversion'!AD138+'Commercial-Conversion'!AD153</f>
        <v>20655407.127651025</v>
      </c>
      <c r="AE3" s="4">
        <f>'Commercial-Conversion'!AE18+'Commercial-Conversion'!AE33+'Commercial-Conversion'!AE48+'Commercial-Conversion'!AE63+'Commercial-Conversion'!AE78+'Commercial-Conversion'!AE93+'Commercial-Conversion'!AE108+'Commercial-Conversion'!AE123+'Commercial-Conversion'!AE138+'Commercial-Conversion'!AE153</f>
        <v>21828586.336280089</v>
      </c>
      <c r="AF3" s="4">
        <f>'Commercial-Conversion'!AF18+'Commercial-Conversion'!AF33+'Commercial-Conversion'!AF48+'Commercial-Conversion'!AF63+'Commercial-Conversion'!AF78+'Commercial-Conversion'!AF93+'Commercial-Conversion'!AF108+'Commercial-Conversion'!AF123+'Commercial-Conversion'!AF138+'Commercial-Conversion'!AF153</f>
        <v>23078332.648364488</v>
      </c>
      <c r="AG3" s="4">
        <f>'Commercial-Conversion'!AG18+'Commercial-Conversion'!AG33+'Commercial-Conversion'!AG48+'Commercial-Conversion'!AG63+'Commercial-Conversion'!AG78+'Commercial-Conversion'!AG93+'Commercial-Conversion'!AG108+'Commercial-Conversion'!AG123+'Commercial-Conversion'!AG138+'Commercial-Conversion'!AG153</f>
        <v>24409643.1873517</v>
      </c>
      <c r="AH3" s="4">
        <f>'Commercial-Conversion'!AH18+'Commercial-Conversion'!AH33+'Commercial-Conversion'!AH48+'Commercial-Conversion'!AH63+'Commercial-Conversion'!AH78+'Commercial-Conversion'!AH93+'Commercial-Conversion'!AH108+'Commercial-Conversion'!AH123+'Commercial-Conversion'!AH138+'Commercial-Conversion'!AH153</f>
        <v>25827841.212087069</v>
      </c>
      <c r="AI3" s="4">
        <f>'Commercial-Conversion'!AI18+'Commercial-Conversion'!AI33+'Commercial-Conversion'!AI48+'Commercial-Conversion'!AI63+'Commercial-Conversion'!AI78+'Commercial-Conversion'!AI93+'Commercial-Conversion'!AI108+'Commercial-Conversion'!AI123+'Commercial-Conversion'!AI138+'Commercial-Conversion'!AI153</f>
        <v>27338597.401918944</v>
      </c>
      <c r="AJ3" s="4">
        <f>'Commercial-Conversion'!AJ18+'Commercial-Conversion'!AJ33+'Commercial-Conversion'!AJ48+'Commercial-Conversion'!AJ63+'Commercial-Conversion'!AJ78+'Commercial-Conversion'!AJ93+'Commercial-Conversion'!AJ108+'Commercial-Conversion'!AJ123+'Commercial-Conversion'!AJ138+'Commercial-Conversion'!AJ153</f>
        <v>28947952.530968133</v>
      </c>
      <c r="AK3" s="4">
        <f>'Commercial-Conversion'!AK18+'Commercial-Conversion'!AK33+'Commercial-Conversion'!AK48+'Commercial-Conversion'!AK63+'Commercial-Conversion'!AK78+'Commercial-Conversion'!AK93+'Commercial-Conversion'!AK108+'Commercial-Conversion'!AK123+'Commercial-Conversion'!AK138+'Commercial-Conversion'!AK153</f>
        <v>30662341.622225255</v>
      </c>
      <c r="AL3" s="4">
        <f>'Commercial-Conversion'!AL18+'Commercial-Conversion'!AL33+'Commercial-Conversion'!AL48+'Commercial-Conversion'!AL63+'Commercial-Conversion'!AL78+'Commercial-Conversion'!AL93+'Commercial-Conversion'!AL108+'Commercial-Conversion'!AL123+'Commercial-Conversion'!AL138+'Commercial-Conversion'!AL153</f>
        <v>32488619.678056143</v>
      </c>
      <c r="AM3" s="4">
        <f>'Commercial-Conversion'!AM18+'Commercial-Conversion'!AM33+'Commercial-Conversion'!AM48+'Commercial-Conversion'!AM63+'Commercial-Conversion'!AM78+'Commercial-Conversion'!AM93+'Commercial-Conversion'!AM108+'Commercial-Conversion'!AM123+'Commercial-Conversion'!AM138+'Commercial-Conversion'!AM153</f>
        <v>34434089.089999117</v>
      </c>
      <c r="AN3" s="4">
        <f>'Commercial-Conversion'!AN18+'Commercial-Conversion'!AN33+'Commercial-Conversion'!AN48+'Commercial-Conversion'!AN63+'Commercial-Conversion'!AN78+'Commercial-Conversion'!AN93+'Commercial-Conversion'!AN108+'Commercial-Conversion'!AN123+'Commercial-Conversion'!AN138+'Commercial-Conversion'!AN153</f>
        <v>36506528.837452449</v>
      </c>
      <c r="AO3" s="42">
        <f>'Commercial-Conversion'!AO18+'Commercial-Conversion'!AO33+'Commercial-Conversion'!AO48+'Commercial-Conversion'!AO63+'Commercial-Conversion'!AO78+'Commercial-Conversion'!AO93+'Commercial-Conversion'!AO108+'Commercial-Conversion'!AO123+'Commercial-Conversion'!AO138+'Commercial-Conversion'!AO153</f>
        <v>38714225.592003308</v>
      </c>
      <c r="AP3" s="42">
        <f>'Commercial-Conversion'!AP18+'Commercial-Conversion'!AP33+'Commercial-Conversion'!AP48+'Commercial-Conversion'!AP63+'Commercial-Conversion'!AP78+'Commercial-Conversion'!AP93+'Commercial-Conversion'!AP108+'Commercial-Conversion'!AP123+'Commercial-Conversion'!AP138+'Commercial-Conversion'!AP153</f>
        <v>41066006.851769038</v>
      </c>
      <c r="AQ3" s="42">
        <f>'Commercial-Conversion'!AQ18+'Commercial-Conversion'!AQ33+'Commercial-Conversion'!AQ48+'Commercial-Conversion'!AQ63+'Commercial-Conversion'!AQ78+'Commercial-Conversion'!AQ93+'Commercial-Conversion'!AQ108+'Commercial-Conversion'!AQ123+'Commercial-Conversion'!AQ138+'Commercial-Conversion'!AQ153</f>
        <v>43571276.238238975</v>
      </c>
      <c r="AR3" s="42">
        <f>'Commercial-Conversion'!AR18+'Commercial-Conversion'!AR33+'Commercial-Conversion'!AR48+'Commercial-Conversion'!AR63+'Commercial-Conversion'!AR78+'Commercial-Conversion'!AR93+'Commercial-Conversion'!AR108+'Commercial-Conversion'!AR123+'Commercial-Conversion'!AR138+'Commercial-Conversion'!AR153</f>
        <v>46240051.096751384</v>
      </c>
      <c r="AS3" s="42">
        <f>'Commercial-Conversion'!AS18+'Commercial-Conversion'!AS33+'Commercial-Conversion'!AS48+'Commercial-Conversion'!AS63+'Commercial-Conversion'!AS78+'Commercial-Conversion'!AS93+'Commercial-Conversion'!AS108+'Commercial-Conversion'!AS123+'Commercial-Conversion'!AS138+'Commercial-Conversion'!AS153</f>
        <v>49083002.550951593</v>
      </c>
      <c r="AT3" s="42">
        <f>'Commercial-Conversion'!AT18+'Commercial-Conversion'!AT33+'Commercial-Conversion'!AT48+'Commercial-Conversion'!AT63+'Commercial-Conversion'!AT78+'Commercial-Conversion'!AT93+'Commercial-Conversion'!AT108+'Commercial-Conversion'!AT123+'Commercial-Conversion'!AT138+'Commercial-Conversion'!AT153</f>
        <v>52111498.171389289</v>
      </c>
      <c r="AU3" s="42">
        <f>'Commercial-Conversion'!AU18+'Commercial-Conversion'!AU33+'Commercial-Conversion'!AU48+'Commercial-Conversion'!AU63+'Commercial-Conversion'!AU78+'Commercial-Conversion'!AU93+'Commercial-Conversion'!AU108+'Commercial-Conversion'!AU123+'Commercial-Conversion'!AU138+'Commercial-Conversion'!AU153</f>
        <v>55337647.428865969</v>
      </c>
      <c r="AV3" s="42">
        <f>'Commercial-Conversion'!AV18+'Commercial-Conversion'!AV33+'Commercial-Conversion'!AV48+'Commercial-Conversion'!AV63+'Commercial-Conversion'!AV78+'Commercial-Conversion'!AV93+'Commercial-Conversion'!AV108+'Commercial-Conversion'!AV123+'Commercial-Conversion'!AV138+'Commercial-Conversion'!AV153</f>
        <v>58774350.114278205</v>
      </c>
      <c r="AW3" s="42">
        <f>'Commercial-Conversion'!AW18+'Commercial-Conversion'!AW33+'Commercial-Conversion'!AW48+'Commercial-Conversion'!AW63+'Commercial-Conversion'!AW78+'Commercial-Conversion'!AW93+'Commercial-Conversion'!AW108+'Commercial-Conversion'!AW123+'Commercial-Conversion'!AW138+'Commercial-Conversion'!AW153</f>
        <v>62435347.918563768</v>
      </c>
      <c r="AX3" s="42">
        <f>'Commercial-Conversion'!AX18+'Commercial-Conversion'!AX33+'Commercial-Conversion'!AX48+'Commercial-Conversion'!AX63+'Commercial-Conversion'!AX78+'Commercial-Conversion'!AX93+'Commercial-Conversion'!AX108+'Commercial-Conversion'!AX123+'Commercial-Conversion'!AX138+'Commercial-Conversion'!AX153</f>
        <v>66335279.378993839</v>
      </c>
    </row>
    <row r="4" spans="1:50" x14ac:dyDescent="0.2">
      <c r="A4" s="10" t="s">
        <v>42</v>
      </c>
      <c r="B4" s="4">
        <f>'Commercial-Conversion'!B49+'Commercial-Conversion'!B79+'Commercial-Conversion'!B94+'Commercial-Conversion'!B109+'Commercial-Conversion'!B124+'Commercial-Conversion'!B139+'Commercial-Conversion'!B154</f>
        <v>2299912.3367749481</v>
      </c>
      <c r="C4" s="4">
        <f>'Commercial-Conversion'!C49+'Commercial-Conversion'!C79+'Commercial-Conversion'!C94+'Commercial-Conversion'!C109+'Commercial-Conversion'!C124+'Commercial-Conversion'!C139+'Commercial-Conversion'!C154</f>
        <v>2339649.0243040454</v>
      </c>
      <c r="D4" s="4">
        <f>'Commercial-Conversion'!D49+'Commercial-Conversion'!D79+'Commercial-Conversion'!D94+'Commercial-Conversion'!D109+'Commercial-Conversion'!D124+'Commercial-Conversion'!D139+'Commercial-Conversion'!D154</f>
        <v>2381580.8548520189</v>
      </c>
      <c r="E4" s="4">
        <f>'Commercial-Conversion'!E49+'Commercial-Conversion'!E79+'Commercial-Conversion'!E94+'Commercial-Conversion'!E109+'Commercial-Conversion'!E124+'Commercial-Conversion'!E139+'Commercial-Conversion'!E154</f>
        <v>2425851.0936092082</v>
      </c>
      <c r="F4" s="4">
        <f>'Commercial-Conversion'!F49+'Commercial-Conversion'!F79+'Commercial-Conversion'!F94+'Commercial-Conversion'!F109+'Commercial-Conversion'!F124+'Commercial-Conversion'!F139+'Commercial-Conversion'!F154</f>
        <v>2482833.4368244875</v>
      </c>
      <c r="G4" s="4">
        <f>'Commercial-Conversion'!G49+'Commercial-Conversion'!G79+'Commercial-Conversion'!G94+'Commercial-Conversion'!G109+'Commercial-Conversion'!G124+'Commercial-Conversion'!G139+'Commercial-Conversion'!G154</f>
        <v>2542469.3793112878</v>
      </c>
      <c r="H4" s="4">
        <f>'Commercial-Conversion'!H49+'Commercial-Conversion'!H79+'Commercial-Conversion'!H94+'Commercial-Conversion'!H109+'Commercial-Conversion'!H124+'Commercial-Conversion'!H139+'Commercial-Conversion'!H154</f>
        <v>2604932.1072362741</v>
      </c>
      <c r="I4" s="4">
        <f>'Commercial-Conversion'!I49+'Commercial-Conversion'!I79+'Commercial-Conversion'!I94+'Commercial-Conversion'!I109+'Commercial-Conversion'!I124+'Commercial-Conversion'!I139+'Commercial-Conversion'!I154</f>
        <v>2670406.1096966774</v>
      </c>
      <c r="J4" s="4">
        <f>'Commercial-Conversion'!J49+'Commercial-Conversion'!J79+'Commercial-Conversion'!J94+'Commercial-Conversion'!J109+'Commercial-Conversion'!J124+'Commercial-Conversion'!J139+'Commercial-Conversion'!J154</f>
        <v>2739087.9164018468</v>
      </c>
      <c r="K4" s="4">
        <f>'Commercial-Conversion'!K49+'Commercial-Conversion'!K79+'Commercial-Conversion'!K94+'Commercial-Conversion'!K109+'Commercial-Conversion'!K124+'Commercial-Conversion'!K139+'Commercial-Conversion'!K154</f>
        <v>2808573.8987555825</v>
      </c>
      <c r="L4" s="4">
        <f>'Commercial-Conversion'!L49+'Commercial-Conversion'!L79+'Commercial-Conversion'!L94+'Commercial-Conversion'!L109+'Commercial-Conversion'!L124+'Commercial-Conversion'!L139+'Commercial-Conversion'!L154</f>
        <v>2881700.0612000101</v>
      </c>
      <c r="M4" s="4">
        <f>'Commercial-Conversion'!M49+'Commercial-Conversion'!M79+'Commercial-Conversion'!M94+'Commercial-Conversion'!M109+'Commercial-Conversion'!M124+'Commercial-Conversion'!M139+'Commercial-Conversion'!M154</f>
        <v>2958703.9787309612</v>
      </c>
      <c r="N4" s="4">
        <f>'Commercial-Conversion'!N49+'Commercial-Conversion'!N79+'Commercial-Conversion'!N94+'Commercial-Conversion'!N109+'Commercial-Conversion'!N124+'Commercial-Conversion'!N139+'Commercial-Conversion'!N154</f>
        <v>3039838.7315877541</v>
      </c>
      <c r="O4" s="4">
        <f>'Commercial-Conversion'!O49+'Commercial-Conversion'!O79+'Commercial-Conversion'!O94+'Commercial-Conversion'!O109+'Commercial-Conversion'!O124+'Commercial-Conversion'!O139+'Commercial-Conversion'!O154</f>
        <v>3125373.9171971316</v>
      </c>
      <c r="P4" s="4">
        <f>'Commercial-Conversion'!P49+'Commercial-Conversion'!P79+'Commercial-Conversion'!P94+'Commercial-Conversion'!P109+'Commercial-Conversion'!P124+'Commercial-Conversion'!P139+'Commercial-Conversion'!P154</f>
        <v>3212953.5363992136</v>
      </c>
      <c r="Q4" s="4">
        <f>'Commercial-Conversion'!Q49+'Commercial-Conversion'!Q79+'Commercial-Conversion'!Q94+'Commercial-Conversion'!Q109+'Commercial-Conversion'!Q124+'Commercial-Conversion'!Q139+'Commercial-Conversion'!Q154</f>
        <v>3305526.7170764105</v>
      </c>
      <c r="R4" s="4">
        <f>'Commercial-Conversion'!R49+'Commercial-Conversion'!R79+'Commercial-Conversion'!R94+'Commercial-Conversion'!R109+'Commercial-Conversion'!R124+'Commercial-Conversion'!R139+'Commercial-Conversion'!R154</f>
        <v>3403419.3621557998</v>
      </c>
      <c r="S4" s="4">
        <f>'Commercial-Conversion'!S49+'Commercial-Conversion'!S79+'Commercial-Conversion'!S94+'Commercial-Conversion'!S109+'Commercial-Conversion'!S124+'Commercial-Conversion'!S139+'Commercial-Conversion'!S154</f>
        <v>3506978.6444974281</v>
      </c>
      <c r="T4" s="4">
        <f>'Commercial-Conversion'!T49+'Commercial-Conversion'!T79+'Commercial-Conversion'!T94+'Commercial-Conversion'!T109+'Commercial-Conversion'!T124+'Commercial-Conversion'!T139+'Commercial-Conversion'!T154</f>
        <v>3616574.3950685607</v>
      </c>
      <c r="U4" s="4">
        <f>'Commercial-Conversion'!U49+'Commercial-Conversion'!U79+'Commercial-Conversion'!U94+'Commercial-Conversion'!U109+'Commercial-Conversion'!U124+'Commercial-Conversion'!U139+'Commercial-Conversion'!U154</f>
        <v>3730015.4096903177</v>
      </c>
      <c r="V4" s="4">
        <f>'Commercial-Conversion'!V49+'Commercial-Conversion'!V79+'Commercial-Conversion'!V94+'Commercial-Conversion'!V109+'Commercial-Conversion'!V124+'Commercial-Conversion'!V139+'Commercial-Conversion'!V154</f>
        <v>3850306.5404009805</v>
      </c>
      <c r="W4" s="4">
        <f>'Commercial-Conversion'!W49+'Commercial-Conversion'!W79+'Commercial-Conversion'!W94+'Commercial-Conversion'!W109+'Commercial-Conversion'!W124+'Commercial-Conversion'!W139+'Commercial-Conversion'!W154</f>
        <v>3977894.8574719997</v>
      </c>
      <c r="X4" s="4">
        <f>'Commercial-Conversion'!X49+'Commercial-Conversion'!X79+'Commercial-Conversion'!X94+'Commercial-Conversion'!X109+'Commercial-Conversion'!X124+'Commercial-Conversion'!X139+'Commercial-Conversion'!X154</f>
        <v>4113256.6090493342</v>
      </c>
      <c r="Y4" s="4">
        <f>'Commercial-Conversion'!Y49+'Commercial-Conversion'!Y79+'Commercial-Conversion'!Y94+'Commercial-Conversion'!Y109+'Commercial-Conversion'!Y124+'Commercial-Conversion'!Y139+'Commercial-Conversion'!Y154</f>
        <v>4256899.1254365426</v>
      </c>
      <c r="Z4" s="4">
        <f>'Commercial-Conversion'!Z49+'Commercial-Conversion'!Z79+'Commercial-Conversion'!Z94+'Commercial-Conversion'!Z109+'Commercial-Conversion'!Z124+'Commercial-Conversion'!Z139+'Commercial-Conversion'!Z154</f>
        <v>4406882.4683622662</v>
      </c>
      <c r="AA4" s="4">
        <f>'Commercial-Conversion'!AA49+'Commercial-Conversion'!AA79+'Commercial-Conversion'!AA94+'Commercial-Conversion'!AA109+'Commercial-Conversion'!AA124+'Commercial-Conversion'!AA139+'Commercial-Conversion'!AA154</f>
        <v>4566262.7298330665</v>
      </c>
      <c r="AB4" s="4">
        <f>'Commercial-Conversion'!AB49+'Commercial-Conversion'!AB79+'Commercial-Conversion'!AB94+'Commercial-Conversion'!AB109+'Commercial-Conversion'!AB124+'Commercial-Conversion'!AB139+'Commercial-Conversion'!AB154</f>
        <v>4735653.1962327361</v>
      </c>
      <c r="AC4" s="4">
        <f>'Commercial-Conversion'!AC49+'Commercial-Conversion'!AC79+'Commercial-Conversion'!AC94+'Commercial-Conversion'!AC109+'Commercial-Conversion'!AC124+'Commercial-Conversion'!AC139+'Commercial-Conversion'!AC154</f>
        <v>4915707.1798521522</v>
      </c>
      <c r="AD4" s="4">
        <f>'Commercial-Conversion'!AD49+'Commercial-Conversion'!AD79+'Commercial-Conversion'!AD94+'Commercial-Conversion'!AD109+'Commercial-Conversion'!AD124+'Commercial-Conversion'!AD139+'Commercial-Conversion'!AD154</f>
        <v>5107120.6311651682</v>
      </c>
      <c r="AE4" s="4">
        <f>'Commercial-Conversion'!AE49+'Commercial-Conversion'!AE79+'Commercial-Conversion'!AE94+'Commercial-Conversion'!AE109+'Commercial-Conversion'!AE124+'Commercial-Conversion'!AE139+'Commercial-Conversion'!AE154</f>
        <v>5304633.3797909301</v>
      </c>
      <c r="AF4" s="4">
        <f>'Commercial-Conversion'!AF49+'Commercial-Conversion'!AF79+'Commercial-Conversion'!AF94+'Commercial-Conversion'!AF109+'Commercial-Conversion'!AF124+'Commercial-Conversion'!AF139+'Commercial-Conversion'!AF154</f>
        <v>5515036.7242834978</v>
      </c>
      <c r="AG4" s="4">
        <f>'Commercial-Conversion'!AG49+'Commercial-Conversion'!AG79+'Commercial-Conversion'!AG94+'Commercial-Conversion'!AG109+'Commercial-Conversion'!AG124+'Commercial-Conversion'!AG139+'Commercial-Conversion'!AG154</f>
        <v>5739171.9645739272</v>
      </c>
      <c r="AH4" s="4">
        <f>'Commercial-Conversion'!AH49+'Commercial-Conversion'!AH79+'Commercial-Conversion'!AH94+'Commercial-Conversion'!AH109+'Commercial-Conversion'!AH124+'Commercial-Conversion'!AH139+'Commercial-Conversion'!AH154</f>
        <v>5977935.3077194635</v>
      </c>
      <c r="AI4" s="4">
        <f>'Commercial-Conversion'!AI49+'Commercial-Conversion'!AI79+'Commercial-Conversion'!AI94+'Commercial-Conversion'!AI109+'Commercial-Conversion'!AI124+'Commercial-Conversion'!AI139+'Commercial-Conversion'!AI154</f>
        <v>6232281.4513966683</v>
      </c>
      <c r="AJ4" s="4">
        <f>'Commercial-Conversion'!AJ49+'Commercial-Conversion'!AJ79+'Commercial-Conversion'!AJ94+'Commercial-Conversion'!AJ109+'Commercial-Conversion'!AJ124+'Commercial-Conversion'!AJ139+'Commercial-Conversion'!AJ154</f>
        <v>6503227.4012698531</v>
      </c>
      <c r="AK4" s="4">
        <f>'Commercial-Conversion'!AK49+'Commercial-Conversion'!AK79+'Commercial-Conversion'!AK94+'Commercial-Conversion'!AK109+'Commercial-Conversion'!AK124+'Commercial-Conversion'!AK139+'Commercial-Conversion'!AK154</f>
        <v>6791856.5374986716</v>
      </c>
      <c r="AL4" s="4">
        <f>'Commercial-Conversion'!AL49+'Commercial-Conversion'!AL79+'Commercial-Conversion'!AL94+'Commercial-Conversion'!AL109+'Commercial-Conversion'!AL124+'Commercial-Conversion'!AL139+'Commercial-Conversion'!AL154</f>
        <v>7099322.9466447998</v>
      </c>
      <c r="AM4" s="4">
        <f>'Commercial-Conversion'!AM49+'Commercial-Conversion'!AM79+'Commercial-Conversion'!AM94+'Commercial-Conversion'!AM109+'Commercial-Conversion'!AM124+'Commercial-Conversion'!AM139+'Commercial-Conversion'!AM154</f>
        <v>7426856.0362988766</v>
      </c>
      <c r="AN4" s="4">
        <f>'Commercial-Conversion'!AN49+'Commercial-Conversion'!AN79+'Commercial-Conversion'!AN94+'Commercial-Conversion'!AN109+'Commercial-Conversion'!AN124+'Commercial-Conversion'!AN139+'Commercial-Conversion'!AN154</f>
        <v>7775765.4508793838</v>
      </c>
      <c r="AO4" s="42">
        <f>'Commercial-Conversion'!AO49+'Commercial-Conversion'!AO79+'Commercial-Conversion'!AO94+'Commercial-Conversion'!AO109+'Commercial-Conversion'!AO124+'Commercial-Conversion'!AO139+'Commercial-Conversion'!AO154</f>
        <v>8147446.3082592748</v>
      </c>
      <c r="AP4" s="42">
        <f>'Commercial-Conversion'!AP49+'Commercial-Conversion'!AP79+'Commercial-Conversion'!AP94+'Commercial-Conversion'!AP109+'Commercial-Conversion'!AP124+'Commercial-Conversion'!AP139+'Commercial-Conversion'!AP154</f>
        <v>8543384.7781591043</v>
      </c>
      <c r="AQ4" s="42">
        <f>'Commercial-Conversion'!AQ49+'Commercial-Conversion'!AQ79+'Commercial-Conversion'!AQ94+'Commercial-Conversion'!AQ109+'Commercial-Conversion'!AQ124+'Commercial-Conversion'!AQ139+'Commercial-Conversion'!AQ154</f>
        <v>8965164.0246118978</v>
      </c>
      <c r="AR4" s="42">
        <f>'Commercial-Conversion'!AR49+'Commercial-Conversion'!AR79+'Commercial-Conversion'!AR94+'Commercial-Conversion'!AR109+'Commercial-Conversion'!AR124+'Commercial-Conversion'!AR139+'Commercial-Conversion'!AR154</f>
        <v>9414470.5362607725</v>
      </c>
      <c r="AS4" s="42">
        <f>'Commercial-Conversion'!AS49+'Commercial-Conversion'!AS79+'Commercial-Conversion'!AS94+'Commercial-Conversion'!AS109+'Commercial-Conversion'!AS124+'Commercial-Conversion'!AS139+'Commercial-Conversion'!AS154</f>
        <v>9893100.8698010836</v>
      </c>
      <c r="AT4" s="42">
        <f>'Commercial-Conversion'!AT49+'Commercial-Conversion'!AT79+'Commercial-Conversion'!AT94+'Commercial-Conversion'!AT109+'Commercial-Conversion'!AT124+'Commercial-Conversion'!AT139+'Commercial-Conversion'!AT154</f>
        <v>10402968.833530786</v>
      </c>
      <c r="AU4" s="42">
        <f>'Commercial-Conversion'!AU49+'Commercial-Conversion'!AU79+'Commercial-Conversion'!AU94+'Commercial-Conversion'!AU109+'Commercial-Conversion'!AU124+'Commercial-Conversion'!AU139+'Commercial-Conversion'!AU154</f>
        <v>10946113.139732558</v>
      </c>
      <c r="AV4" s="42">
        <f>'Commercial-Conversion'!AV49+'Commercial-Conversion'!AV79+'Commercial-Conversion'!AV94+'Commercial-Conversion'!AV109+'Commercial-Conversion'!AV124+'Commercial-Conversion'!AV139+'Commercial-Conversion'!AV154</f>
        <v>11524705.556485763</v>
      </c>
      <c r="AW4" s="42">
        <f>'Commercial-Conversion'!AW49+'Commercial-Conversion'!AW79+'Commercial-Conversion'!AW94+'Commercial-Conversion'!AW109+'Commercial-Conversion'!AW124+'Commercial-Conversion'!AW139+'Commercial-Conversion'!AW154</f>
        <v>12141059.591503395</v>
      </c>
      <c r="AX4" s="42">
        <f>'Commercial-Conversion'!AX49+'Commercial-Conversion'!AX79+'Commercial-Conversion'!AX94+'Commercial-Conversion'!AX109+'Commercial-Conversion'!AX124+'Commercial-Conversion'!AX139+'Commercial-Conversion'!AX154</f>
        <v>12797639.742716396</v>
      </c>
    </row>
    <row r="5" spans="1:50" x14ac:dyDescent="0.2">
      <c r="A5" s="10" t="s">
        <v>43</v>
      </c>
      <c r="B5" s="4">
        <f>'Commercial-Conversion'!B80+'Commercial-Conversion'!B110+'Commercial-Conversion'!B125+'Commercial-Conversion'!B155+'Commercial-Conversion'!B207</f>
        <v>639821.05080976943</v>
      </c>
      <c r="C5" s="4">
        <f>'Commercial-Conversion'!C80+'Commercial-Conversion'!C110+'Commercial-Conversion'!C125+'Commercial-Conversion'!C155+'Commercial-Conversion'!C207</f>
        <v>642008.88209712761</v>
      </c>
      <c r="D5" s="4">
        <f>'Commercial-Conversion'!D80+'Commercial-Conversion'!D110+'Commercial-Conversion'!D125+'Commercial-Conversion'!D155+'Commercial-Conversion'!D207</f>
        <v>644196.71338448592</v>
      </c>
      <c r="E5" s="4">
        <f>'Commercial-Conversion'!E80+'Commercial-Conversion'!E110+'Commercial-Conversion'!E125+'Commercial-Conversion'!E155+'Commercial-Conversion'!E207</f>
        <v>646384.54467184411</v>
      </c>
      <c r="F5" s="4">
        <f>'Commercial-Conversion'!F80+'Commercial-Conversion'!F110+'Commercial-Conversion'!F125+'Commercial-Conversion'!F155+'Commercial-Conversion'!F207</f>
        <v>652236.96281764959</v>
      </c>
      <c r="G5" s="4">
        <f>'Commercial-Conversion'!G80+'Commercial-Conversion'!G110+'Commercial-Conversion'!G125+'Commercial-Conversion'!G155+'Commercial-Conversion'!G207</f>
        <v>658089.38096345495</v>
      </c>
      <c r="H5" s="4">
        <f>'Commercial-Conversion'!H80+'Commercial-Conversion'!H110+'Commercial-Conversion'!H125+'Commercial-Conversion'!H155+'Commercial-Conversion'!H207</f>
        <v>663941.79910926044</v>
      </c>
      <c r="I5" s="4">
        <f>'Commercial-Conversion'!I80+'Commercial-Conversion'!I110+'Commercial-Conversion'!I125+'Commercial-Conversion'!I155+'Commercial-Conversion'!I207</f>
        <v>669794.2172550658</v>
      </c>
      <c r="J5" s="4">
        <f>'Commercial-Conversion'!J80+'Commercial-Conversion'!J110+'Commercial-Conversion'!J125+'Commercial-Conversion'!J155+'Commercial-Conversion'!J207</f>
        <v>675646.63540087128</v>
      </c>
      <c r="K5" s="4">
        <f>'Commercial-Conversion'!K80+'Commercial-Conversion'!K110+'Commercial-Conversion'!K125+'Commercial-Conversion'!K155+'Commercial-Conversion'!K207</f>
        <v>680562.21431821166</v>
      </c>
      <c r="L5" s="4">
        <f>'Commercial-Conversion'!L80+'Commercial-Conversion'!L110+'Commercial-Conversion'!L125+'Commercial-Conversion'!L155+'Commercial-Conversion'!L207</f>
        <v>685477.79323555226</v>
      </c>
      <c r="M5" s="4">
        <f>'Commercial-Conversion'!M80+'Commercial-Conversion'!M110+'Commercial-Conversion'!M125+'Commercial-Conversion'!M155+'Commercial-Conversion'!M207</f>
        <v>690393.37215289276</v>
      </c>
      <c r="N5" s="4">
        <f>'Commercial-Conversion'!N80+'Commercial-Conversion'!N110+'Commercial-Conversion'!N125+'Commercial-Conversion'!N155+'Commercial-Conversion'!N207</f>
        <v>695308.95107023325</v>
      </c>
      <c r="O5" s="4">
        <f>'Commercial-Conversion'!O80+'Commercial-Conversion'!O110+'Commercial-Conversion'!O125+'Commercial-Conversion'!O155+'Commercial-Conversion'!O207</f>
        <v>700224.52998757374</v>
      </c>
      <c r="P5" s="4">
        <f>'Commercial-Conversion'!P80+'Commercial-Conversion'!P110+'Commercial-Conversion'!P125+'Commercial-Conversion'!P155+'Commercial-Conversion'!P207</f>
        <v>704192.43948700011</v>
      </c>
      <c r="Q5" s="4">
        <f>'Commercial-Conversion'!Q80+'Commercial-Conversion'!Q110+'Commercial-Conversion'!Q125+'Commercial-Conversion'!Q155+'Commercial-Conversion'!Q207</f>
        <v>708160.34898642648</v>
      </c>
      <c r="R5" s="4">
        <f>'Commercial-Conversion'!R80+'Commercial-Conversion'!R110+'Commercial-Conversion'!R125+'Commercial-Conversion'!R155+'Commercial-Conversion'!R207</f>
        <v>712128.25848585274</v>
      </c>
      <c r="S5" s="4">
        <f>'Commercial-Conversion'!S80+'Commercial-Conversion'!S110+'Commercial-Conversion'!S125+'Commercial-Conversion'!S155+'Commercial-Conversion'!S207</f>
        <v>716096.167985279</v>
      </c>
      <c r="T5" s="4">
        <f>'Commercial-Conversion'!T80+'Commercial-Conversion'!T110+'Commercial-Conversion'!T125+'Commercial-Conversion'!T155+'Commercial-Conversion'!T207</f>
        <v>720064.07748470525</v>
      </c>
      <c r="U5" s="4">
        <f>'Commercial-Conversion'!U80+'Commercial-Conversion'!U110+'Commercial-Conversion'!U125+'Commercial-Conversion'!U155+'Commercial-Conversion'!U207</f>
        <v>723105.1195110766</v>
      </c>
      <c r="V5" s="4">
        <f>'Commercial-Conversion'!V80+'Commercial-Conversion'!V110+'Commercial-Conversion'!V125+'Commercial-Conversion'!V155+'Commercial-Conversion'!V207</f>
        <v>726146.16153744771</v>
      </c>
      <c r="W5" s="4">
        <f>'Commercial-Conversion'!W80+'Commercial-Conversion'!W110+'Commercial-Conversion'!W125+'Commercial-Conversion'!W155+'Commercial-Conversion'!W207</f>
        <v>729187.20356381906</v>
      </c>
      <c r="X5" s="4">
        <f>'Commercial-Conversion'!X80+'Commercial-Conversion'!X110+'Commercial-Conversion'!X125+'Commercial-Conversion'!X155+'Commercial-Conversion'!X207</f>
        <v>732228.24559019029</v>
      </c>
      <c r="Y5" s="4">
        <f>'Commercial-Conversion'!Y80+'Commercial-Conversion'!Y110+'Commercial-Conversion'!Y125+'Commercial-Conversion'!Y155+'Commercial-Conversion'!Y207</f>
        <v>735269.2876165614</v>
      </c>
      <c r="Z5" s="4">
        <f>'Commercial-Conversion'!Z80+'Commercial-Conversion'!Z110+'Commercial-Conversion'!Z125+'Commercial-Conversion'!Z155+'Commercial-Conversion'!Z207</f>
        <v>737421.03373970219</v>
      </c>
      <c r="AA5" s="4">
        <f>'Commercial-Conversion'!AA80+'Commercial-Conversion'!AA110+'Commercial-Conversion'!AA125+'Commercial-Conversion'!AA155+'Commercial-Conversion'!AA207</f>
        <v>739572.77986284299</v>
      </c>
      <c r="AB5" s="4">
        <f>'Commercial-Conversion'!AB80+'Commercial-Conversion'!AB110+'Commercial-Conversion'!AB125+'Commercial-Conversion'!AB155+'Commercial-Conversion'!AB207</f>
        <v>741724.52598598367</v>
      </c>
      <c r="AC5" s="4">
        <f>'Commercial-Conversion'!AC80+'Commercial-Conversion'!AC110+'Commercial-Conversion'!AC125+'Commercial-Conversion'!AC155+'Commercial-Conversion'!AC207</f>
        <v>743876.27210912423</v>
      </c>
      <c r="AD5" s="4">
        <f>'Commercial-Conversion'!AD80+'Commercial-Conversion'!AD110+'Commercial-Conversion'!AD125+'Commercial-Conversion'!AD155+'Commercial-Conversion'!AD207</f>
        <v>746028.01823226502</v>
      </c>
      <c r="AE5" s="4">
        <f>'Commercial-Conversion'!AE80+'Commercial-Conversion'!AE110+'Commercial-Conversion'!AE125+'Commercial-Conversion'!AE155+'Commercial-Conversion'!AE207</f>
        <v>746028.01823226502</v>
      </c>
      <c r="AF5" s="4">
        <f>'Commercial-Conversion'!AF80+'Commercial-Conversion'!AF110+'Commercial-Conversion'!AF125+'Commercial-Conversion'!AF155+'Commercial-Conversion'!AF207</f>
        <v>746028.01823226502</v>
      </c>
      <c r="AG5" s="4">
        <f>'Commercial-Conversion'!AG80+'Commercial-Conversion'!AG110+'Commercial-Conversion'!AG125+'Commercial-Conversion'!AG155+'Commercial-Conversion'!AG207</f>
        <v>746028.01823226502</v>
      </c>
      <c r="AH5" s="4">
        <f>'Commercial-Conversion'!AH80+'Commercial-Conversion'!AH110+'Commercial-Conversion'!AH125+'Commercial-Conversion'!AH155+'Commercial-Conversion'!AH207</f>
        <v>746028.01823226502</v>
      </c>
      <c r="AI5" s="4">
        <f>'Commercial-Conversion'!AI80+'Commercial-Conversion'!AI110+'Commercial-Conversion'!AI125+'Commercial-Conversion'!AI155+'Commercial-Conversion'!AI207</f>
        <v>746028.01823226502</v>
      </c>
      <c r="AJ5" s="4">
        <f>'Commercial-Conversion'!AJ80+'Commercial-Conversion'!AJ110+'Commercial-Conversion'!AJ125+'Commercial-Conversion'!AJ155+'Commercial-Conversion'!AJ207</f>
        <v>746028.01823226502</v>
      </c>
      <c r="AK5" s="4">
        <f>'Commercial-Conversion'!AK80+'Commercial-Conversion'!AK110+'Commercial-Conversion'!AK125+'Commercial-Conversion'!AK155+'Commercial-Conversion'!AK207</f>
        <v>746028.01823226502</v>
      </c>
      <c r="AL5" s="4">
        <f>'Commercial-Conversion'!AL80+'Commercial-Conversion'!AL110+'Commercial-Conversion'!AL125+'Commercial-Conversion'!AL155+'Commercial-Conversion'!AL207</f>
        <v>746028.01823226502</v>
      </c>
      <c r="AM5" s="4">
        <f>'Commercial-Conversion'!AM80+'Commercial-Conversion'!AM110+'Commercial-Conversion'!AM125+'Commercial-Conversion'!AM155+'Commercial-Conversion'!AM207</f>
        <v>746028.01823226502</v>
      </c>
      <c r="AN5" s="4">
        <f>'Commercial-Conversion'!AN80+'Commercial-Conversion'!AN110+'Commercial-Conversion'!AN125+'Commercial-Conversion'!AN155+'Commercial-Conversion'!AN207</f>
        <v>746028.01823226502</v>
      </c>
      <c r="AO5" s="42">
        <f>'Commercial-Conversion'!AO80+'Commercial-Conversion'!AO110+'Commercial-Conversion'!AO125+'Commercial-Conversion'!AO155+'Commercial-Conversion'!AO207</f>
        <v>746028.01823226502</v>
      </c>
      <c r="AP5" s="42">
        <f>'Commercial-Conversion'!AP80+'Commercial-Conversion'!AP110+'Commercial-Conversion'!AP125+'Commercial-Conversion'!AP155+'Commercial-Conversion'!AP207</f>
        <v>746028.01823226502</v>
      </c>
      <c r="AQ5" s="42">
        <f>'Commercial-Conversion'!AQ80+'Commercial-Conversion'!AQ110+'Commercial-Conversion'!AQ125+'Commercial-Conversion'!AQ155+'Commercial-Conversion'!AQ207</f>
        <v>746028.01823226502</v>
      </c>
      <c r="AR5" s="42">
        <f>'Commercial-Conversion'!AR80+'Commercial-Conversion'!AR110+'Commercial-Conversion'!AR125+'Commercial-Conversion'!AR155+'Commercial-Conversion'!AR207</f>
        <v>746028.01823226502</v>
      </c>
      <c r="AS5" s="42">
        <f>'Commercial-Conversion'!AS80+'Commercial-Conversion'!AS110+'Commercial-Conversion'!AS125+'Commercial-Conversion'!AS155+'Commercial-Conversion'!AS207</f>
        <v>746028.01823226502</v>
      </c>
      <c r="AT5" s="42">
        <f>'Commercial-Conversion'!AT80+'Commercial-Conversion'!AT110+'Commercial-Conversion'!AT125+'Commercial-Conversion'!AT155+'Commercial-Conversion'!AT207</f>
        <v>746028.01823226502</v>
      </c>
      <c r="AU5" s="42">
        <f>'Commercial-Conversion'!AU80+'Commercial-Conversion'!AU110+'Commercial-Conversion'!AU125+'Commercial-Conversion'!AU155+'Commercial-Conversion'!AU207</f>
        <v>746028.01823226502</v>
      </c>
      <c r="AV5" s="42">
        <f>'Commercial-Conversion'!AV80+'Commercial-Conversion'!AV110+'Commercial-Conversion'!AV125+'Commercial-Conversion'!AV155+'Commercial-Conversion'!AV207</f>
        <v>746028.01823226502</v>
      </c>
      <c r="AW5" s="42">
        <f>'Commercial-Conversion'!AW80+'Commercial-Conversion'!AW110+'Commercial-Conversion'!AW125+'Commercial-Conversion'!AW155+'Commercial-Conversion'!AW207</f>
        <v>746028.01823226502</v>
      </c>
      <c r="AX5" s="42">
        <f>'Commercial-Conversion'!AX80+'Commercial-Conversion'!AX110+'Commercial-Conversion'!AX125+'Commercial-Conversion'!AX155+'Commercial-Conversion'!AX207</f>
        <v>746028.01823226502</v>
      </c>
    </row>
    <row r="6" spans="1:50" x14ac:dyDescent="0.2">
      <c r="A6" s="10" t="s">
        <v>8</v>
      </c>
      <c r="B6" s="4">
        <f>'Commercial-Conversion'!B7+'Commercial-Conversion'!B21+'Commercial-Conversion'!B36+'Commercial-Conversion'!B51+'Commercial-Conversion'!B66+'Commercial-Conversion'!B81+'Commercial-Conversion'!B96+'Commercial-Conversion'!B111+'Commercial-Conversion'!B126+'Commercial-Conversion'!B141+'Commercial-Conversion'!B156+'Commercial-Conversion'!B167+'Commercial-Conversion'!B177+'Commercial-Conversion'!B187+'Commercial-Conversion'!B197+'Commercial-Conversion'!B208</f>
        <v>989804.97371746902</v>
      </c>
      <c r="C6" s="4">
        <f>'Commercial-Conversion'!C7+'Commercial-Conversion'!C21+'Commercial-Conversion'!C36+'Commercial-Conversion'!C51+'Commercial-Conversion'!C66+'Commercial-Conversion'!C81+'Commercial-Conversion'!C96+'Commercial-Conversion'!C111+'Commercial-Conversion'!C126+'Commercial-Conversion'!C141+'Commercial-Conversion'!C156+'Commercial-Conversion'!C167+'Commercial-Conversion'!C177+'Commercial-Conversion'!C187+'Commercial-Conversion'!C197+'Commercial-Conversion'!C208</f>
        <v>1016431.4730912198</v>
      </c>
      <c r="D6" s="4">
        <f>'Commercial-Conversion'!D7+'Commercial-Conversion'!D21+'Commercial-Conversion'!D36+'Commercial-Conversion'!D51+'Commercial-Conversion'!D66+'Commercial-Conversion'!D81+'Commercial-Conversion'!D96+'Commercial-Conversion'!D111+'Commercial-Conversion'!D126+'Commercial-Conversion'!D141+'Commercial-Conversion'!D156+'Commercial-Conversion'!D167+'Commercial-Conversion'!D177+'Commercial-Conversion'!D187+'Commercial-Conversion'!D197+'Commercial-Conversion'!D208</f>
        <v>1030514.8253536799</v>
      </c>
      <c r="E6" s="4">
        <f>'Commercial-Conversion'!E7+'Commercial-Conversion'!E21+'Commercial-Conversion'!E36+'Commercial-Conversion'!E51+'Commercial-Conversion'!E66+'Commercial-Conversion'!E81+'Commercial-Conversion'!E96+'Commercial-Conversion'!E111+'Commercial-Conversion'!E126+'Commercial-Conversion'!E141+'Commercial-Conversion'!E156+'Commercial-Conversion'!E167+'Commercial-Conversion'!E177+'Commercial-Conversion'!E187+'Commercial-Conversion'!E197+'Commercial-Conversion'!E208</f>
        <v>1045193.8308173523</v>
      </c>
      <c r="F6" s="4">
        <f>'Commercial-Conversion'!F7+'Commercial-Conversion'!F21+'Commercial-Conversion'!F36+'Commercial-Conversion'!F51+'Commercial-Conversion'!F66+'Commercial-Conversion'!F81+'Commercial-Conversion'!F96+'Commercial-Conversion'!F111+'Commercial-Conversion'!F126+'Commercial-Conversion'!F141+'Commercial-Conversion'!F156+'Commercial-Conversion'!F167+'Commercial-Conversion'!F177+'Commercial-Conversion'!F187+'Commercial-Conversion'!F197+'Commercial-Conversion'!F208</f>
        <v>1065563.7909111511</v>
      </c>
      <c r="G6" s="4">
        <f>'Commercial-Conversion'!G7+'Commercial-Conversion'!G21+'Commercial-Conversion'!G36+'Commercial-Conversion'!G51+'Commercial-Conversion'!G66+'Commercial-Conversion'!G81+'Commercial-Conversion'!G96+'Commercial-Conversion'!G111+'Commercial-Conversion'!G126+'Commercial-Conversion'!G141+'Commercial-Conversion'!G156+'Commercial-Conversion'!G167+'Commercial-Conversion'!G177+'Commercial-Conversion'!G187+'Commercial-Conversion'!G197+'Commercial-Conversion'!G208</f>
        <v>1086632.3611796754</v>
      </c>
      <c r="H6" s="4">
        <f>'Commercial-Conversion'!H7+'Commercial-Conversion'!H21+'Commercial-Conversion'!H36+'Commercial-Conversion'!H51+'Commercial-Conversion'!H66+'Commercial-Conversion'!H81+'Commercial-Conversion'!H96+'Commercial-Conversion'!H111+'Commercial-Conversion'!H126+'Commercial-Conversion'!H141+'Commercial-Conversion'!H156+'Commercial-Conversion'!H167+'Commercial-Conversion'!H177+'Commercial-Conversion'!H187+'Commercial-Conversion'!H197+'Commercial-Conversion'!H208</f>
        <v>1108442.5170320182</v>
      </c>
      <c r="I6" s="4">
        <f>'Commercial-Conversion'!I7+'Commercial-Conversion'!I21+'Commercial-Conversion'!I36+'Commercial-Conversion'!I51+'Commercial-Conversion'!I66+'Commercial-Conversion'!I81+'Commercial-Conversion'!I96+'Commercial-Conversion'!I111+'Commercial-Conversion'!I126+'Commercial-Conversion'!I141+'Commercial-Conversion'!I156+'Commercial-Conversion'!I167+'Commercial-Conversion'!I177+'Commercial-Conversion'!I187+'Commercial-Conversion'!I197+'Commercial-Conversion'!I208</f>
        <v>1131040.0366179631</v>
      </c>
      <c r="J6" s="4">
        <f>'Commercial-Conversion'!J7+'Commercial-Conversion'!J21+'Commercial-Conversion'!J36+'Commercial-Conversion'!J51+'Commercial-Conversion'!J66+'Commercial-Conversion'!J81+'Commercial-Conversion'!J96+'Commercial-Conversion'!J111+'Commercial-Conversion'!J126+'Commercial-Conversion'!J141+'Commercial-Conversion'!J156+'Commercial-Conversion'!J167+'Commercial-Conversion'!J177+'Commercial-Conversion'!J187+'Commercial-Conversion'!J197+'Commercial-Conversion'!J208</f>
        <v>1154473.6836461462</v>
      </c>
      <c r="K6" s="4">
        <f>'Commercial-Conversion'!K7+'Commercial-Conversion'!K21+'Commercial-Conversion'!K36+'Commercial-Conversion'!K51+'Commercial-Conversion'!K66+'Commercial-Conversion'!K81+'Commercial-Conversion'!K96+'Commercial-Conversion'!K111+'Commercial-Conversion'!K126+'Commercial-Conversion'!K141+'Commercial-Conversion'!K156+'Commercial-Conversion'!K167+'Commercial-Conversion'!K177+'Commercial-Conversion'!K187+'Commercial-Conversion'!K197+'Commercial-Conversion'!K208</f>
        <v>1177486.6772746374</v>
      </c>
      <c r="L6" s="4">
        <f>'Commercial-Conversion'!L7+'Commercial-Conversion'!L21+'Commercial-Conversion'!L36+'Commercial-Conversion'!L51+'Commercial-Conversion'!L66+'Commercial-Conversion'!L81+'Commercial-Conversion'!L96+'Commercial-Conversion'!L111+'Commercial-Conversion'!L126+'Commercial-Conversion'!L141+'Commercial-Conversion'!L156+'Commercial-Conversion'!L167+'Commercial-Conversion'!L177+'Commercial-Conversion'!L187+'Commercial-Conversion'!L197+'Commercial-Conversion'!L208</f>
        <v>1201436.7498343072</v>
      </c>
      <c r="M6" s="4">
        <f>'Commercial-Conversion'!M7+'Commercial-Conversion'!M21+'Commercial-Conversion'!M36+'Commercial-Conversion'!M51+'Commercial-Conversion'!M66+'Commercial-Conversion'!M81+'Commercial-Conversion'!M96+'Commercial-Conversion'!M111+'Commercial-Conversion'!M126+'Commercial-Conversion'!M141+'Commercial-Conversion'!M156+'Commercial-Conversion'!M167+'Commercial-Conversion'!M177+'Commercial-Conversion'!M187+'Commercial-Conversion'!M197+'Commercial-Conversion'!M208</f>
        <v>1226382.8418254312</v>
      </c>
      <c r="N6" s="4">
        <f>'Commercial-Conversion'!N7+'Commercial-Conversion'!N21+'Commercial-Conversion'!N36+'Commercial-Conversion'!N51+'Commercial-Conversion'!N66+'Commercial-Conversion'!N81+'Commercial-Conversion'!N96+'Commercial-Conversion'!N111+'Commercial-Conversion'!N126+'Commercial-Conversion'!N141+'Commercial-Conversion'!N156+'Commercial-Conversion'!N167+'Commercial-Conversion'!N177+'Commercial-Conversion'!N187+'Commercial-Conversion'!N197+'Commercial-Conversion'!N208</f>
        <v>1252387.7378829219</v>
      </c>
      <c r="O6" s="4">
        <f>'Commercial-Conversion'!O7+'Commercial-Conversion'!O21+'Commercial-Conversion'!O36+'Commercial-Conversion'!O51+'Commercial-Conversion'!O66+'Commercial-Conversion'!O81+'Commercial-Conversion'!O96+'Commercial-Conversion'!O111+'Commercial-Conversion'!O126+'Commercial-Conversion'!O141+'Commercial-Conversion'!O156+'Commercial-Conversion'!O167+'Commercial-Conversion'!O177+'Commercial-Conversion'!O187+'Commercial-Conversion'!O197+'Commercial-Conversion'!O208</f>
        <v>1279518.3175325836</v>
      </c>
      <c r="P6" s="4">
        <f>'Commercial-Conversion'!P7+'Commercial-Conversion'!P21+'Commercial-Conversion'!P36+'Commercial-Conversion'!P51+'Commercial-Conversion'!P66+'Commercial-Conversion'!P81+'Commercial-Conversion'!P96+'Commercial-Conversion'!P111+'Commercial-Conversion'!P126+'Commercial-Conversion'!P141+'Commercial-Conversion'!P156+'Commercial-Conversion'!P167+'Commercial-Conversion'!P177+'Commercial-Conversion'!P187+'Commercial-Conversion'!P197+'Commercial-Conversion'!P208</f>
        <v>1306505.9746373803</v>
      </c>
      <c r="Q6" s="4">
        <f>'Commercial-Conversion'!Q7+'Commercial-Conversion'!Q21+'Commercial-Conversion'!Q36+'Commercial-Conversion'!Q51+'Commercial-Conversion'!Q66+'Commercial-Conversion'!Q81+'Commercial-Conversion'!Q96+'Commercial-Conversion'!Q111+'Commercial-Conversion'!Q126+'Commercial-Conversion'!Q141+'Commercial-Conversion'!Q156+'Commercial-Conversion'!Q167+'Commercial-Conversion'!Q177+'Commercial-Conversion'!Q187+'Commercial-Conversion'!Q197+'Commercial-Conversion'!Q208</f>
        <v>1334760.0475471308</v>
      </c>
      <c r="R6" s="4">
        <f>'Commercial-Conversion'!R7+'Commercial-Conversion'!R21+'Commercial-Conversion'!R36+'Commercial-Conversion'!R51+'Commercial-Conversion'!R66+'Commercial-Conversion'!R81+'Commercial-Conversion'!R96+'Commercial-Conversion'!R111+'Commercial-Conversion'!R126+'Commercial-Conversion'!R141+'Commercial-Conversion'!R156+'Commercial-Conversion'!R167+'Commercial-Conversion'!R177+'Commercial-Conversion'!R187+'Commercial-Conversion'!R197+'Commercial-Conversion'!R208</f>
        <v>1364361.3739944631</v>
      </c>
      <c r="S6" s="4">
        <f>'Commercial-Conversion'!S7+'Commercial-Conversion'!S21+'Commercial-Conversion'!S36+'Commercial-Conversion'!S51+'Commercial-Conversion'!S66+'Commercial-Conversion'!S81+'Commercial-Conversion'!S96+'Commercial-Conversion'!S111+'Commercial-Conversion'!S126+'Commercial-Conversion'!S141+'Commercial-Conversion'!S156+'Commercial-Conversion'!S167+'Commercial-Conversion'!S177+'Commercial-Conversion'!S187+'Commercial-Conversion'!S197+'Commercial-Conversion'!S208</f>
        <v>1395396.0642443553</v>
      </c>
      <c r="T6" s="4">
        <f>'Commercial-Conversion'!T7+'Commercial-Conversion'!T21+'Commercial-Conversion'!T36+'Commercial-Conversion'!T51+'Commercial-Conversion'!T66+'Commercial-Conversion'!T81+'Commercial-Conversion'!T96+'Commercial-Conversion'!T111+'Commercial-Conversion'!T126+'Commercial-Conversion'!T141+'Commercial-Conversion'!T156+'Commercial-Conversion'!T167+'Commercial-Conversion'!T177+'Commercial-Conversion'!T187+'Commercial-Conversion'!T197+'Commercial-Conversion'!T208</f>
        <v>1427955.8450383875</v>
      </c>
      <c r="U6" s="4">
        <f>'Commercial-Conversion'!U7+'Commercial-Conversion'!U21+'Commercial-Conversion'!U36+'Commercial-Conversion'!U51+'Commercial-Conversion'!U66+'Commercial-Conversion'!U81+'Commercial-Conversion'!U96+'Commercial-Conversion'!U111+'Commercial-Conversion'!U126+'Commercial-Conversion'!U141+'Commercial-Conversion'!U156+'Commercial-Conversion'!U167+'Commercial-Conversion'!U177+'Commercial-Conversion'!U187+'Commercial-Conversion'!U197+'Commercial-Conversion'!U208</f>
        <v>1460812.346385255</v>
      </c>
      <c r="V6" s="4">
        <f>'Commercial-Conversion'!V7+'Commercial-Conversion'!V21+'Commercial-Conversion'!V36+'Commercial-Conversion'!V51+'Commercial-Conversion'!V66+'Commercial-Conversion'!V81+'Commercial-Conversion'!V96+'Commercial-Conversion'!V111+'Commercial-Conversion'!V126+'Commercial-Conversion'!V141+'Commercial-Conversion'!V156+'Commercial-Conversion'!V167+'Commercial-Conversion'!V177+'Commercial-Conversion'!V187+'Commercial-Conversion'!V197+'Commercial-Conversion'!V208</f>
        <v>1495389.4736538348</v>
      </c>
      <c r="W6" s="4">
        <f>'Commercial-Conversion'!W7+'Commercial-Conversion'!W21+'Commercial-Conversion'!W36+'Commercial-Conversion'!W51+'Commercial-Conversion'!W66+'Commercial-Conversion'!W81+'Commercial-Conversion'!W96+'Commercial-Conversion'!W111+'Commercial-Conversion'!W126+'Commercial-Conversion'!W141+'Commercial-Conversion'!W156+'Commercial-Conversion'!W167+'Commercial-Conversion'!W177+'Commercial-Conversion'!W187+'Commercial-Conversion'!W197+'Commercial-Conversion'!W208</f>
        <v>1531798.098488014</v>
      </c>
      <c r="X6" s="4">
        <f>'Commercial-Conversion'!X7+'Commercial-Conversion'!X21+'Commercial-Conversion'!X36+'Commercial-Conversion'!X51+'Commercial-Conversion'!X66+'Commercial-Conversion'!X81+'Commercial-Conversion'!X96+'Commercial-Conversion'!X111+'Commercial-Conversion'!X126+'Commercial-Conversion'!X141+'Commercial-Conversion'!X156+'Commercial-Conversion'!X167+'Commercial-Conversion'!X177+'Commercial-Conversion'!X187+'Commercial-Conversion'!X197+'Commercial-Conversion'!X208</f>
        <v>1570156.324300969</v>
      </c>
      <c r="Y6" s="4">
        <f>'Commercial-Conversion'!Y7+'Commercial-Conversion'!Y21+'Commercial-Conversion'!Y36+'Commercial-Conversion'!Y51+'Commercial-Conversion'!Y66+'Commercial-Conversion'!Y81+'Commercial-Conversion'!Y96+'Commercial-Conversion'!Y111+'Commercial-Conversion'!Y126+'Commercial-Conversion'!Y141+'Commercial-Conversion'!Y156+'Commercial-Conversion'!Y167+'Commercial-Conversion'!Y177+'Commercial-Conversion'!Y187+'Commercial-Conversion'!Y197+'Commercial-Conversion'!Y208</f>
        <v>1610589.9580425322</v>
      </c>
      <c r="Z6" s="4">
        <f>'Commercial-Conversion'!Z7+'Commercial-Conversion'!Z21+'Commercial-Conversion'!Z36+'Commercial-Conversion'!Z51+'Commercial-Conversion'!Z66+'Commercial-Conversion'!Z81+'Commercial-Conversion'!Z96+'Commercial-Conversion'!Z111+'Commercial-Conversion'!Z126+'Commercial-Conversion'!Z141+'Commercial-Conversion'!Z156+'Commercial-Conversion'!Z167+'Commercial-Conversion'!Z177+'Commercial-Conversion'!Z187+'Commercial-Conversion'!Z197+'Commercial-Conversion'!Z208</f>
        <v>1651945.6788679403</v>
      </c>
      <c r="AA6" s="4">
        <f>'Commercial-Conversion'!AA7+'Commercial-Conversion'!AA21+'Commercial-Conversion'!AA36+'Commercial-Conversion'!AA51+'Commercial-Conversion'!AA66+'Commercial-Conversion'!AA81+'Commercial-Conversion'!AA96+'Commercial-Conversion'!AA111+'Commercial-Conversion'!AA126+'Commercial-Conversion'!AA141+'Commercial-Conversion'!AA156+'Commercial-Conversion'!AA167+'Commercial-Conversion'!AA177+'Commercial-Conversion'!AA187+'Commercial-Conversion'!AA197+'Commercial-Conversion'!AA208</f>
        <v>1695647.5717661341</v>
      </c>
      <c r="AB6" s="4">
        <f>'Commercial-Conversion'!AB7+'Commercial-Conversion'!AB21+'Commercial-Conversion'!AB36+'Commercial-Conversion'!AB51+'Commercial-Conversion'!AB66+'Commercial-Conversion'!AB81+'Commercial-Conversion'!AB96+'Commercial-Conversion'!AB111+'Commercial-Conversion'!AB126+'Commercial-Conversion'!AB141+'Commercial-Conversion'!AB156+'Commercial-Conversion'!AB167+'Commercial-Conversion'!AB177+'Commercial-Conversion'!AB187+'Commercial-Conversion'!AB197+'Commercial-Conversion'!AB208</f>
        <v>1741847.7028649866</v>
      </c>
      <c r="AC6" s="4">
        <f>'Commercial-Conversion'!AC7+'Commercial-Conversion'!AC21+'Commercial-Conversion'!AC36+'Commercial-Conversion'!AC51+'Commercial-Conversion'!AC66+'Commercial-Conversion'!AC81+'Commercial-Conversion'!AC96+'Commercial-Conversion'!AC111+'Commercial-Conversion'!AC126+'Commercial-Conversion'!AC141+'Commercial-Conversion'!AC156+'Commercial-Conversion'!AC167+'Commercial-Conversion'!AC177+'Commercial-Conversion'!AC187+'Commercial-Conversion'!AC197+'Commercial-Conversion'!AC208</f>
        <v>1790708.057436394</v>
      </c>
      <c r="AD6" s="4">
        <f>'Commercial-Conversion'!AD7+'Commercial-Conversion'!AD21+'Commercial-Conversion'!AD36+'Commercial-Conversion'!AD51+'Commercial-Conversion'!AD66+'Commercial-Conversion'!AD81+'Commercial-Conversion'!AD96+'Commercial-Conversion'!AD111+'Commercial-Conversion'!AD126+'Commercial-Conversion'!AD141+'Commercial-Conversion'!AD156+'Commercial-Conversion'!AD167+'Commercial-Conversion'!AD177+'Commercial-Conversion'!AD187+'Commercial-Conversion'!AD197+'Commercial-Conversion'!AD208</f>
        <v>1842401.1869957624</v>
      </c>
      <c r="AE6" s="4">
        <f>'Commercial-Conversion'!AE7+'Commercial-Conversion'!AE21+'Commercial-Conversion'!AE36+'Commercial-Conversion'!AE51+'Commercial-Conversion'!AE66+'Commercial-Conversion'!AE81+'Commercial-Conversion'!AE96+'Commercial-Conversion'!AE111+'Commercial-Conversion'!AE126+'Commercial-Conversion'!AE141+'Commercial-Conversion'!AE156+'Commercial-Conversion'!AE167+'Commercial-Conversion'!AE177+'Commercial-Conversion'!AE187+'Commercial-Conversion'!AE197+'Commercial-Conversion'!AE208</f>
        <v>1893959.7429437977</v>
      </c>
      <c r="AF6" s="4">
        <f>'Commercial-Conversion'!AF7+'Commercial-Conversion'!AF21+'Commercial-Conversion'!AF36+'Commercial-Conversion'!AF51+'Commercial-Conversion'!AF66+'Commercial-Conversion'!AF81+'Commercial-Conversion'!AF96+'Commercial-Conversion'!AF111+'Commercial-Conversion'!AF126+'Commercial-Conversion'!AF141+'Commercial-Conversion'!AF156+'Commercial-Conversion'!AF167+'Commercial-Conversion'!AF177+'Commercial-Conversion'!AF187+'Commercial-Conversion'!AF197+'Commercial-Conversion'!AF208</f>
        <v>1948716.1521721245</v>
      </c>
      <c r="AG6" s="4">
        <f>'Commercial-Conversion'!AG7+'Commercial-Conversion'!AG21+'Commercial-Conversion'!AG36+'Commercial-Conversion'!AG51+'Commercial-Conversion'!AG66+'Commercial-Conversion'!AG81+'Commercial-Conversion'!AG96+'Commercial-Conversion'!AG111+'Commercial-Conversion'!AG126+'Commercial-Conversion'!AG141+'Commercial-Conversion'!AG156+'Commercial-Conversion'!AG167+'Commercial-Conversion'!AG177+'Commercial-Conversion'!AG187+'Commercial-Conversion'!AG197+'Commercial-Conversion'!AG208</f>
        <v>2006878.9836692242</v>
      </c>
      <c r="AH6" s="4">
        <f>'Commercial-Conversion'!AH7+'Commercial-Conversion'!AH21+'Commercial-Conversion'!AH36+'Commercial-Conversion'!AH51+'Commercial-Conversion'!AH66+'Commercial-Conversion'!AH81+'Commercial-Conversion'!AH96+'Commercial-Conversion'!AH111+'Commercial-Conversion'!AH126+'Commercial-Conversion'!AH141+'Commercial-Conversion'!AH156+'Commercial-Conversion'!AH167+'Commercial-Conversion'!AH177+'Commercial-Conversion'!AH187+'Commercial-Conversion'!AH197+'Commercial-Conversion'!AH208</f>
        <v>2068670.4117151597</v>
      </c>
      <c r="AI6" s="4">
        <f>'Commercial-Conversion'!AI7+'Commercial-Conversion'!AI21+'Commercial-Conversion'!AI36+'Commercial-Conversion'!AI51+'Commercial-Conversion'!AI66+'Commercial-Conversion'!AI81+'Commercial-Conversion'!AI96+'Commercial-Conversion'!AI111+'Commercial-Conversion'!AI126+'Commercial-Conversion'!AI141+'Commercial-Conversion'!AI156+'Commercial-Conversion'!AI167+'Commercial-Conversion'!AI177+'Commercial-Conversion'!AI187+'Commercial-Conversion'!AI197+'Commercial-Conversion'!AI208</f>
        <v>2134327.1034815782</v>
      </c>
      <c r="AJ6" s="4">
        <f>'Commercial-Conversion'!AJ7+'Commercial-Conversion'!AJ21+'Commercial-Conversion'!AJ36+'Commercial-Conversion'!AJ51+'Commercial-Conversion'!AJ66+'Commercial-Conversion'!AJ81+'Commercial-Conversion'!AJ96+'Commercial-Conversion'!AJ111+'Commercial-Conversion'!AJ126+'Commercial-Conversion'!AJ141+'Commercial-Conversion'!AJ156+'Commercial-Conversion'!AJ167+'Commercial-Conversion'!AJ177+'Commercial-Conversion'!AJ187+'Commercial-Conversion'!AJ197+'Commercial-Conversion'!AJ208</f>
        <v>2204101.1645433735</v>
      </c>
      <c r="AK6" s="4">
        <f>'Commercial-Conversion'!AK7+'Commercial-Conversion'!AK21+'Commercial-Conversion'!AK36+'Commercial-Conversion'!AK51+'Commercial-Conversion'!AK66+'Commercial-Conversion'!AK81+'Commercial-Conversion'!AK96+'Commercial-Conversion'!AK111+'Commercial-Conversion'!AK126+'Commercial-Conversion'!AK141+'Commercial-Conversion'!AK156+'Commercial-Conversion'!AK167+'Commercial-Conversion'!AK177+'Commercial-Conversion'!AK187+'Commercial-Conversion'!AK197+'Commercial-Conversion'!AK208</f>
        <v>2278261.1460807482</v>
      </c>
      <c r="AL6" s="4">
        <f>'Commercial-Conversion'!AL7+'Commercial-Conversion'!AL21+'Commercial-Conversion'!AL36+'Commercial-Conversion'!AL51+'Commercial-Conversion'!AL66+'Commercial-Conversion'!AL81+'Commercial-Conversion'!AL96+'Commercial-Conversion'!AL111+'Commercial-Conversion'!AL126+'Commercial-Conversion'!AL141+'Commercial-Conversion'!AL156+'Commercial-Conversion'!AL167+'Commercial-Conversion'!AL177+'Commercial-Conversion'!AL187+'Commercial-Conversion'!AL197+'Commercial-Conversion'!AL208</f>
        <v>2357093.1177969547</v>
      </c>
      <c r="AM6" s="4">
        <f>'Commercial-Conversion'!AM7+'Commercial-Conversion'!AM21+'Commercial-Conversion'!AM36+'Commercial-Conversion'!AM51+'Commercial-Conversion'!AM66+'Commercial-Conversion'!AM81+'Commercial-Conversion'!AM96+'Commercial-Conversion'!AM111+'Commercial-Conversion'!AM126+'Commercial-Conversion'!AM141+'Commercial-Conversion'!AM156+'Commercial-Conversion'!AM167+'Commercial-Conversion'!AM177+'Commercial-Conversion'!AM187+'Commercial-Conversion'!AM197+'Commercial-Conversion'!AM208</f>
        <v>2440901.8108396926</v>
      </c>
      <c r="AN6" s="4">
        <f>'Commercial-Conversion'!AN7+'Commercial-Conversion'!AN21+'Commercial-Conversion'!AN36+'Commercial-Conversion'!AN51+'Commercial-Conversion'!AN66+'Commercial-Conversion'!AN81+'Commercial-Conversion'!AN96+'Commercial-Conversion'!AN111+'Commercial-Conversion'!AN126+'Commercial-Conversion'!AN141+'Commercial-Conversion'!AN156+'Commercial-Conversion'!AN167+'Commercial-Conversion'!AN177+'Commercial-Conversion'!AN187+'Commercial-Conversion'!AN197+'Commercial-Conversion'!AN208</f>
        <v>2530011.8352939175</v>
      </c>
      <c r="AO6" s="42">
        <f>'Commercial-Conversion'!AO7+'Commercial-Conversion'!AO21+'Commercial-Conversion'!AO36+'Commercial-Conversion'!AO51+'Commercial-Conversion'!AO66+'Commercial-Conversion'!AO81+'Commercial-Conversion'!AO96+'Commercial-Conversion'!AO111+'Commercial-Conversion'!AO126+'Commercial-Conversion'!AO141+'Commercial-Conversion'!AO156+'Commercial-Conversion'!AO167+'Commercial-Conversion'!AO177+'Commercial-Conversion'!AO187+'Commercial-Conversion'!AO197+'Commercial-Conversion'!AO208</f>
        <v>2624781.8881760035</v>
      </c>
      <c r="AP6" s="42">
        <f>'Commercial-Conversion'!AP7+'Commercial-Conversion'!AP21+'Commercial-Conversion'!AP36+'Commercial-Conversion'!AP51+'Commercial-Conversion'!AP66+'Commercial-Conversion'!AP81+'Commercial-Conversion'!AP96+'Commercial-Conversion'!AP111+'Commercial-Conversion'!AP126+'Commercial-Conversion'!AP141+'Commercial-Conversion'!AP156+'Commercial-Conversion'!AP167+'Commercial-Conversion'!AP177+'Commercial-Conversion'!AP187+'Commercial-Conversion'!AP197+'Commercial-Conversion'!AP208</f>
        <v>2725580.3790553072</v>
      </c>
      <c r="AQ6" s="42">
        <f>'Commercial-Conversion'!AQ7+'Commercial-Conversion'!AQ21+'Commercial-Conversion'!AQ36+'Commercial-Conversion'!AQ51+'Commercial-Conversion'!AQ66+'Commercial-Conversion'!AQ81+'Commercial-Conversion'!AQ96+'Commercial-Conversion'!AQ111+'Commercial-Conversion'!AQ126+'Commercial-Conversion'!AQ141+'Commercial-Conversion'!AQ156+'Commercial-Conversion'!AQ167+'Commercial-Conversion'!AQ177+'Commercial-Conversion'!AQ187+'Commercial-Conversion'!AQ197+'Commercial-Conversion'!AQ208</f>
        <v>2832799.7469513728</v>
      </c>
      <c r="AR6" s="42">
        <f>'Commercial-Conversion'!AR7+'Commercial-Conversion'!AR21+'Commercial-Conversion'!AR36+'Commercial-Conversion'!AR51+'Commercial-Conversion'!AR66+'Commercial-Conversion'!AR81+'Commercial-Conversion'!AR96+'Commercial-Conversion'!AR111+'Commercial-Conversion'!AR126+'Commercial-Conversion'!AR141+'Commercial-Conversion'!AR156+'Commercial-Conversion'!AR167+'Commercial-Conversion'!AR177+'Commercial-Conversion'!AR187+'Commercial-Conversion'!AR197+'Commercial-Conversion'!AR208</f>
        <v>2946858.0280525167</v>
      </c>
      <c r="AS6" s="42">
        <f>'Commercial-Conversion'!AS7+'Commercial-Conversion'!AS21+'Commercial-Conversion'!AS36+'Commercial-Conversion'!AS51+'Commercial-Conversion'!AS66+'Commercial-Conversion'!AS81+'Commercial-Conversion'!AS96+'Commercial-Conversion'!AS111+'Commercial-Conversion'!AS126+'Commercial-Conversion'!AS141+'Commercial-Conversion'!AS156+'Commercial-Conversion'!AS167+'Commercial-Conversion'!AS177+'Commercial-Conversion'!AS187+'Commercial-Conversion'!AS197+'Commercial-Conversion'!AS208</f>
        <v>3068200.5257241894</v>
      </c>
      <c r="AT6" s="42">
        <f>'Commercial-Conversion'!AT7+'Commercial-Conversion'!AT21+'Commercial-Conversion'!AT36+'Commercial-Conversion'!AT51+'Commercial-Conversion'!AT66+'Commercial-Conversion'!AT81+'Commercial-Conversion'!AT96+'Commercial-Conversion'!AT111+'Commercial-Conversion'!AT126+'Commercial-Conversion'!AT141+'Commercial-Conversion'!AT156+'Commercial-Conversion'!AT167+'Commercial-Conversion'!AT177+'Commercial-Conversion'!AT187+'Commercial-Conversion'!AT197+'Commercial-Conversion'!AT208</f>
        <v>3197301.5894816592</v>
      </c>
      <c r="AU6" s="42">
        <f>'Commercial-Conversion'!AU7+'Commercial-Conversion'!AU21+'Commercial-Conversion'!AU36+'Commercial-Conversion'!AU51+'Commercial-Conversion'!AU66+'Commercial-Conversion'!AU81+'Commercial-Conversion'!AU96+'Commercial-Conversion'!AU111+'Commercial-Conversion'!AU126+'Commercial-Conversion'!AU141+'Commercial-Conversion'!AU156+'Commercial-Conversion'!AU167+'Commercial-Conversion'!AU177+'Commercial-Conversion'!AU187+'Commercial-Conversion'!AU197+'Commercial-Conversion'!AU208</f>
        <v>3334666.5100371325</v>
      </c>
      <c r="AV6" s="42">
        <f>'Commercial-Conversion'!AV7+'Commercial-Conversion'!AV21+'Commercial-Conversion'!AV36+'Commercial-Conversion'!AV51+'Commercial-Conversion'!AV66+'Commercial-Conversion'!AV81+'Commercial-Conversion'!AV96+'Commercial-Conversion'!AV111+'Commercial-Conversion'!AV126+'Commercial-Conversion'!AV141+'Commercial-Conversion'!AV156+'Commercial-Conversion'!AV167+'Commercial-Conversion'!AV177+'Commercial-Conversion'!AV187+'Commercial-Conversion'!AV197+'Commercial-Conversion'!AV208</f>
        <v>3480833.5379954027</v>
      </c>
      <c r="AW6" s="42">
        <f>'Commercial-Conversion'!AW7+'Commercial-Conversion'!AW21+'Commercial-Conversion'!AW36+'Commercial-Conversion'!AW51+'Commercial-Conversion'!AW66+'Commercial-Conversion'!AW81+'Commercial-Conversion'!AW96+'Commercial-Conversion'!AW111+'Commercial-Conversion'!AW126+'Commercial-Conversion'!AW141+'Commercial-Conversion'!AW156+'Commercial-Conversion'!AW167+'Commercial-Conversion'!AW177+'Commercial-Conversion'!AW187+'Commercial-Conversion'!AW197+'Commercial-Conversion'!AW208</f>
        <v>3636376.0342663471</v>
      </c>
      <c r="AX6" s="42">
        <f>'Commercial-Conversion'!AX7+'Commercial-Conversion'!AX21+'Commercial-Conversion'!AX36+'Commercial-Conversion'!AX51+'Commercial-Conversion'!AX66+'Commercial-Conversion'!AX81+'Commercial-Conversion'!AX96+'Commercial-Conversion'!AX111+'Commercial-Conversion'!AX126+'Commercial-Conversion'!AX141+'Commercial-Conversion'!AX156+'Commercial-Conversion'!AX167+'Commercial-Conversion'!AX177+'Commercial-Conversion'!AX187+'Commercial-Conversion'!AX197+'Commercial-Conversion'!AX208</f>
        <v>3801904.760789108</v>
      </c>
    </row>
    <row r="7" spans="1:50" x14ac:dyDescent="0.2">
      <c r="A7" s="10" t="s">
        <v>9</v>
      </c>
      <c r="B7" s="4">
        <f>'Commercial-Conversion'!B8+'Commercial-Conversion'!B22+'Commercial-Conversion'!B37+'Commercial-Conversion'!B52+'Commercial-Conversion'!B67+'Commercial-Conversion'!B82+'Commercial-Conversion'!B97+'Commercial-Conversion'!B112+'Commercial-Conversion'!B127+'Commercial-Conversion'!B142+'Commercial-Conversion'!B157+'Commercial-Conversion'!B168+'Commercial-Conversion'!B178+'Commercial-Conversion'!B188+'Commercial-Conversion'!B198+'Commercial-Conversion'!B209</f>
        <v>10147170.92865634</v>
      </c>
      <c r="C7" s="4">
        <f>'Commercial-Conversion'!C8+'Commercial-Conversion'!C22+'Commercial-Conversion'!C37+'Commercial-Conversion'!C52+'Commercial-Conversion'!C67+'Commercial-Conversion'!C82+'Commercial-Conversion'!C97+'Commercial-Conversion'!C112+'Commercial-Conversion'!C127+'Commercial-Conversion'!C142+'Commercial-Conversion'!C157+'Commercial-Conversion'!C168+'Commercial-Conversion'!C178+'Commercial-Conversion'!C188+'Commercial-Conversion'!C198+'Commercial-Conversion'!C209</f>
        <v>10420137.624300094</v>
      </c>
      <c r="D7" s="4">
        <f>'Commercial-Conversion'!D8+'Commercial-Conversion'!D22+'Commercial-Conversion'!D37+'Commercial-Conversion'!D52+'Commercial-Conversion'!D67+'Commercial-Conversion'!D82+'Commercial-Conversion'!D97+'Commercial-Conversion'!D112+'Commercial-Conversion'!D127+'Commercial-Conversion'!D142+'Commercial-Conversion'!D157+'Commercial-Conversion'!D168+'Commercial-Conversion'!D178+'Commercial-Conversion'!D188+'Commercial-Conversion'!D198+'Commercial-Conversion'!D209</f>
        <v>10564516.036744554</v>
      </c>
      <c r="E7" s="4">
        <f>'Commercial-Conversion'!E8+'Commercial-Conversion'!E22+'Commercial-Conversion'!E37+'Commercial-Conversion'!E52+'Commercial-Conversion'!E67+'Commercial-Conversion'!E82+'Commercial-Conversion'!E97+'Commercial-Conversion'!E112+'Commercial-Conversion'!E127+'Commercial-Conversion'!E142+'Commercial-Conversion'!E157+'Commercial-Conversion'!E168+'Commercial-Conversion'!E178+'Commercial-Conversion'!E188+'Commercial-Conversion'!E198+'Commercial-Conversion'!E209</f>
        <v>10715000.915019657</v>
      </c>
      <c r="F7" s="4">
        <f>'Commercial-Conversion'!F8+'Commercial-Conversion'!F22+'Commercial-Conversion'!F37+'Commercial-Conversion'!F52+'Commercial-Conversion'!F67+'Commercial-Conversion'!F82+'Commercial-Conversion'!F97+'Commercial-Conversion'!F112+'Commercial-Conversion'!F127+'Commercial-Conversion'!F142+'Commercial-Conversion'!F157+'Commercial-Conversion'!F168+'Commercial-Conversion'!F178+'Commercial-Conversion'!F188+'Commercial-Conversion'!F198+'Commercial-Conversion'!F209</f>
        <v>10923827.648933718</v>
      </c>
      <c r="G7" s="4">
        <f>'Commercial-Conversion'!G8+'Commercial-Conversion'!G22+'Commercial-Conversion'!G37+'Commercial-Conversion'!G52+'Commercial-Conversion'!G67+'Commercial-Conversion'!G82+'Commercial-Conversion'!G97+'Commercial-Conversion'!G112+'Commercial-Conversion'!G127+'Commercial-Conversion'!G142+'Commercial-Conversion'!G157+'Commercial-Conversion'!G168+'Commercial-Conversion'!G178+'Commercial-Conversion'!G188+'Commercial-Conversion'!G198+'Commercial-Conversion'!G209</f>
        <v>11139816.332565898</v>
      </c>
      <c r="H7" s="4">
        <f>'Commercial-Conversion'!H8+'Commercial-Conversion'!H22+'Commercial-Conversion'!H37+'Commercial-Conversion'!H52+'Commercial-Conversion'!H67+'Commercial-Conversion'!H82+'Commercial-Conversion'!H97+'Commercial-Conversion'!H112+'Commercial-Conversion'!H127+'Commercial-Conversion'!H142+'Commercial-Conversion'!H157+'Commercial-Conversion'!H168+'Commercial-Conversion'!H178+'Commercial-Conversion'!H188+'Commercial-Conversion'!H198+'Commercial-Conversion'!H209</f>
        <v>11363407.537128847</v>
      </c>
      <c r="I7" s="4">
        <f>'Commercial-Conversion'!I8+'Commercial-Conversion'!I22+'Commercial-Conversion'!I37+'Commercial-Conversion'!I52+'Commercial-Conversion'!I67+'Commercial-Conversion'!I82+'Commercial-Conversion'!I97+'Commercial-Conversion'!I112+'Commercial-Conversion'!I127+'Commercial-Conversion'!I142+'Commercial-Conversion'!I157+'Commercial-Conversion'!I168+'Commercial-Conversion'!I178+'Commercial-Conversion'!I188+'Commercial-Conversion'!I198+'Commercial-Conversion'!I209</f>
        <v>11595070.56668805</v>
      </c>
      <c r="J7" s="4">
        <f>'Commercial-Conversion'!J8+'Commercial-Conversion'!J22+'Commercial-Conversion'!J37+'Commercial-Conversion'!J52+'Commercial-Conversion'!J67+'Commercial-Conversion'!J82+'Commercial-Conversion'!J97+'Commercial-Conversion'!J112+'Commercial-Conversion'!J127+'Commercial-Conversion'!J142+'Commercial-Conversion'!J157+'Commercial-Conversion'!J168+'Commercial-Conversion'!J178+'Commercial-Conversion'!J188+'Commercial-Conversion'!J198+'Commercial-Conversion'!J209</f>
        <v>11835305.332357589</v>
      </c>
      <c r="K7" s="4">
        <f>'Commercial-Conversion'!K8+'Commercial-Conversion'!K22+'Commercial-Conversion'!K37+'Commercial-Conversion'!K52+'Commercial-Conversion'!K67+'Commercial-Conversion'!K82+'Commercial-Conversion'!K97+'Commercial-Conversion'!K112+'Commercial-Conversion'!K127+'Commercial-Conversion'!K142+'Commercial-Conversion'!K157+'Commercial-Conversion'!K168+'Commercial-Conversion'!K178+'Commercial-Conversion'!K188+'Commercial-Conversion'!K198+'Commercial-Conversion'!K209</f>
        <v>12071227.723176003</v>
      </c>
      <c r="L7" s="4">
        <f>'Commercial-Conversion'!L8+'Commercial-Conversion'!L22+'Commercial-Conversion'!L37+'Commercial-Conversion'!L52+'Commercial-Conversion'!L67+'Commercial-Conversion'!L82+'Commercial-Conversion'!L97+'Commercial-Conversion'!L112+'Commercial-Conversion'!L127+'Commercial-Conversion'!L142+'Commercial-Conversion'!L157+'Commercial-Conversion'!L168+'Commercial-Conversion'!L178+'Commercial-Conversion'!L188+'Commercial-Conversion'!L198+'Commercial-Conversion'!L209</f>
        <v>12316756.775008226</v>
      </c>
      <c r="M7" s="4">
        <f>'Commercial-Conversion'!M8+'Commercial-Conversion'!M22+'Commercial-Conversion'!M37+'Commercial-Conversion'!M52+'Commercial-Conversion'!M67+'Commercial-Conversion'!M82+'Commercial-Conversion'!M97+'Commercial-Conversion'!M112+'Commercial-Conversion'!M127+'Commercial-Conversion'!M142+'Commercial-Conversion'!M157+'Commercial-Conversion'!M168+'Commercial-Conversion'!M178+'Commercial-Conversion'!M188+'Commercial-Conversion'!M198+'Commercial-Conversion'!M209</f>
        <v>12572496.728359919</v>
      </c>
      <c r="N7" s="4">
        <f>'Commercial-Conversion'!N8+'Commercial-Conversion'!N22+'Commercial-Conversion'!N37+'Commercial-Conversion'!N52+'Commercial-Conversion'!N67+'Commercial-Conversion'!N82+'Commercial-Conversion'!N97+'Commercial-Conversion'!N112+'Commercial-Conversion'!N127+'Commercial-Conversion'!N142+'Commercial-Conversion'!N157+'Commercial-Conversion'!N168+'Commercial-Conversion'!N178+'Commercial-Conversion'!N188+'Commercial-Conversion'!N198+'Commercial-Conversion'!N209</f>
        <v>12839091.232640862</v>
      </c>
      <c r="O7" s="4">
        <f>'Commercial-Conversion'!O8+'Commercial-Conversion'!O22+'Commercial-Conversion'!O37+'Commercial-Conversion'!O52+'Commercial-Conversion'!O67+'Commercial-Conversion'!O82+'Commercial-Conversion'!O97+'Commercial-Conversion'!O112+'Commercial-Conversion'!O127+'Commercial-Conversion'!O142+'Commercial-Conversion'!O157+'Commercial-Conversion'!O168+'Commercial-Conversion'!O178+'Commercial-Conversion'!O188+'Commercial-Conversion'!O198+'Commercial-Conversion'!O209</f>
        <v>13117225.916841019</v>
      </c>
      <c r="P7" s="4">
        <f>'Commercial-Conversion'!P8+'Commercial-Conversion'!P22+'Commercial-Conversion'!P37+'Commercial-Conversion'!P52+'Commercial-Conversion'!P67+'Commercial-Conversion'!P82+'Commercial-Conversion'!P97+'Commercial-Conversion'!P112+'Commercial-Conversion'!P127+'Commercial-Conversion'!P142+'Commercial-Conversion'!P157+'Commercial-Conversion'!P168+'Commercial-Conversion'!P178+'Commercial-Conversion'!P188+'Commercial-Conversion'!P198+'Commercial-Conversion'!P209</f>
        <v>13393895.441255268</v>
      </c>
      <c r="Q7" s="4">
        <f>'Commercial-Conversion'!Q8+'Commercial-Conversion'!Q22+'Commercial-Conversion'!Q37+'Commercial-Conversion'!Q52+'Commercial-Conversion'!Q67+'Commercial-Conversion'!Q82+'Commercial-Conversion'!Q97+'Commercial-Conversion'!Q112+'Commercial-Conversion'!Q127+'Commercial-Conversion'!Q142+'Commercial-Conversion'!Q157+'Commercial-Conversion'!Q168+'Commercial-Conversion'!Q178+'Commercial-Conversion'!Q188+'Commercial-Conversion'!Q198+'Commercial-Conversion'!Q209</f>
        <v>13683547.890420251</v>
      </c>
      <c r="R7" s="4">
        <f>'Commercial-Conversion'!R8+'Commercial-Conversion'!R22+'Commercial-Conversion'!R37+'Commercial-Conversion'!R52+'Commercial-Conversion'!R67+'Commercial-Conversion'!R82+'Commercial-Conversion'!R97+'Commercial-Conversion'!R112+'Commercial-Conversion'!R127+'Commercial-Conversion'!R142+'Commercial-Conversion'!R157+'Commercial-Conversion'!R168+'Commercial-Conversion'!R178+'Commercial-Conversion'!R188+'Commercial-Conversion'!R198+'Commercial-Conversion'!R209</f>
        <v>13987011.988623608</v>
      </c>
      <c r="S7" s="4">
        <f>'Commercial-Conversion'!S8+'Commercial-Conversion'!S22+'Commercial-Conversion'!S37+'Commercial-Conversion'!S52+'Commercial-Conversion'!S67+'Commercial-Conversion'!S82+'Commercial-Conversion'!S97+'Commercial-Conversion'!S112+'Commercial-Conversion'!S127+'Commercial-Conversion'!S142+'Commercial-Conversion'!S157+'Commercial-Conversion'!S168+'Commercial-Conversion'!S178+'Commercial-Conversion'!S188+'Commercial-Conversion'!S198+'Commercial-Conversion'!S209</f>
        <v>14305170.512550825</v>
      </c>
      <c r="T7" s="4">
        <f>'Commercial-Conversion'!T8+'Commercial-Conversion'!T22+'Commercial-Conversion'!T37+'Commercial-Conversion'!T52+'Commercial-Conversion'!T67+'Commercial-Conversion'!T82+'Commercial-Conversion'!T97+'Commercial-Conversion'!T112+'Commercial-Conversion'!T127+'Commercial-Conversion'!T142+'Commercial-Conversion'!T157+'Commercial-Conversion'!T168+'Commercial-Conversion'!T178+'Commercial-Conversion'!T188+'Commercial-Conversion'!T198+'Commercial-Conversion'!T209</f>
        <v>14638963.817295615</v>
      </c>
      <c r="U7" s="4">
        <f>'Commercial-Conversion'!U8+'Commercial-Conversion'!U22+'Commercial-Conversion'!U37+'Commercial-Conversion'!U52+'Commercial-Conversion'!U67+'Commercial-Conversion'!U82+'Commercial-Conversion'!U97+'Commercial-Conversion'!U112+'Commercial-Conversion'!U127+'Commercial-Conversion'!U142+'Commercial-Conversion'!U157+'Commercial-Conversion'!U168+'Commercial-Conversion'!U178+'Commercial-Conversion'!U188+'Commercial-Conversion'!U198+'Commercial-Conversion'!U209</f>
        <v>14975799.051631436</v>
      </c>
      <c r="V7" s="4">
        <f>'Commercial-Conversion'!V8+'Commercial-Conversion'!V22+'Commercial-Conversion'!V37+'Commercial-Conversion'!V52+'Commercial-Conversion'!V67+'Commercial-Conversion'!V82+'Commercial-Conversion'!V97+'Commercial-Conversion'!V112+'Commercial-Conversion'!V127+'Commercial-Conversion'!V142+'Commercial-Conversion'!V157+'Commercial-Conversion'!V168+'Commercial-Conversion'!V178+'Commercial-Conversion'!V188+'Commercial-Conversion'!V198+'Commercial-Conversion'!V209</f>
        <v>15330273.636980165</v>
      </c>
      <c r="W7" s="4">
        <f>'Commercial-Conversion'!W8+'Commercial-Conversion'!W22+'Commercial-Conversion'!W37+'Commercial-Conversion'!W52+'Commercial-Conversion'!W67+'Commercial-Conversion'!W82+'Commercial-Conversion'!W97+'Commercial-Conversion'!W112+'Commercial-Conversion'!W127+'Commercial-Conversion'!W142+'Commercial-Conversion'!W157+'Commercial-Conversion'!W168+'Commercial-Conversion'!W178+'Commercial-Conversion'!W188+'Commercial-Conversion'!W198+'Commercial-Conversion'!W209</f>
        <v>15703524.196135655</v>
      </c>
      <c r="X7" s="4">
        <f>'Commercial-Conversion'!X8+'Commercial-Conversion'!X22+'Commercial-Conversion'!X37+'Commercial-Conversion'!X52+'Commercial-Conversion'!X67+'Commercial-Conversion'!X82+'Commercial-Conversion'!X97+'Commercial-Conversion'!X112+'Commercial-Conversion'!X127+'Commercial-Conversion'!X142+'Commercial-Conversion'!X157+'Commercial-Conversion'!X168+'Commercial-Conversion'!X178+'Commercial-Conversion'!X188+'Commercial-Conversion'!X198+'Commercial-Conversion'!X209</f>
        <v>16096761.489781704</v>
      </c>
      <c r="Y7" s="4">
        <f>'Commercial-Conversion'!Y8+'Commercial-Conversion'!Y22+'Commercial-Conversion'!Y37+'Commercial-Conversion'!Y52+'Commercial-Conversion'!Y67+'Commercial-Conversion'!Y82+'Commercial-Conversion'!Y97+'Commercial-Conversion'!Y112+'Commercial-Conversion'!Y127+'Commercial-Conversion'!Y142+'Commercial-Conversion'!Y157+'Commercial-Conversion'!Y168+'Commercial-Conversion'!Y178+'Commercial-Conversion'!Y188+'Commercial-Conversion'!Y198+'Commercial-Conversion'!Y209</f>
        <v>16511275.25290513</v>
      </c>
      <c r="Z7" s="4">
        <f>'Commercial-Conversion'!Z8+'Commercial-Conversion'!Z22+'Commercial-Conversion'!Z37+'Commercial-Conversion'!Z52+'Commercial-Conversion'!Z67+'Commercial-Conversion'!Z82+'Commercial-Conversion'!Z97+'Commercial-Conversion'!Z112+'Commercial-Conversion'!Z127+'Commercial-Conversion'!Z142+'Commercial-Conversion'!Z157+'Commercial-Conversion'!Z168+'Commercial-Conversion'!Z178+'Commercial-Conversion'!Z188+'Commercial-Conversion'!Z198+'Commercial-Conversion'!Z209</f>
        <v>16935242.014558215</v>
      </c>
      <c r="AA7" s="4">
        <f>'Commercial-Conversion'!AA8+'Commercial-Conversion'!AA22+'Commercial-Conversion'!AA37+'Commercial-Conversion'!AA52+'Commercial-Conversion'!AA67+'Commercial-Conversion'!AA82+'Commercial-Conversion'!AA97+'Commercial-Conversion'!AA112+'Commercial-Conversion'!AA127+'Commercial-Conversion'!AA142+'Commercial-Conversion'!AA157+'Commercial-Conversion'!AA168+'Commercial-Conversion'!AA178+'Commercial-Conversion'!AA188+'Commercial-Conversion'!AA198+'Commercial-Conversion'!AA209</f>
        <v>17383261.038206402</v>
      </c>
      <c r="AB7" s="4">
        <f>'Commercial-Conversion'!AB8+'Commercial-Conversion'!AB22+'Commercial-Conversion'!AB37+'Commercial-Conversion'!AB52+'Commercial-Conversion'!AB67+'Commercial-Conversion'!AB82+'Commercial-Conversion'!AB97+'Commercial-Conversion'!AB112+'Commercial-Conversion'!AB127+'Commercial-Conversion'!AB142+'Commercial-Conversion'!AB157+'Commercial-Conversion'!AB168+'Commercial-Conversion'!AB178+'Commercial-Conversion'!AB188+'Commercial-Conversion'!AB198+'Commercial-Conversion'!AB209</f>
        <v>17856891.25989056</v>
      </c>
      <c r="AC7" s="4">
        <f>'Commercial-Conversion'!AC8+'Commercial-Conversion'!AC22+'Commercial-Conversion'!AC37+'Commercial-Conversion'!AC52+'Commercial-Conversion'!AC67+'Commercial-Conversion'!AC82+'Commercial-Conversion'!AC97+'Commercial-Conversion'!AC112+'Commercial-Conversion'!AC127+'Commercial-Conversion'!AC142+'Commercial-Conversion'!AC157+'Commercial-Conversion'!AC168+'Commercial-Conversion'!AC178+'Commercial-Conversion'!AC188+'Commercial-Conversion'!AC198+'Commercial-Conversion'!AC209</f>
        <v>18357793.30367494</v>
      </c>
      <c r="AD7" s="4">
        <f>'Commercial-Conversion'!AD8+'Commercial-Conversion'!AD22+'Commercial-Conversion'!AD37+'Commercial-Conversion'!AD52+'Commercial-Conversion'!AD67+'Commercial-Conversion'!AD82+'Commercial-Conversion'!AD97+'Commercial-Conversion'!AD112+'Commercial-Conversion'!AD127+'Commercial-Conversion'!AD142+'Commercial-Conversion'!AD157+'Commercial-Conversion'!AD168+'Commercial-Conversion'!AD178+'Commercial-Conversion'!AD188+'Commercial-Conversion'!AD198+'Commercial-Conversion'!AD209</f>
        <v>18887736.115510315</v>
      </c>
      <c r="AE7" s="4">
        <f>'Commercial-Conversion'!AE8+'Commercial-Conversion'!AE22+'Commercial-Conversion'!AE37+'Commercial-Conversion'!AE52+'Commercial-Conversion'!AE67+'Commercial-Conversion'!AE82+'Commercial-Conversion'!AE97+'Commercial-Conversion'!AE112+'Commercial-Conversion'!AE127+'Commercial-Conversion'!AE142+'Commercial-Conversion'!AE157+'Commercial-Conversion'!AE168+'Commercial-Conversion'!AE178+'Commercial-Conversion'!AE188+'Commercial-Conversion'!AE198+'Commercial-Conversion'!AE209</f>
        <v>19416299.397088282</v>
      </c>
      <c r="AF7" s="4">
        <f>'Commercial-Conversion'!AF8+'Commercial-Conversion'!AF22+'Commercial-Conversion'!AF37+'Commercial-Conversion'!AF52+'Commercial-Conversion'!AF67+'Commercial-Conversion'!AF82+'Commercial-Conversion'!AF97+'Commercial-Conversion'!AF112+'Commercial-Conversion'!AF127+'Commercial-Conversion'!AF142+'Commercial-Conversion'!AF157+'Commercial-Conversion'!AF168+'Commercial-Conversion'!AF178+'Commercial-Conversion'!AF188+'Commercial-Conversion'!AF198+'Commercial-Conversion'!AF209</f>
        <v>19977646.119083829</v>
      </c>
      <c r="AG7" s="4">
        <f>'Commercial-Conversion'!AG8+'Commercial-Conversion'!AG22+'Commercial-Conversion'!AG37+'Commercial-Conversion'!AG52+'Commercial-Conversion'!AG67+'Commercial-Conversion'!AG82+'Commercial-Conversion'!AG97+'Commercial-Conversion'!AG112+'Commercial-Conversion'!AG127+'Commercial-Conversion'!AG142+'Commercial-Conversion'!AG157+'Commercial-Conversion'!AG168+'Commercial-Conversion'!AG178+'Commercial-Conversion'!AG188+'Commercial-Conversion'!AG198+'Commercial-Conversion'!AG209</f>
        <v>20573914.467514925</v>
      </c>
      <c r="AH7" s="4">
        <f>'Commercial-Conversion'!AH8+'Commercial-Conversion'!AH22+'Commercial-Conversion'!AH37+'Commercial-Conversion'!AH52+'Commercial-Conversion'!AH67+'Commercial-Conversion'!AH82+'Commercial-Conversion'!AH97+'Commercial-Conversion'!AH112+'Commercial-Conversion'!AH127+'Commercial-Conversion'!AH142+'Commercial-Conversion'!AH157+'Commercial-Conversion'!AH168+'Commercial-Conversion'!AH178+'Commercial-Conversion'!AH188+'Commercial-Conversion'!AH198+'Commercial-Conversion'!AH209</f>
        <v>21207382.105662808</v>
      </c>
      <c r="AI7" s="4">
        <f>'Commercial-Conversion'!AI8+'Commercial-Conversion'!AI22+'Commercial-Conversion'!AI37+'Commercial-Conversion'!AI52+'Commercial-Conversion'!AI67+'Commercial-Conversion'!AI82+'Commercial-Conversion'!AI97+'Commercial-Conversion'!AI112+'Commercial-Conversion'!AI127+'Commercial-Conversion'!AI142+'Commercial-Conversion'!AI157+'Commercial-Conversion'!AI168+'Commercial-Conversion'!AI178+'Commercial-Conversion'!AI188+'Commercial-Conversion'!AI198+'Commercial-Conversion'!AI209</f>
        <v>21880475.27347111</v>
      </c>
      <c r="AJ7" s="4">
        <f>'Commercial-Conversion'!AJ8+'Commercial-Conversion'!AJ22+'Commercial-Conversion'!AJ37+'Commercial-Conversion'!AJ52+'Commercial-Conversion'!AJ67+'Commercial-Conversion'!AJ82+'Commercial-Conversion'!AJ97+'Commercial-Conversion'!AJ112+'Commercial-Conversion'!AJ127+'Commercial-Conversion'!AJ142+'Commercial-Conversion'!AJ157+'Commercial-Conversion'!AJ168+'Commercial-Conversion'!AJ178+'Commercial-Conversion'!AJ188+'Commercial-Conversion'!AJ198+'Commercial-Conversion'!AJ209</f>
        <v>22595778.480637148</v>
      </c>
      <c r="AK7" s="4">
        <f>'Commercial-Conversion'!AK8+'Commercial-Conversion'!AK22+'Commercial-Conversion'!AK37+'Commercial-Conversion'!AK52+'Commercial-Conversion'!AK67+'Commercial-Conversion'!AK82+'Commercial-Conversion'!AK97+'Commercial-Conversion'!AK112+'Commercial-Conversion'!AK127+'Commercial-Conversion'!AK142+'Commercial-Conversion'!AK157+'Commercial-Conversion'!AK168+'Commercial-Conversion'!AK178+'Commercial-Conversion'!AK188+'Commercial-Conversion'!AK198+'Commercial-Conversion'!AK209</f>
        <v>23356044.832133867</v>
      </c>
      <c r="AL7" s="4">
        <f>'Commercial-Conversion'!AL8+'Commercial-Conversion'!AL22+'Commercial-Conversion'!AL37+'Commercial-Conversion'!AL52+'Commercial-Conversion'!AL67+'Commercial-Conversion'!AL82+'Commercial-Conversion'!AL97+'Commercial-Conversion'!AL112+'Commercial-Conversion'!AL127+'Commercial-Conversion'!AL142+'Commercial-Conversion'!AL157+'Commercial-Conversion'!AL168+'Commercial-Conversion'!AL178+'Commercial-Conversion'!AL188+'Commercial-Conversion'!AL198+'Commercial-Conversion'!AL209</f>
        <v>24164207.027428254</v>
      </c>
      <c r="AM7" s="4">
        <f>'Commercial-Conversion'!AM8+'Commercial-Conversion'!AM22+'Commercial-Conversion'!AM37+'Commercial-Conversion'!AM52+'Commercial-Conversion'!AM67+'Commercial-Conversion'!AM82+'Commercial-Conversion'!AM97+'Commercial-Conversion'!AM112+'Commercial-Conversion'!AM127+'Commercial-Conversion'!AM142+'Commercial-Conversion'!AM157+'Commercial-Conversion'!AM168+'Commercial-Conversion'!AM178+'Commercial-Conversion'!AM188+'Commercial-Conversion'!AM198+'Commercial-Conversion'!AM209</f>
        <v>25023389.077355303</v>
      </c>
      <c r="AN7" s="4">
        <f>'Commercial-Conversion'!AN8+'Commercial-Conversion'!AN22+'Commercial-Conversion'!AN37+'Commercial-Conversion'!AN52+'Commercial-Conversion'!AN67+'Commercial-Conversion'!AN82+'Commercial-Conversion'!AN97+'Commercial-Conversion'!AN112+'Commercial-Conversion'!AN127+'Commercial-Conversion'!AN142+'Commercial-Conversion'!AN157+'Commercial-Conversion'!AN168+'Commercial-Conversion'!AN178+'Commercial-Conversion'!AN188+'Commercial-Conversion'!AN198+'Commercial-Conversion'!AN209</f>
        <v>25936918.785474628</v>
      </c>
      <c r="AO7" s="42">
        <f>'Commercial-Conversion'!AO8+'Commercial-Conversion'!AO22+'Commercial-Conversion'!AO37+'Commercial-Conversion'!AO52+'Commercial-Conversion'!AO67+'Commercial-Conversion'!AO82+'Commercial-Conversion'!AO97+'Commercial-Conversion'!AO112+'Commercial-Conversion'!AO127+'Commercial-Conversion'!AO142+'Commercial-Conversion'!AO157+'Commercial-Conversion'!AO168+'Commercial-Conversion'!AO178+'Commercial-Conversion'!AO188+'Commercial-Conversion'!AO198+'Commercial-Conversion'!AO209</f>
        <v>26908473.403862573</v>
      </c>
      <c r="AP7" s="42">
        <f>'Commercial-Conversion'!AP8+'Commercial-Conversion'!AP22+'Commercial-Conversion'!AP37+'Commercial-Conversion'!AP52+'Commercial-Conversion'!AP67+'Commercial-Conversion'!AP82+'Commercial-Conversion'!AP97+'Commercial-Conversion'!AP112+'Commercial-Conversion'!AP127+'Commercial-Conversion'!AP142+'Commercial-Conversion'!AP157+'Commercial-Conversion'!AP168+'Commercial-Conversion'!AP178+'Commercial-Conversion'!AP188+'Commercial-Conversion'!AP198+'Commercial-Conversion'!AP209</f>
        <v>27941829.754850835</v>
      </c>
      <c r="AQ7" s="42">
        <f>'Commercial-Conversion'!AQ8+'Commercial-Conversion'!AQ22+'Commercial-Conversion'!AQ37+'Commercial-Conversion'!AQ52+'Commercial-Conversion'!AQ67+'Commercial-Conversion'!AQ82+'Commercial-Conversion'!AQ97+'Commercial-Conversion'!AQ112+'Commercial-Conversion'!AQ127+'Commercial-Conversion'!AQ142+'Commercial-Conversion'!AQ157+'Commercial-Conversion'!AQ168+'Commercial-Conversion'!AQ178+'Commercial-Conversion'!AQ188+'Commercial-Conversion'!AQ198+'Commercial-Conversion'!AQ209</f>
        <v>29041011.003258727</v>
      </c>
      <c r="AR7" s="42">
        <f>'Commercial-Conversion'!AR8+'Commercial-Conversion'!AR22+'Commercial-Conversion'!AR37+'Commercial-Conversion'!AR52+'Commercial-Conversion'!AR67+'Commercial-Conversion'!AR82+'Commercial-Conversion'!AR97+'Commercial-Conversion'!AR112+'Commercial-Conversion'!AR127+'Commercial-Conversion'!AR142+'Commercial-Conversion'!AR157+'Commercial-Conversion'!AR168+'Commercial-Conversion'!AR178+'Commercial-Conversion'!AR188+'Commercial-Conversion'!AR198+'Commercial-Conversion'!AR209</f>
        <v>30210302.72815448</v>
      </c>
      <c r="AS7" s="42">
        <f>'Commercial-Conversion'!AS8+'Commercial-Conversion'!AS22+'Commercial-Conversion'!AS37+'Commercial-Conversion'!AS52+'Commercial-Conversion'!AS67+'Commercial-Conversion'!AS82+'Commercial-Conversion'!AS97+'Commercial-Conversion'!AS112+'Commercial-Conversion'!AS127+'Commercial-Conversion'!AS142+'Commercial-Conversion'!AS157+'Commercial-Conversion'!AS168+'Commercial-Conversion'!AS178+'Commercial-Conversion'!AS188+'Commercial-Conversion'!AS198+'Commercial-Conversion'!AS209</f>
        <v>31454270.043258943</v>
      </c>
      <c r="AT7" s="42">
        <f>'Commercial-Conversion'!AT8+'Commercial-Conversion'!AT22+'Commercial-Conversion'!AT37+'Commercial-Conversion'!AT52+'Commercial-Conversion'!AT67+'Commercial-Conversion'!AT82+'Commercial-Conversion'!AT97+'Commercial-Conversion'!AT112+'Commercial-Conversion'!AT127+'Commercial-Conversion'!AT142+'Commercial-Conversion'!AT157+'Commercial-Conversion'!AT168+'Commercial-Conversion'!AT178+'Commercial-Conversion'!AT188+'Commercial-Conversion'!AT198+'Commercial-Conversion'!AT209</f>
        <v>32777775.834417239</v>
      </c>
      <c r="AU7" s="42">
        <f>'Commercial-Conversion'!AU8+'Commercial-Conversion'!AU22+'Commercial-Conversion'!AU37+'Commercial-Conversion'!AU52+'Commercial-Conversion'!AU67+'Commercial-Conversion'!AU82+'Commercial-Conversion'!AU97+'Commercial-Conversion'!AU112+'Commercial-Conversion'!AU127+'Commercial-Conversion'!AU142+'Commercial-Conversion'!AU157+'Commercial-Conversion'!AU168+'Commercial-Conversion'!AU178+'Commercial-Conversion'!AU188+'Commercial-Conversion'!AU198+'Commercial-Conversion'!AU209</f>
        <v>34186000.187029086</v>
      </c>
      <c r="AV7" s="42">
        <f>'Commercial-Conversion'!AV8+'Commercial-Conversion'!AV22+'Commercial-Conversion'!AV37+'Commercial-Conversion'!AV52+'Commercial-Conversion'!AV67+'Commercial-Conversion'!AV82+'Commercial-Conversion'!AV97+'Commercial-Conversion'!AV112+'Commercial-Conversion'!AV127+'Commercial-Conversion'!AV142+'Commercial-Conversion'!AV157+'Commercial-Conversion'!AV168+'Commercial-Conversion'!AV178+'Commercial-Conversion'!AV188+'Commercial-Conversion'!AV198+'Commercial-Conversion'!AV209</f>
        <v>35684461.081084825</v>
      </c>
      <c r="AW7" s="42">
        <f>'Commercial-Conversion'!AW8+'Commercial-Conversion'!AW22+'Commercial-Conversion'!AW37+'Commercial-Conversion'!AW52+'Commercial-Conversion'!AW67+'Commercial-Conversion'!AW82+'Commercial-Conversion'!AW97+'Commercial-Conversion'!AW112+'Commercial-Conversion'!AW127+'Commercial-Conversion'!AW142+'Commercial-Conversion'!AW157+'Commercial-Conversion'!AW168+'Commercial-Conversion'!AW178+'Commercial-Conversion'!AW188+'Commercial-Conversion'!AW198+'Commercial-Conversion'!AW209</f>
        <v>37279036.436521068</v>
      </c>
      <c r="AX7" s="42">
        <f>'Commercial-Conversion'!AX8+'Commercial-Conversion'!AX22+'Commercial-Conversion'!AX37+'Commercial-Conversion'!AX52+'Commercial-Conversion'!AX67+'Commercial-Conversion'!AX82+'Commercial-Conversion'!AX97+'Commercial-Conversion'!AX112+'Commercial-Conversion'!AX127+'Commercial-Conversion'!AX142+'Commercial-Conversion'!AX157+'Commercial-Conversion'!AX168+'Commercial-Conversion'!AX178+'Commercial-Conversion'!AX188+'Commercial-Conversion'!AX198+'Commercial-Conversion'!AX209</f>
        <v>38975987.597007461</v>
      </c>
    </row>
    <row r="8" spans="1:50" x14ac:dyDescent="0.2">
      <c r="A8" s="10" t="s">
        <v>10</v>
      </c>
      <c r="B8" s="4">
        <f>'Commercial-Conversion'!B9+'Commercial-Conversion'!B23+'Commercial-Conversion'!B38+'Commercial-Conversion'!B53+'Commercial-Conversion'!B68+'Commercial-Conversion'!B83+'Commercial-Conversion'!B98+'Commercial-Conversion'!B113+'Commercial-Conversion'!B128+'Commercial-Conversion'!B143+'Commercial-Conversion'!B158+'Commercial-Conversion'!B169+'Commercial-Conversion'!B179+'Commercial-Conversion'!B189+'Commercial-Conversion'!B199+'Commercial-Conversion'!B210</f>
        <v>8814.505726432848</v>
      </c>
      <c r="C8" s="4">
        <f>'Commercial-Conversion'!C9+'Commercial-Conversion'!C23+'Commercial-Conversion'!C38+'Commercial-Conversion'!C53+'Commercial-Conversion'!C68+'Commercial-Conversion'!C83+'Commercial-Conversion'!C98+'Commercial-Conversion'!C113+'Commercial-Conversion'!C128+'Commercial-Conversion'!C143+'Commercial-Conversion'!C158+'Commercial-Conversion'!C169+'Commercial-Conversion'!C179+'Commercial-Conversion'!C189+'Commercial-Conversion'!C199+'Commercial-Conversion'!C210</f>
        <v>9051.6437014231597</v>
      </c>
      <c r="D8" s="4">
        <f>'Commercial-Conversion'!D9+'Commercial-Conversion'!D23+'Commercial-Conversion'!D38+'Commercial-Conversion'!D53+'Commercial-Conversion'!D68+'Commercial-Conversion'!D83+'Commercial-Conversion'!D98+'Commercial-Conversion'!D113+'Commercial-Conversion'!D128+'Commercial-Conversion'!D143+'Commercial-Conversion'!D158+'Commercial-Conversion'!D169+'Commercial-Conversion'!D179+'Commercial-Conversion'!D189+'Commercial-Conversion'!D199+'Commercial-Conversion'!D210</f>
        <v>9177.0999996230203</v>
      </c>
      <c r="E8" s="4">
        <f>'Commercial-Conversion'!E9+'Commercial-Conversion'!E23+'Commercial-Conversion'!E38+'Commercial-Conversion'!E53+'Commercial-Conversion'!E68+'Commercial-Conversion'!E83+'Commercial-Conversion'!E98+'Commercial-Conversion'!E113+'Commercial-Conversion'!E128+'Commercial-Conversion'!E143+'Commercial-Conversion'!E158+'Commercial-Conversion'!E169+'Commercial-Conversion'!E179+'Commercial-Conversion'!E189+'Commercial-Conversion'!E199+'Commercial-Conversion'!E210</f>
        <v>9307.8628982497103</v>
      </c>
      <c r="F8" s="4">
        <f>'Commercial-Conversion'!F9+'Commercial-Conversion'!F23+'Commercial-Conversion'!F38+'Commercial-Conversion'!F53+'Commercial-Conversion'!F68+'Commercial-Conversion'!F83+'Commercial-Conversion'!F98+'Commercial-Conversion'!F113+'Commercial-Conversion'!F128+'Commercial-Conversion'!F143+'Commercial-Conversion'!F158+'Commercial-Conversion'!F169+'Commercial-Conversion'!F179+'Commercial-Conversion'!F189+'Commercial-Conversion'!F199+'Commercial-Conversion'!F210</f>
        <v>9489.3012072596139</v>
      </c>
      <c r="G8" s="4">
        <f>'Commercial-Conversion'!G9+'Commercial-Conversion'!G23+'Commercial-Conversion'!G38+'Commercial-Conversion'!G53+'Commercial-Conversion'!G68+'Commercial-Conversion'!G83+'Commercial-Conversion'!G98+'Commercial-Conversion'!G113+'Commercial-Conversion'!G128+'Commercial-Conversion'!G143+'Commercial-Conversion'!G158+'Commercial-Conversion'!G169+'Commercial-Conversion'!G179+'Commercial-Conversion'!G189+'Commercial-Conversion'!G199+'Commercial-Conversion'!G210</f>
        <v>9676.9631441156434</v>
      </c>
      <c r="H8" s="4">
        <f>'Commercial-Conversion'!H9+'Commercial-Conversion'!H23+'Commercial-Conversion'!H38+'Commercial-Conversion'!H53+'Commercial-Conversion'!H68+'Commercial-Conversion'!H83+'Commercial-Conversion'!H98+'Commercial-Conversion'!H113+'Commercial-Conversion'!H128+'Commercial-Conversion'!H143+'Commercial-Conversion'!H158+'Commercial-Conversion'!H169+'Commercial-Conversion'!H179+'Commercial-Conversion'!H189+'Commercial-Conversion'!H199+'Commercial-Conversion'!H210</f>
        <v>9871.231522163007</v>
      </c>
      <c r="I8" s="4">
        <f>'Commercial-Conversion'!I9+'Commercial-Conversion'!I23+'Commercial-Conversion'!I38+'Commercial-Conversion'!I53+'Commercial-Conversion'!I68+'Commercial-Conversion'!I83+'Commercial-Conversion'!I98+'Commercial-Conversion'!I113+'Commercial-Conversion'!I128+'Commercial-Conversion'!I143+'Commercial-Conversion'!I158+'Commercial-Conversion'!I169+'Commercial-Conversion'!I179+'Commercial-Conversion'!I189+'Commercial-Conversion'!I199+'Commercial-Conversion'!I210</f>
        <v>10072.51411837818</v>
      </c>
      <c r="J8" s="4">
        <f>'Commercial-Conversion'!J9+'Commercial-Conversion'!J23+'Commercial-Conversion'!J38+'Commercial-Conversion'!J53+'Commercial-Conversion'!J68+'Commercial-Conversion'!J83+'Commercial-Conversion'!J98+'Commercial-Conversion'!J113+'Commercial-Conversion'!J128+'Commercial-Conversion'!J143+'Commercial-Conversion'!J158+'Commercial-Conversion'!J169+'Commercial-Conversion'!J179+'Commercial-Conversion'!J189+'Commercial-Conversion'!J199+'Commercial-Conversion'!J210</f>
        <v>10281.24530158406</v>
      </c>
      <c r="K8" s="4">
        <f>'Commercial-Conversion'!K9+'Commercial-Conversion'!K23+'Commercial-Conversion'!K38+'Commercial-Conversion'!K53+'Commercial-Conversion'!K68+'Commercial-Conversion'!K83+'Commercial-Conversion'!K98+'Commercial-Conversion'!K113+'Commercial-Conversion'!K128+'Commercial-Conversion'!K143+'Commercial-Conversion'!K158+'Commercial-Conversion'!K169+'Commercial-Conversion'!K179+'Commercial-Conversion'!K189+'Commercial-Conversion'!K199+'Commercial-Conversion'!K210</f>
        <v>10486.234854731076</v>
      </c>
      <c r="L8" s="4">
        <f>'Commercial-Conversion'!L9+'Commercial-Conversion'!L23+'Commercial-Conversion'!L38+'Commercial-Conversion'!L53+'Commercial-Conversion'!L68+'Commercial-Conversion'!L83+'Commercial-Conversion'!L98+'Commercial-Conversion'!L113+'Commercial-Conversion'!L128+'Commercial-Conversion'!L143+'Commercial-Conversion'!L158+'Commercial-Conversion'!L169+'Commercial-Conversion'!L179+'Commercial-Conversion'!L189+'Commercial-Conversion'!L199+'Commercial-Conversion'!L210</f>
        <v>10699.572247324963</v>
      </c>
      <c r="M8" s="4">
        <f>'Commercial-Conversion'!M9+'Commercial-Conversion'!M23+'Commercial-Conversion'!M38+'Commercial-Conversion'!M53+'Commercial-Conversion'!M68+'Commercial-Conversion'!M83+'Commercial-Conversion'!M98+'Commercial-Conversion'!M113+'Commercial-Conversion'!M128+'Commercial-Conversion'!M143+'Commercial-Conversion'!M158+'Commercial-Conversion'!M169+'Commercial-Conversion'!M179+'Commercial-Conversion'!M189+'Commercial-Conversion'!M199+'Commercial-Conversion'!M210</f>
        <v>10921.782490252945</v>
      </c>
      <c r="N8" s="4">
        <f>'Commercial-Conversion'!N9+'Commercial-Conversion'!N23+'Commercial-Conversion'!N38+'Commercial-Conversion'!N53+'Commercial-Conversion'!N68+'Commercial-Conversion'!N83+'Commercial-Conversion'!N98+'Commercial-Conversion'!N113+'Commercial-Conversion'!N128+'Commercial-Conversion'!N143+'Commercial-Conversion'!N158+'Commercial-Conversion'!N169+'Commercial-Conversion'!N179+'Commercial-Conversion'!N189+'Commercial-Conversion'!N199+'Commercial-Conversion'!N210</f>
        <v>11153.424832828525</v>
      </c>
      <c r="O8" s="4">
        <f>'Commercial-Conversion'!O9+'Commercial-Conversion'!O23+'Commercial-Conversion'!O38+'Commercial-Conversion'!O53+'Commercial-Conversion'!O68+'Commercial-Conversion'!O83+'Commercial-Conversion'!O98+'Commercial-Conversion'!O113+'Commercial-Conversion'!O128+'Commercial-Conversion'!O143+'Commercial-Conversion'!O158+'Commercial-Conversion'!O169+'Commercial-Conversion'!O179+'Commercial-Conversion'!O189+'Commercial-Conversion'!O199+'Commercial-Conversion'!O210</f>
        <v>11395.094996038952</v>
      </c>
      <c r="P8" s="4">
        <f>'Commercial-Conversion'!P9+'Commercial-Conversion'!P23+'Commercial-Conversion'!P38+'Commercial-Conversion'!P53+'Commercial-Conversion'!P68+'Commercial-Conversion'!P83+'Commercial-Conversion'!P98+'Commercial-Conversion'!P113+'Commercial-Conversion'!P128+'Commercial-Conversion'!P143+'Commercial-Conversion'!P158+'Commercial-Conversion'!P169+'Commercial-Conversion'!P179+'Commercial-Conversion'!P189+'Commercial-Conversion'!P199+'Commercial-Conversion'!P210</f>
        <v>11635.497521167797</v>
      </c>
      <c r="Q8" s="4">
        <f>'Commercial-Conversion'!Q9+'Commercial-Conversion'!Q23+'Commercial-Conversion'!Q38+'Commercial-Conversion'!Q53+'Commercial-Conversion'!Q68+'Commercial-Conversion'!Q83+'Commercial-Conversion'!Q98+'Commercial-Conversion'!Q113+'Commercial-Conversion'!Q128+'Commercial-Conversion'!Q143+'Commercial-Conversion'!Q158+'Commercial-Conversion'!Q169+'Commercial-Conversion'!Q179+'Commercial-Conversion'!Q189+'Commercial-Conversion'!Q199+'Commercial-Conversion'!Q210</f>
        <v>11887.181432286536</v>
      </c>
      <c r="R8" s="4">
        <f>'Commercial-Conversion'!R9+'Commercial-Conversion'!R23+'Commercial-Conversion'!R38+'Commercial-Conversion'!R53+'Commercial-Conversion'!R68+'Commercial-Conversion'!R83+'Commercial-Conversion'!R98+'Commercial-Conversion'!R113+'Commercial-Conversion'!R128+'Commercial-Conversion'!R143+'Commercial-Conversion'!R158+'Commercial-Conversion'!R169+'Commercial-Conversion'!R179+'Commercial-Conversion'!R189+'Commercial-Conversion'!R199+'Commercial-Conversion'!R210</f>
        <v>12150.866769898277</v>
      </c>
      <c r="S8" s="4">
        <f>'Commercial-Conversion'!S9+'Commercial-Conversion'!S23+'Commercial-Conversion'!S38+'Commercial-Conversion'!S53+'Commercial-Conversion'!S68+'Commercial-Conversion'!S83+'Commercial-Conversion'!S98+'Commercial-Conversion'!S113+'Commercial-Conversion'!S128+'Commercial-Conversion'!S143+'Commercial-Conversion'!S158+'Commercial-Conversion'!S169+'Commercial-Conversion'!S179+'Commercial-Conversion'!S189+'Commercial-Conversion'!S199+'Commercial-Conversion'!S210</f>
        <v>12427.320534225266</v>
      </c>
      <c r="T8" s="4">
        <f>'Commercial-Conversion'!T9+'Commercial-Conversion'!T23+'Commercial-Conversion'!T38+'Commercial-Conversion'!T53+'Commercial-Conversion'!T68+'Commercial-Conversion'!T83+'Commercial-Conversion'!T98+'Commercial-Conversion'!T113+'Commercial-Conversion'!T128+'Commercial-Conversion'!T143+'Commercial-Conversion'!T158+'Commercial-Conversion'!T169+'Commercial-Conversion'!T179+'Commercial-Conversion'!T189+'Commercial-Conversion'!T199+'Commercial-Conversion'!T210</f>
        <v>12717.35974834465</v>
      </c>
      <c r="U8" s="4">
        <f>'Commercial-Conversion'!U9+'Commercial-Conversion'!U23+'Commercial-Conversion'!U38+'Commercial-Conversion'!U53+'Commercial-Conversion'!U68+'Commercial-Conversion'!U83+'Commercial-Conversion'!U98+'Commercial-Conversion'!U113+'Commercial-Conversion'!U128+'Commercial-Conversion'!U143+'Commercial-Conversion'!U158+'Commercial-Conversion'!U169+'Commercial-Conversion'!U179+'Commercial-Conversion'!U189+'Commercial-Conversion'!U199+'Commercial-Conversion'!U210</f>
        <v>13010.04728206779</v>
      </c>
      <c r="V8" s="4">
        <f>'Commercial-Conversion'!V9+'Commercial-Conversion'!V23+'Commercial-Conversion'!V38+'Commercial-Conversion'!V53+'Commercial-Conversion'!V68+'Commercial-Conversion'!V83+'Commercial-Conversion'!V98+'Commercial-Conversion'!V113+'Commercial-Conversion'!V128+'Commercial-Conversion'!V143+'Commercial-Conversion'!V158+'Commercial-Conversion'!V169+'Commercial-Conversion'!V179+'Commercial-Conversion'!V189+'Commercial-Conversion'!V199+'Commercial-Conversion'!V210</f>
        <v>13318.061932833458</v>
      </c>
      <c r="W8" s="4">
        <f>'Commercial-Conversion'!W9+'Commercial-Conversion'!W23+'Commercial-Conversion'!W38+'Commercial-Conversion'!W53+'Commercial-Conversion'!W68+'Commercial-Conversion'!W83+'Commercial-Conversion'!W98+'Commercial-Conversion'!W113+'Commercial-Conversion'!W128+'Commercial-Conversion'!W143+'Commercial-Conversion'!W158+'Commercial-Conversion'!W169+'Commercial-Conversion'!W179+'Commercial-Conversion'!W189+'Commercial-Conversion'!W199+'Commercial-Conversion'!W210</f>
        <v>13642.391235445048</v>
      </c>
      <c r="X8" s="4">
        <f>'Commercial-Conversion'!X9+'Commercial-Conversion'!X23+'Commercial-Conversion'!X38+'Commercial-Conversion'!X53+'Commercial-Conversion'!X68+'Commercial-Conversion'!X83+'Commercial-Conversion'!X98+'Commercial-Conversion'!X113+'Commercial-Conversion'!X128+'Commercial-Conversion'!X143+'Commercial-Conversion'!X158+'Commercial-Conversion'!X169+'Commercial-Conversion'!X179+'Commercial-Conversion'!X189+'Commercial-Conversion'!X199+'Commercial-Conversion'!X210</f>
        <v>13984.087133097601</v>
      </c>
      <c r="Y8" s="4">
        <f>'Commercial-Conversion'!Y9+'Commercial-Conversion'!Y23+'Commercial-Conversion'!Y38+'Commercial-Conversion'!Y53+'Commercial-Conversion'!Y68+'Commercial-Conversion'!Y83+'Commercial-Conversion'!Y98+'Commercial-Conversion'!Y113+'Commercial-Conversion'!Y128+'Commercial-Conversion'!Y143+'Commercial-Conversion'!Y158+'Commercial-Conversion'!Y169+'Commercial-Conversion'!Y179+'Commercial-Conversion'!Y189+'Commercial-Conversion'!Y199+'Commercial-Conversion'!Y210</f>
        <v>14344.270178832543</v>
      </c>
      <c r="Z8" s="4">
        <f>'Commercial-Conversion'!Z9+'Commercial-Conversion'!Z23+'Commercial-Conversion'!Z38+'Commercial-Conversion'!Z53+'Commercial-Conversion'!Z68+'Commercial-Conversion'!Z83+'Commercial-Conversion'!Z98+'Commercial-Conversion'!Z113+'Commercial-Conversion'!Z128+'Commercial-Conversion'!Z143+'Commercial-Conversion'!Z158+'Commercial-Conversion'!Z169+'Commercial-Conversion'!Z179+'Commercial-Conversion'!Z189+'Commercial-Conversion'!Z199+'Commercial-Conversion'!Z210</f>
        <v>14712.671564623026</v>
      </c>
      <c r="AA8" s="4">
        <f>'Commercial-Conversion'!AA9+'Commercial-Conversion'!AA23+'Commercial-Conversion'!AA38+'Commercial-Conversion'!AA53+'Commercial-Conversion'!AA68+'Commercial-Conversion'!AA83+'Commercial-Conversion'!AA98+'Commercial-Conversion'!AA113+'Commercial-Conversion'!AA128+'Commercial-Conversion'!AA143+'Commercial-Conversion'!AA158+'Commercial-Conversion'!AA169+'Commercial-Conversion'!AA179+'Commercial-Conversion'!AA189+'Commercial-Conversion'!AA199+'Commercial-Conversion'!AA210</f>
        <v>15101.971774469142</v>
      </c>
      <c r="AB8" s="4">
        <f>'Commercial-Conversion'!AB9+'Commercial-Conversion'!AB23+'Commercial-Conversion'!AB38+'Commercial-Conversion'!AB53+'Commercial-Conversion'!AB68+'Commercial-Conversion'!AB83+'Commercial-Conversion'!AB98+'Commercial-Conversion'!AB113+'Commercial-Conversion'!AB128+'Commercial-Conversion'!AB143+'Commercial-Conversion'!AB158+'Commercial-Conversion'!AB169+'Commercial-Conversion'!AB179+'Commercial-Conversion'!AB189+'Commercial-Conversion'!AB199+'Commercial-Conversion'!AB210</f>
        <v>15513.525231261257</v>
      </c>
      <c r="AC8" s="4">
        <f>'Commercial-Conversion'!AC9+'Commercial-Conversion'!AC23+'Commercial-Conversion'!AC38+'Commercial-Conversion'!AC53+'Commercial-Conversion'!AC68+'Commercial-Conversion'!AC83+'Commercial-Conversion'!AC98+'Commercial-Conversion'!AC113+'Commercial-Conversion'!AC128+'Commercial-Conversion'!AC143+'Commercial-Conversion'!AC158+'Commercial-Conversion'!AC169+'Commercial-Conversion'!AC179+'Commercial-Conversion'!AC189+'Commercial-Conversion'!AC199+'Commercial-Conversion'!AC210</f>
        <v>15948.774699298639</v>
      </c>
      <c r="AD8" s="4">
        <f>'Commercial-Conversion'!AD9+'Commercial-Conversion'!AD23+'Commercial-Conversion'!AD38+'Commercial-Conversion'!AD53+'Commercial-Conversion'!AD68+'Commercial-Conversion'!AD83+'Commercial-Conversion'!AD98+'Commercial-Conversion'!AD113+'Commercial-Conversion'!AD128+'Commercial-Conversion'!AD143+'Commercial-Conversion'!AD158+'Commercial-Conversion'!AD169+'Commercial-Conversion'!AD179+'Commercial-Conversion'!AD189+'Commercial-Conversion'!AD199+'Commercial-Conversion'!AD210</f>
        <v>16409.257047133746</v>
      </c>
      <c r="AE8" s="4">
        <f>'Commercial-Conversion'!AE9+'Commercial-Conversion'!AE23+'Commercial-Conversion'!AE38+'Commercial-Conversion'!AE53+'Commercial-Conversion'!AE68+'Commercial-Conversion'!AE83+'Commercial-Conversion'!AE98+'Commercial-Conversion'!AE113+'Commercial-Conversion'!AE128+'Commercial-Conversion'!AE143+'Commercial-Conversion'!AE158+'Commercial-Conversion'!AE169+'Commercial-Conversion'!AE179+'Commercial-Conversion'!AE189+'Commercial-Conversion'!AE199+'Commercial-Conversion'!AE210</f>
        <v>16868.551433526747</v>
      </c>
      <c r="AF8" s="4">
        <f>'Commercial-Conversion'!AF9+'Commercial-Conversion'!AF23+'Commercial-Conversion'!AF38+'Commercial-Conversion'!AF53+'Commercial-Conversion'!AF68+'Commercial-Conversion'!AF83+'Commercial-Conversion'!AF98+'Commercial-Conversion'!AF113+'Commercial-Conversion'!AF128+'Commercial-Conversion'!AF143+'Commercial-Conversion'!AF158+'Commercial-Conversion'!AF169+'Commercial-Conversion'!AF179+'Commercial-Conversion'!AF189+'Commercial-Conversion'!AF199+'Commercial-Conversion'!AF210</f>
        <v>17356.330368078405</v>
      </c>
      <c r="AG8" s="4">
        <f>'Commercial-Conversion'!AG9+'Commercial-Conversion'!AG23+'Commercial-Conversion'!AG38+'Commercial-Conversion'!AG53+'Commercial-Conversion'!AG68+'Commercial-Conversion'!AG83+'Commercial-Conversion'!AG98+'Commercial-Conversion'!AG113+'Commercial-Conversion'!AG128+'Commercial-Conversion'!AG143+'Commercial-Conversion'!AG158+'Commercial-Conversion'!AG169+'Commercial-Conversion'!AG179+'Commercial-Conversion'!AG189+'Commercial-Conversion'!AG199+'Commercial-Conversion'!AG210</f>
        <v>17874.451493158558</v>
      </c>
      <c r="AH8" s="4">
        <f>'Commercial-Conversion'!AH9+'Commercial-Conversion'!AH23+'Commercial-Conversion'!AH38+'Commercial-Conversion'!AH53+'Commercial-Conversion'!AH68+'Commercial-Conversion'!AH83+'Commercial-Conversion'!AH98+'Commercial-Conversion'!AH113+'Commercial-Conversion'!AH128+'Commercial-Conversion'!AH143+'Commercial-Conversion'!AH158+'Commercial-Conversion'!AH169+'Commercial-Conversion'!AH179+'Commercial-Conversion'!AH189+'Commercial-Conversion'!AH199+'Commercial-Conversion'!AH210</f>
        <v>18424.893619921357</v>
      </c>
      <c r="AI8" s="4">
        <f>'Commercial-Conversion'!AI9+'Commercial-Conversion'!AI23+'Commercial-Conversion'!AI38+'Commercial-Conversion'!AI53+'Commercial-Conversion'!AI68+'Commercial-Conversion'!AI83+'Commercial-Conversion'!AI98+'Commercial-Conversion'!AI113+'Commercial-Conversion'!AI128+'Commercial-Conversion'!AI143+'Commercial-Conversion'!AI158+'Commercial-Conversion'!AI169+'Commercial-Conversion'!AI179+'Commercial-Conversion'!AI189+'Commercial-Conversion'!AI199+'Commercial-Conversion'!AI210</f>
        <v>19009.764632863207</v>
      </c>
      <c r="AJ8" s="4">
        <f>'Commercial-Conversion'!AJ9+'Commercial-Conversion'!AJ23+'Commercial-Conversion'!AJ38+'Commercial-Conversion'!AJ53+'Commercial-Conversion'!AJ68+'Commercial-Conversion'!AJ83+'Commercial-Conversion'!AJ98+'Commercial-Conversion'!AJ113+'Commercial-Conversion'!AJ128+'Commercial-Conversion'!AJ143+'Commercial-Conversion'!AJ158+'Commercial-Conversion'!AJ169+'Commercial-Conversion'!AJ179+'Commercial-Conversion'!AJ189+'Commercial-Conversion'!AJ199+'Commercial-Conversion'!AJ210</f>
        <v>19631.309910094766</v>
      </c>
      <c r="AK8" s="4">
        <f>'Commercial-Conversion'!AK9+'Commercial-Conversion'!AK23+'Commercial-Conversion'!AK38+'Commercial-Conversion'!AK53+'Commercial-Conversion'!AK68+'Commercial-Conversion'!AK83+'Commercial-Conversion'!AK98+'Commercial-Conversion'!AK113+'Commercial-Conversion'!AK128+'Commercial-Conversion'!AK143+'Commercial-Conversion'!AK158+'Commercial-Conversion'!AK169+'Commercial-Conversion'!AK179+'Commercial-Conversion'!AK189+'Commercial-Conversion'!AK199+'Commercial-Conversion'!AK210</f>
        <v>20291.921292976389</v>
      </c>
      <c r="AL8" s="4">
        <f>'Commercial-Conversion'!AL9+'Commercial-Conversion'!AL23+'Commercial-Conversion'!AL38+'Commercial-Conversion'!AL53+'Commercial-Conversion'!AL68+'Commercial-Conversion'!AL83+'Commercial-Conversion'!AL98+'Commercial-Conversion'!AL113+'Commercial-Conversion'!AL128+'Commercial-Conversion'!AL143+'Commercial-Conversion'!AL158+'Commercial-Conversion'!AL169+'Commercial-Conversion'!AL179+'Commercial-Conversion'!AL189+'Commercial-Conversion'!AL199+'Commercial-Conversion'!AL210</f>
        <v>20994.146640961699</v>
      </c>
      <c r="AM8" s="4">
        <f>'Commercial-Conversion'!AM9+'Commercial-Conversion'!AM23+'Commercial-Conversion'!AM38+'Commercial-Conversion'!AM53+'Commercial-Conversion'!AM68+'Commercial-Conversion'!AM83+'Commercial-Conversion'!AM98+'Commercial-Conversion'!AM113+'Commercial-Conversion'!AM128+'Commercial-Conversion'!AM143+'Commercial-Conversion'!AM158+'Commercial-Conversion'!AM169+'Commercial-Conversion'!AM179+'Commercial-Conversion'!AM189+'Commercial-Conversion'!AM199+'Commercial-Conversion'!AM210</f>
        <v>21740.700009833196</v>
      </c>
      <c r="AN8" s="4">
        <f>'Commercial-Conversion'!AN9+'Commercial-Conversion'!AN23+'Commercial-Conversion'!AN38+'Commercial-Conversion'!AN53+'Commercial-Conversion'!AN68+'Commercial-Conversion'!AN83+'Commercial-Conversion'!AN98+'Commercial-Conversion'!AN113+'Commercial-Conversion'!AN128+'Commercial-Conversion'!AN143+'Commercial-Conversion'!AN158+'Commercial-Conversion'!AN169+'Commercial-Conversion'!AN179+'Commercial-Conversion'!AN189+'Commercial-Conversion'!AN199+'Commercial-Conversion'!AN210</f>
        <v>22534.472494005302</v>
      </c>
      <c r="AO8" s="42">
        <f>'Commercial-Conversion'!AO9+'Commercial-Conversion'!AO23+'Commercial-Conversion'!AO38+'Commercial-Conversion'!AO53+'Commercial-Conversion'!AO68+'Commercial-Conversion'!AO83+'Commercial-Conversion'!AO98+'Commercial-Conversion'!AO113+'Commercial-Conversion'!AO128+'Commercial-Conversion'!AO143+'Commercial-Conversion'!AO158+'Commercial-Conversion'!AO169+'Commercial-Conversion'!AO179+'Commercial-Conversion'!AO189+'Commercial-Conversion'!AO199+'Commercial-Conversion'!AO210</f>
        <v>23378.658736596051</v>
      </c>
      <c r="AP8" s="42">
        <f>'Commercial-Conversion'!AP9+'Commercial-Conversion'!AP23+'Commercial-Conversion'!AP38+'Commercial-Conversion'!AP53+'Commercial-Conversion'!AP68+'Commercial-Conversion'!AP83+'Commercial-Conversion'!AP98+'Commercial-Conversion'!AP113+'Commercial-Conversion'!AP128+'Commercial-Conversion'!AP143+'Commercial-Conversion'!AP158+'Commercial-Conversion'!AP169+'Commercial-Conversion'!AP179+'Commercial-Conversion'!AP189+'Commercial-Conversion'!AP199+'Commercial-Conversion'!AP210</f>
        <v>24276.539901375862</v>
      </c>
      <c r="AQ8" s="42">
        <f>'Commercial-Conversion'!AQ9+'Commercial-Conversion'!AQ23+'Commercial-Conversion'!AQ38+'Commercial-Conversion'!AQ53+'Commercial-Conversion'!AQ68+'Commercial-Conversion'!AQ83+'Commercial-Conversion'!AQ98+'Commercial-Conversion'!AQ113+'Commercial-Conversion'!AQ128+'Commercial-Conversion'!AQ143+'Commercial-Conversion'!AQ158+'Commercial-Conversion'!AQ169+'Commercial-Conversion'!AQ179+'Commercial-Conversion'!AQ189+'Commercial-Conversion'!AQ199+'Commercial-Conversion'!AQ210</f>
        <v>25231.611152699439</v>
      </c>
      <c r="AR8" s="42">
        <f>'Commercial-Conversion'!AR9+'Commercial-Conversion'!AR23+'Commercial-Conversion'!AR38+'Commercial-Conversion'!AR53+'Commercial-Conversion'!AR68+'Commercial-Conversion'!AR83+'Commercial-Conversion'!AR98+'Commercial-Conversion'!AR113+'Commercial-Conversion'!AR128+'Commercial-Conversion'!AR143+'Commercial-Conversion'!AR158+'Commercial-Conversion'!AR169+'Commercial-Conversion'!AR179+'Commercial-Conversion'!AR189+'Commercial-Conversion'!AR199+'Commercial-Conversion'!AR210</f>
        <v>26247.595616597468</v>
      </c>
      <c r="AS8" s="42">
        <f>'Commercial-Conversion'!AS9+'Commercial-Conversion'!AS23+'Commercial-Conversion'!AS38+'Commercial-Conversion'!AS53+'Commercial-Conversion'!AS68+'Commercial-Conversion'!AS83+'Commercial-Conversion'!AS98+'Commercial-Conversion'!AS113+'Commercial-Conversion'!AS128+'Commercial-Conversion'!AS143+'Commercial-Conversion'!AS158+'Commercial-Conversion'!AS169+'Commercial-Conversion'!AS179+'Commercial-Conversion'!AS189+'Commercial-Conversion'!AS199+'Commercial-Conversion'!AS210</f>
        <v>27328.459252762994</v>
      </c>
      <c r="AT8" s="42">
        <f>'Commercial-Conversion'!AT9+'Commercial-Conversion'!AT23+'Commercial-Conversion'!AT38+'Commercial-Conversion'!AT53+'Commercial-Conversion'!AT68+'Commercial-Conversion'!AT83+'Commercial-Conversion'!AT98+'Commercial-Conversion'!AT113+'Commercial-Conversion'!AT128+'Commercial-Conversion'!AT143+'Commercial-Conversion'!AT158+'Commercial-Conversion'!AT169+'Commercial-Conversion'!AT179+'Commercial-Conversion'!AT189+'Commercial-Conversion'!AT199+'Commercial-Conversion'!AT210</f>
        <v>28478.426696868381</v>
      </c>
      <c r="AU8" s="42">
        <f>'Commercial-Conversion'!AU9+'Commercial-Conversion'!AU23+'Commercial-Conversion'!AU38+'Commercial-Conversion'!AU53+'Commercial-Conversion'!AU68+'Commercial-Conversion'!AU83+'Commercial-Conversion'!AU98+'Commercial-Conversion'!AU113+'Commercial-Conversion'!AU128+'Commercial-Conversion'!AU143+'Commercial-Conversion'!AU158+'Commercial-Conversion'!AU169+'Commercial-Conversion'!AU179+'Commercial-Conversion'!AU189+'Commercial-Conversion'!AU199+'Commercial-Conversion'!AU210</f>
        <v>29701.998136526698</v>
      </c>
      <c r="AV8" s="42">
        <f>'Commercial-Conversion'!AV9+'Commercial-Conversion'!AV23+'Commercial-Conversion'!AV38+'Commercial-Conversion'!AV53+'Commercial-Conversion'!AV68+'Commercial-Conversion'!AV83+'Commercial-Conversion'!AV98+'Commercial-Conversion'!AV113+'Commercial-Conversion'!AV128+'Commercial-Conversion'!AV143+'Commercial-Conversion'!AV158+'Commercial-Conversion'!AV169+'Commercial-Conversion'!AV179+'Commercial-Conversion'!AV189+'Commercial-Conversion'!AV199+'Commercial-Conversion'!AV210</f>
        <v>31003.9672883434</v>
      </c>
      <c r="AW8" s="42">
        <f>'Commercial-Conversion'!AW9+'Commercial-Conversion'!AW23+'Commercial-Conversion'!AW38+'Commercial-Conversion'!AW53+'Commercial-Conversion'!AW68+'Commercial-Conversion'!AW83+'Commercial-Conversion'!AW98+'Commercial-Conversion'!AW113+'Commercial-Conversion'!AW128+'Commercial-Conversion'!AW143+'Commercial-Conversion'!AW158+'Commercial-Conversion'!AW169+'Commercial-Conversion'!AW179+'Commercial-Conversion'!AW189+'Commercial-Conversion'!AW199+'Commercial-Conversion'!AW210</f>
        <v>32389.440547904589</v>
      </c>
      <c r="AX8" s="42">
        <f>'Commercial-Conversion'!AX9+'Commercial-Conversion'!AX23+'Commercial-Conversion'!AX38+'Commercial-Conversion'!AX53+'Commercial-Conversion'!AX68+'Commercial-Conversion'!AX83+'Commercial-Conversion'!AX98+'Commercial-Conversion'!AX113+'Commercial-Conversion'!AX128+'Commercial-Conversion'!AX143+'Commercial-Conversion'!AX158+'Commercial-Conversion'!AX169+'Commercial-Conversion'!AX179+'Commercial-Conversion'!AX189+'Commercial-Conversion'!AX199+'Commercial-Conversion'!AX210</f>
        <v>33863.85738923699</v>
      </c>
    </row>
    <row r="9" spans="1:50" x14ac:dyDescent="0.2">
      <c r="A9" s="10" t="s">
        <v>44</v>
      </c>
      <c r="B9" s="4">
        <f>'Commercial-Conversion'!B144+'Commercial-Conversion'!B129+'Commercial-Conversion'!B84</f>
        <v>434127.25872929086</v>
      </c>
      <c r="C9" s="4">
        <f>'Commercial-Conversion'!C144+'Commercial-Conversion'!C129+'Commercial-Conversion'!C84</f>
        <v>435611.73192400823</v>
      </c>
      <c r="D9" s="4">
        <f>'Commercial-Conversion'!D144+'Commercial-Conversion'!D129+'Commercial-Conversion'!D84</f>
        <v>437096.20511872554</v>
      </c>
      <c r="E9" s="4">
        <f>'Commercial-Conversion'!E144+'Commercial-Conversion'!E129+'Commercial-Conversion'!E84</f>
        <v>438580.67831344297</v>
      </c>
      <c r="F9" s="4">
        <f>'Commercial-Conversion'!F144+'Commercial-Conversion'!F129+'Commercial-Conversion'!F84</f>
        <v>442551.62338216259</v>
      </c>
      <c r="G9" s="4">
        <f>'Commercial-Conversion'!G144+'Commercial-Conversion'!G129+'Commercial-Conversion'!G84</f>
        <v>446522.56845088216</v>
      </c>
      <c r="H9" s="4">
        <f>'Commercial-Conversion'!H144+'Commercial-Conversion'!H129+'Commercial-Conversion'!H84</f>
        <v>450493.51351960184</v>
      </c>
      <c r="I9" s="4">
        <f>'Commercial-Conversion'!I144+'Commercial-Conversion'!I129+'Commercial-Conversion'!I84</f>
        <v>454464.45858832146</v>
      </c>
      <c r="J9" s="4">
        <f>'Commercial-Conversion'!J144+'Commercial-Conversion'!J129+'Commercial-Conversion'!J84</f>
        <v>458435.40365704114</v>
      </c>
      <c r="K9" s="4">
        <f>'Commercial-Conversion'!K144+'Commercial-Conversion'!K129+'Commercial-Conversion'!K84</f>
        <v>461770.69060602743</v>
      </c>
      <c r="L9" s="4">
        <f>'Commercial-Conversion'!L144+'Commercial-Conversion'!L129+'Commercial-Conversion'!L84</f>
        <v>465105.97755501373</v>
      </c>
      <c r="M9" s="4">
        <f>'Commercial-Conversion'!M144+'Commercial-Conversion'!M129+'Commercial-Conversion'!M84</f>
        <v>468441.26450399996</v>
      </c>
      <c r="N9" s="4">
        <f>'Commercial-Conversion'!N144+'Commercial-Conversion'!N129+'Commercial-Conversion'!N84</f>
        <v>471776.55145298626</v>
      </c>
      <c r="O9" s="4">
        <f>'Commercial-Conversion'!O144+'Commercial-Conversion'!O129+'Commercial-Conversion'!O84</f>
        <v>475111.83840197261</v>
      </c>
      <c r="P9" s="4">
        <f>'Commercial-Conversion'!P144+'Commercial-Conversion'!P129+'Commercial-Conversion'!P84</f>
        <v>477804.11880083056</v>
      </c>
      <c r="Q9" s="4">
        <f>'Commercial-Conversion'!Q144+'Commercial-Conversion'!Q129+'Commercial-Conversion'!Q84</f>
        <v>480496.39919968863</v>
      </c>
      <c r="R9" s="4">
        <f>'Commercial-Conversion'!R144+'Commercial-Conversion'!R129+'Commercial-Conversion'!R84</f>
        <v>483188.67959854659</v>
      </c>
      <c r="S9" s="4">
        <f>'Commercial-Conversion'!S144+'Commercial-Conversion'!S129+'Commercial-Conversion'!S84</f>
        <v>485880.9599974046</v>
      </c>
      <c r="T9" s="4">
        <f>'Commercial-Conversion'!T144+'Commercial-Conversion'!T129+'Commercial-Conversion'!T84</f>
        <v>488573.24039626255</v>
      </c>
      <c r="U9" s="4">
        <f>'Commercial-Conversion'!U144+'Commercial-Conversion'!U129+'Commercial-Conversion'!U84</f>
        <v>490636.62864664634</v>
      </c>
      <c r="V9" s="4">
        <f>'Commercial-Conversion'!V144+'Commercial-Conversion'!V129+'Commercial-Conversion'!V84</f>
        <v>492700.01689703029</v>
      </c>
      <c r="W9" s="4">
        <f>'Commercial-Conversion'!W144+'Commercial-Conversion'!W129+'Commercial-Conversion'!W84</f>
        <v>494763.4051474139</v>
      </c>
      <c r="X9" s="4">
        <f>'Commercial-Conversion'!X144+'Commercial-Conversion'!X129+'Commercial-Conversion'!X84</f>
        <v>496826.79339779785</v>
      </c>
      <c r="Y9" s="4">
        <f>'Commercial-Conversion'!Y144+'Commercial-Conversion'!Y129+'Commercial-Conversion'!Y84</f>
        <v>498890.18164818163</v>
      </c>
      <c r="Z9" s="4">
        <f>'Commercial-Conversion'!Z144+'Commercial-Conversion'!Z129+'Commercial-Conversion'!Z84</f>
        <v>500350.17056967504</v>
      </c>
      <c r="AA9" s="4">
        <f>'Commercial-Conversion'!AA144+'Commercial-Conversion'!AA129+'Commercial-Conversion'!AA84</f>
        <v>501810.15949116834</v>
      </c>
      <c r="AB9" s="4">
        <f>'Commercial-Conversion'!AB144+'Commercial-Conversion'!AB129+'Commercial-Conversion'!AB84</f>
        <v>503270.14841266157</v>
      </c>
      <c r="AC9" s="4">
        <f>'Commercial-Conversion'!AC144+'Commercial-Conversion'!AC129+'Commercial-Conversion'!AC84</f>
        <v>504730.13733415492</v>
      </c>
      <c r="AD9" s="4">
        <f>'Commercial-Conversion'!AD144+'Commercial-Conversion'!AD129+'Commercial-Conversion'!AD84</f>
        <v>506190.12625564815</v>
      </c>
      <c r="AE9" s="4">
        <f>'Commercial-Conversion'!AE144+'Commercial-Conversion'!AE129+'Commercial-Conversion'!AE84</f>
        <v>506190.12625564815</v>
      </c>
      <c r="AF9" s="4">
        <f>'Commercial-Conversion'!AF144+'Commercial-Conversion'!AF129+'Commercial-Conversion'!AF84</f>
        <v>506190.12625564815</v>
      </c>
      <c r="AG9" s="4">
        <f>'Commercial-Conversion'!AG144+'Commercial-Conversion'!AG129+'Commercial-Conversion'!AG84</f>
        <v>506190.12625564815</v>
      </c>
      <c r="AH9" s="4">
        <f>'Commercial-Conversion'!AH144+'Commercial-Conversion'!AH129+'Commercial-Conversion'!AH84</f>
        <v>506190.12625564815</v>
      </c>
      <c r="AI9" s="4">
        <f>'Commercial-Conversion'!AI144+'Commercial-Conversion'!AI129+'Commercial-Conversion'!AI84</f>
        <v>506190.12625564815</v>
      </c>
      <c r="AJ9" s="4">
        <f>'Commercial-Conversion'!AJ144+'Commercial-Conversion'!AJ129+'Commercial-Conversion'!AJ84</f>
        <v>506190.12625564815</v>
      </c>
      <c r="AK9" s="4">
        <f>'Commercial-Conversion'!AK144+'Commercial-Conversion'!AK129+'Commercial-Conversion'!AK84</f>
        <v>506190.12625564815</v>
      </c>
      <c r="AL9" s="4">
        <f>'Commercial-Conversion'!AL144+'Commercial-Conversion'!AL129+'Commercial-Conversion'!AL84</f>
        <v>506190.12625564815</v>
      </c>
      <c r="AM9" s="4">
        <f>'Commercial-Conversion'!AM144+'Commercial-Conversion'!AM129+'Commercial-Conversion'!AM84</f>
        <v>506190.12625564815</v>
      </c>
      <c r="AN9" s="4">
        <f>'Commercial-Conversion'!AN144+'Commercial-Conversion'!AN129+'Commercial-Conversion'!AN84</f>
        <v>506190.12625564815</v>
      </c>
      <c r="AO9" s="42">
        <f>'Commercial-Conversion'!AO144+'Commercial-Conversion'!AO129+'Commercial-Conversion'!AO84</f>
        <v>506190.12625564815</v>
      </c>
      <c r="AP9" s="42">
        <f>'Commercial-Conversion'!AP144+'Commercial-Conversion'!AP129+'Commercial-Conversion'!AP84</f>
        <v>506190.12625564815</v>
      </c>
      <c r="AQ9" s="42">
        <f>'Commercial-Conversion'!AQ144+'Commercial-Conversion'!AQ129+'Commercial-Conversion'!AQ84</f>
        <v>506190.12625564815</v>
      </c>
      <c r="AR9" s="42">
        <f>'Commercial-Conversion'!AR144+'Commercial-Conversion'!AR129+'Commercial-Conversion'!AR84</f>
        <v>506190.12625564815</v>
      </c>
      <c r="AS9" s="42">
        <f>'Commercial-Conversion'!AS144+'Commercial-Conversion'!AS129+'Commercial-Conversion'!AS84</f>
        <v>506190.12625564815</v>
      </c>
      <c r="AT9" s="42">
        <f>'Commercial-Conversion'!AT144+'Commercial-Conversion'!AT129+'Commercial-Conversion'!AT84</f>
        <v>506190.12625564815</v>
      </c>
      <c r="AU9" s="42">
        <f>'Commercial-Conversion'!AU144+'Commercial-Conversion'!AU129+'Commercial-Conversion'!AU84</f>
        <v>506190.12625564815</v>
      </c>
      <c r="AV9" s="42">
        <f>'Commercial-Conversion'!AV144+'Commercial-Conversion'!AV129+'Commercial-Conversion'!AV84</f>
        <v>506190.12625564815</v>
      </c>
      <c r="AW9" s="42">
        <f>'Commercial-Conversion'!AW144+'Commercial-Conversion'!AW129+'Commercial-Conversion'!AW84</f>
        <v>506190.12625564815</v>
      </c>
      <c r="AX9" s="42">
        <f>'Commercial-Conversion'!AX144+'Commercial-Conversion'!AX129+'Commercial-Conversion'!AX84</f>
        <v>506190.12625564815</v>
      </c>
    </row>
    <row r="11" spans="1:50" x14ac:dyDescent="0.2">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row>
    <row r="14" spans="1:50" x14ac:dyDescent="0.2">
      <c r="A14" s="12" t="s">
        <v>11</v>
      </c>
      <c r="B14" s="3" t="s">
        <v>40</v>
      </c>
      <c r="C14" s="3" t="s">
        <v>130</v>
      </c>
      <c r="D14" s="3" t="s">
        <v>41</v>
      </c>
      <c r="E14" s="3" t="s">
        <v>131</v>
      </c>
      <c r="F14" s="3" t="s">
        <v>42</v>
      </c>
      <c r="G14" s="3" t="s">
        <v>132</v>
      </c>
      <c r="H14" s="3" t="s">
        <v>43</v>
      </c>
      <c r="I14" s="3" t="s">
        <v>133</v>
      </c>
      <c r="J14" s="3" t="s">
        <v>8</v>
      </c>
      <c r="K14" s="3" t="s">
        <v>134</v>
      </c>
      <c r="L14" s="3" t="s">
        <v>9</v>
      </c>
      <c r="M14" s="3" t="s">
        <v>135</v>
      </c>
      <c r="N14" s="3" t="s">
        <v>10</v>
      </c>
      <c r="O14" s="3" t="s">
        <v>136</v>
      </c>
      <c r="P14" s="3" t="s">
        <v>44</v>
      </c>
      <c r="Q14" s="3" t="s">
        <v>137</v>
      </c>
    </row>
    <row r="15" spans="1:50" x14ac:dyDescent="0.2">
      <c r="A15" s="30">
        <v>2019</v>
      </c>
      <c r="B15" s="3"/>
      <c r="C15" s="14">
        <f>_xlfn.FORECAST.LINEAR(A15,B$16:B$20,A$16:A$20)</f>
        <v>6379155.5144389868</v>
      </c>
      <c r="D15" s="3"/>
      <c r="E15" s="14">
        <f>_xlfn.FORECAST.LINEAR(A15,D$16:D$29,A$16:A$29)</f>
        <v>4304780.15320611</v>
      </c>
      <c r="F15" s="3"/>
      <c r="G15" s="14">
        <f>_xlfn.FORECAST.LINEAR(A15,F$16:F$25,A$16:A$25)</f>
        <v>2123372.4080512077</v>
      </c>
      <c r="H15" s="3"/>
      <c r="I15" s="14">
        <f>_xlfn.FORECAST.LINEAR(A15,H$16:H$30,A$16:A$30)</f>
        <v>620356.00542429835</v>
      </c>
      <c r="J15" s="3"/>
      <c r="K15" s="14">
        <f>_xlfn.FORECAST.LINEAR(A15,J$16:J$30,A$16:A$30)</f>
        <v>920047.56509218365</v>
      </c>
      <c r="L15" s="3"/>
      <c r="M15" s="14">
        <f>_xlfn.FORECAST.LINEAR(A15,L$16:L$25,A$16:A$25)</f>
        <v>9559672.7911792397</v>
      </c>
      <c r="N15" s="3"/>
      <c r="O15" s="14">
        <f>_xlfn.FORECAST.LINEAR(A15,N$16:N$28,A$16:A$28)</f>
        <v>8238.0256380270002</v>
      </c>
      <c r="P15" s="3"/>
      <c r="Q15" s="14">
        <f>_xlfn.FORECAST.LINEAR(A15,P$16:P$28,A$16:A$28)</f>
        <v>421286.81179249566</v>
      </c>
    </row>
    <row r="16" spans="1:50" x14ac:dyDescent="0.2">
      <c r="A16" s="30">
        <v>2020</v>
      </c>
      <c r="B16" s="4"/>
      <c r="C16" s="14">
        <f t="shared" ref="C16:C17" si="1">_xlfn.FORECAST.LINEAR(A16,B$16:B$20,A$16:A$20)</f>
        <v>6725113.9213049412</v>
      </c>
      <c r="D16" s="4"/>
      <c r="E16" s="14">
        <f t="shared" ref="E16:E17" si="2">_xlfn.FORECAST.LINEAR(A16,D$16:D$29,A$16:A$29)</f>
        <v>4600360.2395888567</v>
      </c>
      <c r="F16" s="22"/>
      <c r="G16" s="14">
        <f t="shared" ref="G16:G17" si="3">_xlfn.FORECAST.LINEAR(A16,F$16:F$25,A$16:A$25)</f>
        <v>2176461.9287858158</v>
      </c>
      <c r="H16" s="22"/>
      <c r="I16" s="14">
        <f t="shared" ref="I16:I17" si="4">_xlfn.FORECAST.LINEAR(A16,H$16:H$30,A$16:A$30)</f>
        <v>625306.72719156742</v>
      </c>
      <c r="J16" s="22"/>
      <c r="K16" s="14">
        <f t="shared" ref="K16:K17" si="5">_xlfn.FORECAST.LINEAR(A16,J$16:J$30,A$16:A$30)</f>
        <v>941630.24161342531</v>
      </c>
      <c r="L16" s="22"/>
      <c r="M16" s="14">
        <f t="shared" ref="M16:M17" si="6">_xlfn.FORECAST.LINEAR(A16,L$16:L$25,A$16:A$25)</f>
        <v>9759510.5846523643</v>
      </c>
      <c r="N16" s="22"/>
      <c r="O16" s="14">
        <f t="shared" ref="O16:O17" si="7">_xlfn.FORECAST.LINEAR(A16,N$16:N$28,A$16:A$28)</f>
        <v>8423.365327833686</v>
      </c>
      <c r="P16" s="22"/>
      <c r="Q16" s="14">
        <f t="shared" ref="Q16:Q17" si="8">_xlfn.FORECAST.LINEAR(A16,P$16:P$28,A$16:A$28)</f>
        <v>424589.14338484872</v>
      </c>
    </row>
    <row r="17" spans="1:17" x14ac:dyDescent="0.2">
      <c r="A17" s="30">
        <v>2021</v>
      </c>
      <c r="B17" s="4"/>
      <c r="C17" s="14">
        <f t="shared" si="1"/>
        <v>7071072.3281707764</v>
      </c>
      <c r="D17" s="4"/>
      <c r="E17" s="14">
        <f t="shared" si="2"/>
        <v>4895940.3259716034</v>
      </c>
      <c r="F17" s="22"/>
      <c r="G17" s="14">
        <f t="shared" si="3"/>
        <v>2229551.4495204091</v>
      </c>
      <c r="H17" s="22"/>
      <c r="I17" s="14">
        <f t="shared" si="4"/>
        <v>630257.4489588365</v>
      </c>
      <c r="J17" s="22"/>
      <c r="K17" s="14">
        <f t="shared" si="5"/>
        <v>963212.91813466698</v>
      </c>
      <c r="L17" s="22"/>
      <c r="M17" s="14">
        <f t="shared" si="6"/>
        <v>9959348.3781255484</v>
      </c>
      <c r="N17" s="22"/>
      <c r="O17" s="14">
        <f t="shared" si="7"/>
        <v>8608.7050176403718</v>
      </c>
      <c r="P17" s="22"/>
      <c r="Q17" s="14">
        <f t="shared" si="8"/>
        <v>427891.47497720178</v>
      </c>
    </row>
    <row r="18" spans="1:17" x14ac:dyDescent="0.2">
      <c r="A18" s="8">
        <v>2022</v>
      </c>
      <c r="B18" s="4" cm="1">
        <f t="array" ref="B18:B56">TRANSPOSE(B2:AN2)</f>
        <v>7420588.1681196541</v>
      </c>
      <c r="C18" s="4"/>
      <c r="D18" s="4" cm="1">
        <f t="array" ref="D18:D56">TRANSPOSE(B3:AN3)</f>
        <v>5359282.5791786565</v>
      </c>
      <c r="E18" s="4"/>
      <c r="F18" s="22" cm="1">
        <f t="array" ref="F18:F56">TRANSPOSE(B4:AN4)</f>
        <v>2299912.3367749481</v>
      </c>
      <c r="G18" s="4"/>
      <c r="H18" s="22" cm="1">
        <f t="array" ref="H18:H56">TRANSPOSE(B5:AN5)</f>
        <v>639821.05080976943</v>
      </c>
      <c r="I18" s="4"/>
      <c r="J18" s="22" cm="1">
        <f t="array" ref="J18:J56">TRANSPOSE(B6:AN6)</f>
        <v>989804.97371746902</v>
      </c>
      <c r="K18" s="4"/>
      <c r="L18" s="22" cm="1">
        <f t="array" ref="L18:L56">TRANSPOSE(B7:AN7)</f>
        <v>10147170.92865634</v>
      </c>
      <c r="M18" s="4"/>
      <c r="N18" s="22" cm="1">
        <f t="array" ref="N18:N56">TRANSPOSE(B8:AN8)</f>
        <v>8814.505726432848</v>
      </c>
      <c r="O18" s="4"/>
      <c r="P18" s="22" cm="1">
        <f t="array" ref="P18:P56">TRANSPOSE(B9:AN9)</f>
        <v>434127.25872929086</v>
      </c>
      <c r="Q18" s="4"/>
    </row>
    <row r="19" spans="1:17" x14ac:dyDescent="0.2">
      <c r="A19" s="8">
        <v>2023</v>
      </c>
      <c r="B19" s="4">
        <v>7755874.2757369736</v>
      </c>
      <c r="C19" s="4"/>
      <c r="D19" s="4">
        <v>5566922.1123801591</v>
      </c>
      <c r="E19" s="4"/>
      <c r="F19" s="22">
        <v>2339649.0243040454</v>
      </c>
      <c r="G19" s="4"/>
      <c r="H19" s="22">
        <v>642008.88209712761</v>
      </c>
      <c r="I19" s="4"/>
      <c r="J19" s="22">
        <v>1016431.4730912198</v>
      </c>
      <c r="K19" s="4"/>
      <c r="L19" s="22">
        <v>10420137.624300094</v>
      </c>
      <c r="M19" s="4"/>
      <c r="N19" s="22">
        <v>9051.6437014231597</v>
      </c>
      <c r="O19" s="4"/>
      <c r="P19" s="22">
        <v>435611.73192400823</v>
      </c>
      <c r="Q19" s="4"/>
    </row>
    <row r="20" spans="1:17" x14ac:dyDescent="0.2">
      <c r="A20" s="8">
        <v>2024</v>
      </c>
      <c r="B20" s="4">
        <v>8112504.9818514977</v>
      </c>
      <c r="C20" s="4"/>
      <c r="D20" s="4">
        <v>5787600.2781136483</v>
      </c>
      <c r="E20" s="4"/>
      <c r="F20" s="22">
        <v>2381580.8548520189</v>
      </c>
      <c r="G20" s="4"/>
      <c r="H20" s="22">
        <v>644196.71338448592</v>
      </c>
      <c r="I20" s="4"/>
      <c r="J20" s="22">
        <v>1030514.8253536799</v>
      </c>
      <c r="K20" s="4"/>
      <c r="L20" s="22">
        <v>10564516.036744554</v>
      </c>
      <c r="M20" s="4"/>
      <c r="N20" s="22">
        <v>9177.0999996230203</v>
      </c>
      <c r="O20" s="4"/>
      <c r="P20" s="22">
        <v>437096.20511872554</v>
      </c>
      <c r="Q20" s="4"/>
    </row>
    <row r="21" spans="1:17" x14ac:dyDescent="0.2">
      <c r="A21" s="8">
        <v>2025</v>
      </c>
      <c r="B21" s="4">
        <v>8491873.33372261</v>
      </c>
      <c r="C21" s="4"/>
      <c r="D21" s="4">
        <v>6022168.0378679102</v>
      </c>
      <c r="E21" s="4"/>
      <c r="F21" s="22">
        <v>2425851.0936092082</v>
      </c>
      <c r="G21" s="4"/>
      <c r="H21" s="22">
        <v>646384.54467184411</v>
      </c>
      <c r="I21" s="4"/>
      <c r="J21" s="22">
        <v>1045193.8308173523</v>
      </c>
      <c r="K21" s="4"/>
      <c r="L21" s="22">
        <v>10715000.915019657</v>
      </c>
      <c r="M21" s="4"/>
      <c r="N21" s="22">
        <v>9307.8628982497103</v>
      </c>
      <c r="O21" s="4"/>
      <c r="P21" s="22">
        <v>438580.67831344297</v>
      </c>
      <c r="Q21" s="4"/>
    </row>
    <row r="22" spans="1:17" x14ac:dyDescent="0.2">
      <c r="A22" s="8">
        <v>2026</v>
      </c>
      <c r="B22" s="4">
        <v>8909263.7360791825</v>
      </c>
      <c r="C22" s="4"/>
      <c r="D22" s="4">
        <v>6284694.8220135197</v>
      </c>
      <c r="E22" s="4"/>
      <c r="F22" s="22">
        <v>2482833.4368244875</v>
      </c>
      <c r="G22" s="4"/>
      <c r="H22" s="22">
        <v>652236.96281764959</v>
      </c>
      <c r="I22" s="4"/>
      <c r="J22" s="22">
        <v>1065563.7909111511</v>
      </c>
      <c r="K22" s="4"/>
      <c r="L22" s="22">
        <v>10923827.648933718</v>
      </c>
      <c r="M22" s="4"/>
      <c r="N22" s="22">
        <v>9489.3012072596139</v>
      </c>
      <c r="O22" s="4"/>
      <c r="P22" s="22">
        <v>442551.62338216259</v>
      </c>
      <c r="Q22" s="4"/>
    </row>
    <row r="23" spans="1:17" x14ac:dyDescent="0.2">
      <c r="A23" s="8">
        <v>2027</v>
      </c>
      <c r="B23" s="4">
        <v>9352456.5624855906</v>
      </c>
      <c r="C23" s="4"/>
      <c r="D23" s="4">
        <v>6562983.3608561931</v>
      </c>
      <c r="E23" s="4"/>
      <c r="F23" s="22">
        <v>2542469.3793112878</v>
      </c>
      <c r="G23" s="4"/>
      <c r="H23" s="22">
        <v>658089.38096345495</v>
      </c>
      <c r="I23" s="4"/>
      <c r="J23" s="22">
        <v>1086632.3611796754</v>
      </c>
      <c r="K23" s="4"/>
      <c r="L23" s="22">
        <v>11139816.332565898</v>
      </c>
      <c r="M23" s="4"/>
      <c r="N23" s="22">
        <v>9676.9631441156434</v>
      </c>
      <c r="O23" s="4"/>
      <c r="P23" s="22">
        <v>446522.56845088216</v>
      </c>
      <c r="Q23" s="4"/>
    </row>
    <row r="24" spans="1:17" x14ac:dyDescent="0.2">
      <c r="A24" s="8">
        <v>2028</v>
      </c>
      <c r="B24" s="4">
        <v>9823135.7985231485</v>
      </c>
      <c r="C24" s="4"/>
      <c r="D24" s="4">
        <v>6858062.3394371057</v>
      </c>
      <c r="E24" s="4"/>
      <c r="F24" s="22">
        <v>2604932.1072362741</v>
      </c>
      <c r="G24" s="4"/>
      <c r="H24" s="22">
        <v>663941.79910926044</v>
      </c>
      <c r="I24" s="4"/>
      <c r="J24" s="22">
        <v>1108442.5170320182</v>
      </c>
      <c r="K24" s="4"/>
      <c r="L24" s="22">
        <v>11363407.537128847</v>
      </c>
      <c r="M24" s="4"/>
      <c r="N24" s="22">
        <v>9871.231522163007</v>
      </c>
      <c r="O24" s="4"/>
      <c r="P24" s="22">
        <v>450493.51351960184</v>
      </c>
      <c r="Q24" s="4"/>
    </row>
    <row r="25" spans="1:17" x14ac:dyDescent="0.2">
      <c r="A25" s="8">
        <v>2029</v>
      </c>
      <c r="B25" s="4">
        <v>10323095.334463999</v>
      </c>
      <c r="C25" s="4"/>
      <c r="D25" s="4">
        <v>7171027.5795429358</v>
      </c>
      <c r="E25" s="4"/>
      <c r="F25" s="22">
        <v>2670406.1096966774</v>
      </c>
      <c r="G25" s="4"/>
      <c r="H25" s="22">
        <v>669794.2172550658</v>
      </c>
      <c r="I25" s="4"/>
      <c r="J25" s="22">
        <v>1131040.0366179631</v>
      </c>
      <c r="K25" s="4"/>
      <c r="L25" s="22">
        <v>11595070.56668805</v>
      </c>
      <c r="M25" s="4"/>
      <c r="N25" s="22">
        <v>10072.51411837818</v>
      </c>
      <c r="O25" s="4"/>
      <c r="P25" s="22">
        <v>454464.45858832146</v>
      </c>
      <c r="Q25" s="4"/>
    </row>
    <row r="26" spans="1:17" x14ac:dyDescent="0.2">
      <c r="A26" s="8">
        <v>2030</v>
      </c>
      <c r="B26" s="4">
        <v>10854246.138159785</v>
      </c>
      <c r="C26" s="4"/>
      <c r="D26" s="4">
        <v>7503046.4213605318</v>
      </c>
      <c r="E26" s="4"/>
      <c r="F26" s="22">
        <v>2739087.9164018468</v>
      </c>
      <c r="G26" s="4"/>
      <c r="H26" s="22">
        <v>675646.63540087128</v>
      </c>
      <c r="I26" s="4"/>
      <c r="J26" s="22">
        <v>1154473.6836461462</v>
      </c>
      <c r="K26" s="4"/>
      <c r="L26" s="22">
        <v>11835305.332357589</v>
      </c>
      <c r="M26" s="4"/>
      <c r="N26" s="22">
        <v>10281.24530158406</v>
      </c>
      <c r="O26" s="4"/>
      <c r="P26" s="22">
        <v>458435.40365704114</v>
      </c>
      <c r="Q26" s="4"/>
    </row>
    <row r="27" spans="1:17" x14ac:dyDescent="0.2">
      <c r="A27" s="8">
        <v>2031</v>
      </c>
      <c r="B27" s="4">
        <v>11415095.860090172</v>
      </c>
      <c r="C27" s="4"/>
      <c r="D27" s="4">
        <v>7851997.3322846657</v>
      </c>
      <c r="E27" s="4"/>
      <c r="F27" s="22">
        <v>2808573.8987555825</v>
      </c>
      <c r="G27" s="4"/>
      <c r="H27" s="22">
        <v>680562.21431821166</v>
      </c>
      <c r="I27" s="4"/>
      <c r="J27" s="22">
        <v>1177486.6772746374</v>
      </c>
      <c r="K27" s="4"/>
      <c r="L27" s="22">
        <v>12071227.723176003</v>
      </c>
      <c r="M27" s="4"/>
      <c r="N27" s="22">
        <v>10486.234854731076</v>
      </c>
      <c r="O27" s="4"/>
      <c r="P27" s="22">
        <v>461770.69060602743</v>
      </c>
      <c r="Q27" s="4"/>
    </row>
    <row r="28" spans="1:17" x14ac:dyDescent="0.2">
      <c r="A28" s="8">
        <v>2032</v>
      </c>
      <c r="B28" s="4">
        <v>12011341.081004076</v>
      </c>
      <c r="C28" s="4"/>
      <c r="D28" s="4">
        <v>8222570.0556121934</v>
      </c>
      <c r="E28" s="4"/>
      <c r="F28" s="22">
        <v>2881700.0612000101</v>
      </c>
      <c r="G28" s="4"/>
      <c r="H28" s="22">
        <v>685477.79323555226</v>
      </c>
      <c r="I28" s="4"/>
      <c r="J28" s="22">
        <v>1201436.7498343072</v>
      </c>
      <c r="K28" s="4"/>
      <c r="L28" s="22">
        <v>12316756.775008226</v>
      </c>
      <c r="M28" s="4"/>
      <c r="N28" s="22">
        <v>10699.572247324963</v>
      </c>
      <c r="O28" s="4"/>
      <c r="P28" s="22">
        <v>465105.97755501373</v>
      </c>
      <c r="Q28" s="4"/>
    </row>
    <row r="29" spans="1:17" x14ac:dyDescent="0.2">
      <c r="A29" s="8">
        <v>2033</v>
      </c>
      <c r="B29" s="4">
        <v>12645291.874940138</v>
      </c>
      <c r="C29" s="4"/>
      <c r="D29" s="4">
        <v>8616175.730864685</v>
      </c>
      <c r="E29" s="4"/>
      <c r="F29" s="22">
        <v>2958703.9787309612</v>
      </c>
      <c r="G29" s="4"/>
      <c r="H29" s="22">
        <v>690393.37215289276</v>
      </c>
      <c r="I29" s="4"/>
      <c r="J29" s="22">
        <v>1226382.8418254312</v>
      </c>
      <c r="K29" s="4"/>
      <c r="L29" s="22">
        <v>12572496.728359919</v>
      </c>
      <c r="M29" s="4"/>
      <c r="N29" s="22">
        <v>10921.782490252945</v>
      </c>
      <c r="O29" s="4"/>
      <c r="P29" s="22">
        <v>468441.26450399996</v>
      </c>
      <c r="Q29" s="4"/>
    </row>
    <row r="30" spans="1:17" x14ac:dyDescent="0.2">
      <c r="A30" s="8">
        <v>2034</v>
      </c>
      <c r="B30" s="4">
        <v>13319409.082057459</v>
      </c>
      <c r="C30" s="4"/>
      <c r="D30" s="4">
        <v>9034317.5950582325</v>
      </c>
      <c r="E30" s="4"/>
      <c r="F30" s="22">
        <v>3039838.7315877541</v>
      </c>
      <c r="G30" s="4"/>
      <c r="H30" s="22">
        <v>695308.95107023325</v>
      </c>
      <c r="I30" s="4"/>
      <c r="J30" s="22">
        <v>1252387.7378829219</v>
      </c>
      <c r="K30" s="4"/>
      <c r="L30" s="22">
        <v>12839091.232640862</v>
      </c>
      <c r="M30" s="4"/>
      <c r="N30" s="22">
        <v>11153.424832828525</v>
      </c>
      <c r="O30" s="4"/>
      <c r="P30" s="22">
        <v>471776.55145298626</v>
      </c>
      <c r="Q30" s="4"/>
    </row>
    <row r="31" spans="1:17" x14ac:dyDescent="0.2">
      <c r="A31" s="8">
        <v>2035</v>
      </c>
      <c r="B31" s="4">
        <v>14036314.148330254</v>
      </c>
      <c r="C31" s="4"/>
      <c r="D31" s="4">
        <v>9478596.993412083</v>
      </c>
      <c r="E31" s="4"/>
      <c r="F31" s="22">
        <v>3125373.9171971316</v>
      </c>
      <c r="G31" s="4"/>
      <c r="H31" s="22">
        <v>700224.52998757374</v>
      </c>
      <c r="I31" s="4"/>
      <c r="J31" s="22">
        <v>1279518.3175325836</v>
      </c>
      <c r="K31" s="4"/>
      <c r="L31" s="22">
        <v>13117225.916841019</v>
      </c>
      <c r="M31" s="4"/>
      <c r="N31" s="22">
        <v>11395.094996038952</v>
      </c>
      <c r="O31" s="4"/>
      <c r="P31" s="22">
        <v>475111.83840197261</v>
      </c>
      <c r="Q31" s="4"/>
    </row>
    <row r="32" spans="1:17" x14ac:dyDescent="0.2">
      <c r="A32" s="8">
        <v>2036</v>
      </c>
      <c r="B32" s="4">
        <v>14795230.786119444</v>
      </c>
      <c r="C32" s="4"/>
      <c r="D32" s="4">
        <v>9947315.8222720139</v>
      </c>
      <c r="E32" s="4"/>
      <c r="F32" s="22">
        <v>3212953.5363992136</v>
      </c>
      <c r="G32" s="4"/>
      <c r="H32" s="22">
        <v>704192.43948700011</v>
      </c>
      <c r="I32" s="4"/>
      <c r="J32" s="22">
        <v>1306505.9746373803</v>
      </c>
      <c r="K32" s="4"/>
      <c r="L32" s="22">
        <v>13393895.441255268</v>
      </c>
      <c r="M32" s="4"/>
      <c r="N32" s="22">
        <v>11635.497521167797</v>
      </c>
      <c r="O32" s="4"/>
      <c r="P32" s="22">
        <v>477804.11880083056</v>
      </c>
      <c r="Q32" s="4"/>
    </row>
    <row r="33" spans="1:17" x14ac:dyDescent="0.2">
      <c r="A33" s="8">
        <v>2037</v>
      </c>
      <c r="B33" s="4">
        <v>15602702.604068143</v>
      </c>
      <c r="C33" s="4"/>
      <c r="D33" s="4">
        <v>10445695.230210399</v>
      </c>
      <c r="E33" s="4"/>
      <c r="F33" s="22">
        <v>3305526.7170764105</v>
      </c>
      <c r="G33" s="4"/>
      <c r="H33" s="22">
        <v>708160.34898642648</v>
      </c>
      <c r="I33" s="4"/>
      <c r="J33" s="22">
        <v>1334760.0475471308</v>
      </c>
      <c r="K33" s="4"/>
      <c r="L33" s="22">
        <v>13683547.890420251</v>
      </c>
      <c r="M33" s="4"/>
      <c r="N33" s="22">
        <v>11887.181432286536</v>
      </c>
      <c r="O33" s="4"/>
      <c r="P33" s="22">
        <v>480496.39919968863</v>
      </c>
      <c r="Q33" s="4"/>
    </row>
    <row r="34" spans="1:17" x14ac:dyDescent="0.2">
      <c r="A34" s="8">
        <v>2038</v>
      </c>
      <c r="B34" s="4">
        <v>16461898.53789838</v>
      </c>
      <c r="C34" s="4"/>
      <c r="D34" s="4">
        <v>10975671.0038574</v>
      </c>
      <c r="E34" s="4"/>
      <c r="F34" s="22">
        <v>3403419.3621557998</v>
      </c>
      <c r="G34" s="4"/>
      <c r="H34" s="22">
        <v>712128.25848585274</v>
      </c>
      <c r="I34" s="4"/>
      <c r="J34" s="22">
        <v>1364361.3739944631</v>
      </c>
      <c r="K34" s="4"/>
      <c r="L34" s="22">
        <v>13987011.988623608</v>
      </c>
      <c r="M34" s="4"/>
      <c r="N34" s="22">
        <v>12150.866769898277</v>
      </c>
      <c r="O34" s="4"/>
      <c r="P34" s="22">
        <v>483188.67959854659</v>
      </c>
      <c r="Q34" s="4"/>
    </row>
    <row r="35" spans="1:17" x14ac:dyDescent="0.2">
      <c r="A35" s="8">
        <v>2039</v>
      </c>
      <c r="B35" s="4">
        <v>17376194.34274007</v>
      </c>
      <c r="C35" s="4"/>
      <c r="D35" s="4">
        <v>11539305.268235542</v>
      </c>
      <c r="E35" s="4"/>
      <c r="F35" s="22">
        <v>3506978.6444974281</v>
      </c>
      <c r="G35" s="4"/>
      <c r="H35" s="22">
        <v>716096.167985279</v>
      </c>
      <c r="I35" s="4"/>
      <c r="J35" s="22">
        <v>1395396.0642443553</v>
      </c>
      <c r="K35" s="4"/>
      <c r="L35" s="22">
        <v>14305170.512550825</v>
      </c>
      <c r="M35" s="4"/>
      <c r="N35" s="22">
        <v>12427.320534225266</v>
      </c>
      <c r="O35" s="4"/>
      <c r="P35" s="22">
        <v>485880.9599974046</v>
      </c>
      <c r="Q35" s="4"/>
    </row>
    <row r="36" spans="1:17" x14ac:dyDescent="0.2">
      <c r="A36" s="8">
        <v>2040</v>
      </c>
      <c r="B36" s="4">
        <v>18349186.091122523</v>
      </c>
      <c r="C36" s="4"/>
      <c r="D36" s="4">
        <v>12138794.732187774</v>
      </c>
      <c r="E36" s="4"/>
      <c r="F36" s="22">
        <v>3616574.3950685607</v>
      </c>
      <c r="G36" s="4"/>
      <c r="H36" s="22">
        <v>720064.07748470525</v>
      </c>
      <c r="I36" s="4"/>
      <c r="J36" s="22">
        <v>1427955.8450383875</v>
      </c>
      <c r="K36" s="4"/>
      <c r="L36" s="22">
        <v>14638963.817295615</v>
      </c>
      <c r="M36" s="4"/>
      <c r="N36" s="22">
        <v>12717.35974834465</v>
      </c>
      <c r="O36" s="4"/>
      <c r="P36" s="22">
        <v>488573.24039626255</v>
      </c>
      <c r="Q36" s="4"/>
    </row>
    <row r="37" spans="1:17" x14ac:dyDescent="0.2">
      <c r="A37" s="8">
        <v>2041</v>
      </c>
      <c r="B37" s="4">
        <v>19381214.068491854</v>
      </c>
      <c r="C37" s="4"/>
      <c r="D37" s="4">
        <v>12773150.23095125</v>
      </c>
      <c r="E37" s="4"/>
      <c r="F37" s="22">
        <v>3730015.4096903177</v>
      </c>
      <c r="G37" s="4"/>
      <c r="H37" s="22">
        <v>723105.1195110766</v>
      </c>
      <c r="I37" s="4"/>
      <c r="J37" s="22">
        <v>1460812.346385255</v>
      </c>
      <c r="K37" s="4"/>
      <c r="L37" s="22">
        <v>14975799.051631436</v>
      </c>
      <c r="M37" s="4"/>
      <c r="N37" s="22">
        <v>13010.04728206779</v>
      </c>
      <c r="O37" s="4"/>
      <c r="P37" s="22">
        <v>490636.62864664634</v>
      </c>
      <c r="Q37" s="4"/>
    </row>
    <row r="38" spans="1:17" x14ac:dyDescent="0.2">
      <c r="A38" s="8">
        <v>2042</v>
      </c>
      <c r="B38" s="4">
        <v>20479849.540826034</v>
      </c>
      <c r="C38" s="4"/>
      <c r="D38" s="4">
        <v>13448193.805943303</v>
      </c>
      <c r="E38" s="4"/>
      <c r="F38" s="22">
        <v>3850306.5404009805</v>
      </c>
      <c r="G38" s="4"/>
      <c r="H38" s="22">
        <v>726146.16153744771</v>
      </c>
      <c r="I38" s="4"/>
      <c r="J38" s="22">
        <v>1495389.4736538348</v>
      </c>
      <c r="K38" s="4"/>
      <c r="L38" s="22">
        <v>15330273.636980165</v>
      </c>
      <c r="M38" s="4"/>
      <c r="N38" s="22">
        <v>13318.061932833458</v>
      </c>
      <c r="O38" s="4"/>
      <c r="P38" s="22">
        <v>492700.01689703029</v>
      </c>
      <c r="Q38" s="4"/>
    </row>
    <row r="39" spans="1:17" x14ac:dyDescent="0.2">
      <c r="A39" s="8">
        <v>2043</v>
      </c>
      <c r="B39" s="4">
        <v>21649439.62143933</v>
      </c>
      <c r="C39" s="4"/>
      <c r="D39" s="4">
        <v>14166580.949282337</v>
      </c>
      <c r="E39" s="4"/>
      <c r="F39" s="22">
        <v>3977894.8574719997</v>
      </c>
      <c r="G39" s="4"/>
      <c r="H39" s="22">
        <v>729187.20356381906</v>
      </c>
      <c r="I39" s="4"/>
      <c r="J39" s="22">
        <v>1531798.098488014</v>
      </c>
      <c r="K39" s="4"/>
      <c r="L39" s="22">
        <v>15703524.196135655</v>
      </c>
      <c r="M39" s="4"/>
      <c r="N39" s="22">
        <v>13642.391235445048</v>
      </c>
      <c r="O39" s="4"/>
      <c r="P39" s="22">
        <v>494763.4051474139</v>
      </c>
      <c r="Q39" s="4"/>
    </row>
    <row r="40" spans="1:17" x14ac:dyDescent="0.2">
      <c r="A40" s="8">
        <v>2044</v>
      </c>
      <c r="B40" s="4">
        <v>22894615.136375021</v>
      </c>
      <c r="C40" s="4"/>
      <c r="D40" s="4">
        <v>14931140.462789366</v>
      </c>
      <c r="E40" s="4"/>
      <c r="F40" s="22">
        <v>4113256.6090493342</v>
      </c>
      <c r="G40" s="4"/>
      <c r="H40" s="22">
        <v>732228.24559019029</v>
      </c>
      <c r="I40" s="4"/>
      <c r="J40" s="22">
        <v>1570156.324300969</v>
      </c>
      <c r="K40" s="4"/>
      <c r="L40" s="22">
        <v>16096761.489781704</v>
      </c>
      <c r="M40" s="4"/>
      <c r="N40" s="22">
        <v>13984.087133097601</v>
      </c>
      <c r="O40" s="4"/>
      <c r="P40" s="22">
        <v>496826.79339779785</v>
      </c>
      <c r="Q40" s="4"/>
    </row>
    <row r="41" spans="1:17" x14ac:dyDescent="0.2">
      <c r="A41" s="8">
        <v>2045</v>
      </c>
      <c r="B41" s="4">
        <v>24220309.140810788</v>
      </c>
      <c r="C41" s="4"/>
      <c r="D41" s="4">
        <v>15744885.76898111</v>
      </c>
      <c r="E41" s="4"/>
      <c r="F41" s="22">
        <v>4256899.1254365426</v>
      </c>
      <c r="G41" s="4"/>
      <c r="H41" s="22">
        <v>735269.2876165614</v>
      </c>
      <c r="I41" s="4"/>
      <c r="J41" s="22">
        <v>1610589.9580425322</v>
      </c>
      <c r="K41" s="4"/>
      <c r="L41" s="22">
        <v>16511275.25290513</v>
      </c>
      <c r="M41" s="4"/>
      <c r="N41" s="22">
        <v>14344.270178832543</v>
      </c>
      <c r="O41" s="4"/>
      <c r="P41" s="22">
        <v>498890.18164818163</v>
      </c>
      <c r="Q41" s="4"/>
    </row>
    <row r="42" spans="1:17" x14ac:dyDescent="0.2">
      <c r="A42" s="8">
        <v>2046</v>
      </c>
      <c r="B42" s="4">
        <v>25628427.651014082</v>
      </c>
      <c r="C42" s="4"/>
      <c r="D42" s="4">
        <v>16607832.673645711</v>
      </c>
      <c r="E42" s="4"/>
      <c r="F42" s="22">
        <v>4406882.4683622662</v>
      </c>
      <c r="G42" s="4"/>
      <c r="H42" s="22">
        <v>737421.03373970219</v>
      </c>
      <c r="I42" s="4"/>
      <c r="J42" s="22">
        <v>1651945.6788679403</v>
      </c>
      <c r="K42" s="4"/>
      <c r="L42" s="22">
        <v>16935242.014558215</v>
      </c>
      <c r="M42" s="4"/>
      <c r="N42" s="22">
        <v>14712.671564623026</v>
      </c>
      <c r="O42" s="4"/>
      <c r="P42" s="22">
        <v>500350.17056967504</v>
      </c>
      <c r="Q42" s="4"/>
    </row>
    <row r="43" spans="1:17" x14ac:dyDescent="0.2">
      <c r="A43" s="8">
        <v>2047</v>
      </c>
      <c r="B43" s="4">
        <v>27127917.635299366</v>
      </c>
      <c r="C43" s="4"/>
      <c r="D43" s="4">
        <v>17526595.061305553</v>
      </c>
      <c r="E43" s="4"/>
      <c r="F43" s="22">
        <v>4566262.7298330665</v>
      </c>
      <c r="G43" s="4"/>
      <c r="H43" s="22">
        <v>739572.77986284299</v>
      </c>
      <c r="I43" s="4"/>
      <c r="J43" s="22">
        <v>1695647.5717661341</v>
      </c>
      <c r="K43" s="4"/>
      <c r="L43" s="22">
        <v>17383261.038206402</v>
      </c>
      <c r="M43" s="4"/>
      <c r="N43" s="22">
        <v>15101.971774469142</v>
      </c>
      <c r="O43" s="4"/>
      <c r="P43" s="22">
        <v>501810.15949116834</v>
      </c>
      <c r="Q43" s="4"/>
    </row>
    <row r="44" spans="1:17" x14ac:dyDescent="0.2">
      <c r="A44" s="8">
        <v>2048</v>
      </c>
      <c r="B44" s="4">
        <v>28724742.418841057</v>
      </c>
      <c r="C44" s="4"/>
      <c r="D44" s="4">
        <v>18504815.708639145</v>
      </c>
      <c r="E44" s="4"/>
      <c r="F44" s="22">
        <v>4735653.1962327361</v>
      </c>
      <c r="G44" s="4"/>
      <c r="H44" s="22">
        <v>741724.52598598367</v>
      </c>
      <c r="I44" s="4"/>
      <c r="J44" s="22">
        <v>1741847.7028649866</v>
      </c>
      <c r="K44" s="4"/>
      <c r="L44" s="22">
        <v>17856891.25989056</v>
      </c>
      <c r="M44" s="4"/>
      <c r="N44" s="22">
        <v>15513.525231261257</v>
      </c>
      <c r="O44" s="4"/>
      <c r="P44" s="22">
        <v>503270.14841266157</v>
      </c>
      <c r="Q44" s="4"/>
    </row>
    <row r="45" spans="1:17" x14ac:dyDescent="0.2">
      <c r="A45" s="8">
        <v>2049</v>
      </c>
      <c r="B45" s="4">
        <v>30425254.521006718</v>
      </c>
      <c r="C45" s="4"/>
      <c r="D45" s="4">
        <v>19546375.136786163</v>
      </c>
      <c r="E45" s="4"/>
      <c r="F45" s="22">
        <v>4915707.1798521522</v>
      </c>
      <c r="G45" s="4"/>
      <c r="H45" s="22">
        <v>743876.27210912423</v>
      </c>
      <c r="I45" s="4"/>
      <c r="J45" s="22">
        <v>1790708.057436394</v>
      </c>
      <c r="K45" s="4"/>
      <c r="L45" s="22">
        <v>18357793.30367494</v>
      </c>
      <c r="M45" s="4"/>
      <c r="N45" s="22">
        <v>15948.774699298639</v>
      </c>
      <c r="O45" s="4"/>
      <c r="P45" s="22">
        <v>504730.13733415492</v>
      </c>
      <c r="Q45" s="4"/>
    </row>
    <row r="46" spans="1:17" x14ac:dyDescent="0.2">
      <c r="A46" s="8">
        <v>2050</v>
      </c>
      <c r="B46" s="4">
        <v>32236221.055970985</v>
      </c>
      <c r="C46" s="4"/>
      <c r="D46" s="4">
        <v>20655407.127651025</v>
      </c>
      <c r="E46" s="4"/>
      <c r="F46" s="22">
        <v>5107120.6311651682</v>
      </c>
      <c r="G46" s="4"/>
      <c r="H46" s="22">
        <v>746028.01823226502</v>
      </c>
      <c r="I46" s="4"/>
      <c r="J46" s="22">
        <v>1842401.1869957624</v>
      </c>
      <c r="K46" s="4"/>
      <c r="L46" s="22">
        <v>18887736.115510315</v>
      </c>
      <c r="M46" s="4"/>
      <c r="N46" s="22">
        <v>16409.257047133746</v>
      </c>
      <c r="O46" s="4"/>
      <c r="P46" s="22">
        <v>506190.12625564815</v>
      </c>
      <c r="Q46" s="4"/>
    </row>
    <row r="47" spans="1:17" x14ac:dyDescent="0.2">
      <c r="A47" s="8">
        <v>2051</v>
      </c>
      <c r="B47" s="4">
        <v>34156747.546155207</v>
      </c>
      <c r="C47" s="4"/>
      <c r="D47" s="4">
        <v>21828586.336280089</v>
      </c>
      <c r="E47" s="4"/>
      <c r="F47" s="22">
        <v>5304633.3797909301</v>
      </c>
      <c r="G47" s="4"/>
      <c r="H47" s="22">
        <v>746028.01823226502</v>
      </c>
      <c r="I47" s="4"/>
      <c r="J47" s="22">
        <v>1893959.7429437977</v>
      </c>
      <c r="K47" s="4"/>
      <c r="L47" s="22">
        <v>19416299.397088282</v>
      </c>
      <c r="M47" s="4"/>
      <c r="N47" s="22">
        <v>16868.551433526747</v>
      </c>
      <c r="O47" s="4"/>
      <c r="P47" s="22">
        <v>506190.12625564815</v>
      </c>
      <c r="Q47" s="4"/>
    </row>
    <row r="48" spans="1:17" x14ac:dyDescent="0.2">
      <c r="A48" s="8">
        <v>2052</v>
      </c>
      <c r="B48" s="4">
        <v>36202616.481364921</v>
      </c>
      <c r="C48" s="4"/>
      <c r="D48" s="4">
        <v>23078332.648364488</v>
      </c>
      <c r="E48" s="4"/>
      <c r="F48" s="22">
        <v>5515036.7242834978</v>
      </c>
      <c r="G48" s="4"/>
      <c r="H48" s="22">
        <v>746028.01823226502</v>
      </c>
      <c r="I48" s="4"/>
      <c r="J48" s="22">
        <v>1948716.1521721245</v>
      </c>
      <c r="K48" s="4"/>
      <c r="L48" s="22">
        <v>19977646.119083829</v>
      </c>
      <c r="M48" s="4"/>
      <c r="N48" s="22">
        <v>17356.330368078405</v>
      </c>
      <c r="O48" s="4"/>
      <c r="P48" s="22">
        <v>506190.12625564815</v>
      </c>
      <c r="Q48" s="4"/>
    </row>
    <row r="49" spans="1:17" x14ac:dyDescent="0.2">
      <c r="A49" s="8">
        <v>2053</v>
      </c>
      <c r="B49" s="4">
        <v>38382008.289521985</v>
      </c>
      <c r="C49" s="4"/>
      <c r="D49" s="4">
        <v>24409643.1873517</v>
      </c>
      <c r="E49" s="4"/>
      <c r="F49" s="22">
        <v>5739171.9645739272</v>
      </c>
      <c r="G49" s="4"/>
      <c r="H49" s="22">
        <v>746028.01823226502</v>
      </c>
      <c r="I49" s="4"/>
      <c r="J49" s="22">
        <v>2006878.9836692242</v>
      </c>
      <c r="K49" s="4"/>
      <c r="L49" s="22">
        <v>20573914.467514925</v>
      </c>
      <c r="M49" s="4"/>
      <c r="N49" s="22">
        <v>17874.451493158558</v>
      </c>
      <c r="O49" s="4"/>
      <c r="P49" s="22">
        <v>506190.12625564815</v>
      </c>
      <c r="Q49" s="4"/>
    </row>
    <row r="50" spans="1:17" x14ac:dyDescent="0.2">
      <c r="A50" s="8">
        <v>2054</v>
      </c>
      <c r="B50" s="4">
        <v>40703637.291125268</v>
      </c>
      <c r="C50" s="4"/>
      <c r="D50" s="4">
        <v>25827841.212087069</v>
      </c>
      <c r="E50" s="4"/>
      <c r="F50" s="22">
        <v>5977935.3077194635</v>
      </c>
      <c r="G50" s="4"/>
      <c r="H50" s="22">
        <v>746028.01823226502</v>
      </c>
      <c r="I50" s="4"/>
      <c r="J50" s="22">
        <v>2068670.4117151597</v>
      </c>
      <c r="K50" s="4"/>
      <c r="L50" s="22">
        <v>21207382.105662808</v>
      </c>
      <c r="M50" s="4"/>
      <c r="N50" s="22">
        <v>18424.893619921357</v>
      </c>
      <c r="O50" s="4"/>
      <c r="P50" s="22">
        <v>506190.12625564815</v>
      </c>
      <c r="Q50" s="4"/>
    </row>
    <row r="51" spans="1:17" x14ac:dyDescent="0.2">
      <c r="A51" s="8">
        <v>2055</v>
      </c>
      <c r="B51" s="4">
        <v>43176786.543550581</v>
      </c>
      <c r="C51" s="4"/>
      <c r="D51" s="4">
        <v>27338597.401918944</v>
      </c>
      <c r="E51" s="4"/>
      <c r="F51" s="22">
        <v>6232281.4513966683</v>
      </c>
      <c r="G51" s="4"/>
      <c r="H51" s="22">
        <v>746028.01823226502</v>
      </c>
      <c r="I51" s="4"/>
      <c r="J51" s="22">
        <v>2134327.1034815782</v>
      </c>
      <c r="K51" s="4"/>
      <c r="L51" s="22">
        <v>21880475.27347111</v>
      </c>
      <c r="M51" s="4"/>
      <c r="N51" s="22">
        <v>19009.764632863207</v>
      </c>
      <c r="O51" s="4"/>
      <c r="P51" s="22">
        <v>506190.12625564815</v>
      </c>
      <c r="Q51" s="4"/>
    </row>
    <row r="52" spans="1:17" x14ac:dyDescent="0.2">
      <c r="A52" s="8">
        <v>2056</v>
      </c>
      <c r="B52" s="4">
        <v>45811344.959450759</v>
      </c>
      <c r="C52" s="4"/>
      <c r="D52" s="4">
        <v>28947952.530968133</v>
      </c>
      <c r="E52" s="4"/>
      <c r="F52" s="22">
        <v>6503227.4012698531</v>
      </c>
      <c r="G52" s="4"/>
      <c r="H52" s="22">
        <v>746028.01823226502</v>
      </c>
      <c r="I52" s="4"/>
      <c r="J52" s="22">
        <v>2204101.1645433735</v>
      </c>
      <c r="K52" s="4"/>
      <c r="L52" s="22">
        <v>22595778.480637148</v>
      </c>
      <c r="M52" s="4"/>
      <c r="N52" s="22">
        <v>19631.309910094766</v>
      </c>
      <c r="O52" s="4"/>
      <c r="P52" s="22">
        <v>506190.12625564815</v>
      </c>
      <c r="Q52" s="4"/>
    </row>
    <row r="53" spans="1:17" x14ac:dyDescent="0.2">
      <c r="A53" s="8">
        <v>2057</v>
      </c>
      <c r="B53" s="4">
        <v>48617846.847674385</v>
      </c>
      <c r="C53" s="4"/>
      <c r="D53" s="4">
        <v>30662341.622225255</v>
      </c>
      <c r="E53" s="4"/>
      <c r="F53" s="22">
        <v>6791856.5374986716</v>
      </c>
      <c r="G53" s="4"/>
      <c r="H53" s="22">
        <v>746028.01823226502</v>
      </c>
      <c r="I53" s="4"/>
      <c r="J53" s="22">
        <v>2278261.1460807482</v>
      </c>
      <c r="K53" s="4"/>
      <c r="L53" s="22">
        <v>23356044.832133867</v>
      </c>
      <c r="M53" s="4"/>
      <c r="N53" s="22">
        <v>20291.921292976389</v>
      </c>
      <c r="O53" s="4"/>
      <c r="P53" s="22">
        <v>506190.12625564815</v>
      </c>
      <c r="Q53" s="4"/>
    </row>
    <row r="54" spans="1:17" x14ac:dyDescent="0.2">
      <c r="A54" s="8">
        <v>2058</v>
      </c>
      <c r="B54" s="4">
        <v>51607514.034807704</v>
      </c>
      <c r="C54" s="4"/>
      <c r="D54" s="4">
        <v>32488619.678056143</v>
      </c>
      <c r="E54" s="4"/>
      <c r="F54" s="22">
        <v>7099322.9466447998</v>
      </c>
      <c r="G54" s="4"/>
      <c r="H54" s="22">
        <v>746028.01823226502</v>
      </c>
      <c r="I54" s="4"/>
      <c r="J54" s="22">
        <v>2357093.1177969547</v>
      </c>
      <c r="K54" s="4"/>
      <c r="L54" s="22">
        <v>24164207.027428254</v>
      </c>
      <c r="M54" s="4"/>
      <c r="N54" s="22">
        <v>20994.146640961699</v>
      </c>
      <c r="O54" s="4"/>
      <c r="P54" s="22">
        <v>506190.12625564815</v>
      </c>
      <c r="Q54" s="4"/>
    </row>
    <row r="55" spans="1:17" x14ac:dyDescent="0.2">
      <c r="A55" s="8">
        <v>2059</v>
      </c>
      <c r="B55" s="4">
        <v>54792300.735763431</v>
      </c>
      <c r="C55" s="4"/>
      <c r="D55" s="4">
        <v>34434089.089999117</v>
      </c>
      <c r="E55" s="4"/>
      <c r="F55" s="22">
        <v>7426856.0362988766</v>
      </c>
      <c r="G55" s="4"/>
      <c r="H55" s="22">
        <v>746028.01823226502</v>
      </c>
      <c r="I55" s="4"/>
      <c r="J55" s="22">
        <v>2440901.8108396926</v>
      </c>
      <c r="K55" s="4"/>
      <c r="L55" s="22">
        <v>25023389.077355303</v>
      </c>
      <c r="M55" s="4"/>
      <c r="N55" s="22">
        <v>21740.700009833196</v>
      </c>
      <c r="O55" s="4"/>
      <c r="P55" s="22">
        <v>506190.12625564815</v>
      </c>
      <c r="Q55" s="4"/>
    </row>
    <row r="56" spans="1:17" x14ac:dyDescent="0.2">
      <c r="A56" s="8">
        <v>2060</v>
      </c>
      <c r="B56" s="4">
        <v>58184941.352831587</v>
      </c>
      <c r="C56" s="4"/>
      <c r="D56" s="4">
        <v>36506528.837452449</v>
      </c>
      <c r="E56" s="4"/>
      <c r="F56" s="22">
        <v>7775765.4508793838</v>
      </c>
      <c r="G56" s="4"/>
      <c r="H56" s="22">
        <v>746028.01823226502</v>
      </c>
      <c r="I56" s="4"/>
      <c r="J56" s="22">
        <v>2530011.8352939175</v>
      </c>
      <c r="K56" s="4"/>
      <c r="L56" s="22">
        <v>25936918.785474628</v>
      </c>
      <c r="M56" s="4"/>
      <c r="N56" s="22">
        <v>22534.472494005302</v>
      </c>
      <c r="O56" s="4"/>
      <c r="P56" s="22">
        <v>506190.12625564815</v>
      </c>
      <c r="Q56" s="4"/>
    </row>
    <row r="57" spans="1:17" x14ac:dyDescent="0.2">
      <c r="A57" s="44">
        <v>2061</v>
      </c>
      <c r="B57" s="42" cm="1">
        <f t="array" ref="B57:B66">TRANSPOSE(AO2:AX2)</f>
        <v>61799001.394317746</v>
      </c>
      <c r="C57" s="4"/>
      <c r="D57" s="42" cm="1">
        <f t="array" ref="D57:D66">TRANSPOSE(AO3:AX3)</f>
        <v>38714225.592003308</v>
      </c>
      <c r="E57" s="4"/>
      <c r="F57" s="43" cm="1">
        <f t="array" ref="F57:F66">TRANSPOSE(AO4:AX4)</f>
        <v>8147446.3082592748</v>
      </c>
      <c r="G57" s="4"/>
      <c r="H57" s="43" cm="1">
        <f t="array" ref="H57:H66">TRANSPOSE(AO5:AX5)</f>
        <v>746028.01823226502</v>
      </c>
      <c r="I57" s="4"/>
      <c r="J57" s="43" cm="1">
        <f t="array" ref="J57:J66">TRANSPOSE(AO6:AX6)</f>
        <v>2624781.8881760035</v>
      </c>
      <c r="K57" s="4"/>
      <c r="L57" s="43" cm="1">
        <f t="array" ref="L57:L66">TRANSPOSE(AO7:AX7)</f>
        <v>26908473.403862573</v>
      </c>
      <c r="M57" s="4"/>
      <c r="N57" s="43" cm="1">
        <f t="array" ref="N57:N66">TRANSPOSE(AO8:AX8)</f>
        <v>23378.658736596051</v>
      </c>
      <c r="O57" s="4"/>
      <c r="P57" s="43" cm="1">
        <f t="array" ref="P57:P66">TRANSPOSE(AO9:AX9)</f>
        <v>506190.12625564815</v>
      </c>
    </row>
    <row r="58" spans="1:17" x14ac:dyDescent="0.2">
      <c r="A58" s="44">
        <v>2062</v>
      </c>
      <c r="B58" s="42">
        <v>65648931.716367111</v>
      </c>
      <c r="C58" s="4"/>
      <c r="D58" s="42">
        <v>41066006.851769038</v>
      </c>
      <c r="E58" s="4"/>
      <c r="F58" s="43">
        <v>8543384.7781591043</v>
      </c>
      <c r="G58" s="4"/>
      <c r="H58" s="43">
        <v>746028.01823226502</v>
      </c>
      <c r="I58" s="4"/>
      <c r="J58" s="43">
        <v>2725580.3790553072</v>
      </c>
      <c r="K58" s="4"/>
      <c r="L58" s="43">
        <v>27941829.754850835</v>
      </c>
      <c r="M58" s="4"/>
      <c r="N58" s="43">
        <v>24276.539901375862</v>
      </c>
      <c r="O58" s="4"/>
      <c r="P58" s="43">
        <v>506190.12625564815</v>
      </c>
    </row>
    <row r="59" spans="1:17" x14ac:dyDescent="0.2">
      <c r="A59" s="44">
        <v>2063</v>
      </c>
      <c r="B59" s="42">
        <v>69750126.304861024</v>
      </c>
      <c r="C59" s="4"/>
      <c r="D59" s="42">
        <v>43571276.238238975</v>
      </c>
      <c r="E59" s="4"/>
      <c r="F59" s="43">
        <v>8965164.0246118978</v>
      </c>
      <c r="G59" s="4"/>
      <c r="H59" s="43">
        <v>746028.01823226502</v>
      </c>
      <c r="I59" s="4"/>
      <c r="J59" s="43">
        <v>2832799.7469513728</v>
      </c>
      <c r="K59" s="4"/>
      <c r="L59" s="43">
        <v>29041011.003258727</v>
      </c>
      <c r="M59" s="4"/>
      <c r="N59" s="43">
        <v>25231.611152699439</v>
      </c>
      <c r="O59" s="4"/>
      <c r="P59" s="43">
        <v>506190.12625564815</v>
      </c>
    </row>
    <row r="60" spans="1:17" x14ac:dyDescent="0.2">
      <c r="A60" s="44">
        <v>2064</v>
      </c>
      <c r="B60" s="42">
        <v>74118983.828427404</v>
      </c>
      <c r="C60" s="4"/>
      <c r="D60" s="42">
        <v>46240051.096751384</v>
      </c>
      <c r="E60" s="4"/>
      <c r="F60" s="43">
        <v>9414470.5362607725</v>
      </c>
      <c r="G60" s="4"/>
      <c r="H60" s="43">
        <v>746028.01823226502</v>
      </c>
      <c r="I60" s="4"/>
      <c r="J60" s="43">
        <v>2946858.0280525167</v>
      </c>
      <c r="K60" s="4"/>
      <c r="L60" s="43">
        <v>30210302.72815448</v>
      </c>
      <c r="M60" s="4"/>
      <c r="N60" s="43">
        <v>26247.595616597468</v>
      </c>
      <c r="O60" s="4"/>
      <c r="P60" s="43">
        <v>506190.12625564815</v>
      </c>
    </row>
    <row r="61" spans="1:17" x14ac:dyDescent="0.2">
      <c r="A61" s="44">
        <v>2065</v>
      </c>
      <c r="B61" s="42">
        <v>78772973.208685488</v>
      </c>
      <c r="C61" s="4"/>
      <c r="D61" s="42">
        <v>49083002.550951593</v>
      </c>
      <c r="E61" s="4"/>
      <c r="F61" s="43">
        <v>9893100.8698010836</v>
      </c>
      <c r="G61" s="4"/>
      <c r="H61" s="43">
        <v>746028.01823226502</v>
      </c>
      <c r="I61" s="4"/>
      <c r="J61" s="43">
        <v>3068200.5257241894</v>
      </c>
      <c r="K61" s="4"/>
      <c r="L61" s="43">
        <v>31454270.043258943</v>
      </c>
      <c r="M61" s="4"/>
      <c r="N61" s="43">
        <v>27328.459252762994</v>
      </c>
      <c r="O61" s="4"/>
      <c r="P61" s="43">
        <v>506190.12625564815</v>
      </c>
    </row>
    <row r="62" spans="1:17" x14ac:dyDescent="0.2">
      <c r="A62" s="44">
        <v>2066</v>
      </c>
      <c r="B62" s="42">
        <v>83730703.469908074</v>
      </c>
      <c r="C62" s="4"/>
      <c r="D62" s="42">
        <v>52111498.171389289</v>
      </c>
      <c r="E62" s="4"/>
      <c r="F62" s="43">
        <v>10402968.833530786</v>
      </c>
      <c r="G62" s="4"/>
      <c r="H62" s="43">
        <v>746028.01823226502</v>
      </c>
      <c r="I62" s="4"/>
      <c r="J62" s="43">
        <v>3197301.5894816592</v>
      </c>
      <c r="K62" s="4"/>
      <c r="L62" s="43">
        <v>32777775.834417239</v>
      </c>
      <c r="M62" s="4"/>
      <c r="N62" s="43">
        <v>28478.426696868381</v>
      </c>
      <c r="O62" s="4"/>
      <c r="P62" s="43">
        <v>506190.12625564815</v>
      </c>
    </row>
    <row r="63" spans="1:17" x14ac:dyDescent="0.2">
      <c r="A63" s="44">
        <v>2067</v>
      </c>
      <c r="B63" s="42">
        <v>89011998.147395954</v>
      </c>
      <c r="C63" s="4"/>
      <c r="D63" s="42">
        <v>55337647.428865969</v>
      </c>
      <c r="E63" s="4"/>
      <c r="F63" s="43">
        <v>10946113.139732558</v>
      </c>
      <c r="G63" s="4"/>
      <c r="H63" s="43">
        <v>746028.01823226502</v>
      </c>
      <c r="I63" s="4"/>
      <c r="J63" s="43">
        <v>3334666.5100371325</v>
      </c>
      <c r="K63" s="4"/>
      <c r="L63" s="43">
        <v>34186000.187029086</v>
      </c>
      <c r="M63" s="4"/>
      <c r="N63" s="43">
        <v>29701.998136526698</v>
      </c>
      <c r="O63" s="4"/>
      <c r="P63" s="43">
        <v>506190.12625564815</v>
      </c>
    </row>
    <row r="64" spans="1:17" x14ac:dyDescent="0.2">
      <c r="A64" s="44">
        <v>2068</v>
      </c>
      <c r="B64" s="42">
        <v>94637974.552087188</v>
      </c>
      <c r="C64" s="4"/>
      <c r="D64" s="42">
        <v>58774350.114278205</v>
      </c>
      <c r="E64" s="4"/>
      <c r="F64" s="43">
        <v>11524705.556485763</v>
      </c>
      <c r="G64" s="4"/>
      <c r="H64" s="43">
        <v>746028.01823226502</v>
      </c>
      <c r="I64" s="4"/>
      <c r="J64" s="43">
        <v>3480833.5379954027</v>
      </c>
      <c r="K64" s="4"/>
      <c r="L64" s="43">
        <v>35684461.081084825</v>
      </c>
      <c r="M64" s="4"/>
      <c r="N64" s="43">
        <v>31003.9672883434</v>
      </c>
      <c r="O64" s="4"/>
      <c r="P64" s="43">
        <v>506190.12625564815</v>
      </c>
    </row>
    <row r="65" spans="1:16" x14ac:dyDescent="0.2">
      <c r="A65" s="44">
        <v>2069</v>
      </c>
      <c r="B65" s="42">
        <v>100631128.20834139</v>
      </c>
      <c r="C65" s="4"/>
      <c r="D65" s="42">
        <v>62435347.918563768</v>
      </c>
      <c r="E65" s="4"/>
      <c r="F65" s="43">
        <v>12141059.591503395</v>
      </c>
      <c r="G65" s="4"/>
      <c r="H65" s="43">
        <v>746028.01823226502</v>
      </c>
      <c r="I65" s="4"/>
      <c r="J65" s="43">
        <v>3636376.0342663471</v>
      </c>
      <c r="K65" s="4"/>
      <c r="L65" s="43">
        <v>37279036.436521068</v>
      </c>
      <c r="M65" s="4"/>
      <c r="N65" s="43">
        <v>32389.440547904589</v>
      </c>
      <c r="O65" s="4"/>
      <c r="P65" s="43">
        <v>506190.12625564815</v>
      </c>
    </row>
    <row r="66" spans="1:16" x14ac:dyDescent="0.2">
      <c r="A66" s="44">
        <v>2070</v>
      </c>
      <c r="B66" s="42">
        <v>107015422.8025247</v>
      </c>
      <c r="C66" s="4"/>
      <c r="D66" s="42">
        <v>66335279.378993839</v>
      </c>
      <c r="E66" s="4"/>
      <c r="F66" s="43">
        <v>12797639.742716396</v>
      </c>
      <c r="G66" s="4"/>
      <c r="H66" s="43">
        <v>746028.01823226502</v>
      </c>
      <c r="I66" s="4"/>
      <c r="J66" s="43">
        <v>3801904.760789108</v>
      </c>
      <c r="K66" s="4"/>
      <c r="L66" s="43">
        <v>38975987.597007461</v>
      </c>
      <c r="M66" s="4"/>
      <c r="N66" s="43">
        <v>33863.85738923699</v>
      </c>
      <c r="O66" s="4"/>
      <c r="P66" s="43">
        <v>506190.12625564815</v>
      </c>
    </row>
    <row r="67" spans="1:16" x14ac:dyDescent="0.2">
      <c r="A67" s="38"/>
    </row>
    <row r="68" spans="1:16" x14ac:dyDescent="0.2">
      <c r="A68" s="38"/>
    </row>
    <row r="69" spans="1:16" x14ac:dyDescent="0.2">
      <c r="A69" s="38"/>
    </row>
    <row r="70" spans="1:16" x14ac:dyDescent="0.2">
      <c r="A70" s="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2F4F-30DA-C64F-B200-41AFB408D22F}">
  <dimension ref="A1:AX67"/>
  <sheetViews>
    <sheetView topLeftCell="X1" workbookViewId="0">
      <selection activeCell="AO1" sqref="AO1:AX1"/>
    </sheetView>
  </sheetViews>
  <sheetFormatPr baseColWidth="10" defaultRowHeight="16" x14ac:dyDescent="0.2"/>
  <sheetData>
    <row r="1" spans="1:50" s="3" customFormat="1" x14ac:dyDescent="0.2">
      <c r="A1" s="10" t="s">
        <v>11</v>
      </c>
      <c r="B1" s="8">
        <v>2022</v>
      </c>
      <c r="C1" s="8">
        <v>2023</v>
      </c>
      <c r="D1" s="8">
        <v>2024</v>
      </c>
      <c r="E1" s="8">
        <v>2025</v>
      </c>
      <c r="F1" s="8">
        <v>2026</v>
      </c>
      <c r="G1" s="8">
        <v>2027</v>
      </c>
      <c r="H1" s="8">
        <v>2028</v>
      </c>
      <c r="I1" s="8">
        <v>2029</v>
      </c>
      <c r="J1" s="8">
        <v>2030</v>
      </c>
      <c r="K1" s="8">
        <v>2031</v>
      </c>
      <c r="L1" s="8">
        <v>2032</v>
      </c>
      <c r="M1" s="8">
        <v>2033</v>
      </c>
      <c r="N1" s="8">
        <v>2034</v>
      </c>
      <c r="O1" s="8">
        <v>2035</v>
      </c>
      <c r="P1" s="8">
        <v>2036</v>
      </c>
      <c r="Q1" s="8">
        <v>2037</v>
      </c>
      <c r="R1" s="8">
        <v>2038</v>
      </c>
      <c r="S1" s="8">
        <v>2039</v>
      </c>
      <c r="T1" s="8">
        <v>2040</v>
      </c>
      <c r="U1" s="8">
        <v>2041</v>
      </c>
      <c r="V1" s="8">
        <v>2042</v>
      </c>
      <c r="W1" s="8">
        <v>2043</v>
      </c>
      <c r="X1" s="8">
        <v>2044</v>
      </c>
      <c r="Y1" s="8">
        <v>2045</v>
      </c>
      <c r="Z1" s="8">
        <v>2046</v>
      </c>
      <c r="AA1" s="8">
        <v>2047</v>
      </c>
      <c r="AB1" s="8">
        <v>2048</v>
      </c>
      <c r="AC1" s="8">
        <v>2049</v>
      </c>
      <c r="AD1" s="8">
        <v>2050</v>
      </c>
      <c r="AE1" s="8">
        <v>2051</v>
      </c>
      <c r="AF1" s="8">
        <v>2052</v>
      </c>
      <c r="AG1" s="8">
        <v>2053</v>
      </c>
      <c r="AH1" s="8">
        <v>2054</v>
      </c>
      <c r="AI1" s="8">
        <v>2055</v>
      </c>
      <c r="AJ1" s="8">
        <v>2056</v>
      </c>
      <c r="AK1" s="8">
        <v>2057</v>
      </c>
      <c r="AL1" s="8">
        <v>2058</v>
      </c>
      <c r="AM1" s="8">
        <v>2059</v>
      </c>
      <c r="AN1" s="8">
        <v>2060</v>
      </c>
      <c r="AO1" s="44">
        <f>AN1+1</f>
        <v>2061</v>
      </c>
      <c r="AP1" s="44">
        <f t="shared" ref="AP1:AW1" si="0">AO1+1</f>
        <v>2062</v>
      </c>
      <c r="AQ1" s="44">
        <f t="shared" si="0"/>
        <v>2063</v>
      </c>
      <c r="AR1" s="44">
        <f t="shared" si="0"/>
        <v>2064</v>
      </c>
      <c r="AS1" s="44">
        <f t="shared" si="0"/>
        <v>2065</v>
      </c>
      <c r="AT1" s="44">
        <f t="shared" si="0"/>
        <v>2066</v>
      </c>
      <c r="AU1" s="44">
        <f>AT1+1</f>
        <v>2067</v>
      </c>
      <c r="AV1" s="44">
        <f t="shared" si="0"/>
        <v>2068</v>
      </c>
      <c r="AW1" s="44">
        <f t="shared" si="0"/>
        <v>2069</v>
      </c>
      <c r="AX1" s="44">
        <f>AW1+1</f>
        <v>2070</v>
      </c>
    </row>
    <row r="2" spans="1:50" x14ac:dyDescent="0.2">
      <c r="A2" s="10" t="s">
        <v>34</v>
      </c>
      <c r="B2" s="4">
        <f>'Electricity-Conversion'!B7+'Electricity-Conversion'!B18+'Electricity-Conversion'!B29+'Electricity-Conversion'!B40+'Electricity-Conversion'!B51+'Electricity-Conversion'!B62+'Electricity-Conversion'!B73+'Electricity-Conversion'!B84+'Electricity-Conversion'!B95+'Electricity-Conversion'!B106+'Electricity-Conversion'!B117+'Electricity-Conversion'!B128+'Electricity-Conversion'!B139+'Electricity-Conversion'!B150+'Electricity-Conversion'!B161+'Electricity-Conversion'!B173</f>
        <v>159102139.4930867</v>
      </c>
      <c r="C2" s="4">
        <f>'Electricity-Conversion'!C7+'Electricity-Conversion'!C18+'Electricity-Conversion'!C29+'Electricity-Conversion'!C40+'Electricity-Conversion'!C51+'Electricity-Conversion'!C62+'Electricity-Conversion'!C73+'Electricity-Conversion'!C84+'Electricity-Conversion'!C95+'Electricity-Conversion'!C106+'Electricity-Conversion'!C117+'Electricity-Conversion'!C128+'Electricity-Conversion'!C139+'Electricity-Conversion'!C150+'Electricity-Conversion'!C161+'Electricity-Conversion'!C173</f>
        <v>163772768.74577987</v>
      </c>
      <c r="D2" s="4">
        <f>'Electricity-Conversion'!D7+'Electricity-Conversion'!D18+'Electricity-Conversion'!D29+'Electricity-Conversion'!D40+'Electricity-Conversion'!D51+'Electricity-Conversion'!D62+'Electricity-Conversion'!D73+'Electricity-Conversion'!D84+'Electricity-Conversion'!D95+'Electricity-Conversion'!D106+'Electricity-Conversion'!D117+'Electricity-Conversion'!D128+'Electricity-Conversion'!D139+'Electricity-Conversion'!D150+'Electricity-Conversion'!D161+'Electricity-Conversion'!D173</f>
        <v>166762193.85117382</v>
      </c>
      <c r="E2" s="4">
        <f>'Electricity-Conversion'!E7+'Electricity-Conversion'!E18+'Electricity-Conversion'!E29+'Electricity-Conversion'!E40+'Electricity-Conversion'!E51+'Electricity-Conversion'!E62+'Electricity-Conversion'!E73+'Electricity-Conversion'!E84+'Electricity-Conversion'!E95+'Electricity-Conversion'!E106+'Electricity-Conversion'!E117+'Electricity-Conversion'!E128+'Electricity-Conversion'!E139+'Electricity-Conversion'!E150+'Electricity-Conversion'!E161+'Electricity-Conversion'!E173</f>
        <v>169886758.08859712</v>
      </c>
      <c r="F2" s="4">
        <f>'Electricity-Conversion'!F7+'Electricity-Conversion'!F18+'Electricity-Conversion'!F29+'Electricity-Conversion'!F40+'Electricity-Conversion'!F51+'Electricity-Conversion'!F62+'Electricity-Conversion'!F73+'Electricity-Conversion'!F84+'Electricity-Conversion'!F95+'Electricity-Conversion'!F106+'Electricity-Conversion'!F117+'Electricity-Conversion'!F128+'Electricity-Conversion'!F139+'Electricity-Conversion'!F150+'Electricity-Conversion'!F161+'Electricity-Conversion'!F173</f>
        <v>173852309.33454451</v>
      </c>
      <c r="G2" s="4">
        <f>'Electricity-Conversion'!G7+'Electricity-Conversion'!G18+'Electricity-Conversion'!G29+'Electricity-Conversion'!G40+'Electricity-Conversion'!G51+'Electricity-Conversion'!G62+'Electricity-Conversion'!G73+'Electricity-Conversion'!G84+'Electricity-Conversion'!G95+'Electricity-Conversion'!G106+'Electricity-Conversion'!G117+'Electricity-Conversion'!G128+'Electricity-Conversion'!G139+'Electricity-Conversion'!G150+'Electricity-Conversion'!G161+'Electricity-Conversion'!G173</f>
        <v>177972724.53286514</v>
      </c>
      <c r="H2" s="4">
        <f>'Electricity-Conversion'!H7+'Electricity-Conversion'!H18+'Electricity-Conversion'!H29+'Electricity-Conversion'!H40+'Electricity-Conversion'!H51+'Electricity-Conversion'!H62+'Electricity-Conversion'!H73+'Electricity-Conversion'!H84+'Electricity-Conversion'!H95+'Electricity-Conversion'!H106+'Electricity-Conversion'!H117+'Electricity-Conversion'!H128+'Electricity-Conversion'!H139+'Electricity-Conversion'!H150+'Electricity-Conversion'!H161+'Electricity-Conversion'!H173</f>
        <v>182256904.94045204</v>
      </c>
      <c r="I2" s="4">
        <f>'Electricity-Conversion'!I7+'Electricity-Conversion'!I18+'Electricity-Conversion'!I29+'Electricity-Conversion'!I40+'Electricity-Conversion'!I51+'Electricity-Conversion'!I62+'Electricity-Conversion'!I73+'Electricity-Conversion'!I84+'Electricity-Conversion'!I95+'Electricity-Conversion'!I106+'Electricity-Conversion'!I117+'Electricity-Conversion'!I128+'Electricity-Conversion'!I139+'Electricity-Conversion'!I150+'Electricity-Conversion'!I161+'Electricity-Conversion'!I173</f>
        <v>186714290.25489843</v>
      </c>
      <c r="J2" s="4">
        <f>'Electricity-Conversion'!J7+'Electricity-Conversion'!J18+'Electricity-Conversion'!J29+'Electricity-Conversion'!J40+'Electricity-Conversion'!J51+'Electricity-Conversion'!J62+'Electricity-Conversion'!J73+'Electricity-Conversion'!J84+'Electricity-Conversion'!J95+'Electricity-Conversion'!J106+'Electricity-Conversion'!J117+'Electricity-Conversion'!J128+'Electricity-Conversion'!J139+'Electricity-Conversion'!J150+'Electricity-Conversion'!J161+'Electricity-Conversion'!J173</f>
        <v>191354891.63080388</v>
      </c>
      <c r="K2" s="4">
        <f>'Electricity-Conversion'!K7+'Electricity-Conversion'!K18+'Electricity-Conversion'!K29+'Electricity-Conversion'!K40+'Electricity-Conversion'!K51+'Electricity-Conversion'!K62+'Electricity-Conversion'!K73+'Electricity-Conversion'!K84+'Electricity-Conversion'!K95+'Electricity-Conversion'!K106+'Electricity-Conversion'!K117+'Electricity-Conversion'!K128+'Electricity-Conversion'!K139+'Electricity-Conversion'!K150+'Electricity-Conversion'!K161+'Electricity-Conversion'!K173</f>
        <v>196008720.13835302</v>
      </c>
      <c r="L2" s="4">
        <f>'Electricity-Conversion'!L7+'Electricity-Conversion'!L18+'Electricity-Conversion'!L29+'Electricity-Conversion'!L40+'Electricity-Conversion'!L51+'Electricity-Conversion'!L62+'Electricity-Conversion'!L73+'Electricity-Conversion'!L84+'Electricity-Conversion'!L95+'Electricity-Conversion'!L106+'Electricity-Conversion'!L117+'Electricity-Conversion'!L128+'Electricity-Conversion'!L139+'Electricity-Conversion'!L150+'Electricity-Conversion'!L161+'Electricity-Conversion'!L173</f>
        <v>200866770.76806307</v>
      </c>
      <c r="M2" s="4">
        <f>'Electricity-Conversion'!M7+'Electricity-Conversion'!M18+'Electricity-Conversion'!M29+'Electricity-Conversion'!M40+'Electricity-Conversion'!M51+'Electricity-Conversion'!M62+'Electricity-Conversion'!M73+'Electricity-Conversion'!M84+'Electricity-Conversion'!M95+'Electricity-Conversion'!M106+'Electricity-Conversion'!M117+'Electricity-Conversion'!M128+'Electricity-Conversion'!M139+'Electricity-Conversion'!M150+'Electricity-Conversion'!M161+'Electricity-Conversion'!M173</f>
        <v>205940988.27898824</v>
      </c>
      <c r="N2" s="4">
        <f>'Electricity-Conversion'!N7+'Electricity-Conversion'!N18+'Electricity-Conversion'!N29+'Electricity-Conversion'!N40+'Electricity-Conversion'!N51+'Electricity-Conversion'!N62+'Electricity-Conversion'!N73+'Electricity-Conversion'!N84+'Electricity-Conversion'!N95+'Electricity-Conversion'!N106+'Electricity-Conversion'!N117+'Electricity-Conversion'!N128+'Electricity-Conversion'!N139+'Electricity-Conversion'!N150+'Electricity-Conversion'!N161+'Electricity-Conversion'!N173</f>
        <v>211244042.76291406</v>
      </c>
      <c r="O2" s="4">
        <f>'Electricity-Conversion'!O7+'Electricity-Conversion'!O18+'Electricity-Conversion'!O29+'Electricity-Conversion'!O40+'Electricity-Conversion'!O51+'Electricity-Conversion'!O62+'Electricity-Conversion'!O73+'Electricity-Conversion'!O84+'Electricity-Conversion'!O95+'Electricity-Conversion'!O106+'Electricity-Conversion'!O117+'Electricity-Conversion'!O128+'Electricity-Conversion'!O139+'Electricity-Conversion'!O150+'Electricity-Conversion'!O161+'Electricity-Conversion'!O173</f>
        <v>216789374.27105159</v>
      </c>
      <c r="P2" s="4">
        <f>'Electricity-Conversion'!P7+'Electricity-Conversion'!P18+'Electricity-Conversion'!P29+'Electricity-Conversion'!P40+'Electricity-Conversion'!P51+'Electricity-Conversion'!P62+'Electricity-Conversion'!P73+'Electricity-Conversion'!P84+'Electricity-Conversion'!P95+'Electricity-Conversion'!P106+'Electricity-Conversion'!P117+'Electricity-Conversion'!P128+'Electricity-Conversion'!P139+'Electricity-Conversion'!P150+'Electricity-Conversion'!P161+'Electricity-Conversion'!P173</f>
        <v>222406337.86396566</v>
      </c>
      <c r="Q2" s="4">
        <f>'Electricity-Conversion'!Q7+'Electricity-Conversion'!Q18+'Electricity-Conversion'!Q29+'Electricity-Conversion'!Q40+'Electricity-Conversion'!Q51+'Electricity-Conversion'!Q62+'Electricity-Conversion'!Q73+'Electricity-Conversion'!Q84+'Electricity-Conversion'!Q95+'Electricity-Conversion'!Q106+'Electricity-Conversion'!Q117+'Electricity-Conversion'!Q128+'Electricity-Conversion'!Q139+'Electricity-Conversion'!Q150+'Electricity-Conversion'!Q161+'Electricity-Conversion'!Q173</f>
        <v>228294077.87904438</v>
      </c>
      <c r="R2" s="4">
        <f>'Electricity-Conversion'!R7+'Electricity-Conversion'!R18+'Electricity-Conversion'!R29+'Electricity-Conversion'!R40+'Electricity-Conversion'!R51+'Electricity-Conversion'!R62+'Electricity-Conversion'!R73+'Electricity-Conversion'!R84+'Electricity-Conversion'!R95+'Electricity-Conversion'!R106+'Electricity-Conversion'!R117+'Electricity-Conversion'!R128+'Electricity-Conversion'!R139+'Electricity-Conversion'!R150+'Electricity-Conversion'!R161+'Electricity-Conversion'!R173</f>
        <v>234468640.65878272</v>
      </c>
      <c r="S2" s="4">
        <f>'Electricity-Conversion'!S7+'Electricity-Conversion'!S18+'Electricity-Conversion'!S29+'Electricity-Conversion'!S40+'Electricity-Conversion'!S51+'Electricity-Conversion'!S62+'Electricity-Conversion'!S73+'Electricity-Conversion'!S84+'Electricity-Conversion'!S95+'Electricity-Conversion'!S106+'Electricity-Conversion'!S117+'Electricity-Conversion'!S128+'Electricity-Conversion'!S139+'Electricity-Conversion'!S150+'Electricity-Conversion'!S161+'Electricity-Conversion'!S173</f>
        <v>240947050.58189559</v>
      </c>
      <c r="T2" s="4">
        <f>'Electricity-Conversion'!T7+'Electricity-Conversion'!T18+'Electricity-Conversion'!T29+'Electricity-Conversion'!T40+'Electricity-Conversion'!T51+'Electricity-Conversion'!T62+'Electricity-Conversion'!T73+'Electricity-Conversion'!T84+'Electricity-Conversion'!T95+'Electricity-Conversion'!T106+'Electricity-Conversion'!T117+'Electricity-Conversion'!T128+'Electricity-Conversion'!T139+'Electricity-Conversion'!T150+'Electricity-Conversion'!T161+'Electricity-Conversion'!T173</f>
        <v>247747370.43336976</v>
      </c>
      <c r="U2" s="4">
        <f>'Electricity-Conversion'!U7+'Electricity-Conversion'!U18+'Electricity-Conversion'!U29+'Electricity-Conversion'!U40+'Electricity-Conversion'!U51+'Electricity-Conversion'!U62+'Electricity-Conversion'!U73+'Electricity-Conversion'!U84+'Electricity-Conversion'!U95+'Electricity-Conversion'!U106+'Electricity-Conversion'!U117+'Electricity-Conversion'!U128+'Electricity-Conversion'!U139+'Electricity-Conversion'!U150+'Electricity-Conversion'!U161+'Electricity-Conversion'!U173</f>
        <v>254705762.50407326</v>
      </c>
      <c r="V2" s="4">
        <f>'Electricity-Conversion'!V7+'Electricity-Conversion'!V18+'Electricity-Conversion'!V29+'Electricity-Conversion'!V40+'Electricity-Conversion'!V51+'Electricity-Conversion'!V62+'Electricity-Conversion'!V73+'Electricity-Conversion'!V84+'Electricity-Conversion'!V95+'Electricity-Conversion'!V106+'Electricity-Conversion'!V117+'Electricity-Conversion'!V128+'Electricity-Conversion'!V139+'Electricity-Conversion'!V150+'Electricity-Conversion'!V161+'Electricity-Conversion'!V173</f>
        <v>262024702.08113816</v>
      </c>
      <c r="W2" s="4">
        <f>'Electricity-Conversion'!W7+'Electricity-Conversion'!W18+'Electricity-Conversion'!W29+'Electricity-Conversion'!W40+'Electricity-Conversion'!W51+'Electricity-Conversion'!W62+'Electricity-Conversion'!W73+'Electricity-Conversion'!W84+'Electricity-Conversion'!W95+'Electricity-Conversion'!W106+'Electricity-Conversion'!W117+'Electricity-Conversion'!W128+'Electricity-Conversion'!W139+'Electricity-Conversion'!W150+'Electricity-Conversion'!W161+'Electricity-Conversion'!W173</f>
        <v>269725768.25944585</v>
      </c>
      <c r="X2" s="4">
        <f>'Electricity-Conversion'!X7+'Electricity-Conversion'!X18+'Electricity-Conversion'!X29+'Electricity-Conversion'!X40+'Electricity-Conversion'!X51+'Electricity-Conversion'!X62+'Electricity-Conversion'!X73+'Electricity-Conversion'!X84+'Electricity-Conversion'!X95+'Electricity-Conversion'!X106+'Electricity-Conversion'!X117+'Electricity-Conversion'!X128+'Electricity-Conversion'!X139+'Electricity-Conversion'!X150+'Electricity-Conversion'!X161+'Electricity-Conversion'!X173</f>
        <v>277831860.13826227</v>
      </c>
      <c r="Y2" s="4">
        <f>'Electricity-Conversion'!Y7+'Electricity-Conversion'!Y18+'Electricity-Conversion'!Y29+'Electricity-Conversion'!Y40+'Electricity-Conversion'!Y51+'Electricity-Conversion'!Y62+'Electricity-Conversion'!Y73+'Electricity-Conversion'!Y84+'Electricity-Conversion'!Y95+'Electricity-Conversion'!Y106+'Electricity-Conversion'!Y117+'Electricity-Conversion'!Y128+'Electricity-Conversion'!Y139+'Electricity-Conversion'!Y150+'Electricity-Conversion'!Y161+'Electricity-Conversion'!Y173</f>
        <v>286367278.5534724</v>
      </c>
      <c r="Z2" s="4">
        <f>'Electricity-Conversion'!Z7+'Electricity-Conversion'!Z18+'Electricity-Conversion'!Z29+'Electricity-Conversion'!Z40+'Electricity-Conversion'!Z51+'Electricity-Conversion'!Z62+'Electricity-Conversion'!Z73+'Electricity-Conversion'!Z84+'Electricity-Conversion'!Z95+'Electricity-Conversion'!Z106+'Electricity-Conversion'!Z117+'Electricity-Conversion'!Z128+'Electricity-Conversion'!Z139+'Electricity-Conversion'!Z150+'Electricity-Conversion'!Z161+'Electricity-Conversion'!Z173</f>
        <v>295180156.23694694</v>
      </c>
      <c r="AA2" s="4">
        <f>'Electricity-Conversion'!AA7+'Electricity-Conversion'!AA18+'Electricity-Conversion'!AA29+'Electricity-Conversion'!AA40+'Electricity-Conversion'!AA51+'Electricity-Conversion'!AA62+'Electricity-Conversion'!AA73+'Electricity-Conversion'!AA84+'Electricity-Conversion'!AA95+'Electricity-Conversion'!AA106+'Electricity-Conversion'!AA117+'Electricity-Conversion'!AA128+'Electricity-Conversion'!AA139+'Electricity-Conversion'!AA150+'Electricity-Conversion'!AA161+'Electricity-Conversion'!AA173</f>
        <v>304474691.40733963</v>
      </c>
      <c r="AB2" s="4">
        <f>'Electricity-Conversion'!AB7+'Electricity-Conversion'!AB18+'Electricity-Conversion'!AB29+'Electricity-Conversion'!AB40+'Electricity-Conversion'!AB51+'Electricity-Conversion'!AB62+'Electricity-Conversion'!AB73+'Electricity-Conversion'!AB84+'Electricity-Conversion'!AB95+'Electricity-Conversion'!AB106+'Electricity-Conversion'!AB117+'Electricity-Conversion'!AB128+'Electricity-Conversion'!AB139+'Electricity-Conversion'!AB150+'Electricity-Conversion'!AB161+'Electricity-Conversion'!AB173</f>
        <v>314279933.2712518</v>
      </c>
      <c r="AC2" s="4">
        <f>'Electricity-Conversion'!AC7+'Electricity-Conversion'!AC18+'Electricity-Conversion'!AC29+'Electricity-Conversion'!AC40+'Electricity-Conversion'!AC51+'Electricity-Conversion'!AC62+'Electricity-Conversion'!AC73+'Electricity-Conversion'!AC84+'Electricity-Conversion'!AC95+'Electricity-Conversion'!AC106+'Electricity-Conversion'!AC117+'Electricity-Conversion'!AC128+'Electricity-Conversion'!AC139+'Electricity-Conversion'!AC150+'Electricity-Conversion'!AC161+'Electricity-Conversion'!AC173</f>
        <v>324626714.16502416</v>
      </c>
      <c r="AD2" s="4">
        <f>'Electricity-Conversion'!AD7+'Electricity-Conversion'!AD18+'Electricity-Conversion'!AD29+'Electricity-Conversion'!AD40+'Electricity-Conversion'!AD51+'Electricity-Conversion'!AD62+'Electricity-Conversion'!AD73+'Electricity-Conversion'!AD84+'Electricity-Conversion'!AD95+'Electricity-Conversion'!AD106+'Electricity-Conversion'!AD117+'Electricity-Conversion'!AD128+'Electricity-Conversion'!AD139+'Electricity-Conversion'!AD150+'Electricity-Conversion'!AD161+'Electricity-Conversion'!AD173</f>
        <v>335547760.29223913</v>
      </c>
      <c r="AE2" s="4">
        <f>'Electricity-Conversion'!AE7+'Electricity-Conversion'!AE18+'Electricity-Conversion'!AE29+'Electricity-Conversion'!AE40+'Electricity-Conversion'!AE51+'Electricity-Conversion'!AE62+'Electricity-Conversion'!AE73+'Electricity-Conversion'!AE84+'Electricity-Conversion'!AE95+'Electricity-Conversion'!AE106+'Electricity-Conversion'!AE117+'Electricity-Conversion'!AE128+'Electricity-Conversion'!AE139+'Electricity-Conversion'!AE150+'Electricity-Conversion'!AE161+'Electricity-Conversion'!AE173</f>
        <v>346642937.01965147</v>
      </c>
      <c r="AF2" s="4">
        <f>'Electricity-Conversion'!AF7+'Electricity-Conversion'!AF18+'Electricity-Conversion'!AF29+'Electricity-Conversion'!AF40+'Electricity-Conversion'!AF51+'Electricity-Conversion'!AF62+'Electricity-Conversion'!AF73+'Electricity-Conversion'!AF84+'Electricity-Conversion'!AF95+'Electricity-Conversion'!AF106+'Electricity-Conversion'!AF117+'Electricity-Conversion'!AF128+'Electricity-Conversion'!AF139+'Electricity-Conversion'!AF150+'Electricity-Conversion'!AF161+'Electricity-Conversion'!AF173</f>
        <v>358381985.85771459</v>
      </c>
      <c r="AG2" s="4">
        <f>'Electricity-Conversion'!AG7+'Electricity-Conversion'!AG18+'Electricity-Conversion'!AG29+'Electricity-Conversion'!AG40+'Electricity-Conversion'!AG51+'Electricity-Conversion'!AG62+'Electricity-Conversion'!AG73+'Electricity-Conversion'!AG84+'Electricity-Conversion'!AG95+'Electricity-Conversion'!AG106+'Electricity-Conversion'!AG117+'Electricity-Conversion'!AG128+'Electricity-Conversion'!AG139+'Electricity-Conversion'!AG150+'Electricity-Conversion'!AG161+'Electricity-Conversion'!AG173</f>
        <v>370804050.71418852</v>
      </c>
      <c r="AH2" s="4">
        <f>'Electricity-Conversion'!AH7+'Electricity-Conversion'!AH18+'Electricity-Conversion'!AH29+'Electricity-Conversion'!AH40+'Electricity-Conversion'!AH51+'Electricity-Conversion'!AH62+'Electricity-Conversion'!AH73+'Electricity-Conversion'!AH84+'Electricity-Conversion'!AH95+'Electricity-Conversion'!AH106+'Electricity-Conversion'!AH117+'Electricity-Conversion'!AH128+'Electricity-Conversion'!AH139+'Electricity-Conversion'!AH150+'Electricity-Conversion'!AH161+'Electricity-Conversion'!AH173</f>
        <v>383950686.30110371</v>
      </c>
      <c r="AI2" s="4">
        <f>'Electricity-Conversion'!AI7+'Electricity-Conversion'!AI18+'Electricity-Conversion'!AI29+'Electricity-Conversion'!AI40+'Electricity-Conversion'!AI51+'Electricity-Conversion'!AI62+'Electricity-Conversion'!AI73+'Electricity-Conversion'!AI84+'Electricity-Conversion'!AI95+'Electricity-Conversion'!AI106+'Electricity-Conversion'!AI117+'Electricity-Conversion'!AI128+'Electricity-Conversion'!AI139+'Electricity-Conversion'!AI150+'Electricity-Conversion'!AI161+'Electricity-Conversion'!AI173</f>
        <v>397866008.27958935</v>
      </c>
      <c r="AJ2" s="4">
        <f>'Electricity-Conversion'!AJ7+'Electricity-Conversion'!AJ18+'Electricity-Conversion'!AJ29+'Electricity-Conversion'!AJ40+'Electricity-Conversion'!AJ51+'Electricity-Conversion'!AJ62+'Electricity-Conversion'!AJ73+'Electricity-Conversion'!AJ84+'Electricity-Conversion'!AJ95+'Electricity-Conversion'!AJ106+'Electricity-Conversion'!AJ117+'Electricity-Conversion'!AJ128+'Electricity-Conversion'!AJ139+'Electricity-Conversion'!AJ150+'Electricity-Conversion'!AJ161+'Electricity-Conversion'!AJ173</f>
        <v>412596852.8440761</v>
      </c>
      <c r="AK2" s="4">
        <f>'Electricity-Conversion'!AK7+'Electricity-Conversion'!AK18+'Electricity-Conversion'!AK29+'Electricity-Conversion'!AK40+'Electricity-Conversion'!AK51+'Electricity-Conversion'!AK62+'Electricity-Conversion'!AK73+'Electricity-Conversion'!AK84+'Electricity-Conversion'!AK95+'Electricity-Conversion'!AK106+'Electricity-Conversion'!AK117+'Electricity-Conversion'!AK128+'Electricity-Conversion'!AK139+'Electricity-Conversion'!AK150+'Electricity-Conversion'!AK161+'Electricity-Conversion'!AK173</f>
        <v>428192946.34394515</v>
      </c>
      <c r="AL2" s="4">
        <f>'Electricity-Conversion'!AL7+'Electricity-Conversion'!AL18+'Electricity-Conversion'!AL29+'Electricity-Conversion'!AL40+'Electricity-Conversion'!AL51+'Electricity-Conversion'!AL62+'Electricity-Conversion'!AL73+'Electricity-Conversion'!AL84+'Electricity-Conversion'!AL95+'Electricity-Conversion'!AL106+'Electricity-Conversion'!AL117+'Electricity-Conversion'!AL128+'Electricity-Conversion'!AL139+'Electricity-Conversion'!AL150+'Electricity-Conversion'!AL161+'Electricity-Conversion'!AL173</f>
        <v>444707085.57882154</v>
      </c>
      <c r="AM2" s="4">
        <f>'Electricity-Conversion'!AM7+'Electricity-Conversion'!AM18+'Electricity-Conversion'!AM29+'Electricity-Conversion'!AM40+'Electricity-Conversion'!AM51+'Electricity-Conversion'!AM62+'Electricity-Conversion'!AM73+'Electricity-Conversion'!AM84+'Electricity-Conversion'!AM95+'Electricity-Conversion'!AM106+'Electricity-Conversion'!AM117+'Electricity-Conversion'!AM128+'Electricity-Conversion'!AM139+'Electricity-Conversion'!AM150+'Electricity-Conversion'!AM161+'Electricity-Conversion'!AM173</f>
        <v>462195329.44429433</v>
      </c>
      <c r="AN2" s="4">
        <f>'Electricity-Conversion'!AN7+'Electricity-Conversion'!AN18+'Electricity-Conversion'!AN29+'Electricity-Conversion'!AN40+'Electricity-Conversion'!AN51+'Electricity-Conversion'!AN62+'Electricity-Conversion'!AN73+'Electricity-Conversion'!AN84+'Electricity-Conversion'!AN95+'Electricity-Conversion'!AN106+'Electricity-Conversion'!AN117+'Electricity-Conversion'!AN128+'Electricity-Conversion'!AN139+'Electricity-Conversion'!AN150+'Electricity-Conversion'!AN161+'Electricity-Conversion'!AN173</f>
        <v>480717202.64801961</v>
      </c>
      <c r="AO2" s="42">
        <f>'Electricity-Conversion'!AO7+'Electricity-Conversion'!AO18+'Electricity-Conversion'!AO29+'Electricity-Conversion'!AO40+'Electricity-Conversion'!AO51+'Electricity-Conversion'!AO62+'Electricity-Conversion'!AO73+'Electricity-Conversion'!AO84+'Electricity-Conversion'!AO95+'Electricity-Conversion'!AO106+'Electricity-Conversion'!AO117+'Electricity-Conversion'!AO128+'Electricity-Conversion'!AO139+'Electricity-Conversion'!AO150+'Electricity-Conversion'!AO161+'Electricity-Conversion'!AO173</f>
        <v>500337694.60989642</v>
      </c>
      <c r="AP2" s="42">
        <f>'Electricity-Conversion'!AP7+'Electricity-Conversion'!AP18+'Electricity-Conversion'!AP29+'Electricity-Conversion'!AP40+'Electricity-Conversion'!AP51+'Electricity-Conversion'!AP62+'Electricity-Conversion'!AP73+'Electricity-Conversion'!AP84+'Electricity-Conversion'!AP95+'Electricity-Conversion'!AP106+'Electricity-Conversion'!AP117+'Electricity-Conversion'!AP128+'Electricity-Conversion'!AP139+'Electricity-Conversion'!AP150+'Electricity-Conversion'!AP161+'Electricity-Conversion'!AP173</f>
        <v>521123934.10863256</v>
      </c>
      <c r="AQ2" s="42">
        <f>'Electricity-Conversion'!AQ7+'Electricity-Conversion'!AQ18+'Electricity-Conversion'!AQ29+'Electricity-Conversion'!AQ40+'Electricity-Conversion'!AQ51+'Electricity-Conversion'!AQ62+'Electricity-Conversion'!AQ73+'Electricity-Conversion'!AQ84+'Electricity-Conversion'!AQ95+'Electricity-Conversion'!AQ106+'Electricity-Conversion'!AQ117+'Electricity-Conversion'!AQ128+'Electricity-Conversion'!AQ139+'Electricity-Conversion'!AQ150+'Electricity-Conversion'!AQ161+'Electricity-Conversion'!AQ173</f>
        <v>543147207.25910652</v>
      </c>
      <c r="AR2" s="42">
        <f>'Electricity-Conversion'!AR7+'Electricity-Conversion'!AR18+'Electricity-Conversion'!AR29+'Electricity-Conversion'!AR40+'Electricity-Conversion'!AR51+'Electricity-Conversion'!AR62+'Electricity-Conversion'!AR73+'Electricity-Conversion'!AR84+'Electricity-Conversion'!AR95+'Electricity-Conversion'!AR106+'Electricity-Conversion'!AR117+'Electricity-Conversion'!AR128+'Electricity-Conversion'!AR139+'Electricity-Conversion'!AR150+'Electricity-Conversion'!AR161+'Electricity-Conversion'!AR173</f>
        <v>566483217.67409635</v>
      </c>
      <c r="AS2" s="42">
        <f>'Electricity-Conversion'!AS7+'Electricity-Conversion'!AS18+'Electricity-Conversion'!AS29+'Electricity-Conversion'!AS40+'Electricity-Conversion'!AS51+'Electricity-Conversion'!AS62+'Electricity-Conversion'!AS73+'Electricity-Conversion'!AS84+'Electricity-Conversion'!AS95+'Electricity-Conversion'!AS106+'Electricity-Conversion'!AS117+'Electricity-Conversion'!AS128+'Electricity-Conversion'!AS139+'Electricity-Conversion'!AS150+'Electricity-Conversion'!AS161+'Electricity-Conversion'!AS173</f>
        <v>591212363.04722893</v>
      </c>
      <c r="AT2" s="42">
        <f>'Electricity-Conversion'!AT7+'Electricity-Conversion'!AT18+'Electricity-Conversion'!AT29+'Electricity-Conversion'!AT40+'Electricity-Conversion'!AT51+'Electricity-Conversion'!AT62+'Electricity-Conversion'!AT73+'Electricity-Conversion'!AT84+'Electricity-Conversion'!AT95+'Electricity-Conversion'!AT106+'Electricity-Conversion'!AT117+'Electricity-Conversion'!AT128+'Electricity-Conversion'!AT139+'Electricity-Conversion'!AT150+'Electricity-Conversion'!AT161+'Electricity-Conversion'!AT173</f>
        <v>617420029.2009716</v>
      </c>
      <c r="AU2" s="42">
        <f>'Electricity-Conversion'!AU7+'Electricity-Conversion'!AU18+'Electricity-Conversion'!AU29+'Electricity-Conversion'!AU40+'Electricity-Conversion'!AU51+'Electricity-Conversion'!AU62+'Electricity-Conversion'!AU73+'Electricity-Conversion'!AU84+'Electricity-Conversion'!AU95+'Electricity-Conversion'!AU106+'Electricity-Conversion'!AU117+'Electricity-Conversion'!AU128+'Electricity-Conversion'!AU139+'Electricity-Conversion'!AU150+'Electricity-Conversion'!AU161+'Electricity-Conversion'!AU173</f>
        <v>645196902.7102083</v>
      </c>
      <c r="AV2" s="42">
        <f>'Electricity-Conversion'!AV7+'Electricity-Conversion'!AV18+'Electricity-Conversion'!AV29+'Electricity-Conversion'!AV40+'Electricity-Conversion'!AV51+'Electricity-Conversion'!AV62+'Electricity-Conversion'!AV73+'Electricity-Conversion'!AV84+'Electricity-Conversion'!AV95+'Electricity-Conversion'!AV106+'Electricity-Conversion'!AV117+'Electricity-Conversion'!AV128+'Electricity-Conversion'!AV139+'Electricity-Conversion'!AV150+'Electricity-Conversion'!AV161+'Electricity-Conversion'!AV173</f>
        <v>674639303.28296912</v>
      </c>
      <c r="AW2" s="42">
        <f>'Electricity-Conversion'!AW7+'Electricity-Conversion'!AW18+'Electricity-Conversion'!AW29+'Electricity-Conversion'!AW40+'Electricity-Conversion'!AW51+'Electricity-Conversion'!AW62+'Electricity-Conversion'!AW73+'Electricity-Conversion'!AW84+'Electricity-Conversion'!AW95+'Electricity-Conversion'!AW106+'Electricity-Conversion'!AW117+'Electricity-Conversion'!AW128+'Electricity-Conversion'!AW139+'Electricity-Conversion'!AW150+'Electricity-Conversion'!AW161+'Electricity-Conversion'!AW173</f>
        <v>705849537.15544605</v>
      </c>
      <c r="AX2" s="42">
        <f>'Electricity-Conversion'!AX7+'Electricity-Conversion'!AX18+'Electricity-Conversion'!AX29+'Electricity-Conversion'!AX40+'Electricity-Conversion'!AX51+'Electricity-Conversion'!AX62+'Electricity-Conversion'!AX73+'Electricity-Conversion'!AX84+'Electricity-Conversion'!AX95+'Electricity-Conversion'!AX106+'Electricity-Conversion'!AX117+'Electricity-Conversion'!AX128+'Electricity-Conversion'!AX139+'Electricity-Conversion'!AX150+'Electricity-Conversion'!AX161+'Electricity-Conversion'!AX173</f>
        <v>738936272.83886707</v>
      </c>
    </row>
    <row r="3" spans="1:50" x14ac:dyDescent="0.2">
      <c r="A3" s="10" t="s">
        <v>35</v>
      </c>
      <c r="B3" s="4">
        <f>'Electricity-Conversion'!B8+'Electricity-Conversion'!B19+'Electricity-Conversion'!B30+'Electricity-Conversion'!B41+'Electricity-Conversion'!B52+'Electricity-Conversion'!B63+'Electricity-Conversion'!B74+'Electricity-Conversion'!B85+'Electricity-Conversion'!B96+'Electricity-Conversion'!B107+'Electricity-Conversion'!B118+'Electricity-Conversion'!B129+'Electricity-Conversion'!B140+'Electricity-Conversion'!B151+'Electricity-Conversion'!B162+'Electricity-Conversion'!B174</f>
        <v>61859330.596910387</v>
      </c>
      <c r="C3" s="4">
        <f>'Electricity-Conversion'!C8+'Electricity-Conversion'!C19+'Electricity-Conversion'!C30+'Electricity-Conversion'!C41+'Electricity-Conversion'!C52+'Electricity-Conversion'!C63+'Electricity-Conversion'!C74+'Electricity-Conversion'!C85+'Electricity-Conversion'!C96+'Electricity-Conversion'!C107+'Electricity-Conversion'!C118+'Electricity-Conversion'!C129+'Electricity-Conversion'!C140+'Electricity-Conversion'!C151+'Electricity-Conversion'!C162+'Electricity-Conversion'!C174</f>
        <v>63624672.370186687</v>
      </c>
      <c r="D3" s="4">
        <f>'Electricity-Conversion'!D8+'Electricity-Conversion'!D19+'Electricity-Conversion'!D30+'Electricity-Conversion'!D41+'Electricity-Conversion'!D52+'Electricity-Conversion'!D63+'Electricity-Conversion'!D74+'Electricity-Conversion'!D85+'Electricity-Conversion'!D96+'Electricity-Conversion'!D107+'Electricity-Conversion'!D118+'Electricity-Conversion'!D129+'Electricity-Conversion'!D140+'Electricity-Conversion'!D151+'Electricity-Conversion'!D162+'Electricity-Conversion'!D174</f>
        <v>64730020.370154157</v>
      </c>
      <c r="E3" s="4">
        <f>'Electricity-Conversion'!E8+'Electricity-Conversion'!E19+'Electricity-Conversion'!E30+'Electricity-Conversion'!E41+'Electricity-Conversion'!E52+'Electricity-Conversion'!E63+'Electricity-Conversion'!E74+'Electricity-Conversion'!E85+'Electricity-Conversion'!E96+'Electricity-Conversion'!E107+'Electricity-Conversion'!E118+'Electricity-Conversion'!E129+'Electricity-Conversion'!E140+'Electricity-Conversion'!E151+'Electricity-Conversion'!E162+'Electricity-Conversion'!E174</f>
        <v>65883469.835670039</v>
      </c>
      <c r="F3" s="4">
        <f>'Electricity-Conversion'!F8+'Electricity-Conversion'!F19+'Electricity-Conversion'!F30+'Electricity-Conversion'!F41+'Electricity-Conversion'!F52+'Electricity-Conversion'!F63+'Electricity-Conversion'!F74+'Electricity-Conversion'!F85+'Electricity-Conversion'!F96+'Electricity-Conversion'!F107+'Electricity-Conversion'!F118+'Electricity-Conversion'!F129+'Electricity-Conversion'!F140+'Electricity-Conversion'!F151+'Electricity-Conversion'!F162+'Electricity-Conversion'!F174</f>
        <v>67362437.471600503</v>
      </c>
      <c r="G3" s="4">
        <f>'Electricity-Conversion'!G8+'Electricity-Conversion'!G19+'Electricity-Conversion'!G30+'Electricity-Conversion'!G41+'Electricity-Conversion'!G52+'Electricity-Conversion'!G63+'Electricity-Conversion'!G74+'Electricity-Conversion'!G85+'Electricity-Conversion'!G96+'Electricity-Conversion'!G107+'Electricity-Conversion'!G118+'Electricity-Conversion'!G129+'Electricity-Conversion'!G140+'Electricity-Conversion'!G151+'Electricity-Conversion'!G162+'Electricity-Conversion'!G174</f>
        <v>68896520.073184237</v>
      </c>
      <c r="H3" s="4">
        <f>'Electricity-Conversion'!H8+'Electricity-Conversion'!H19+'Electricity-Conversion'!H30+'Electricity-Conversion'!H41+'Electricity-Conversion'!H52+'Electricity-Conversion'!H63+'Electricity-Conversion'!H74+'Electricity-Conversion'!H85+'Electricity-Conversion'!H96+'Electricity-Conversion'!H107+'Electricity-Conversion'!H118+'Electricity-Conversion'!H129+'Electricity-Conversion'!H140+'Electricity-Conversion'!H151+'Electricity-Conversion'!H162+'Electricity-Conversion'!H174</f>
        <v>70488813.739233106</v>
      </c>
      <c r="I3" s="4">
        <f>'Electricity-Conversion'!I8+'Electricity-Conversion'!I19+'Electricity-Conversion'!I30+'Electricity-Conversion'!I41+'Electricity-Conversion'!I52+'Electricity-Conversion'!I63+'Electricity-Conversion'!I74+'Electricity-Conversion'!I85+'Electricity-Conversion'!I96+'Electricity-Conversion'!I107+'Electricity-Conversion'!I118+'Electricity-Conversion'!I129+'Electricity-Conversion'!I140+'Electricity-Conversion'!I151+'Electricity-Conversion'!I162+'Electricity-Conversion'!I174</f>
        <v>72142598.527671725</v>
      </c>
      <c r="J3" s="4">
        <f>'Electricity-Conversion'!J8+'Electricity-Conversion'!J19+'Electricity-Conversion'!J30+'Electricity-Conversion'!J41+'Electricity-Conversion'!J52+'Electricity-Conversion'!J63+'Electricity-Conversion'!J74+'Electricity-Conversion'!J85+'Electricity-Conversion'!J96+'Electricity-Conversion'!J107+'Electricity-Conversion'!J118+'Electricity-Conversion'!J129+'Electricity-Conversion'!J140+'Electricity-Conversion'!J151+'Electricity-Conversion'!J162+'Electricity-Conversion'!J174</f>
        <v>73861349.556229204</v>
      </c>
      <c r="K3" s="4">
        <f>'Electricity-Conversion'!K8+'Electricity-Conversion'!K19+'Electricity-Conversion'!K30+'Electricity-Conversion'!K41+'Electricity-Conversion'!K52+'Electricity-Conversion'!K63+'Electricity-Conversion'!K74+'Electricity-Conversion'!K85+'Electricity-Conversion'!K96+'Electricity-Conversion'!K107+'Electricity-Conversion'!K118+'Electricity-Conversion'!K129+'Electricity-Conversion'!K140+'Electricity-Conversion'!K151+'Electricity-Conversion'!K162+'Electricity-Conversion'!K174</f>
        <v>75577682.196189016</v>
      </c>
      <c r="L3" s="4">
        <f>'Electricity-Conversion'!L8+'Electricity-Conversion'!L19+'Electricity-Conversion'!L30+'Electricity-Conversion'!L41+'Electricity-Conversion'!L52+'Electricity-Conversion'!L63+'Electricity-Conversion'!L74+'Electricity-Conversion'!L85+'Electricity-Conversion'!L96+'Electricity-Conversion'!L107+'Electricity-Conversion'!L118+'Electricity-Conversion'!L129+'Electricity-Conversion'!L140+'Electricity-Conversion'!L151+'Electricity-Conversion'!L162+'Electricity-Conversion'!L174</f>
        <v>77366223.826629236</v>
      </c>
      <c r="M3" s="4">
        <f>'Electricity-Conversion'!M8+'Electricity-Conversion'!M19+'Electricity-Conversion'!M30+'Electricity-Conversion'!M41+'Electricity-Conversion'!M52+'Electricity-Conversion'!M63+'Electricity-Conversion'!M74+'Electricity-Conversion'!M85+'Electricity-Conversion'!M96+'Electricity-Conversion'!M107+'Electricity-Conversion'!M118+'Electricity-Conversion'!M129+'Electricity-Conversion'!M140+'Electricity-Conversion'!M151+'Electricity-Conversion'!M162+'Electricity-Conversion'!M174</f>
        <v>79231108.353962392</v>
      </c>
      <c r="N3" s="4">
        <f>'Electricity-Conversion'!N8+'Electricity-Conversion'!N19+'Electricity-Conversion'!N30+'Electricity-Conversion'!N41+'Electricity-Conversion'!N52+'Electricity-Conversion'!N63+'Electricity-Conversion'!N74+'Electricity-Conversion'!N85+'Electricity-Conversion'!N96+'Electricity-Conversion'!N107+'Electricity-Conversion'!N118+'Electricity-Conversion'!N129+'Electricity-Conversion'!N140+'Electricity-Conversion'!N151+'Electricity-Conversion'!N162+'Electricity-Conversion'!N174</f>
        <v>81176716.373314098</v>
      </c>
      <c r="O3" s="4">
        <f>'Electricity-Conversion'!O8+'Electricity-Conversion'!O19+'Electricity-Conversion'!O30+'Electricity-Conversion'!O41+'Electricity-Conversion'!O52+'Electricity-Conversion'!O63+'Electricity-Conversion'!O74+'Electricity-Conversion'!O85+'Electricity-Conversion'!O96+'Electricity-Conversion'!O107+'Electricity-Conversion'!O118+'Electricity-Conversion'!O129+'Electricity-Conversion'!O140+'Electricity-Conversion'!O151+'Electricity-Conversion'!O162+'Electricity-Conversion'!O174</f>
        <v>83207690.113112405</v>
      </c>
      <c r="P3" s="4">
        <f>'Electricity-Conversion'!P8+'Electricity-Conversion'!P19+'Electricity-Conversion'!P30+'Electricity-Conversion'!P41+'Electricity-Conversion'!P52+'Electricity-Conversion'!P63+'Electricity-Conversion'!P74+'Electricity-Conversion'!P85+'Electricity-Conversion'!P96+'Electricity-Conversion'!P107+'Electricity-Conversion'!P118+'Electricity-Conversion'!P129+'Electricity-Conversion'!P140+'Electricity-Conversion'!P151+'Electricity-Conversion'!P162+'Electricity-Conversion'!P174</f>
        <v>85256200.052023083</v>
      </c>
      <c r="Q3" s="4">
        <f>'Electricity-Conversion'!Q8+'Electricity-Conversion'!Q19+'Electricity-Conversion'!Q30+'Electricity-Conversion'!Q41+'Electricity-Conversion'!Q52+'Electricity-Conversion'!Q63+'Electricity-Conversion'!Q74+'Electricity-Conversion'!Q85+'Electricity-Conversion'!Q96+'Electricity-Conversion'!Q107+'Electricity-Conversion'!Q118+'Electricity-Conversion'!Q129+'Electricity-Conversion'!Q140+'Electricity-Conversion'!Q151+'Electricity-Conversion'!Q162+'Electricity-Conversion'!Q174</f>
        <v>87399865.049615264</v>
      </c>
      <c r="R3" s="4">
        <f>'Electricity-Conversion'!R8+'Electricity-Conversion'!R19+'Electricity-Conversion'!R30+'Electricity-Conversion'!R41+'Electricity-Conversion'!R52+'Electricity-Conversion'!R63+'Electricity-Conversion'!R74+'Electricity-Conversion'!R85+'Electricity-Conversion'!R96+'Electricity-Conversion'!R107+'Electricity-Conversion'!R118+'Electricity-Conversion'!R129+'Electricity-Conversion'!R140+'Electricity-Conversion'!R151+'Electricity-Conversion'!R162+'Electricity-Conversion'!R174</f>
        <v>89644211.366123185</v>
      </c>
      <c r="S3" s="4">
        <f>'Electricity-Conversion'!S8+'Electricity-Conversion'!S19+'Electricity-Conversion'!S30+'Electricity-Conversion'!S41+'Electricity-Conversion'!S52+'Electricity-Conversion'!S63+'Electricity-Conversion'!S74+'Electricity-Conversion'!S85+'Electricity-Conversion'!S96+'Electricity-Conversion'!S107+'Electricity-Conversion'!S118+'Electricity-Conversion'!S129+'Electricity-Conversion'!S140+'Electricity-Conversion'!S151+'Electricity-Conversion'!S162+'Electricity-Conversion'!S174</f>
        <v>91995096.437315792</v>
      </c>
      <c r="T3" s="4">
        <f>'Electricity-Conversion'!T8+'Electricity-Conversion'!T19+'Electricity-Conversion'!T30+'Electricity-Conversion'!T41+'Electricity-Conversion'!T52+'Electricity-Conversion'!T63+'Electricity-Conversion'!T74+'Electricity-Conversion'!T85+'Electricity-Conversion'!T96+'Electricity-Conversion'!T107+'Electricity-Conversion'!T118+'Electricity-Conversion'!T129+'Electricity-Conversion'!T140+'Electricity-Conversion'!T151+'Electricity-Conversion'!T162+'Electricity-Conversion'!T174</f>
        <v>94458729.013855368</v>
      </c>
      <c r="U3" s="4">
        <f>'Electricity-Conversion'!U8+'Electricity-Conversion'!U19+'Electricity-Conversion'!U30+'Electricity-Conversion'!U41+'Electricity-Conversion'!U52+'Electricity-Conversion'!U63+'Electricity-Conversion'!U74+'Electricity-Conversion'!U85+'Electricity-Conversion'!U96+'Electricity-Conversion'!U107+'Electricity-Conversion'!U118+'Electricity-Conversion'!U129+'Electricity-Conversion'!U140+'Electricity-Conversion'!U151+'Electricity-Conversion'!U162+'Electricity-Conversion'!U174</f>
        <v>96969695.985482976</v>
      </c>
      <c r="V3" s="4">
        <f>'Electricity-Conversion'!V8+'Electricity-Conversion'!V19+'Electricity-Conversion'!V30+'Electricity-Conversion'!V41+'Electricity-Conversion'!V52+'Electricity-Conversion'!V63+'Electricity-Conversion'!V74+'Electricity-Conversion'!V85+'Electricity-Conversion'!V96+'Electricity-Conversion'!V107+'Electricity-Conversion'!V118+'Electricity-Conversion'!V129+'Electricity-Conversion'!V140+'Electricity-Conversion'!V151+'Electricity-Conversion'!V162+'Electricity-Conversion'!V174</f>
        <v>99606631.865379378</v>
      </c>
      <c r="W3" s="4">
        <f>'Electricity-Conversion'!W8+'Electricity-Conversion'!W19+'Electricity-Conversion'!W30+'Electricity-Conversion'!W41+'Electricity-Conversion'!W52+'Electricity-Conversion'!W63+'Electricity-Conversion'!W74+'Electricity-Conversion'!W85+'Electricity-Conversion'!W96+'Electricity-Conversion'!W107+'Electricity-Conversion'!W118+'Electricity-Conversion'!W129+'Electricity-Conversion'!W140+'Electricity-Conversion'!W151+'Electricity-Conversion'!W162+'Electricity-Conversion'!W174</f>
        <v>102376932.98285285</v>
      </c>
      <c r="X3" s="4">
        <f>'Electricity-Conversion'!X8+'Electricity-Conversion'!X19+'Electricity-Conversion'!X30+'Electricity-Conversion'!X41+'Electricity-Conversion'!X52+'Electricity-Conversion'!X63+'Electricity-Conversion'!X74+'Electricity-Conversion'!X85+'Electricity-Conversion'!X96+'Electricity-Conversion'!X107+'Electricity-Conversion'!X118+'Electricity-Conversion'!X129+'Electricity-Conversion'!X140+'Electricity-Conversion'!X151+'Electricity-Conversion'!X162+'Electricity-Conversion'!X174</f>
        <v>105288440.74351977</v>
      </c>
      <c r="Y3" s="4">
        <f>'Electricity-Conversion'!Y8+'Electricity-Conversion'!Y19+'Electricity-Conversion'!Y30+'Electricity-Conversion'!Y41+'Electricity-Conversion'!Y52+'Electricity-Conversion'!Y63+'Electricity-Conversion'!Y74+'Electricity-Conversion'!Y85+'Electricity-Conversion'!Y96+'Electricity-Conversion'!Y107+'Electricity-Conversion'!Y118+'Electricity-Conversion'!Y129+'Electricity-Conversion'!Y140+'Electricity-Conversion'!Y151+'Electricity-Conversion'!Y162+'Electricity-Conversion'!Y174</f>
        <v>108349468.79492539</v>
      </c>
      <c r="Z3" s="4">
        <f>'Electricity-Conversion'!Z8+'Electricity-Conversion'!Z19+'Electricity-Conversion'!Z30+'Electricity-Conversion'!Z41+'Electricity-Conversion'!Z52+'Electricity-Conversion'!Z63+'Electricity-Conversion'!Z74+'Electricity-Conversion'!Z85+'Electricity-Conversion'!Z96+'Electricity-Conversion'!Z107+'Electricity-Conversion'!Z118+'Electricity-Conversion'!Z129+'Electricity-Conversion'!Z140+'Electricity-Conversion'!Z151+'Electricity-Conversion'!Z162+'Electricity-Conversion'!Z174</f>
        <v>111498947.62885238</v>
      </c>
      <c r="AA3" s="4">
        <f>'Electricity-Conversion'!AA8+'Electricity-Conversion'!AA19+'Electricity-Conversion'!AA30+'Electricity-Conversion'!AA41+'Electricity-Conversion'!AA52+'Electricity-Conversion'!AA63+'Electricity-Conversion'!AA74+'Electricity-Conversion'!AA85+'Electricity-Conversion'!AA96+'Electricity-Conversion'!AA107+'Electricity-Conversion'!AA118+'Electricity-Conversion'!AA129+'Electricity-Conversion'!AA140+'Electricity-Conversion'!AA151+'Electricity-Conversion'!AA162+'Electricity-Conversion'!AA174</f>
        <v>114815784.71075216</v>
      </c>
      <c r="AB3" s="4">
        <f>'Electricity-Conversion'!AB8+'Electricity-Conversion'!AB19+'Electricity-Conversion'!AB30+'Electricity-Conversion'!AB41+'Electricity-Conversion'!AB52+'Electricity-Conversion'!AB63+'Electricity-Conversion'!AB74+'Electricity-Conversion'!AB85+'Electricity-Conversion'!AB96+'Electricity-Conversion'!AB107+'Electricity-Conversion'!AB118+'Electricity-Conversion'!AB129+'Electricity-Conversion'!AB140+'Electricity-Conversion'!AB151+'Electricity-Conversion'!AB162+'Electricity-Conversion'!AB174</f>
        <v>118309890.72709388</v>
      </c>
      <c r="AC3" s="4">
        <f>'Electricity-Conversion'!AC8+'Electricity-Conversion'!AC19+'Electricity-Conversion'!AC30+'Electricity-Conversion'!AC41+'Electricity-Conversion'!AC52+'Electricity-Conversion'!AC63+'Electricity-Conversion'!AC74+'Electricity-Conversion'!AC85+'Electricity-Conversion'!AC96+'Electricity-Conversion'!AC107+'Electricity-Conversion'!AC118+'Electricity-Conversion'!AC129+'Electricity-Conversion'!AC140+'Electricity-Conversion'!AC151+'Electricity-Conversion'!AC162+'Electricity-Conversion'!AC174</f>
        <v>121991775.1393455</v>
      </c>
      <c r="AD3" s="4">
        <f>'Electricity-Conversion'!AD8+'Electricity-Conversion'!AD19+'Electricity-Conversion'!AD30+'Electricity-Conversion'!AD41+'Electricity-Conversion'!AD52+'Electricity-Conversion'!AD63+'Electricity-Conversion'!AD74+'Electricity-Conversion'!AD85+'Electricity-Conversion'!AD96+'Electricity-Conversion'!AD107+'Electricity-Conversion'!AD118+'Electricity-Conversion'!AD129+'Electricity-Conversion'!AD140+'Electricity-Conversion'!AD151+'Electricity-Conversion'!AD162+'Electricity-Conversion'!AD174</f>
        <v>125872582.86068781</v>
      </c>
      <c r="AE3" s="4">
        <f>'Electricity-Conversion'!AE8+'Electricity-Conversion'!AE19+'Electricity-Conversion'!AE30+'Electricity-Conversion'!AE41+'Electricity-Conversion'!AE52+'Electricity-Conversion'!AE63+'Electricity-Conversion'!AE74+'Electricity-Conversion'!AE85+'Electricity-Conversion'!AE96+'Electricity-Conversion'!AE107+'Electricity-Conversion'!AE118+'Electricity-Conversion'!AE129+'Electricity-Conversion'!AE140+'Electricity-Conversion'!AE151+'Electricity-Conversion'!AE162+'Electricity-Conversion'!AE174</f>
        <v>129793085.6470177</v>
      </c>
      <c r="AF3" s="4">
        <f>'Electricity-Conversion'!AF8+'Electricity-Conversion'!AF19+'Electricity-Conversion'!AF30+'Electricity-Conversion'!AF41+'Electricity-Conversion'!AF52+'Electricity-Conversion'!AF63+'Electricity-Conversion'!AF74+'Electricity-Conversion'!AF85+'Electricity-Conversion'!AF96+'Electricity-Conversion'!AF107+'Electricity-Conversion'!AF118+'Electricity-Conversion'!AF129+'Electricity-Conversion'!AF140+'Electricity-Conversion'!AF151+'Electricity-Conversion'!AF162+'Electricity-Conversion'!AF174</f>
        <v>133936084.06324175</v>
      </c>
      <c r="AG3" s="4">
        <f>'Electricity-Conversion'!AG8+'Electricity-Conversion'!AG19+'Electricity-Conversion'!AG30+'Electricity-Conversion'!AG41+'Electricity-Conversion'!AG52+'Electricity-Conversion'!AG63+'Electricity-Conversion'!AG74+'Electricity-Conversion'!AG85+'Electricity-Conversion'!AG96+'Electricity-Conversion'!AG107+'Electricity-Conversion'!AG118+'Electricity-Conversion'!AG129+'Electricity-Conversion'!AG140+'Electricity-Conversion'!AG151+'Electricity-Conversion'!AG162+'Electricity-Conversion'!AG174</f>
        <v>138314872.89471757</v>
      </c>
      <c r="AH3" s="4">
        <f>'Electricity-Conversion'!AH8+'Electricity-Conversion'!AH19+'Electricity-Conversion'!AH30+'Electricity-Conversion'!AH41+'Electricity-Conversion'!AH52+'Electricity-Conversion'!AH63+'Electricity-Conversion'!AH74+'Electricity-Conversion'!AH85+'Electricity-Conversion'!AH96+'Electricity-Conversion'!AH107+'Electricity-Conversion'!AH118+'Electricity-Conversion'!AH129+'Electricity-Conversion'!AH140+'Electricity-Conversion'!AH151+'Electricity-Conversion'!AH162+'Electricity-Conversion'!AH174</f>
        <v>142943553.29056334</v>
      </c>
      <c r="AI3" s="4">
        <f>'Electricity-Conversion'!AI8+'Electricity-Conversion'!AI19+'Electricity-Conversion'!AI30+'Electricity-Conversion'!AI41+'Electricity-Conversion'!AI52+'Electricity-Conversion'!AI63+'Electricity-Conversion'!AI74+'Electricity-Conversion'!AI85+'Electricity-Conversion'!AI96+'Electricity-Conversion'!AI107+'Electricity-Conversion'!AI118+'Electricity-Conversion'!AI129+'Electricity-Conversion'!AI140+'Electricity-Conversion'!AI151+'Electricity-Conversion'!AI162+'Electricity-Conversion'!AI174</f>
        <v>147837082.32491556</v>
      </c>
      <c r="AJ3" s="4">
        <f>'Electricity-Conversion'!AJ8+'Electricity-Conversion'!AJ19+'Electricity-Conversion'!AJ30+'Electricity-Conversion'!AJ41+'Electricity-Conversion'!AJ52+'Electricity-Conversion'!AJ63+'Electricity-Conversion'!AJ74+'Electricity-Conversion'!AJ85+'Electricity-Conversion'!AJ96+'Electricity-Conversion'!AJ107+'Electricity-Conversion'!AJ118+'Electricity-Conversion'!AJ129+'Electricity-Conversion'!AJ140+'Electricity-Conversion'!AJ151+'Electricity-Conversion'!AJ162+'Electricity-Conversion'!AJ174</f>
        <v>153011325.63949513</v>
      </c>
      <c r="AK3" s="4">
        <f>'Electricity-Conversion'!AK8+'Electricity-Conversion'!AK19+'Electricity-Conversion'!AK30+'Electricity-Conversion'!AK41+'Electricity-Conversion'!AK52+'Electricity-Conversion'!AK63+'Electricity-Conversion'!AK74+'Electricity-Conversion'!AK85+'Electricity-Conversion'!AK96+'Electricity-Conversion'!AK107+'Electricity-Conversion'!AK118+'Electricity-Conversion'!AK129+'Electricity-Conversion'!AK140+'Electricity-Conversion'!AK151+'Electricity-Conversion'!AK162+'Electricity-Conversion'!AK174</f>
        <v>158483113.36091781</v>
      </c>
      <c r="AL3" s="4">
        <f>'Electricity-Conversion'!AL8+'Electricity-Conversion'!AL19+'Electricity-Conversion'!AL30+'Electricity-Conversion'!AL41+'Electricity-Conversion'!AL52+'Electricity-Conversion'!AL63+'Electricity-Conversion'!AL74+'Electricity-Conversion'!AL85+'Electricity-Conversion'!AL96+'Electricity-Conversion'!AL107+'Electricity-Conversion'!AL118+'Electricity-Conversion'!AL129+'Electricity-Conversion'!AL140+'Electricity-Conversion'!AL151+'Electricity-Conversion'!AL162+'Electricity-Conversion'!AL174</f>
        <v>164270299.49842656</v>
      </c>
      <c r="AM3" s="4">
        <f>'Electricity-Conversion'!AM8+'Electricity-Conversion'!AM19+'Electricity-Conversion'!AM30+'Electricity-Conversion'!AM41+'Electricity-Conversion'!AM52+'Electricity-Conversion'!AM63+'Electricity-Conversion'!AM74+'Electricity-Conversion'!AM85+'Electricity-Conversion'!AM96+'Electricity-Conversion'!AM107+'Electricity-Conversion'!AM118+'Electricity-Conversion'!AM129+'Electricity-Conversion'!AM140+'Electricity-Conversion'!AM151+'Electricity-Conversion'!AM162+'Electricity-Conversion'!AM174</f>
        <v>170391825.04074356</v>
      </c>
      <c r="AN3" s="4">
        <f>'Electricity-Conversion'!AN8+'Electricity-Conversion'!AN19+'Electricity-Conversion'!AN30+'Electricity-Conversion'!AN41+'Electricity-Conversion'!AN52+'Electricity-Conversion'!AN63+'Electricity-Conversion'!AN74+'Electricity-Conversion'!AN85+'Electricity-Conversion'!AN96+'Electricity-Conversion'!AN107+'Electricity-Conversion'!AN118+'Electricity-Conversion'!AN129+'Electricity-Conversion'!AN140+'Electricity-Conversion'!AN151+'Electricity-Conversion'!AN162+'Electricity-Conversion'!AN174</f>
        <v>176867784.98459217</v>
      </c>
      <c r="AO3" s="42">
        <f>'Electricity-Conversion'!AO8+'Electricity-Conversion'!AO19+'Electricity-Conversion'!AO30+'Electricity-Conversion'!AO41+'Electricity-Conversion'!AO52+'Electricity-Conversion'!AO63+'Electricity-Conversion'!AO74+'Electricity-Conversion'!AO85+'Electricity-Conversion'!AO96+'Electricity-Conversion'!AO107+'Electricity-Conversion'!AO118+'Electricity-Conversion'!AO129+'Electricity-Conversion'!AO140+'Electricity-Conversion'!AO151+'Electricity-Conversion'!AO162+'Electricity-Conversion'!AO174</f>
        <v>183720194.68561265</v>
      </c>
      <c r="AP3" s="42">
        <f>'Electricity-Conversion'!AP8+'Electricity-Conversion'!AP19+'Electricity-Conversion'!AP30+'Electricity-Conversion'!AP41+'Electricity-Conversion'!AP52+'Electricity-Conversion'!AP63+'Electricity-Conversion'!AP74+'Electricity-Conversion'!AP85+'Electricity-Conversion'!AP96+'Electricity-Conversion'!AP107+'Electricity-Conversion'!AP118+'Electricity-Conversion'!AP129+'Electricity-Conversion'!AP140+'Electricity-Conversion'!AP151+'Electricity-Conversion'!AP162+'Electricity-Conversion'!AP174</f>
        <v>190971678.78508079</v>
      </c>
      <c r="AQ3" s="42">
        <f>'Electricity-Conversion'!AQ8+'Electricity-Conversion'!AQ19+'Electricity-Conversion'!AQ30+'Electricity-Conversion'!AQ41+'Electricity-Conversion'!AQ52+'Electricity-Conversion'!AQ63+'Electricity-Conversion'!AQ74+'Electricity-Conversion'!AQ85+'Electricity-Conversion'!AQ96+'Electricity-Conversion'!AQ107+'Electricity-Conversion'!AQ118+'Electricity-Conversion'!AQ129+'Electricity-Conversion'!AQ140+'Electricity-Conversion'!AQ151+'Electricity-Conversion'!AQ162+'Electricity-Conversion'!AQ174</f>
        <v>198646243.17832088</v>
      </c>
      <c r="AR3" s="42">
        <f>'Electricity-Conversion'!AR8+'Electricity-Conversion'!AR19+'Electricity-Conversion'!AR30+'Electricity-Conversion'!AR41+'Electricity-Conversion'!AR52+'Electricity-Conversion'!AR63+'Electricity-Conversion'!AR74+'Electricity-Conversion'!AR85+'Electricity-Conversion'!AR96+'Electricity-Conversion'!AR107+'Electricity-Conversion'!AR118+'Electricity-Conversion'!AR129+'Electricity-Conversion'!AR140+'Electricity-Conversion'!AR151+'Electricity-Conversion'!AR162+'Electricity-Conversion'!AR174</f>
        <v>206769360.4046177</v>
      </c>
      <c r="AS3" s="42">
        <f>'Electricity-Conversion'!AS8+'Electricity-Conversion'!AS19+'Electricity-Conversion'!AS30+'Electricity-Conversion'!AS41+'Electricity-Conversion'!AS52+'Electricity-Conversion'!AS63+'Electricity-Conversion'!AS74+'Electricity-Conversion'!AS85+'Electricity-Conversion'!AS96+'Electricity-Conversion'!AS107+'Electricity-Conversion'!AS118+'Electricity-Conversion'!AS129+'Electricity-Conversion'!AS140+'Electricity-Conversion'!AS151+'Electricity-Conversion'!AS162+'Electricity-Conversion'!AS174</f>
        <v>215368060.3722629</v>
      </c>
      <c r="AT3" s="42">
        <f>'Electricity-Conversion'!AT8+'Electricity-Conversion'!AT19+'Electricity-Conversion'!AT30+'Electricity-Conversion'!AT41+'Electricity-Conversion'!AT52+'Electricity-Conversion'!AT63+'Electricity-Conversion'!AT74+'Electricity-Conversion'!AT85+'Electricity-Conversion'!AT96+'Electricity-Conversion'!AT107+'Electricity-Conversion'!AT118+'Electricity-Conversion'!AT129+'Electricity-Conversion'!AT140+'Electricity-Conversion'!AT151+'Electricity-Conversion'!AT162+'Electricity-Conversion'!AT174</f>
        <v>224471026.75504082</v>
      </c>
      <c r="AU3" s="42">
        <f>'Electricity-Conversion'!AU8+'Electricity-Conversion'!AU19+'Electricity-Conversion'!AU30+'Electricity-Conversion'!AU41+'Electricity-Conversion'!AU52+'Electricity-Conversion'!AU63+'Electricity-Conversion'!AU74+'Electricity-Conversion'!AU85+'Electricity-Conversion'!AU96+'Electricity-Conversion'!AU107+'Electricity-Conversion'!AU118+'Electricity-Conversion'!AU129+'Electricity-Conversion'!AU140+'Electricity-Conversion'!AU151+'Electricity-Conversion'!AU162+'Electricity-Conversion'!AU174</f>
        <v>234108699.41781402</v>
      </c>
      <c r="AV3" s="42">
        <f>'Electricity-Conversion'!AV8+'Electricity-Conversion'!AV19+'Electricity-Conversion'!AV30+'Electricity-Conversion'!AV41+'Electricity-Conversion'!AV52+'Electricity-Conversion'!AV63+'Electricity-Conversion'!AV74+'Electricity-Conversion'!AV85+'Electricity-Conversion'!AV96+'Electricity-Conversion'!AV107+'Electricity-Conversion'!AV118+'Electricity-Conversion'!AV129+'Electricity-Conversion'!AV140+'Electricity-Conversion'!AV151+'Electricity-Conversion'!AV162+'Electricity-Conversion'!AV174</f>
        <v>244313383.25158605</v>
      </c>
      <c r="AW3" s="42">
        <f>'Electricity-Conversion'!AW8+'Electricity-Conversion'!AW19+'Electricity-Conversion'!AW30+'Electricity-Conversion'!AW41+'Electricity-Conversion'!AW52+'Electricity-Conversion'!AW63+'Electricity-Conversion'!AW74+'Electricity-Conversion'!AW85+'Electricity-Conversion'!AW96+'Electricity-Conversion'!AW107+'Electricity-Conversion'!AW118+'Electricity-Conversion'!AW129+'Electricity-Conversion'!AW140+'Electricity-Conversion'!AW151+'Electricity-Conversion'!AW162+'Electricity-Conversion'!AW174</f>
        <v>255119363.8225902</v>
      </c>
      <c r="AX3" s="42">
        <f>'Electricity-Conversion'!AX8+'Electricity-Conversion'!AX19+'Electricity-Conversion'!AX30+'Electricity-Conversion'!AX41+'Electricity-Conversion'!AX52+'Electricity-Conversion'!AX63+'Electricity-Conversion'!AX74+'Electricity-Conversion'!AX85+'Electricity-Conversion'!AX96+'Electricity-Conversion'!AX107+'Electricity-Conversion'!AX118+'Electricity-Conversion'!AX129+'Electricity-Conversion'!AX140+'Electricity-Conversion'!AX151+'Electricity-Conversion'!AX162+'Electricity-Conversion'!AX174</f>
        <v>266563030.26566547</v>
      </c>
    </row>
    <row r="4" spans="1:50" x14ac:dyDescent="0.2">
      <c r="A4" s="10" t="s">
        <v>36</v>
      </c>
      <c r="B4" s="4">
        <f>'Electricity-Conversion'!B141+'Electricity-Conversion'!B152+'Electricity-Conversion'!B163+'Electricity-Conversion'!B175+'Electricity-Conversion'!B130+'Electricity-Conversion'!B119+'Electricity-Conversion'!B108+'Electricity-Conversion'!B97+'Electricity-Conversion'!B86+'Electricity-Conversion'!B75+'Electricity-Conversion'!B64+'Electricity-Conversion'!B53+'Electricity-Conversion'!B42+'Electricity-Conversion'!B31+'Electricity-Conversion'!B20+'Electricity-Conversion'!B9</f>
        <v>16096471.430582318</v>
      </c>
      <c r="C4" s="4">
        <f>'Electricity-Conversion'!C141+'Electricity-Conversion'!C152+'Electricity-Conversion'!C163+'Electricity-Conversion'!C175+'Electricity-Conversion'!C130+'Electricity-Conversion'!C119+'Electricity-Conversion'!C108+'Electricity-Conversion'!C97+'Electricity-Conversion'!C86+'Electricity-Conversion'!C75+'Electricity-Conversion'!C64+'Electricity-Conversion'!C53+'Electricity-Conversion'!C42+'Electricity-Conversion'!C31+'Electricity-Conversion'!C20+'Electricity-Conversion'!C9</f>
        <v>16568464.566705395</v>
      </c>
      <c r="D4" s="4">
        <f>'Electricity-Conversion'!D141+'Electricity-Conversion'!D152+'Electricity-Conversion'!D163+'Electricity-Conversion'!D175+'Electricity-Conversion'!D130+'Electricity-Conversion'!D119+'Electricity-Conversion'!D108+'Electricity-Conversion'!D97+'Electricity-Conversion'!D86+'Electricity-Conversion'!D75+'Electricity-Conversion'!D64+'Electricity-Conversion'!D53+'Electricity-Conversion'!D42+'Electricity-Conversion'!D31+'Electricity-Conversion'!D20+'Electricity-Conversion'!D9</f>
        <v>16860772.3408003</v>
      </c>
      <c r="E4" s="4">
        <f>'Electricity-Conversion'!E141+'Electricity-Conversion'!E152+'Electricity-Conversion'!E163+'Electricity-Conversion'!E175+'Electricity-Conversion'!E130+'Electricity-Conversion'!E119+'Electricity-Conversion'!E108+'Electricity-Conversion'!E97+'Electricity-Conversion'!E86+'Electricity-Conversion'!E75+'Electricity-Conversion'!E64+'Electricity-Conversion'!E53+'Electricity-Conversion'!E42+'Electricity-Conversion'!E31+'Electricity-Conversion'!E20+'Electricity-Conversion'!E9</f>
        <v>17165998.473389722</v>
      </c>
      <c r="F4" s="4">
        <f>'Electricity-Conversion'!F141+'Electricity-Conversion'!F152+'Electricity-Conversion'!F163+'Electricity-Conversion'!F175+'Electricity-Conversion'!F130+'Electricity-Conversion'!F119+'Electricity-Conversion'!F108+'Electricity-Conversion'!F97+'Electricity-Conversion'!F86+'Electricity-Conversion'!F75+'Electricity-Conversion'!F64+'Electricity-Conversion'!F53+'Electricity-Conversion'!F42+'Electricity-Conversion'!F31+'Electricity-Conversion'!F20+'Electricity-Conversion'!F9</f>
        <v>17556717.41482833</v>
      </c>
      <c r="G4" s="4">
        <f>'Electricity-Conversion'!G141+'Electricity-Conversion'!G152+'Electricity-Conversion'!G163+'Electricity-Conversion'!G175+'Electricity-Conversion'!G130+'Electricity-Conversion'!G119+'Electricity-Conversion'!G108+'Electricity-Conversion'!G97+'Electricity-Conversion'!G86+'Electricity-Conversion'!G75+'Electricity-Conversion'!G64+'Electricity-Conversion'!G53+'Electricity-Conversion'!G42+'Electricity-Conversion'!G31+'Electricity-Conversion'!G20+'Electricity-Conversion'!G9</f>
        <v>17962268.362160604</v>
      </c>
      <c r="H4" s="4">
        <f>'Electricity-Conversion'!H141+'Electricity-Conversion'!H152+'Electricity-Conversion'!H163+'Electricity-Conversion'!H175+'Electricity-Conversion'!H130+'Electricity-Conversion'!H119+'Electricity-Conversion'!H108+'Electricity-Conversion'!H97+'Electricity-Conversion'!H86+'Electricity-Conversion'!H75+'Electricity-Conversion'!H64+'Electricity-Conversion'!H53+'Electricity-Conversion'!H42+'Electricity-Conversion'!H31+'Electricity-Conversion'!H20+'Electricity-Conversion'!H9</f>
        <v>18383497.783023376</v>
      </c>
      <c r="I4" s="4">
        <f>'Electricity-Conversion'!I141+'Electricity-Conversion'!I152+'Electricity-Conversion'!I163+'Electricity-Conversion'!I175+'Electricity-Conversion'!I130+'Electricity-Conversion'!I119+'Electricity-Conversion'!I108+'Electricity-Conversion'!I97+'Electricity-Conversion'!I86+'Electricity-Conversion'!I75+'Electricity-Conversion'!I64+'Electricity-Conversion'!I53+'Electricity-Conversion'!I42+'Electricity-Conversion'!I31+'Electricity-Conversion'!I20+'Electricity-Conversion'!I9</f>
        <v>18821303.200602815</v>
      </c>
      <c r="J4" s="4">
        <f>'Electricity-Conversion'!J141+'Electricity-Conversion'!J152+'Electricity-Conversion'!J163+'Electricity-Conversion'!J175+'Electricity-Conversion'!J130+'Electricity-Conversion'!J119+'Electricity-Conversion'!J108+'Electricity-Conversion'!J97+'Electricity-Conversion'!J86+'Electricity-Conversion'!J75+'Electricity-Conversion'!J64+'Electricity-Conversion'!J53+'Electricity-Conversion'!J42+'Electricity-Conversion'!J31+'Electricity-Conversion'!J20+'Electricity-Conversion'!J9</f>
        <v>19276636.316313572</v>
      </c>
      <c r="K4" s="4">
        <f>'Electricity-Conversion'!K141+'Electricity-Conversion'!K152+'Electricity-Conversion'!K163+'Electricity-Conversion'!K175+'Electricity-Conversion'!K130+'Electricity-Conversion'!K119+'Electricity-Conversion'!K108+'Electricity-Conversion'!K97+'Electricity-Conversion'!K86+'Electricity-Conversion'!K75+'Electricity-Conversion'!K64+'Electricity-Conversion'!K53+'Electricity-Conversion'!K42+'Electricity-Conversion'!K31+'Electricity-Conversion'!K20+'Electricity-Conversion'!K9</f>
        <v>19731913.873307176</v>
      </c>
      <c r="L4" s="4">
        <f>'Electricity-Conversion'!L141+'Electricity-Conversion'!L152+'Electricity-Conversion'!L163+'Electricity-Conversion'!L175+'Electricity-Conversion'!L130+'Electricity-Conversion'!L119+'Electricity-Conversion'!L108+'Electricity-Conversion'!L97+'Electricity-Conversion'!L86+'Electricity-Conversion'!L75+'Electricity-Conversion'!L64+'Electricity-Conversion'!L53+'Electricity-Conversion'!L42+'Electricity-Conversion'!L31+'Electricity-Conversion'!L20+'Electricity-Conversion'!L9</f>
        <v>20206705.917924028</v>
      </c>
      <c r="M4" s="4">
        <f>'Electricity-Conversion'!M141+'Electricity-Conversion'!M152+'Electricity-Conversion'!M163+'Electricity-Conversion'!M175+'Electricity-Conversion'!M130+'Electricity-Conversion'!M119+'Electricity-Conversion'!M108+'Electricity-Conversion'!M97+'Electricity-Conversion'!M86+'Electricity-Conversion'!M75+'Electricity-Conversion'!M64+'Electricity-Conversion'!M53+'Electricity-Conversion'!M42+'Electricity-Conversion'!M31+'Electricity-Conversion'!M20+'Electricity-Conversion'!M9</f>
        <v>20702147.416855238</v>
      </c>
      <c r="N4" s="4">
        <f>'Electricity-Conversion'!N141+'Electricity-Conversion'!N152+'Electricity-Conversion'!N163+'Electricity-Conversion'!N175+'Electricity-Conversion'!N130+'Electricity-Conversion'!N119+'Electricity-Conversion'!N108+'Electricity-Conversion'!N97+'Electricity-Conversion'!N86+'Electricity-Conversion'!N75+'Electricity-Conversion'!N64+'Electricity-Conversion'!N53+'Electricity-Conversion'!N42+'Electricity-Conversion'!N31+'Electricity-Conversion'!N20+'Electricity-Conversion'!N9</f>
        <v>21219442.063823719</v>
      </c>
      <c r="O4" s="4">
        <f>'Electricity-Conversion'!O141+'Electricity-Conversion'!O152+'Electricity-Conversion'!O163+'Electricity-Conversion'!O175+'Electricity-Conversion'!O130+'Electricity-Conversion'!O119+'Electricity-Conversion'!O108+'Electricity-Conversion'!O97+'Electricity-Conversion'!O86+'Electricity-Conversion'!O75+'Electricity-Conversion'!O64+'Electricity-Conversion'!O53+'Electricity-Conversion'!O42+'Electricity-Conversion'!O31+'Electricity-Conversion'!O20+'Electricity-Conversion'!O9</f>
        <v>21759866.497720957</v>
      </c>
      <c r="P4" s="4">
        <f>'Electricity-Conversion'!P141+'Electricity-Conversion'!P152+'Electricity-Conversion'!P163+'Electricity-Conversion'!P175+'Electricity-Conversion'!P130+'Electricity-Conversion'!P119+'Electricity-Conversion'!P108+'Electricity-Conversion'!P97+'Electricity-Conversion'!P86+'Electricity-Conversion'!P75+'Electricity-Conversion'!P64+'Electricity-Conversion'!P53+'Electricity-Conversion'!P42+'Electricity-Conversion'!P31+'Electricity-Conversion'!P20+'Electricity-Conversion'!P9</f>
        <v>22305733.174501266</v>
      </c>
      <c r="Q4" s="4">
        <f>'Electricity-Conversion'!Q141+'Electricity-Conversion'!Q152+'Electricity-Conversion'!Q163+'Electricity-Conversion'!Q175+'Electricity-Conversion'!Q130+'Electricity-Conversion'!Q119+'Electricity-Conversion'!Q108+'Electricity-Conversion'!Q97+'Electricity-Conversion'!Q86+'Electricity-Conversion'!Q75+'Electricity-Conversion'!Q64+'Electricity-Conversion'!Q53+'Electricity-Conversion'!Q42+'Electricity-Conversion'!Q31+'Electricity-Conversion'!Q20+'Electricity-Conversion'!Q9</f>
        <v>22877426.261956144</v>
      </c>
      <c r="R4" s="4">
        <f>'Electricity-Conversion'!R141+'Electricity-Conversion'!R152+'Electricity-Conversion'!R163+'Electricity-Conversion'!R175+'Electricity-Conversion'!R130+'Electricity-Conversion'!R119+'Electricity-Conversion'!R108+'Electricity-Conversion'!R97+'Electricity-Conversion'!R86+'Electricity-Conversion'!R75+'Electricity-Conversion'!R64+'Electricity-Conversion'!R53+'Electricity-Conversion'!R42+'Electricity-Conversion'!R31+'Electricity-Conversion'!R20+'Electricity-Conversion'!R9</f>
        <v>23476469.245772317</v>
      </c>
      <c r="S4" s="4">
        <f>'Electricity-Conversion'!S141+'Electricity-Conversion'!S152+'Electricity-Conversion'!S163+'Electricity-Conversion'!S175+'Electricity-Conversion'!S130+'Electricity-Conversion'!S119+'Electricity-Conversion'!S108+'Electricity-Conversion'!S97+'Electricity-Conversion'!S86+'Electricity-Conversion'!S75+'Electricity-Conversion'!S64+'Electricity-Conversion'!S53+'Electricity-Conversion'!S42+'Electricity-Conversion'!S31+'Electricity-Conversion'!S20+'Electricity-Conversion'!S9</f>
        <v>24104478.218174025</v>
      </c>
      <c r="T4" s="4">
        <f>'Electricity-Conversion'!T141+'Electricity-Conversion'!T152+'Electricity-Conversion'!T163+'Electricity-Conversion'!T175+'Electricity-Conversion'!T130+'Electricity-Conversion'!T119+'Electricity-Conversion'!T108+'Electricity-Conversion'!T97+'Electricity-Conversion'!T86+'Electricity-Conversion'!T75+'Electricity-Conversion'!T64+'Electricity-Conversion'!T53+'Electricity-Conversion'!T42+'Electricity-Conversion'!T31+'Electricity-Conversion'!T20+'Electricity-Conversion'!T9</f>
        <v>24763167.580694869</v>
      </c>
      <c r="U4" s="4">
        <f>'Electricity-Conversion'!U141+'Electricity-Conversion'!U152+'Electricity-Conversion'!U163+'Electricity-Conversion'!U175+'Electricity-Conversion'!U130+'Electricity-Conversion'!U119+'Electricity-Conversion'!U108+'Electricity-Conversion'!U97+'Electricity-Conversion'!U86+'Electricity-Conversion'!U75+'Electricity-Conversion'!U64+'Electricity-Conversion'!U53+'Electricity-Conversion'!U42+'Electricity-Conversion'!U31+'Electricity-Conversion'!U20+'Electricity-Conversion'!U9</f>
        <v>25435503.390159652</v>
      </c>
      <c r="V4" s="4">
        <f>'Electricity-Conversion'!V141+'Electricity-Conversion'!V152+'Electricity-Conversion'!V163+'Electricity-Conversion'!V175+'Electricity-Conversion'!V130+'Electricity-Conversion'!V119+'Electricity-Conversion'!V108+'Electricity-Conversion'!V97+'Electricity-Conversion'!V86+'Electricity-Conversion'!V75+'Electricity-Conversion'!V64+'Electricity-Conversion'!V53+'Electricity-Conversion'!V42+'Electricity-Conversion'!V31+'Electricity-Conversion'!V20+'Electricity-Conversion'!V9</f>
        <v>26142176.298156105</v>
      </c>
      <c r="W4" s="4">
        <f>'Electricity-Conversion'!W141+'Electricity-Conversion'!W152+'Electricity-Conversion'!W163+'Electricity-Conversion'!W175+'Electricity-Conversion'!W130+'Electricity-Conversion'!W119+'Electricity-Conversion'!W108+'Electricity-Conversion'!W97+'Electricity-Conversion'!W86+'Electricity-Conversion'!W75+'Electricity-Conversion'!W64+'Electricity-Conversion'!W53+'Electricity-Conversion'!W42+'Electricity-Conversion'!W31+'Electricity-Conversion'!W20+'Electricity-Conversion'!W9</f>
        <v>26885233.51512678</v>
      </c>
      <c r="X4" s="4">
        <f>'Electricity-Conversion'!X141+'Electricity-Conversion'!X152+'Electricity-Conversion'!X163+'Electricity-Conversion'!X175+'Electricity-Conversion'!X130+'Electricity-Conversion'!X119+'Electricity-Conversion'!X108+'Electricity-Conversion'!X97+'Electricity-Conversion'!X86+'Electricity-Conversion'!X75+'Electricity-Conversion'!X64+'Electricity-Conversion'!X53+'Electricity-Conversion'!X42+'Electricity-Conversion'!X31+'Electricity-Conversion'!X20+'Electricity-Conversion'!X9</f>
        <v>27666847.153631717</v>
      </c>
      <c r="Y4" s="4">
        <f>'Electricity-Conversion'!Y141+'Electricity-Conversion'!Y152+'Electricity-Conversion'!Y163+'Electricity-Conversion'!Y175+'Electricity-Conversion'!Y130+'Electricity-Conversion'!Y119+'Electricity-Conversion'!Y108+'Electricity-Conversion'!Y97+'Electricity-Conversion'!Y86+'Electricity-Conversion'!Y75+'Electricity-Conversion'!Y64+'Electricity-Conversion'!Y53+'Electricity-Conversion'!Y42+'Electricity-Conversion'!Y31+'Electricity-Conversion'!Y20+'Electricity-Conversion'!Y9</f>
        <v>28489321.944623131</v>
      </c>
      <c r="Z4" s="4">
        <f>'Electricity-Conversion'!Z141+'Electricity-Conversion'!Z152+'Electricity-Conversion'!Z163+'Electricity-Conversion'!Z175+'Electricity-Conversion'!Z130+'Electricity-Conversion'!Z119+'Electricity-Conversion'!Z108+'Electricity-Conversion'!Z97+'Electricity-Conversion'!Z86+'Electricity-Conversion'!Z75+'Electricity-Conversion'!Z64+'Electricity-Conversion'!Z53+'Electricity-Conversion'!Z42+'Electricity-Conversion'!Z31+'Electricity-Conversion'!Z20+'Electricity-Conversion'!Z9</f>
        <v>29336795.145422846</v>
      </c>
      <c r="AA4" s="4">
        <f>'Electricity-Conversion'!AA141+'Electricity-Conversion'!AA152+'Electricity-Conversion'!AA163+'Electricity-Conversion'!AA175+'Electricity-Conversion'!AA130+'Electricity-Conversion'!AA119+'Electricity-Conversion'!AA108+'Electricity-Conversion'!AA97+'Electricity-Conversion'!AA86+'Electricity-Conversion'!AA75+'Electricity-Conversion'!AA64+'Electricity-Conversion'!AA53+'Electricity-Conversion'!AA42+'Electricity-Conversion'!AA31+'Electricity-Conversion'!AA20+'Electricity-Conversion'!AA9</f>
        <v>30230082.20312852</v>
      </c>
      <c r="AB4" s="4">
        <f>'Electricity-Conversion'!AB141+'Electricity-Conversion'!AB152+'Electricity-Conversion'!AB163+'Electricity-Conversion'!AB175+'Electricity-Conversion'!AB130+'Electricity-Conversion'!AB119+'Electricity-Conversion'!AB108+'Electricity-Conversion'!AB97+'Electricity-Conversion'!AB86+'Electricity-Conversion'!AB75+'Electricity-Conversion'!AB64+'Electricity-Conversion'!AB53+'Electricity-Conversion'!AB42+'Electricity-Conversion'!AB31+'Electricity-Conversion'!AB20+'Electricity-Conversion'!AB9</f>
        <v>31171936.97352339</v>
      </c>
      <c r="AC4" s="4">
        <f>'Electricity-Conversion'!AC141+'Electricity-Conversion'!AC152+'Electricity-Conversion'!AC163+'Electricity-Conversion'!AC175+'Electricity-Conversion'!AC130+'Electricity-Conversion'!AC119+'Electricity-Conversion'!AC108+'Electricity-Conversion'!AC97+'Electricity-Conversion'!AC86+'Electricity-Conversion'!AC75+'Electricity-Conversion'!AC64+'Electricity-Conversion'!AC53+'Electricity-Conversion'!AC42+'Electricity-Conversion'!AC31+'Electricity-Conversion'!AC20+'Electricity-Conversion'!AC9</f>
        <v>32165281.927507695</v>
      </c>
      <c r="AD4" s="4">
        <f>'Electricity-Conversion'!AD141+'Electricity-Conversion'!AD152+'Electricity-Conversion'!AD163+'Electricity-Conversion'!AD175+'Electricity-Conversion'!AD130+'Electricity-Conversion'!AD119+'Electricity-Conversion'!AD108+'Electricity-Conversion'!AD97+'Electricity-Conversion'!AD86+'Electricity-Conversion'!AD75+'Electricity-Conversion'!AD64+'Electricity-Conversion'!AD53+'Electricity-Conversion'!AD42+'Electricity-Conversion'!AD31+'Electricity-Conversion'!AD20+'Electricity-Conversion'!AD9</f>
        <v>33213218.599988747</v>
      </c>
      <c r="AE4" s="4">
        <f>'Electricity-Conversion'!AE141+'Electricity-Conversion'!AE152+'Electricity-Conversion'!AE163+'Electricity-Conversion'!AE175+'Electricity-Conversion'!AE130+'Electricity-Conversion'!AE119+'Electricity-Conversion'!AE108+'Electricity-Conversion'!AE97+'Electricity-Conversion'!AE86+'Electricity-Conversion'!AE75+'Electricity-Conversion'!AE64+'Electricity-Conversion'!AE53+'Electricity-Conversion'!AE42+'Electricity-Conversion'!AE31+'Electricity-Conversion'!AE20+'Electricity-Conversion'!AE9</f>
        <v>34274208.022696152</v>
      </c>
      <c r="AF4" s="4">
        <f>'Electricity-Conversion'!AF141+'Electricity-Conversion'!AF152+'Electricity-Conversion'!AF163+'Electricity-Conversion'!AF175+'Electricity-Conversion'!AF130+'Electricity-Conversion'!AF119+'Electricity-Conversion'!AF108+'Electricity-Conversion'!AF97+'Electricity-Conversion'!AF86+'Electricity-Conversion'!AF75+'Electricity-Conversion'!AF64+'Electricity-Conversion'!AF53+'Electricity-Conversion'!AF42+'Electricity-Conversion'!AF31+'Electricity-Conversion'!AF20+'Electricity-Conversion'!AF9</f>
        <v>35396361.808207586</v>
      </c>
      <c r="AG4" s="4">
        <f>'Electricity-Conversion'!AG141+'Electricity-Conversion'!AG152+'Electricity-Conversion'!AG163+'Electricity-Conversion'!AG175+'Electricity-Conversion'!AG130+'Electricity-Conversion'!AG119+'Electricity-Conversion'!AG108+'Electricity-Conversion'!AG97+'Electricity-Conversion'!AG86+'Electricity-Conversion'!AG75+'Electricity-Conversion'!AG64+'Electricity-Conversion'!AG53+'Electricity-Conversion'!AG42+'Electricity-Conversion'!AG31+'Electricity-Conversion'!AG20+'Electricity-Conversion'!AG9</f>
        <v>36583388.127511077</v>
      </c>
      <c r="AH4" s="4">
        <f>'Electricity-Conversion'!AH141+'Electricity-Conversion'!AH152+'Electricity-Conversion'!AH163+'Electricity-Conversion'!AH175+'Electricity-Conversion'!AH130+'Electricity-Conversion'!AH119+'Electricity-Conversion'!AH108+'Electricity-Conversion'!AH97+'Electricity-Conversion'!AH86+'Electricity-Conversion'!AH75+'Electricity-Conversion'!AH64+'Electricity-Conversion'!AH53+'Electricity-Conversion'!AH42+'Electricity-Conversion'!AH31+'Electricity-Conversion'!AH20+'Electricity-Conversion'!AH9</f>
        <v>37839222.979074225</v>
      </c>
      <c r="AI4" s="4">
        <f>'Electricity-Conversion'!AI141+'Electricity-Conversion'!AI152+'Electricity-Conversion'!AI163+'Electricity-Conversion'!AI175+'Electricity-Conversion'!AI130+'Electricity-Conversion'!AI119+'Electricity-Conversion'!AI108+'Electricity-Conversion'!AI97+'Electricity-Conversion'!AI86+'Electricity-Conversion'!AI75+'Electricity-Conversion'!AI64+'Electricity-Conversion'!AI53+'Electricity-Conversion'!AI42+'Electricity-Conversion'!AI31+'Electricity-Conversion'!AI20+'Electricity-Conversion'!AI9</f>
        <v>39168044.348673865</v>
      </c>
      <c r="AJ4" s="4">
        <f>'Electricity-Conversion'!AJ141+'Electricity-Conversion'!AJ152+'Electricity-Conversion'!AJ163+'Electricity-Conversion'!AJ175+'Electricity-Conversion'!AJ130+'Electricity-Conversion'!AJ119+'Electricity-Conversion'!AJ108+'Electricity-Conversion'!AJ97+'Electricity-Conversion'!AJ86+'Electricity-Conversion'!AJ75+'Electricity-Conversion'!AJ64+'Electricity-Conversion'!AJ53+'Electricity-Conversion'!AJ42+'Electricity-Conversion'!AJ31+'Electricity-Conversion'!AJ20+'Electricity-Conversion'!AJ9</f>
        <v>40574287.257899366</v>
      </c>
      <c r="AK4" s="4">
        <f>'Electricity-Conversion'!AK141+'Electricity-Conversion'!AK152+'Electricity-Conversion'!AK163+'Electricity-Conversion'!AK175+'Electricity-Conversion'!AK130+'Electricity-Conversion'!AK119+'Electricity-Conversion'!AK108+'Electricity-Conversion'!AK97+'Electricity-Conversion'!AK86+'Electricity-Conversion'!AK75+'Electricity-Conversion'!AK64+'Electricity-Conversion'!AK53+'Electricity-Conversion'!AK42+'Electricity-Conversion'!AK31+'Electricity-Conversion'!AK20+'Electricity-Conversion'!AK9</f>
        <v>42062659.757555589</v>
      </c>
      <c r="AL4" s="4">
        <f>'Electricity-Conversion'!AL141+'Electricity-Conversion'!AL152+'Electricity-Conversion'!AL163+'Electricity-Conversion'!AL175+'Electricity-Conversion'!AL130+'Electricity-Conversion'!AL119+'Electricity-Conversion'!AL108+'Electricity-Conversion'!AL97+'Electricity-Conversion'!AL86+'Electricity-Conversion'!AL75+'Electricity-Conversion'!AL64+'Electricity-Conversion'!AL53+'Electricity-Conversion'!AL42+'Electricity-Conversion'!AL31+'Electricity-Conversion'!AL20+'Electricity-Conversion'!AL9</f>
        <v>43638159.925772034</v>
      </c>
      <c r="AM4" s="4">
        <f>'Electricity-Conversion'!AM141+'Electricity-Conversion'!AM152+'Electricity-Conversion'!AM163+'Electricity-Conversion'!AM175+'Electricity-Conversion'!AM130+'Electricity-Conversion'!AM119+'Electricity-Conversion'!AM108+'Electricity-Conversion'!AM97+'Electricity-Conversion'!AM86+'Electricity-Conversion'!AM75+'Electricity-Conversion'!AM64+'Electricity-Conversion'!AM53+'Electricity-Conversion'!AM42+'Electricity-Conversion'!AM31+'Electricity-Conversion'!AM20+'Electricity-Conversion'!AM9</f>
        <v>45306093.934435196</v>
      </c>
      <c r="AN4" s="4">
        <f>'Electricity-Conversion'!AN141+'Electricity-Conversion'!AN152+'Electricity-Conversion'!AN163+'Electricity-Conversion'!AN175+'Electricity-Conversion'!AN130+'Electricity-Conversion'!AN119+'Electricity-Conversion'!AN108+'Electricity-Conversion'!AN97+'Electricity-Conversion'!AN86+'Electricity-Conversion'!AN75+'Electricity-Conversion'!AN64+'Electricity-Conversion'!AN53+'Electricity-Conversion'!AN42+'Electricity-Conversion'!AN31+'Electricity-Conversion'!AN20+'Electricity-Conversion'!AN9</f>
        <v>47072095.251615435</v>
      </c>
      <c r="AO4" s="42">
        <f>'Electricity-Conversion'!AO141+'Electricity-Conversion'!AO152+'Electricity-Conversion'!AO163+'Electricity-Conversion'!AO175+'Electricity-Conversion'!AO130+'Electricity-Conversion'!AO119+'Electricity-Conversion'!AO108+'Electricity-Conversion'!AO97+'Electricity-Conversion'!AO86+'Electricity-Conversion'!AO75+'Electricity-Conversion'!AO64+'Electricity-Conversion'!AO53+'Electricity-Conversion'!AO42+'Electricity-Conversion'!AO31+'Electricity-Conversion'!AO20+'Electricity-Conversion'!AO9</f>
        <v>48942334.13098935</v>
      </c>
      <c r="AP4" s="42">
        <f>'Electricity-Conversion'!AP141+'Electricity-Conversion'!AP152+'Electricity-Conversion'!AP163+'Electricity-Conversion'!AP175+'Electricity-Conversion'!AP130+'Electricity-Conversion'!AP119+'Electricity-Conversion'!AP108+'Electricity-Conversion'!AP97+'Electricity-Conversion'!AP86+'Electricity-Conversion'!AP75+'Electricity-Conversion'!AP64+'Electricity-Conversion'!AP53+'Electricity-Conversion'!AP42+'Electricity-Conversion'!AP31+'Electricity-Conversion'!AP20+'Electricity-Conversion'!AP9</f>
        <v>50923162.118236229</v>
      </c>
      <c r="AQ4" s="42">
        <f>'Electricity-Conversion'!AQ141+'Electricity-Conversion'!AQ152+'Electricity-Conversion'!AQ163+'Electricity-Conversion'!AQ175+'Electricity-Conversion'!AQ130+'Electricity-Conversion'!AQ119+'Electricity-Conversion'!AQ108+'Electricity-Conversion'!AQ97+'Electricity-Conversion'!AQ86+'Electricity-Conversion'!AQ75+'Electricity-Conversion'!AQ64+'Electricity-Conversion'!AQ53+'Electricity-Conversion'!AQ42+'Electricity-Conversion'!AQ31+'Electricity-Conversion'!AQ20+'Electricity-Conversion'!AQ9</f>
        <v>53021323.226532131</v>
      </c>
      <c r="AR4" s="42">
        <f>'Electricity-Conversion'!AR141+'Electricity-Conversion'!AR152+'Electricity-Conversion'!AR163+'Electricity-Conversion'!AR175+'Electricity-Conversion'!AR130+'Electricity-Conversion'!AR119+'Electricity-Conversion'!AR108+'Electricity-Conversion'!AR97+'Electricity-Conversion'!AR86+'Electricity-Conversion'!AR75+'Electricity-Conversion'!AR64+'Electricity-Conversion'!AR53+'Electricity-Conversion'!AR42+'Electricity-Conversion'!AR31+'Electricity-Conversion'!AR20+'Electricity-Conversion'!AR9</f>
        <v>55243978.450222604</v>
      </c>
      <c r="AS4" s="42">
        <f>'Electricity-Conversion'!AS141+'Electricity-Conversion'!AS152+'Electricity-Conversion'!AS163+'Electricity-Conversion'!AS175+'Electricity-Conversion'!AS130+'Electricity-Conversion'!AS119+'Electricity-Conversion'!AS108+'Electricity-Conversion'!AS97+'Electricity-Conversion'!AS86+'Electricity-Conversion'!AS75+'Electricity-Conversion'!AS64+'Electricity-Conversion'!AS53+'Electricity-Conversion'!AS42+'Electricity-Conversion'!AS31+'Electricity-Conversion'!AS20+'Electricity-Conversion'!AS9</f>
        <v>57598731.823355995</v>
      </c>
      <c r="AT4" s="42">
        <f>'Electricity-Conversion'!AT141+'Electricity-Conversion'!AT152+'Electricity-Conversion'!AT163+'Electricity-Conversion'!AT175+'Electricity-Conversion'!AT130+'Electricity-Conversion'!AT119+'Electricity-Conversion'!AT108+'Electricity-Conversion'!AT97+'Electricity-Conversion'!AT86+'Electricity-Conversion'!AT75+'Electricity-Conversion'!AT64+'Electricity-Conversion'!AT53+'Electricity-Conversion'!AT42+'Electricity-Conversion'!AT31+'Electricity-Conversion'!AT20+'Electricity-Conversion'!AT9</f>
        <v>60093658.121151328</v>
      </c>
      <c r="AU4" s="42">
        <f>'Electricity-Conversion'!AU141+'Electricity-Conversion'!AU152+'Electricity-Conversion'!AU163+'Electricity-Conversion'!AU175+'Electricity-Conversion'!AU130+'Electricity-Conversion'!AU119+'Electricity-Conversion'!AU108+'Electricity-Conversion'!AU97+'Electricity-Conversion'!AU86+'Electricity-Conversion'!AU75+'Electricity-Conversion'!AU64+'Electricity-Conversion'!AU53+'Electricity-Conversion'!AU42+'Electricity-Conversion'!AU31+'Electricity-Conversion'!AU20+'Electricity-Conversion'!AU9</f>
        <v>62737332.308738038</v>
      </c>
      <c r="AV4" s="42">
        <f>'Electricity-Conversion'!AV141+'Electricity-Conversion'!AV152+'Electricity-Conversion'!AV163+'Electricity-Conversion'!AV175+'Electricity-Conversion'!AV130+'Electricity-Conversion'!AV119+'Electricity-Conversion'!AV108+'Electricity-Conversion'!AV97+'Electricity-Conversion'!AV86+'Electricity-Conversion'!AV75+'Electricity-Conversion'!AV64+'Electricity-Conversion'!AV53+'Electricity-Conversion'!AV42+'Electricity-Conversion'!AV31+'Electricity-Conversion'!AV20+'Electricity-Conversion'!AV9</f>
        <v>65538860.848169997</v>
      </c>
      <c r="AW4" s="42">
        <f>'Electricity-Conversion'!AW141+'Electricity-Conversion'!AW152+'Electricity-Conversion'!AW163+'Electricity-Conversion'!AW175+'Electricity-Conversion'!AW130+'Electricity-Conversion'!AW119+'Electricity-Conversion'!AW108+'Electricity-Conversion'!AW97+'Electricity-Conversion'!AW86+'Electricity-Conversion'!AW75+'Electricity-Conversion'!AW64+'Electricity-Conversion'!AW53+'Electricity-Conversion'!AW42+'Electricity-Conversion'!AW31+'Electricity-Conversion'!AW20+'Electricity-Conversion'!AW9</f>
        <v>68507914.98180908</v>
      </c>
      <c r="AX4" s="42">
        <f>'Electricity-Conversion'!AX141+'Electricity-Conversion'!AX152+'Electricity-Conversion'!AX163+'Electricity-Conversion'!AX175+'Electricity-Conversion'!AX130+'Electricity-Conversion'!AX119+'Electricity-Conversion'!AX108+'Electricity-Conversion'!AX97+'Electricity-Conversion'!AX86+'Electricity-Conversion'!AX75+'Electricity-Conversion'!AX64+'Electricity-Conversion'!AX53+'Electricity-Conversion'!AX42+'Electricity-Conversion'!AX31+'Electricity-Conversion'!AX20+'Electricity-Conversion'!AX9</f>
        <v>71654766.11772193</v>
      </c>
    </row>
    <row r="5" spans="1:50" x14ac:dyDescent="0.2">
      <c r="A5" s="10" t="s">
        <v>37</v>
      </c>
      <c r="B5" s="4">
        <f>'Electricity-Conversion'!B10+'Electricity-Conversion'!B21+'Electricity-Conversion'!B32+'Electricity-Conversion'!B43+'Electricity-Conversion'!B54+'Electricity-Conversion'!B65+'Electricity-Conversion'!B76+'Electricity-Conversion'!B87+'Electricity-Conversion'!B98+'Electricity-Conversion'!B109+'Electricity-Conversion'!B120+'Electricity-Conversion'!B131+'Electricity-Conversion'!B142+'Electricity-Conversion'!B153+'Electricity-Conversion'!B164+'Electricity-Conversion'!B176</f>
        <v>10929408.023246268</v>
      </c>
      <c r="C5" s="4">
        <f>'Electricity-Conversion'!C10+'Electricity-Conversion'!C21+'Electricity-Conversion'!C32+'Electricity-Conversion'!C43+'Electricity-Conversion'!C54+'Electricity-Conversion'!C65+'Electricity-Conversion'!C76+'Electricity-Conversion'!C87+'Electricity-Conversion'!C98+'Electricity-Conversion'!C109+'Electricity-Conversion'!C120+'Electricity-Conversion'!C131+'Electricity-Conversion'!C142+'Electricity-Conversion'!C153+'Electricity-Conversion'!C164+'Electricity-Conversion'!C176</f>
        <v>11275266.790357228</v>
      </c>
      <c r="D5" s="4">
        <f>'Electricity-Conversion'!D10+'Electricity-Conversion'!D21+'Electricity-Conversion'!D32+'Electricity-Conversion'!D43+'Electricity-Conversion'!D54+'Electricity-Conversion'!D65+'Electricity-Conversion'!D76+'Electricity-Conversion'!D87+'Electricity-Conversion'!D98+'Electricity-Conversion'!D109+'Electricity-Conversion'!D120+'Electricity-Conversion'!D131+'Electricity-Conversion'!D142+'Electricity-Conversion'!D153+'Electricity-Conversion'!D164+'Electricity-Conversion'!D176</f>
        <v>11516643.168142494</v>
      </c>
      <c r="E5" s="4">
        <f>'Electricity-Conversion'!E10+'Electricity-Conversion'!E21+'Electricity-Conversion'!E32+'Electricity-Conversion'!E43+'Electricity-Conversion'!E54+'Electricity-Conversion'!E65+'Electricity-Conversion'!E76+'Electricity-Conversion'!E87+'Electricity-Conversion'!E98+'Electricity-Conversion'!E109+'Electricity-Conversion'!E120+'Electricity-Conversion'!E131+'Electricity-Conversion'!E142+'Electricity-Conversion'!E153+'Electricity-Conversion'!E164+'Electricity-Conversion'!E176</f>
        <v>11769913.393915644</v>
      </c>
      <c r="F5" s="4">
        <f>'Electricity-Conversion'!F10+'Electricity-Conversion'!F21+'Electricity-Conversion'!F32+'Electricity-Conversion'!F43+'Electricity-Conversion'!F54+'Electricity-Conversion'!F65+'Electricity-Conversion'!F76+'Electricity-Conversion'!F87+'Electricity-Conversion'!F98+'Electricity-Conversion'!F109+'Electricity-Conversion'!F120+'Electricity-Conversion'!F131+'Electricity-Conversion'!F142+'Electricity-Conversion'!F153+'Electricity-Conversion'!F164+'Electricity-Conversion'!F176</f>
        <v>12080569.639695352</v>
      </c>
      <c r="G5" s="4">
        <f>'Electricity-Conversion'!G10+'Electricity-Conversion'!G21+'Electricity-Conversion'!G32+'Electricity-Conversion'!G43+'Electricity-Conversion'!G54+'Electricity-Conversion'!G65+'Electricity-Conversion'!G76+'Electricity-Conversion'!G87+'Electricity-Conversion'!G98+'Electricity-Conversion'!G109+'Electricity-Conversion'!G120+'Electricity-Conversion'!G131+'Electricity-Conversion'!G142+'Electricity-Conversion'!G153+'Electricity-Conversion'!G164+'Electricity-Conversion'!G176</f>
        <v>12404817.457372576</v>
      </c>
      <c r="H5" s="4">
        <f>'Electricity-Conversion'!H10+'Electricity-Conversion'!H21+'Electricity-Conversion'!H32+'Electricity-Conversion'!H43+'Electricity-Conversion'!H54+'Electricity-Conversion'!H65+'Electricity-Conversion'!H76+'Electricity-Conversion'!H87+'Electricity-Conversion'!H98+'Electricity-Conversion'!H109+'Electricity-Conversion'!H120+'Electricity-Conversion'!H131+'Electricity-Conversion'!H142+'Electricity-Conversion'!H153+'Electricity-Conversion'!H164+'Electricity-Conversion'!H176</f>
        <v>12743465.727425588</v>
      </c>
      <c r="I5" s="4">
        <f>'Electricity-Conversion'!I10+'Electricity-Conversion'!I21+'Electricity-Conversion'!I32+'Electricity-Conversion'!I43+'Electricity-Conversion'!I54+'Electricity-Conversion'!I65+'Electricity-Conversion'!I76+'Electricity-Conversion'!I87+'Electricity-Conversion'!I98+'Electricity-Conversion'!I109+'Electricity-Conversion'!I120+'Electricity-Conversion'!I131+'Electricity-Conversion'!I142+'Electricity-Conversion'!I153+'Electricity-Conversion'!I164+'Electricity-Conversion'!I176</f>
        <v>13097373.351572534</v>
      </c>
      <c r="J5" s="4">
        <f>'Electricity-Conversion'!J10+'Electricity-Conversion'!J21+'Electricity-Conversion'!J32+'Electricity-Conversion'!J43+'Electricity-Conversion'!J54+'Electricity-Conversion'!J65+'Electricity-Conversion'!J76+'Electricity-Conversion'!J87+'Electricity-Conversion'!J98+'Electricity-Conversion'!J109+'Electricity-Conversion'!J120+'Electricity-Conversion'!J131+'Electricity-Conversion'!J142+'Electricity-Conversion'!J153+'Electricity-Conversion'!J164+'Electricity-Conversion'!J176</f>
        <v>13467452.378886869</v>
      </c>
      <c r="K5" s="4">
        <f>'Electricity-Conversion'!K10+'Electricity-Conversion'!K21+'Electricity-Conversion'!K32+'Electricity-Conversion'!K43+'Electricity-Conversion'!K54+'Electricity-Conversion'!K65+'Electricity-Conversion'!K76+'Electricity-Conversion'!K87+'Electricity-Conversion'!K98+'Electricity-Conversion'!K109+'Electricity-Conversion'!K120+'Electricity-Conversion'!K131+'Electricity-Conversion'!K142+'Electricity-Conversion'!K153+'Electricity-Conversion'!K164+'Electricity-Conversion'!K176</f>
        <v>13843085.224855248</v>
      </c>
      <c r="L5" s="4">
        <f>'Electricity-Conversion'!L10+'Electricity-Conversion'!L21+'Electricity-Conversion'!L32+'Electricity-Conversion'!L43+'Electricity-Conversion'!L54+'Electricity-Conversion'!L65+'Electricity-Conversion'!L76+'Electricity-Conversion'!L87+'Electricity-Conversion'!L98+'Electricity-Conversion'!L109+'Electricity-Conversion'!L120+'Electricity-Conversion'!L131+'Electricity-Conversion'!L142+'Electricity-Conversion'!L153+'Electricity-Conversion'!L164+'Electricity-Conversion'!L176</f>
        <v>14236830.673791802</v>
      </c>
      <c r="M5" s="4">
        <f>'Electricity-Conversion'!M10+'Electricity-Conversion'!M21+'Electricity-Conversion'!M32+'Electricity-Conversion'!M43+'Electricity-Conversion'!M54+'Electricity-Conversion'!M65+'Electricity-Conversion'!M76+'Electricity-Conversion'!M87+'Electricity-Conversion'!M98+'Electricity-Conversion'!M109+'Electricity-Conversion'!M120+'Electricity-Conversion'!M131+'Electricity-Conversion'!M142+'Electricity-Conversion'!M153+'Electricity-Conversion'!M164+'Electricity-Conversion'!M176</f>
        <v>14649781.007911414</v>
      </c>
      <c r="N5" s="4">
        <f>'Electricity-Conversion'!N10+'Electricity-Conversion'!N21+'Electricity-Conversion'!N32+'Electricity-Conversion'!N43+'Electricity-Conversion'!N54+'Electricity-Conversion'!N65+'Electricity-Conversion'!N76+'Electricity-Conversion'!N87+'Electricity-Conversion'!N98+'Electricity-Conversion'!N109+'Electricity-Conversion'!N120+'Electricity-Conversion'!N131+'Electricity-Conversion'!N142+'Electricity-Conversion'!N153+'Electricity-Conversion'!N164+'Electricity-Conversion'!N176</f>
        <v>15083096.261465739</v>
      </c>
      <c r="O5" s="4">
        <f>'Electricity-Conversion'!O10+'Electricity-Conversion'!O21+'Electricity-Conversion'!O32+'Electricity-Conversion'!O43+'Electricity-Conversion'!O54+'Electricity-Conversion'!O65+'Electricity-Conversion'!O76+'Electricity-Conversion'!O87+'Electricity-Conversion'!O98+'Electricity-Conversion'!O109+'Electricity-Conversion'!O120+'Electricity-Conversion'!O131+'Electricity-Conversion'!O142+'Electricity-Conversion'!O153+'Electricity-Conversion'!O164+'Electricity-Conversion'!O176</f>
        <v>15538008.46578685</v>
      </c>
      <c r="P5" s="4">
        <f>'Electricity-Conversion'!P10+'Electricity-Conversion'!P21+'Electricity-Conversion'!P32+'Electricity-Conversion'!P43+'Electricity-Conversion'!P54+'Electricity-Conversion'!P65+'Electricity-Conversion'!P76+'Electricity-Conversion'!P87+'Electricity-Conversion'!P98+'Electricity-Conversion'!P109+'Electricity-Conversion'!P120+'Electricity-Conversion'!P131+'Electricity-Conversion'!P142+'Electricity-Conversion'!P153+'Electricity-Conversion'!P164+'Electricity-Conversion'!P176</f>
        <v>16003964.897834763</v>
      </c>
      <c r="Q5" s="4">
        <f>'Electricity-Conversion'!Q10+'Electricity-Conversion'!Q21+'Electricity-Conversion'!Q32+'Electricity-Conversion'!Q43+'Electricity-Conversion'!Q54+'Electricity-Conversion'!Q65+'Electricity-Conversion'!Q76+'Electricity-Conversion'!Q87+'Electricity-Conversion'!Q98+'Electricity-Conversion'!Q109+'Electricity-Conversion'!Q120+'Electricity-Conversion'!Q131+'Electricity-Conversion'!Q142+'Electricity-Conversion'!Q153+'Electricity-Conversion'!Q164+'Electricity-Conversion'!Q176</f>
        <v>16494160.184403829</v>
      </c>
      <c r="R5" s="4">
        <f>'Electricity-Conversion'!R10+'Electricity-Conversion'!R21+'Electricity-Conversion'!R32+'Electricity-Conversion'!R43+'Electricity-Conversion'!R54+'Electricity-Conversion'!R65+'Electricity-Conversion'!R76+'Electricity-Conversion'!R87+'Electricity-Conversion'!R98+'Electricity-Conversion'!R109+'Electricity-Conversion'!R120+'Electricity-Conversion'!R131+'Electricity-Conversion'!R142+'Electricity-Conversion'!R153+'Electricity-Conversion'!R164+'Electricity-Conversion'!R176</f>
        <v>17010070.586863484</v>
      </c>
      <c r="S5" s="4">
        <f>'Electricity-Conversion'!S10+'Electricity-Conversion'!S21+'Electricity-Conversion'!S32+'Electricity-Conversion'!S43+'Electricity-Conversion'!S54+'Electricity-Conversion'!S65+'Electricity-Conversion'!S76+'Electricity-Conversion'!S87+'Electricity-Conversion'!S98+'Electricity-Conversion'!S109+'Electricity-Conversion'!S120+'Electricity-Conversion'!S131+'Electricity-Conversion'!S142+'Electricity-Conversion'!S153+'Electricity-Conversion'!S164+'Electricity-Conversion'!S176</f>
        <v>17553264.202122919</v>
      </c>
      <c r="T5" s="4">
        <f>'Electricity-Conversion'!T10+'Electricity-Conversion'!T21+'Electricity-Conversion'!T32+'Electricity-Conversion'!T43+'Electricity-Conversion'!T54+'Electricity-Conversion'!T65+'Electricity-Conversion'!T76+'Electricity-Conversion'!T87+'Electricity-Conversion'!T98+'Electricity-Conversion'!T109+'Electricity-Conversion'!T120+'Electricity-Conversion'!T131+'Electricity-Conversion'!T142+'Electricity-Conversion'!T153+'Electricity-Conversion'!T164+'Electricity-Conversion'!T176</f>
        <v>18125406.730637915</v>
      </c>
      <c r="U5" s="4">
        <f>'Electricity-Conversion'!U10+'Electricity-Conversion'!U21+'Electricity-Conversion'!U32+'Electricity-Conversion'!U43+'Electricity-Conversion'!U54+'Electricity-Conversion'!U65+'Electricity-Conversion'!U76+'Electricity-Conversion'!U87+'Electricity-Conversion'!U98+'Electricity-Conversion'!U109+'Electricity-Conversion'!U120+'Electricity-Conversion'!U131+'Electricity-Conversion'!U142+'Electricity-Conversion'!U153+'Electricity-Conversion'!U164+'Electricity-Conversion'!U176</f>
        <v>18716528.585921366</v>
      </c>
      <c r="V5" s="4">
        <f>'Electricity-Conversion'!V10+'Electricity-Conversion'!V21+'Electricity-Conversion'!V32+'Electricity-Conversion'!V43+'Electricity-Conversion'!V54+'Electricity-Conversion'!V65+'Electricity-Conversion'!V76+'Electricity-Conversion'!V87+'Electricity-Conversion'!V98+'Electricity-Conversion'!V109+'Electricity-Conversion'!V120+'Electricity-Conversion'!V131+'Electricity-Conversion'!V142+'Electricity-Conversion'!V153+'Electricity-Conversion'!V164+'Electricity-Conversion'!V176</f>
        <v>19340193.238645088</v>
      </c>
      <c r="W5" s="4">
        <f>'Electricity-Conversion'!W10+'Electricity-Conversion'!W21+'Electricity-Conversion'!W32+'Electricity-Conversion'!W43+'Electricity-Conversion'!W54+'Electricity-Conversion'!W65+'Electricity-Conversion'!W76+'Electricity-Conversion'!W87+'Electricity-Conversion'!W98+'Electricity-Conversion'!W109+'Electricity-Conversion'!W120+'Electricity-Conversion'!W131+'Electricity-Conversion'!W142+'Electricity-Conversion'!W153+'Electricity-Conversion'!W164+'Electricity-Conversion'!W176</f>
        <v>19998397.577443905</v>
      </c>
      <c r="X5" s="4">
        <f>'Electricity-Conversion'!X10+'Electricity-Conversion'!X21+'Electricity-Conversion'!X32+'Electricity-Conversion'!X43+'Electricity-Conversion'!X54+'Electricity-Conversion'!X65+'Electricity-Conversion'!X76+'Electricity-Conversion'!X87+'Electricity-Conversion'!X98+'Electricity-Conversion'!X109+'Electricity-Conversion'!X120+'Electricity-Conversion'!X131+'Electricity-Conversion'!X142+'Electricity-Conversion'!X153+'Electricity-Conversion'!X164+'Electricity-Conversion'!X176</f>
        <v>20693263.058424495</v>
      </c>
      <c r="Y5" s="4">
        <f>'Electricity-Conversion'!Y10+'Electricity-Conversion'!Y21+'Electricity-Conversion'!Y32+'Electricity-Conversion'!Y43+'Electricity-Conversion'!Y54+'Electricity-Conversion'!Y65+'Electricity-Conversion'!Y76+'Electricity-Conversion'!Y87+'Electricity-Conversion'!Y98+'Electricity-Conversion'!Y109+'Electricity-Conversion'!Y120+'Electricity-Conversion'!Y131+'Electricity-Conversion'!Y142+'Electricity-Conversion'!Y153+'Electricity-Conversion'!Y164+'Electricity-Conversion'!Y176</f>
        <v>21427043.547078911</v>
      </c>
      <c r="Z5" s="4">
        <f>'Electricity-Conversion'!Z10+'Electricity-Conversion'!Z21+'Electricity-Conversion'!Z32+'Electricity-Conversion'!Z43+'Electricity-Conversion'!Z54+'Electricity-Conversion'!Z65+'Electricity-Conversion'!Z76+'Electricity-Conversion'!Z87+'Electricity-Conversion'!Z98+'Electricity-Conversion'!Z109+'Electricity-Conversion'!Z120+'Electricity-Conversion'!Z131+'Electricity-Conversion'!Z142+'Electricity-Conversion'!Z153+'Electricity-Conversion'!Z164+'Electricity-Conversion'!Z176</f>
        <v>22190737.965541691</v>
      </c>
      <c r="AA5" s="4">
        <f>'Electricity-Conversion'!AA10+'Electricity-Conversion'!AA21+'Electricity-Conversion'!AA32+'Electricity-Conversion'!AA43+'Electricity-Conversion'!AA54+'Electricity-Conversion'!AA65+'Electricity-Conversion'!AA76+'Electricity-Conversion'!AA87+'Electricity-Conversion'!AA98+'Electricity-Conversion'!AA109+'Electricity-Conversion'!AA120+'Electricity-Conversion'!AA131+'Electricity-Conversion'!AA142+'Electricity-Conversion'!AA153+'Electricity-Conversion'!AA164+'Electricity-Conversion'!AA176</f>
        <v>22998233.228291646</v>
      </c>
      <c r="AB5" s="4">
        <f>'Electricity-Conversion'!AB10+'Electricity-Conversion'!AB21+'Electricity-Conversion'!AB32+'Electricity-Conversion'!AB43+'Electricity-Conversion'!AB54+'Electricity-Conversion'!AB65+'Electricity-Conversion'!AB76+'Electricity-Conversion'!AB87+'Electricity-Conversion'!AB98+'Electricity-Conversion'!AB109+'Electricity-Conversion'!AB120+'Electricity-Conversion'!AB131+'Electricity-Conversion'!AB142+'Electricity-Conversion'!AB153+'Electricity-Conversion'!AB164+'Electricity-Conversion'!AB176</f>
        <v>23852232.615236707</v>
      </c>
      <c r="AC5" s="4">
        <f>'Electricity-Conversion'!AC10+'Electricity-Conversion'!AC21+'Electricity-Conversion'!AC32+'Electricity-Conversion'!AC43+'Electricity-Conversion'!AC54+'Electricity-Conversion'!AC65+'Electricity-Conversion'!AC76+'Electricity-Conversion'!AC87+'Electricity-Conversion'!AC98+'Electricity-Conversion'!AC109+'Electricity-Conversion'!AC120+'Electricity-Conversion'!AC131+'Electricity-Conversion'!AC142+'Electricity-Conversion'!AC153+'Electricity-Conversion'!AC164+'Electricity-Conversion'!AC176</f>
        <v>24755608.485091403</v>
      </c>
      <c r="AD5" s="4">
        <f>'Electricity-Conversion'!AD10+'Electricity-Conversion'!AD21+'Electricity-Conversion'!AD32+'Electricity-Conversion'!AD43+'Electricity-Conversion'!AD54+'Electricity-Conversion'!AD65+'Electricity-Conversion'!AD76+'Electricity-Conversion'!AD87+'Electricity-Conversion'!AD98+'Electricity-Conversion'!AD109+'Electricity-Conversion'!AD120+'Electricity-Conversion'!AD131+'Electricity-Conversion'!AD142+'Electricity-Conversion'!AD153+'Electricity-Conversion'!AD164+'Electricity-Conversion'!AD176</f>
        <v>25711412.942754716</v>
      </c>
      <c r="AE5" s="4">
        <f>'Electricity-Conversion'!AE10+'Electricity-Conversion'!AE21+'Electricity-Conversion'!AE32+'Electricity-Conversion'!AE43+'Electricity-Conversion'!AE54+'Electricity-Conversion'!AE65+'Electricity-Conversion'!AE76+'Electricity-Conversion'!AE87+'Electricity-Conversion'!AE98+'Electricity-Conversion'!AE109+'Electricity-Conversion'!AE120+'Electricity-Conversion'!AE131+'Electricity-Conversion'!AE142+'Electricity-Conversion'!AE153+'Electricity-Conversion'!AE164+'Electricity-Conversion'!AE176</f>
        <v>26694995.442329846</v>
      </c>
      <c r="AF5" s="4">
        <f>'Electricity-Conversion'!AF10+'Electricity-Conversion'!AF21+'Electricity-Conversion'!AF32+'Electricity-Conversion'!AF43+'Electricity-Conversion'!AF54+'Electricity-Conversion'!AF65+'Electricity-Conversion'!AF76+'Electricity-Conversion'!AF87+'Electricity-Conversion'!AF98+'Electricity-Conversion'!AF109+'Electricity-Conversion'!AF120+'Electricity-Conversion'!AF131+'Electricity-Conversion'!AF142+'Electricity-Conversion'!AF153+'Electricity-Conversion'!AF164+'Electricity-Conversion'!AF176</f>
        <v>27737567.819266148</v>
      </c>
      <c r="AG5" s="4">
        <f>'Electricity-Conversion'!AG10+'Electricity-Conversion'!AG21+'Electricity-Conversion'!AG32+'Electricity-Conversion'!AG43+'Electricity-Conversion'!AG54+'Electricity-Conversion'!AG65+'Electricity-Conversion'!AG76+'Electricity-Conversion'!AG87+'Electricity-Conversion'!AG98+'Electricity-Conversion'!AG109+'Electricity-Conversion'!AG120+'Electricity-Conversion'!AG131+'Electricity-Conversion'!AG142+'Electricity-Conversion'!AG153+'Electricity-Conversion'!AG164+'Electricity-Conversion'!AG176</f>
        <v>28842792.418942213</v>
      </c>
      <c r="AH5" s="4">
        <f>'Electricity-Conversion'!AH10+'Electricity-Conversion'!AH21+'Electricity-Conversion'!AH32+'Electricity-Conversion'!AH43+'Electricity-Conversion'!AH54+'Electricity-Conversion'!AH65+'Electricity-Conversion'!AH76+'Electricity-Conversion'!AH87+'Electricity-Conversion'!AH98+'Electricity-Conversion'!AH109+'Electricity-Conversion'!AH120+'Electricity-Conversion'!AH131+'Electricity-Conversion'!AH142+'Electricity-Conversion'!AH153+'Electricity-Conversion'!AH164+'Electricity-Conversion'!AH176</f>
        <v>30014561.227993481</v>
      </c>
      <c r="AI5" s="4">
        <f>'Electricity-Conversion'!AI10+'Electricity-Conversion'!AI21+'Electricity-Conversion'!AI32+'Electricity-Conversion'!AI43+'Electricity-Conversion'!AI54+'Electricity-Conversion'!AI65+'Electricity-Conversion'!AI76+'Electricity-Conversion'!AI87+'Electricity-Conversion'!AI98+'Electricity-Conversion'!AI109+'Electricity-Conversion'!AI120+'Electricity-Conversion'!AI131+'Electricity-Conversion'!AI142+'Electricity-Conversion'!AI153+'Electricity-Conversion'!AI164+'Electricity-Conversion'!AI176</f>
        <v>31257010.392745823</v>
      </c>
      <c r="AJ5" s="4">
        <f>'Electricity-Conversion'!AJ10+'Electricity-Conversion'!AJ21+'Electricity-Conversion'!AJ32+'Electricity-Conversion'!AJ43+'Electricity-Conversion'!AJ54+'Electricity-Conversion'!AJ65+'Electricity-Conversion'!AJ76+'Electricity-Conversion'!AJ87+'Electricity-Conversion'!AJ98+'Electricity-Conversion'!AJ109+'Electricity-Conversion'!AJ120+'Electricity-Conversion'!AJ131+'Electricity-Conversion'!AJ142+'Electricity-Conversion'!AJ153+'Electricity-Conversion'!AJ164+'Electricity-Conversion'!AJ176</f>
        <v>32574535.661738403</v>
      </c>
      <c r="AK5" s="4">
        <f>'Electricity-Conversion'!AK10+'Electricity-Conversion'!AK21+'Electricity-Conversion'!AK32+'Electricity-Conversion'!AK43+'Electricity-Conversion'!AK54+'Electricity-Conversion'!AK65+'Electricity-Conversion'!AK76+'Electricity-Conversion'!AK87+'Electricity-Conversion'!AK98+'Electricity-Conversion'!AK109+'Electricity-Conversion'!AK120+'Electricity-Conversion'!AK131+'Electricity-Conversion'!AK142+'Electricity-Conversion'!AK153+'Electricity-Conversion'!AK164+'Electricity-Conversion'!AK176</f>
        <v>33971808.811473578</v>
      </c>
      <c r="AL5" s="4">
        <f>'Electricity-Conversion'!AL10+'Electricity-Conversion'!AL21+'Electricity-Conversion'!AL32+'Electricity-Conversion'!AL43+'Electricity-Conversion'!AL54+'Electricity-Conversion'!AL65+'Electricity-Conversion'!AL76+'Electricity-Conversion'!AL87+'Electricity-Conversion'!AL98+'Electricity-Conversion'!AL109+'Electricity-Conversion'!AL120+'Electricity-Conversion'!AL131+'Electricity-Conversion'!AL142+'Electricity-Conversion'!AL153+'Electricity-Conversion'!AL164+'Electricity-Conversion'!AL176</f>
        <v>35453795.118332669</v>
      </c>
      <c r="AM5" s="4">
        <f>'Electricity-Conversion'!AM10+'Electricity-Conversion'!AM21+'Electricity-Conversion'!AM32+'Electricity-Conversion'!AM43+'Electricity-Conversion'!AM54+'Electricity-Conversion'!AM65+'Electricity-Conversion'!AM76+'Electricity-Conversion'!AM87+'Electricity-Conversion'!AM98+'Electricity-Conversion'!AM109+'Electricity-Conversion'!AM120+'Electricity-Conversion'!AM131+'Electricity-Conversion'!AM142+'Electricity-Conversion'!AM153+'Electricity-Conversion'!AM164+'Electricity-Conversion'!AM176</f>
        <v>37025771.943642527</v>
      </c>
      <c r="AN5" s="4">
        <f>'Electricity-Conversion'!AN10+'Electricity-Conversion'!AN21+'Electricity-Conversion'!AN32+'Electricity-Conversion'!AN43+'Electricity-Conversion'!AN54+'Electricity-Conversion'!AN65+'Electricity-Conversion'!AN76+'Electricity-Conversion'!AN87+'Electricity-Conversion'!AN98+'Electricity-Conversion'!AN109+'Electricity-Conversion'!AN120+'Electricity-Conversion'!AN131+'Electricity-Conversion'!AN142+'Electricity-Conversion'!AN153+'Electricity-Conversion'!AN164+'Electricity-Conversion'!AN176</f>
        <v>38693348.503184788</v>
      </c>
      <c r="AO5" s="42">
        <f>'Electricity-Conversion'!AO10+'Electricity-Conversion'!AO21+'Electricity-Conversion'!AO32+'Electricity-Conversion'!AO43+'Electricity-Conversion'!AO54+'Electricity-Conversion'!AO65+'Electricity-Conversion'!AO76+'Electricity-Conversion'!AO87+'Electricity-Conversion'!AO98+'Electricity-Conversion'!AO109+'Electricity-Conversion'!AO120+'Electricity-Conversion'!AO131+'Electricity-Conversion'!AO142+'Electricity-Conversion'!AO153+'Electricity-Conversion'!AO164+'Electricity-Conversion'!AO176</f>
        <v>40462600.900549471</v>
      </c>
      <c r="AP5" s="42">
        <f>'Electricity-Conversion'!AP10+'Electricity-Conversion'!AP21+'Electricity-Conversion'!AP32+'Electricity-Conversion'!AP43+'Electricity-Conversion'!AP54+'Electricity-Conversion'!AP65+'Electricity-Conversion'!AP76+'Electricity-Conversion'!AP87+'Electricity-Conversion'!AP98+'Electricity-Conversion'!AP109+'Electricity-Conversion'!AP120+'Electricity-Conversion'!AP131+'Electricity-Conversion'!AP142+'Electricity-Conversion'!AP153+'Electricity-Conversion'!AP164+'Electricity-Conversion'!AP176</f>
        <v>42339867.075524852</v>
      </c>
      <c r="AQ5" s="42">
        <f>'Electricity-Conversion'!AQ10+'Electricity-Conversion'!AQ21+'Electricity-Conversion'!AQ32+'Electricity-Conversion'!AQ43+'Electricity-Conversion'!AQ54+'Electricity-Conversion'!AQ65+'Electricity-Conversion'!AQ76+'Electricity-Conversion'!AQ87+'Electricity-Conversion'!AQ98+'Electricity-Conversion'!AQ109+'Electricity-Conversion'!AQ120+'Electricity-Conversion'!AQ131+'Electricity-Conversion'!AQ142+'Electricity-Conversion'!AQ153+'Electricity-Conversion'!AQ164+'Electricity-Conversion'!AQ176</f>
        <v>44331884.024024345</v>
      </c>
      <c r="AR5" s="42">
        <f>'Electricity-Conversion'!AR10+'Electricity-Conversion'!AR21+'Electricity-Conversion'!AR32+'Electricity-Conversion'!AR43+'Electricity-Conversion'!AR54+'Electricity-Conversion'!AR65+'Electricity-Conversion'!AR76+'Electricity-Conversion'!AR87+'Electricity-Conversion'!AR98+'Electricity-Conversion'!AR109+'Electricity-Conversion'!AR120+'Electricity-Conversion'!AR131+'Electricity-Conversion'!AR142+'Electricity-Conversion'!AR153+'Electricity-Conversion'!AR164+'Electricity-Conversion'!AR176</f>
        <v>46445813.114555553</v>
      </c>
      <c r="AS5" s="42">
        <f>'Electricity-Conversion'!AS10+'Electricity-Conversion'!AS21+'Electricity-Conversion'!AS32+'Electricity-Conversion'!AS43+'Electricity-Conversion'!AS54+'Electricity-Conversion'!AS65+'Electricity-Conversion'!AS76+'Electricity-Conversion'!AS87+'Electricity-Conversion'!AS98+'Electricity-Conversion'!AS109+'Electricity-Conversion'!AS120+'Electricity-Conversion'!AS131+'Electricity-Conversion'!AS142+'Electricity-Conversion'!AS153+'Electricity-Conversion'!AS164+'Electricity-Conversion'!AS176</f>
        <v>48689267.020578176</v>
      </c>
      <c r="AT5" s="42">
        <f>'Electricity-Conversion'!AT10+'Electricity-Conversion'!AT21+'Electricity-Conversion'!AT32+'Electricity-Conversion'!AT43+'Electricity-Conversion'!AT54+'Electricity-Conversion'!AT65+'Electricity-Conversion'!AT76+'Electricity-Conversion'!AT87+'Electricity-Conversion'!AT98+'Electricity-Conversion'!AT109+'Electricity-Conversion'!AT120+'Electricity-Conversion'!AT131+'Electricity-Conversion'!AT142+'Electricity-Conversion'!AT153+'Electricity-Conversion'!AT164+'Electricity-Conversion'!AT176</f>
        <v>51070338.372392386</v>
      </c>
      <c r="AU5" s="42">
        <f>'Electricity-Conversion'!AU10+'Electricity-Conversion'!AU21+'Electricity-Conversion'!AU32+'Electricity-Conversion'!AU43+'Electricity-Conversion'!AU54+'Electricity-Conversion'!AU65+'Electricity-Conversion'!AU76+'Electricity-Conversion'!AU87+'Electricity-Conversion'!AU98+'Electricity-Conversion'!AU109+'Electricity-Conversion'!AU120+'Electricity-Conversion'!AU131+'Electricity-Conversion'!AU142+'Electricity-Conversion'!AU153+'Electricity-Conversion'!AU164+'Electricity-Conversion'!AU176</f>
        <v>53597630.238872066</v>
      </c>
      <c r="AV5" s="42">
        <f>'Electricity-Conversion'!AV10+'Electricity-Conversion'!AV21+'Electricity-Conversion'!AV32+'Electricity-Conversion'!AV43+'Electricity-Conversion'!AV54+'Electricity-Conversion'!AV65+'Electricity-Conversion'!AV76+'Electricity-Conversion'!AV87+'Electricity-Conversion'!AV98+'Electricity-Conversion'!AV109+'Electricity-Conversion'!AV120+'Electricity-Conversion'!AV131+'Electricity-Conversion'!AV142+'Electricity-Conversion'!AV153+'Electricity-Conversion'!AV164+'Electricity-Conversion'!AV176</f>
        <v>56280288.556461692</v>
      </c>
      <c r="AW5" s="42">
        <f>'Electricity-Conversion'!AW10+'Electricity-Conversion'!AW21+'Electricity-Conversion'!AW32+'Electricity-Conversion'!AW43+'Electricity-Conversion'!AW54+'Electricity-Conversion'!AW65+'Electricity-Conversion'!AW76+'Electricity-Conversion'!AW87+'Electricity-Conversion'!AW98+'Electricity-Conversion'!AW109+'Electricity-Conversion'!AW120+'Electricity-Conversion'!AW131+'Electricity-Conversion'!AW142+'Electricity-Conversion'!AW153+'Electricity-Conversion'!AW164+'Electricity-Conversion'!AW176</f>
        <v>59128036.630418546</v>
      </c>
      <c r="AX5" s="42">
        <f>'Electricity-Conversion'!AX10+'Electricity-Conversion'!AX21+'Electricity-Conversion'!AX32+'Electricity-Conversion'!AX43+'Electricity-Conversion'!AX54+'Electricity-Conversion'!AX65+'Electricity-Conversion'!AX76+'Electricity-Conversion'!AX87+'Electricity-Conversion'!AX98+'Electricity-Conversion'!AX109+'Electricity-Conversion'!AX120+'Electricity-Conversion'!AX131+'Electricity-Conversion'!AX142+'Electricity-Conversion'!AX153+'Electricity-Conversion'!AX164+'Electricity-Conversion'!AX176</f>
        <v>62151211.841333576</v>
      </c>
    </row>
    <row r="7" spans="1:50" s="3" customFormat="1" x14ac:dyDescent="0.2"/>
    <row r="8" spans="1:50" s="3" customFormat="1" x14ac:dyDescent="0.2">
      <c r="I8" s="29"/>
    </row>
    <row r="9" spans="1:50" x14ac:dyDescent="0.2">
      <c r="I9" s="22"/>
    </row>
    <row r="10" spans="1:50" x14ac:dyDescent="0.2">
      <c r="I10" s="22"/>
    </row>
    <row r="11" spans="1:50" x14ac:dyDescent="0.2">
      <c r="I11" s="22"/>
    </row>
    <row r="12" spans="1:50" x14ac:dyDescent="0.2">
      <c r="I12" s="22"/>
    </row>
    <row r="13" spans="1:50" x14ac:dyDescent="0.2">
      <c r="I13" s="22"/>
    </row>
    <row r="14" spans="1:50" x14ac:dyDescent="0.2">
      <c r="A14" s="3" t="s">
        <v>11</v>
      </c>
      <c r="B14" s="3" t="s">
        <v>34</v>
      </c>
      <c r="C14" s="3" t="s">
        <v>138</v>
      </c>
      <c r="D14" s="3" t="s">
        <v>142</v>
      </c>
      <c r="E14" s="3" t="s">
        <v>139</v>
      </c>
      <c r="F14" s="3" t="s">
        <v>141</v>
      </c>
      <c r="G14" s="3" t="s">
        <v>140</v>
      </c>
      <c r="H14" s="3" t="s">
        <v>37</v>
      </c>
      <c r="I14" s="3" t="s">
        <v>143</v>
      </c>
    </row>
    <row r="15" spans="1:50" x14ac:dyDescent="0.2">
      <c r="A15" s="30">
        <v>2019</v>
      </c>
      <c r="B15" s="29"/>
      <c r="C15" s="14">
        <f>_xlfn.FORECAST.LINEAR(A15,B$16:B$30,A$16:A$30)</f>
        <v>144836736.6304388</v>
      </c>
      <c r="D15" s="29"/>
      <c r="E15" s="14">
        <f>_xlfn.FORECAST.LINEAR(A15,D$16:D$25,A$16:A$25)</f>
        <v>57565943.358953953</v>
      </c>
      <c r="F15" s="29"/>
      <c r="G15" s="14">
        <f>_xlfn.FORECAST.LINEAR(A15,F$16:F$30,A$16:A$30)</f>
        <v>14706886.96398735</v>
      </c>
      <c r="H15" s="29"/>
      <c r="I15" s="14">
        <f>_xlfn.FORECAST.LINEAR(A15,H$16:H$30,A$16:A$30)</f>
        <v>9769869.5425009727</v>
      </c>
    </row>
    <row r="16" spans="1:50" x14ac:dyDescent="0.2">
      <c r="A16" s="30">
        <v>2020</v>
      </c>
      <c r="B16" s="22"/>
      <c r="C16" s="14">
        <f t="shared" ref="C16:C17" si="1">_xlfn.FORECAST.LINEAR(A16,B$16:B$30,A$16:A$30)</f>
        <v>149134667.62723064</v>
      </c>
      <c r="D16" s="22"/>
      <c r="E16" s="14">
        <f t="shared" ref="E16:E17" si="2">_xlfn.FORECAST.LINEAR(A16,D$16:D$25,A$16:A$25)</f>
        <v>58997872.514972687</v>
      </c>
      <c r="F16" s="22"/>
      <c r="G16" s="14">
        <f t="shared" ref="G16:G17" si="3">_xlfn.FORECAST.LINEAR(A16,F$16:F$30,A$16:A$30)</f>
        <v>15128791.311239362</v>
      </c>
      <c r="H16" s="22"/>
      <c r="I16" s="14">
        <f t="shared" ref="I16:I17" si="4">_xlfn.FORECAST.LINEAR(A16,H$16:H$30,A$16:A$30)</f>
        <v>10112513.978792667</v>
      </c>
    </row>
    <row r="17" spans="1:9" x14ac:dyDescent="0.2">
      <c r="A17" s="30">
        <v>2021</v>
      </c>
      <c r="B17" s="22"/>
      <c r="C17" s="14">
        <f t="shared" si="1"/>
        <v>153432598.62402439</v>
      </c>
      <c r="D17" s="22"/>
      <c r="E17" s="14">
        <f t="shared" si="2"/>
        <v>60429801.670991421</v>
      </c>
      <c r="F17" s="22"/>
      <c r="G17" s="14">
        <f t="shared" si="3"/>
        <v>15550695.658491373</v>
      </c>
      <c r="H17" s="22"/>
      <c r="I17" s="14">
        <f t="shared" si="4"/>
        <v>10455158.415084362</v>
      </c>
    </row>
    <row r="18" spans="1:9" x14ac:dyDescent="0.2">
      <c r="A18" s="8">
        <v>2022</v>
      </c>
      <c r="B18" s="22" cm="1">
        <f t="array" ref="B18:B56">TRANSPOSE(B2:AN2)</f>
        <v>159102139.4930867</v>
      </c>
      <c r="C18" s="4"/>
      <c r="D18" s="22" cm="1">
        <f t="array" ref="D18:D56">TRANSPOSE(B3:AN3)</f>
        <v>61859330.596910387</v>
      </c>
      <c r="E18" s="4"/>
      <c r="F18" s="22" cm="1">
        <f t="array" ref="F18:F56">TRANSPOSE(B4:AN4)</f>
        <v>16096471.430582318</v>
      </c>
      <c r="G18" s="4"/>
      <c r="H18" s="22" cm="1">
        <f t="array" ref="H18:H56">TRANSPOSE(B5:AN5)</f>
        <v>10929408.023246268</v>
      </c>
      <c r="I18" s="4"/>
    </row>
    <row r="19" spans="1:9" x14ac:dyDescent="0.2">
      <c r="A19" s="8">
        <v>2023</v>
      </c>
      <c r="B19" s="22">
        <v>163772768.74577987</v>
      </c>
      <c r="C19" s="4"/>
      <c r="D19" s="22">
        <v>63624672.370186687</v>
      </c>
      <c r="E19" s="4"/>
      <c r="F19" s="22">
        <v>16568464.566705395</v>
      </c>
      <c r="G19" s="4"/>
      <c r="H19" s="22">
        <v>11275266.790357228</v>
      </c>
      <c r="I19" s="4"/>
    </row>
    <row r="20" spans="1:9" x14ac:dyDescent="0.2">
      <c r="A20" s="8">
        <v>2024</v>
      </c>
      <c r="B20" s="22">
        <v>166762193.85117382</v>
      </c>
      <c r="C20" s="4"/>
      <c r="D20" s="22">
        <v>64730020.370154157</v>
      </c>
      <c r="E20" s="4"/>
      <c r="F20" s="22">
        <v>16860772.3408003</v>
      </c>
      <c r="G20" s="4"/>
      <c r="H20" s="22">
        <v>11516643.168142494</v>
      </c>
      <c r="I20" s="4"/>
    </row>
    <row r="21" spans="1:9" x14ac:dyDescent="0.2">
      <c r="A21" s="8">
        <v>2025</v>
      </c>
      <c r="B21" s="22">
        <v>169886758.08859712</v>
      </c>
      <c r="C21" s="4"/>
      <c r="D21" s="22">
        <v>65883469.835670039</v>
      </c>
      <c r="E21" s="4"/>
      <c r="F21" s="22">
        <v>17165998.473389722</v>
      </c>
      <c r="G21" s="4"/>
      <c r="H21" s="22">
        <v>11769913.393915644</v>
      </c>
      <c r="I21" s="4"/>
    </row>
    <row r="22" spans="1:9" x14ac:dyDescent="0.2">
      <c r="A22" s="8">
        <v>2026</v>
      </c>
      <c r="B22" s="22">
        <v>173852309.33454451</v>
      </c>
      <c r="C22" s="4"/>
      <c r="D22" s="22">
        <v>67362437.471600503</v>
      </c>
      <c r="E22" s="4"/>
      <c r="F22" s="22">
        <v>17556717.41482833</v>
      </c>
      <c r="G22" s="4"/>
      <c r="H22" s="22">
        <v>12080569.639695352</v>
      </c>
      <c r="I22" s="4"/>
    </row>
    <row r="23" spans="1:9" x14ac:dyDescent="0.2">
      <c r="A23" s="8">
        <v>2027</v>
      </c>
      <c r="B23" s="22">
        <v>177972724.53286514</v>
      </c>
      <c r="C23" s="4"/>
      <c r="D23" s="22">
        <v>68896520.073184237</v>
      </c>
      <c r="E23" s="4"/>
      <c r="F23" s="22">
        <v>17962268.362160604</v>
      </c>
      <c r="G23" s="4"/>
      <c r="H23" s="22">
        <v>12404817.457372576</v>
      </c>
      <c r="I23" s="4"/>
    </row>
    <row r="24" spans="1:9" x14ac:dyDescent="0.2">
      <c r="A24" s="8">
        <v>2028</v>
      </c>
      <c r="B24" s="22">
        <v>182256904.94045204</v>
      </c>
      <c r="C24" s="4"/>
      <c r="D24" s="22">
        <v>70488813.739233106</v>
      </c>
      <c r="E24" s="4"/>
      <c r="F24" s="22">
        <v>18383497.783023376</v>
      </c>
      <c r="G24" s="4"/>
      <c r="H24" s="22">
        <v>12743465.727425588</v>
      </c>
      <c r="I24" s="4"/>
    </row>
    <row r="25" spans="1:9" x14ac:dyDescent="0.2">
      <c r="A25" s="8">
        <v>2029</v>
      </c>
      <c r="B25" s="22">
        <v>186714290.25489843</v>
      </c>
      <c r="C25" s="4"/>
      <c r="D25" s="22">
        <v>72142598.527671725</v>
      </c>
      <c r="E25" s="4"/>
      <c r="F25" s="22">
        <v>18821303.200602815</v>
      </c>
      <c r="G25" s="4"/>
      <c r="H25" s="22">
        <v>13097373.351572534</v>
      </c>
      <c r="I25" s="4"/>
    </row>
    <row r="26" spans="1:9" x14ac:dyDescent="0.2">
      <c r="A26" s="8">
        <v>2030</v>
      </c>
      <c r="B26" s="22">
        <v>191354891.63080388</v>
      </c>
      <c r="C26" s="4"/>
      <c r="D26" s="22">
        <v>73861349.556229204</v>
      </c>
      <c r="E26" s="4"/>
      <c r="F26" s="22">
        <v>19276636.316313572</v>
      </c>
      <c r="G26" s="4"/>
      <c r="H26" s="22">
        <v>13467452.378886869</v>
      </c>
      <c r="I26" s="4"/>
    </row>
    <row r="27" spans="1:9" x14ac:dyDescent="0.2">
      <c r="A27" s="8">
        <v>2031</v>
      </c>
      <c r="B27" s="22">
        <v>196008720.13835302</v>
      </c>
      <c r="C27" s="4"/>
      <c r="D27" s="22">
        <v>75577682.196189016</v>
      </c>
      <c r="E27" s="4"/>
      <c r="F27" s="22">
        <v>19731913.873307176</v>
      </c>
      <c r="G27" s="4"/>
      <c r="H27" s="22">
        <v>13843085.224855248</v>
      </c>
      <c r="I27" s="4"/>
    </row>
    <row r="28" spans="1:9" x14ac:dyDescent="0.2">
      <c r="A28" s="8">
        <v>2032</v>
      </c>
      <c r="B28" s="22">
        <v>200866770.76806307</v>
      </c>
      <c r="C28" s="4"/>
      <c r="D28" s="22">
        <v>77366223.826629236</v>
      </c>
      <c r="E28" s="4"/>
      <c r="F28" s="22">
        <v>20206705.917924028</v>
      </c>
      <c r="G28" s="4"/>
      <c r="H28" s="22">
        <v>14236830.673791802</v>
      </c>
      <c r="I28" s="4"/>
    </row>
    <row r="29" spans="1:9" x14ac:dyDescent="0.2">
      <c r="A29" s="8">
        <v>2033</v>
      </c>
      <c r="B29" s="22">
        <v>205940988.27898824</v>
      </c>
      <c r="C29" s="4"/>
      <c r="D29" s="22">
        <v>79231108.353962392</v>
      </c>
      <c r="E29" s="4"/>
      <c r="F29" s="22">
        <v>20702147.416855238</v>
      </c>
      <c r="G29" s="4"/>
      <c r="H29" s="22">
        <v>14649781.007911414</v>
      </c>
      <c r="I29" s="4"/>
    </row>
    <row r="30" spans="1:9" x14ac:dyDescent="0.2">
      <c r="A30" s="8">
        <v>2034</v>
      </c>
      <c r="B30" s="22">
        <v>211244042.76291406</v>
      </c>
      <c r="C30" s="4"/>
      <c r="D30" s="22">
        <v>81176716.373314098</v>
      </c>
      <c r="E30" s="4"/>
      <c r="F30" s="22">
        <v>21219442.063823719</v>
      </c>
      <c r="G30" s="4"/>
      <c r="H30" s="22">
        <v>15083096.261465739</v>
      </c>
      <c r="I30" s="4"/>
    </row>
    <row r="31" spans="1:9" x14ac:dyDescent="0.2">
      <c r="A31" s="8">
        <v>2035</v>
      </c>
      <c r="B31" s="22">
        <v>216789374.27105159</v>
      </c>
      <c r="C31" s="4"/>
      <c r="D31" s="22">
        <v>83207690.113112405</v>
      </c>
      <c r="E31" s="4"/>
      <c r="F31" s="22">
        <v>21759866.497720957</v>
      </c>
      <c r="G31" s="4"/>
      <c r="H31" s="22">
        <v>15538008.46578685</v>
      </c>
      <c r="I31" s="4"/>
    </row>
    <row r="32" spans="1:9" x14ac:dyDescent="0.2">
      <c r="A32" s="8">
        <v>2036</v>
      </c>
      <c r="B32" s="22">
        <v>222406337.86396566</v>
      </c>
      <c r="C32" s="4"/>
      <c r="D32" s="22">
        <v>85256200.052023083</v>
      </c>
      <c r="E32" s="4"/>
      <c r="F32" s="22">
        <v>22305733.174501266</v>
      </c>
      <c r="G32" s="4"/>
      <c r="H32" s="22">
        <v>16003964.897834763</v>
      </c>
      <c r="I32" s="4"/>
    </row>
    <row r="33" spans="1:9" x14ac:dyDescent="0.2">
      <c r="A33" s="8">
        <v>2037</v>
      </c>
      <c r="B33" s="22">
        <v>228294077.87904438</v>
      </c>
      <c r="C33" s="4"/>
      <c r="D33" s="22">
        <v>87399865.049615264</v>
      </c>
      <c r="E33" s="4"/>
      <c r="F33" s="22">
        <v>22877426.261956144</v>
      </c>
      <c r="G33" s="4"/>
      <c r="H33" s="22">
        <v>16494160.184403829</v>
      </c>
      <c r="I33" s="4"/>
    </row>
    <row r="34" spans="1:9" x14ac:dyDescent="0.2">
      <c r="A34" s="8">
        <v>2038</v>
      </c>
      <c r="B34" s="22">
        <v>234468640.65878272</v>
      </c>
      <c r="C34" s="4"/>
      <c r="D34" s="22">
        <v>89644211.366123185</v>
      </c>
      <c r="E34" s="4"/>
      <c r="F34" s="22">
        <v>23476469.245772317</v>
      </c>
      <c r="G34" s="4"/>
      <c r="H34" s="22">
        <v>17010070.586863484</v>
      </c>
      <c r="I34" s="4"/>
    </row>
    <row r="35" spans="1:9" x14ac:dyDescent="0.2">
      <c r="A35" s="8">
        <v>2039</v>
      </c>
      <c r="B35" s="22">
        <v>240947050.58189559</v>
      </c>
      <c r="C35" s="4"/>
      <c r="D35" s="22">
        <v>91995096.437315792</v>
      </c>
      <c r="E35" s="4"/>
      <c r="F35" s="22">
        <v>24104478.218174025</v>
      </c>
      <c r="G35" s="4"/>
      <c r="H35" s="22">
        <v>17553264.202122919</v>
      </c>
      <c r="I35" s="4"/>
    </row>
    <row r="36" spans="1:9" x14ac:dyDescent="0.2">
      <c r="A36" s="8">
        <v>2040</v>
      </c>
      <c r="B36" s="22">
        <v>247747370.43336976</v>
      </c>
      <c r="C36" s="4"/>
      <c r="D36" s="22">
        <v>94458729.013855368</v>
      </c>
      <c r="E36" s="4"/>
      <c r="F36" s="22">
        <v>24763167.580694869</v>
      </c>
      <c r="G36" s="4"/>
      <c r="H36" s="22">
        <v>18125406.730637915</v>
      </c>
      <c r="I36" s="4"/>
    </row>
    <row r="37" spans="1:9" x14ac:dyDescent="0.2">
      <c r="A37" s="8">
        <v>2041</v>
      </c>
      <c r="B37" s="22">
        <v>254705762.50407326</v>
      </c>
      <c r="C37" s="4"/>
      <c r="D37" s="22">
        <v>96969695.985482976</v>
      </c>
      <c r="E37" s="4"/>
      <c r="F37" s="22">
        <v>25435503.390159652</v>
      </c>
      <c r="G37" s="4"/>
      <c r="H37" s="22">
        <v>18716528.585921366</v>
      </c>
      <c r="I37" s="4"/>
    </row>
    <row r="38" spans="1:9" x14ac:dyDescent="0.2">
      <c r="A38" s="8">
        <v>2042</v>
      </c>
      <c r="B38" s="22">
        <v>262024702.08113816</v>
      </c>
      <c r="C38" s="4"/>
      <c r="D38" s="22">
        <v>99606631.865379378</v>
      </c>
      <c r="E38" s="4"/>
      <c r="F38" s="22">
        <v>26142176.298156105</v>
      </c>
      <c r="G38" s="4"/>
      <c r="H38" s="22">
        <v>19340193.238645088</v>
      </c>
      <c r="I38" s="4"/>
    </row>
    <row r="39" spans="1:9" x14ac:dyDescent="0.2">
      <c r="A39" s="8">
        <v>2043</v>
      </c>
      <c r="B39" s="22">
        <v>269725768.25944585</v>
      </c>
      <c r="C39" s="4"/>
      <c r="D39" s="22">
        <v>102376932.98285285</v>
      </c>
      <c r="E39" s="4"/>
      <c r="F39" s="22">
        <v>26885233.51512678</v>
      </c>
      <c r="G39" s="4"/>
      <c r="H39" s="22">
        <v>19998397.577443905</v>
      </c>
      <c r="I39" s="4"/>
    </row>
    <row r="40" spans="1:9" x14ac:dyDescent="0.2">
      <c r="A40" s="8">
        <v>2044</v>
      </c>
      <c r="B40" s="22">
        <v>277831860.13826227</v>
      </c>
      <c r="C40" s="4"/>
      <c r="D40" s="22">
        <v>105288440.74351977</v>
      </c>
      <c r="E40" s="4"/>
      <c r="F40" s="22">
        <v>27666847.153631717</v>
      </c>
      <c r="G40" s="4"/>
      <c r="H40" s="22">
        <v>20693263.058424495</v>
      </c>
      <c r="I40" s="4"/>
    </row>
    <row r="41" spans="1:9" x14ac:dyDescent="0.2">
      <c r="A41" s="8">
        <v>2045</v>
      </c>
      <c r="B41" s="22">
        <v>286367278.5534724</v>
      </c>
      <c r="C41" s="4"/>
      <c r="D41" s="22">
        <v>108349468.79492539</v>
      </c>
      <c r="E41" s="4"/>
      <c r="F41" s="22">
        <v>28489321.944623131</v>
      </c>
      <c r="G41" s="4"/>
      <c r="H41" s="22">
        <v>21427043.547078911</v>
      </c>
      <c r="I41" s="4"/>
    </row>
    <row r="42" spans="1:9" x14ac:dyDescent="0.2">
      <c r="A42" s="8">
        <v>2046</v>
      </c>
      <c r="B42" s="22">
        <v>295180156.23694694</v>
      </c>
      <c r="C42" s="4"/>
      <c r="D42" s="22">
        <v>111498947.62885238</v>
      </c>
      <c r="E42" s="4"/>
      <c r="F42" s="22">
        <v>29336795.145422846</v>
      </c>
      <c r="G42" s="4"/>
      <c r="H42" s="22">
        <v>22190737.965541691</v>
      </c>
      <c r="I42" s="4"/>
    </row>
    <row r="43" spans="1:9" x14ac:dyDescent="0.2">
      <c r="A43" s="8">
        <v>2047</v>
      </c>
      <c r="B43" s="22">
        <v>304474691.40733963</v>
      </c>
      <c r="C43" s="4"/>
      <c r="D43" s="22">
        <v>114815784.71075216</v>
      </c>
      <c r="E43" s="4"/>
      <c r="F43" s="22">
        <v>30230082.20312852</v>
      </c>
      <c r="G43" s="4"/>
      <c r="H43" s="22">
        <v>22998233.228291646</v>
      </c>
      <c r="I43" s="4"/>
    </row>
    <row r="44" spans="1:9" x14ac:dyDescent="0.2">
      <c r="A44" s="8">
        <v>2048</v>
      </c>
      <c r="B44" s="22">
        <v>314279933.2712518</v>
      </c>
      <c r="C44" s="4"/>
      <c r="D44" s="22">
        <v>118309890.72709388</v>
      </c>
      <c r="E44" s="4"/>
      <c r="F44" s="22">
        <v>31171936.97352339</v>
      </c>
      <c r="G44" s="4"/>
      <c r="H44" s="22">
        <v>23852232.615236707</v>
      </c>
      <c r="I44" s="4"/>
    </row>
    <row r="45" spans="1:9" x14ac:dyDescent="0.2">
      <c r="A45" s="8">
        <v>2049</v>
      </c>
      <c r="B45" s="22">
        <v>324626714.16502416</v>
      </c>
      <c r="C45" s="4"/>
      <c r="D45" s="22">
        <v>121991775.1393455</v>
      </c>
      <c r="E45" s="4"/>
      <c r="F45" s="22">
        <v>32165281.927507695</v>
      </c>
      <c r="G45" s="4"/>
      <c r="H45" s="22">
        <v>24755608.485091403</v>
      </c>
      <c r="I45" s="4"/>
    </row>
    <row r="46" spans="1:9" x14ac:dyDescent="0.2">
      <c r="A46" s="8">
        <v>2050</v>
      </c>
      <c r="B46" s="22">
        <v>335547760.29223913</v>
      </c>
      <c r="C46" s="4"/>
      <c r="D46" s="22">
        <v>125872582.86068781</v>
      </c>
      <c r="E46" s="4"/>
      <c r="F46" s="22">
        <v>33213218.599988747</v>
      </c>
      <c r="G46" s="4"/>
      <c r="H46" s="22">
        <v>25711412.942754716</v>
      </c>
      <c r="I46" s="4"/>
    </row>
    <row r="47" spans="1:9" x14ac:dyDescent="0.2">
      <c r="A47" s="8">
        <v>2051</v>
      </c>
      <c r="B47" s="22">
        <v>346642937.01965147</v>
      </c>
      <c r="C47" s="4"/>
      <c r="D47" s="22">
        <v>129793085.6470177</v>
      </c>
      <c r="E47" s="4"/>
      <c r="F47" s="22">
        <v>34274208.022696152</v>
      </c>
      <c r="G47" s="4"/>
      <c r="H47" s="22">
        <v>26694995.442329846</v>
      </c>
      <c r="I47" s="4"/>
    </row>
    <row r="48" spans="1:9" x14ac:dyDescent="0.2">
      <c r="A48" s="8">
        <v>2052</v>
      </c>
      <c r="B48" s="22">
        <v>358381985.85771459</v>
      </c>
      <c r="C48" s="4"/>
      <c r="D48" s="22">
        <v>133936084.06324175</v>
      </c>
      <c r="E48" s="4"/>
      <c r="F48" s="22">
        <v>35396361.808207586</v>
      </c>
      <c r="G48" s="4"/>
      <c r="H48" s="22">
        <v>27737567.819266148</v>
      </c>
      <c r="I48" s="4"/>
    </row>
    <row r="49" spans="1:9" x14ac:dyDescent="0.2">
      <c r="A49" s="8">
        <v>2053</v>
      </c>
      <c r="B49" s="22">
        <v>370804050.71418852</v>
      </c>
      <c r="C49" s="4"/>
      <c r="D49" s="22">
        <v>138314872.89471757</v>
      </c>
      <c r="E49" s="4"/>
      <c r="F49" s="22">
        <v>36583388.127511077</v>
      </c>
      <c r="G49" s="4"/>
      <c r="H49" s="22">
        <v>28842792.418942213</v>
      </c>
      <c r="I49" s="4"/>
    </row>
    <row r="50" spans="1:9" x14ac:dyDescent="0.2">
      <c r="A50" s="8">
        <v>2054</v>
      </c>
      <c r="B50" s="22">
        <v>383950686.30110371</v>
      </c>
      <c r="C50" s="4"/>
      <c r="D50" s="22">
        <v>142943553.29056334</v>
      </c>
      <c r="E50" s="4"/>
      <c r="F50" s="22">
        <v>37839222.979074225</v>
      </c>
      <c r="G50" s="4"/>
      <c r="H50" s="22">
        <v>30014561.227993481</v>
      </c>
      <c r="I50" s="4"/>
    </row>
    <row r="51" spans="1:9" x14ac:dyDescent="0.2">
      <c r="A51" s="8">
        <v>2055</v>
      </c>
      <c r="B51" s="22">
        <v>397866008.27958935</v>
      </c>
      <c r="C51" s="4"/>
      <c r="D51" s="22">
        <v>147837082.32491556</v>
      </c>
      <c r="E51" s="4"/>
      <c r="F51" s="22">
        <v>39168044.348673865</v>
      </c>
      <c r="G51" s="4"/>
      <c r="H51" s="22">
        <v>31257010.392745823</v>
      </c>
      <c r="I51" s="4"/>
    </row>
    <row r="52" spans="1:9" x14ac:dyDescent="0.2">
      <c r="A52" s="8">
        <v>2056</v>
      </c>
      <c r="B52" s="22">
        <v>412596852.8440761</v>
      </c>
      <c r="C52" s="4"/>
      <c r="D52" s="22">
        <v>153011325.63949513</v>
      </c>
      <c r="E52" s="4"/>
      <c r="F52" s="22">
        <v>40574287.257899366</v>
      </c>
      <c r="G52" s="4"/>
      <c r="H52" s="22">
        <v>32574535.661738403</v>
      </c>
      <c r="I52" s="4"/>
    </row>
    <row r="53" spans="1:9" x14ac:dyDescent="0.2">
      <c r="A53" s="8">
        <v>2057</v>
      </c>
      <c r="B53" s="22">
        <v>428192946.34394515</v>
      </c>
      <c r="C53" s="4"/>
      <c r="D53" s="22">
        <v>158483113.36091781</v>
      </c>
      <c r="E53" s="4"/>
      <c r="F53" s="22">
        <v>42062659.757555589</v>
      </c>
      <c r="G53" s="4"/>
      <c r="H53" s="22">
        <v>33971808.811473578</v>
      </c>
      <c r="I53" s="4"/>
    </row>
    <row r="54" spans="1:9" x14ac:dyDescent="0.2">
      <c r="A54" s="8">
        <v>2058</v>
      </c>
      <c r="B54" s="22">
        <v>444707085.57882154</v>
      </c>
      <c r="C54" s="4"/>
      <c r="D54" s="22">
        <v>164270299.49842656</v>
      </c>
      <c r="E54" s="4"/>
      <c r="F54" s="22">
        <v>43638159.925772034</v>
      </c>
      <c r="G54" s="4"/>
      <c r="H54" s="22">
        <v>35453795.118332669</v>
      </c>
      <c r="I54" s="4"/>
    </row>
    <row r="55" spans="1:9" x14ac:dyDescent="0.2">
      <c r="A55" s="8">
        <v>2059</v>
      </c>
      <c r="B55" s="22">
        <v>462195329.44429433</v>
      </c>
      <c r="C55" s="4"/>
      <c r="D55" s="22">
        <v>170391825.04074356</v>
      </c>
      <c r="E55" s="4"/>
      <c r="F55" s="22">
        <v>45306093.934435196</v>
      </c>
      <c r="G55" s="4"/>
      <c r="H55" s="22">
        <v>37025771.943642527</v>
      </c>
      <c r="I55" s="4"/>
    </row>
    <row r="56" spans="1:9" x14ac:dyDescent="0.2">
      <c r="A56" s="8">
        <v>2060</v>
      </c>
      <c r="B56" s="22">
        <v>480717202.64801961</v>
      </c>
      <c r="C56" s="4"/>
      <c r="D56" s="22">
        <v>176867784.98459217</v>
      </c>
      <c r="E56" s="4"/>
      <c r="F56" s="22">
        <v>47072095.251615435</v>
      </c>
      <c r="G56" s="4"/>
      <c r="H56" s="22">
        <v>38693348.503184788</v>
      </c>
      <c r="I56" s="4"/>
    </row>
    <row r="57" spans="1:9" x14ac:dyDescent="0.2">
      <c r="A57" s="41">
        <v>2061</v>
      </c>
      <c r="B57" s="42" cm="1">
        <f t="array" ref="B57:B66">TRANSPOSE(AO2:AX2)</f>
        <v>500337694.60989642</v>
      </c>
      <c r="C57" s="4"/>
      <c r="D57" s="42" cm="1">
        <f t="array" ref="D57:D66">TRANSPOSE(AO3:AX3)</f>
        <v>183720194.68561265</v>
      </c>
      <c r="E57" s="4"/>
      <c r="F57" s="42" cm="1">
        <f t="array" ref="F57:F66">TRANSPOSE(AO4:AX4)</f>
        <v>48942334.13098935</v>
      </c>
      <c r="G57" s="4"/>
      <c r="H57" s="42" cm="1">
        <f t="array" ref="H57:H66">TRANSPOSE(AO5:AX5)</f>
        <v>40462600.900549471</v>
      </c>
    </row>
    <row r="58" spans="1:9" x14ac:dyDescent="0.2">
      <c r="A58" s="41">
        <v>2062</v>
      </c>
      <c r="B58" s="42">
        <v>521123934.10863256</v>
      </c>
      <c r="C58" s="4"/>
      <c r="D58" s="42">
        <v>190971678.78508079</v>
      </c>
      <c r="E58" s="4"/>
      <c r="F58" s="42">
        <v>50923162.118236229</v>
      </c>
      <c r="G58" s="4"/>
      <c r="H58" s="42">
        <v>42339867.075524852</v>
      </c>
    </row>
    <row r="59" spans="1:9" x14ac:dyDescent="0.2">
      <c r="A59" s="41">
        <v>2063</v>
      </c>
      <c r="B59" s="42">
        <v>543147207.25910652</v>
      </c>
      <c r="C59" s="4"/>
      <c r="D59" s="42">
        <v>198646243.17832088</v>
      </c>
      <c r="E59" s="4"/>
      <c r="F59" s="42">
        <v>53021323.226532131</v>
      </c>
      <c r="G59" s="4"/>
      <c r="H59" s="42">
        <v>44331884.024024345</v>
      </c>
    </row>
    <row r="60" spans="1:9" x14ac:dyDescent="0.2">
      <c r="A60" s="41">
        <v>2064</v>
      </c>
      <c r="B60" s="42">
        <v>566483217.67409635</v>
      </c>
      <c r="C60" s="4"/>
      <c r="D60" s="42">
        <v>206769360.4046177</v>
      </c>
      <c r="E60" s="4"/>
      <c r="F60" s="42">
        <v>55243978.450222604</v>
      </c>
      <c r="G60" s="4"/>
      <c r="H60" s="42">
        <v>46445813.114555553</v>
      </c>
    </row>
    <row r="61" spans="1:9" x14ac:dyDescent="0.2">
      <c r="A61" s="41">
        <v>2065</v>
      </c>
      <c r="B61" s="42">
        <v>591212363.04722893</v>
      </c>
      <c r="C61" s="4"/>
      <c r="D61" s="42">
        <v>215368060.3722629</v>
      </c>
      <c r="E61" s="4"/>
      <c r="F61" s="42">
        <v>57598731.823355995</v>
      </c>
      <c r="G61" s="4"/>
      <c r="H61" s="42">
        <v>48689267.020578176</v>
      </c>
    </row>
    <row r="62" spans="1:9" x14ac:dyDescent="0.2">
      <c r="A62" s="41">
        <v>2066</v>
      </c>
      <c r="B62" s="42">
        <v>617420029.2009716</v>
      </c>
      <c r="C62" s="4"/>
      <c r="D62" s="42">
        <v>224471026.75504082</v>
      </c>
      <c r="E62" s="4"/>
      <c r="F62" s="42">
        <v>60093658.121151328</v>
      </c>
      <c r="G62" s="4"/>
      <c r="H62" s="42">
        <v>51070338.372392386</v>
      </c>
    </row>
    <row r="63" spans="1:9" x14ac:dyDescent="0.2">
      <c r="A63" s="41">
        <v>2067</v>
      </c>
      <c r="B63" s="42">
        <v>645196902.7102083</v>
      </c>
      <c r="C63" s="4"/>
      <c r="D63" s="42">
        <v>234108699.41781402</v>
      </c>
      <c r="E63" s="4"/>
      <c r="F63" s="42">
        <v>62737332.308738038</v>
      </c>
      <c r="G63" s="4"/>
      <c r="H63" s="42">
        <v>53597630.238872066</v>
      </c>
    </row>
    <row r="64" spans="1:9" x14ac:dyDescent="0.2">
      <c r="A64" s="41">
        <v>2068</v>
      </c>
      <c r="B64" s="42">
        <v>674639303.28296912</v>
      </c>
      <c r="C64" s="4"/>
      <c r="D64" s="42">
        <v>244313383.25158605</v>
      </c>
      <c r="E64" s="4"/>
      <c r="F64" s="42">
        <v>65538860.848169997</v>
      </c>
      <c r="G64" s="4"/>
      <c r="H64" s="42">
        <v>56280288.556461692</v>
      </c>
    </row>
    <row r="65" spans="1:8" x14ac:dyDescent="0.2">
      <c r="A65" s="41">
        <v>2069</v>
      </c>
      <c r="B65" s="42">
        <v>705849537.15544605</v>
      </c>
      <c r="C65" s="4"/>
      <c r="D65" s="42">
        <v>255119363.8225902</v>
      </c>
      <c r="E65" s="4"/>
      <c r="F65" s="42">
        <v>68507914.98180908</v>
      </c>
      <c r="G65" s="4"/>
      <c r="H65" s="42">
        <v>59128036.630418546</v>
      </c>
    </row>
    <row r="66" spans="1:8" x14ac:dyDescent="0.2">
      <c r="A66" s="41">
        <v>2070</v>
      </c>
      <c r="B66" s="42">
        <v>738936272.83886707</v>
      </c>
      <c r="C66" s="4"/>
      <c r="D66" s="42">
        <v>266563030.26566547</v>
      </c>
      <c r="E66" s="4"/>
      <c r="F66" s="42">
        <v>71654766.11772193</v>
      </c>
      <c r="G66" s="4"/>
      <c r="H66" s="42">
        <v>62151211.841333576</v>
      </c>
    </row>
    <row r="67" spans="1:8" x14ac:dyDescent="0.2">
      <c r="B67" s="4"/>
      <c r="C67" s="4"/>
      <c r="D67" s="4"/>
      <c r="E67" s="4"/>
      <c r="F67" s="4"/>
      <c r="G67" s="4"/>
      <c r="H67"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AF477-901C-4F4C-925E-F43F92B5F804}">
  <dimension ref="A1:BA11"/>
  <sheetViews>
    <sheetView topLeftCell="AK1" workbookViewId="0">
      <selection activeCell="AR19" sqref="AR19"/>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22</v>
      </c>
      <c r="B2" s="15">
        <v>0</v>
      </c>
      <c r="C2" s="15">
        <v>0</v>
      </c>
      <c r="D2" s="15">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23</v>
      </c>
      <c r="B3" s="15">
        <v>0</v>
      </c>
      <c r="C3" s="15">
        <v>0</v>
      </c>
      <c r="D3" s="15">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24</v>
      </c>
      <c r="B4" s="15">
        <v>0</v>
      </c>
      <c r="C4" s="15">
        <v>0</v>
      </c>
      <c r="D4" s="15">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25</v>
      </c>
      <c r="B5" s="15">
        <v>0</v>
      </c>
      <c r="C5" s="15">
        <v>0</v>
      </c>
      <c r="D5" s="15">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26</v>
      </c>
      <c r="B6" s="15">
        <v>0</v>
      </c>
      <c r="C6" s="15">
        <v>0</v>
      </c>
      <c r="D6" s="15">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27</v>
      </c>
      <c r="B7" s="15">
        <v>0</v>
      </c>
      <c r="C7" s="15">
        <v>0</v>
      </c>
      <c r="D7" s="15">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28</v>
      </c>
      <c r="B8" s="15">
        <v>0</v>
      </c>
      <c r="C8" s="15">
        <v>0</v>
      </c>
      <c r="D8" s="15">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29</v>
      </c>
      <c r="B9" s="15">
        <v>0</v>
      </c>
      <c r="C9" s="15">
        <v>0</v>
      </c>
      <c r="D9" s="15">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30</v>
      </c>
      <c r="B10" s="15">
        <v>0</v>
      </c>
      <c r="C10" s="15">
        <v>0</v>
      </c>
      <c r="D10" s="15">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31</v>
      </c>
      <c r="B11" s="15">
        <v>0</v>
      </c>
      <c r="C11" s="15">
        <v>0</v>
      </c>
      <c r="D11" s="15">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A54E-D2AD-654B-AECE-706C681090D6}">
  <dimension ref="A1:BA11"/>
  <sheetViews>
    <sheetView topLeftCell="AD1" workbookViewId="0">
      <selection activeCell="AR1" sqref="AR1:BA11"/>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22</v>
      </c>
      <c r="B2" s="15">
        <f>'Total Electricity Consumption'!C15</f>
        <v>144836736.6304388</v>
      </c>
      <c r="C2" s="15">
        <f>'Total Electricity Consumption'!C16</f>
        <v>149134667.62723064</v>
      </c>
      <c r="D2" s="15">
        <f>'Total Electricity Consumption'!C17</f>
        <v>153432598.62402439</v>
      </c>
      <c r="E2" s="15">
        <f>'Total Electricity Consumption'!B2</f>
        <v>159102139.4930867</v>
      </c>
      <c r="F2" s="4">
        <f>'Total Electricity Consumption'!C2</f>
        <v>163772768.74577987</v>
      </c>
      <c r="G2" s="4">
        <f>'Total Electricity Consumption'!D2</f>
        <v>166762193.85117382</v>
      </c>
      <c r="H2" s="4">
        <f>'Total Electricity Consumption'!E2</f>
        <v>169886758.08859712</v>
      </c>
      <c r="I2" s="4">
        <f>'Total Electricity Consumption'!F2</f>
        <v>173852309.33454451</v>
      </c>
      <c r="J2" s="4">
        <f>'Total Electricity Consumption'!G2</f>
        <v>177972724.53286514</v>
      </c>
      <c r="K2" s="4">
        <f>'Total Electricity Consumption'!H2</f>
        <v>182256904.94045204</v>
      </c>
      <c r="L2" s="4">
        <f>'Total Electricity Consumption'!I2</f>
        <v>186714290.25489843</v>
      </c>
      <c r="M2" s="4">
        <f>'Total Electricity Consumption'!J2</f>
        <v>191354891.63080388</v>
      </c>
      <c r="N2" s="4">
        <f>'Total Electricity Consumption'!K2</f>
        <v>196008720.13835302</v>
      </c>
      <c r="O2" s="4">
        <f>'Total Electricity Consumption'!L2</f>
        <v>200866770.76806307</v>
      </c>
      <c r="P2" s="4">
        <f>'Total Electricity Consumption'!M2</f>
        <v>205940988.27898824</v>
      </c>
      <c r="Q2" s="4">
        <f>'Total Electricity Consumption'!N2</f>
        <v>211244042.76291406</v>
      </c>
      <c r="R2" s="4">
        <f>'Total Electricity Consumption'!O2</f>
        <v>216789374.27105159</v>
      </c>
      <c r="S2" s="4">
        <f>'Total Electricity Consumption'!P2</f>
        <v>222406337.86396566</v>
      </c>
      <c r="T2" s="4">
        <f>'Total Electricity Consumption'!Q2</f>
        <v>228294077.87904438</v>
      </c>
      <c r="U2" s="4">
        <f>'Total Electricity Consumption'!R2</f>
        <v>234468640.65878272</v>
      </c>
      <c r="V2" s="4">
        <f>'Total Electricity Consumption'!S2</f>
        <v>240947050.58189559</v>
      </c>
      <c r="W2" s="4">
        <f>'Total Electricity Consumption'!T2</f>
        <v>247747370.43336976</v>
      </c>
      <c r="X2" s="4">
        <f>'Total Electricity Consumption'!U2</f>
        <v>254705762.50407326</v>
      </c>
      <c r="Y2" s="4">
        <f>'Total Electricity Consumption'!V2</f>
        <v>262024702.08113816</v>
      </c>
      <c r="Z2" s="4">
        <f>'Total Electricity Consumption'!W2</f>
        <v>269725768.25944585</v>
      </c>
      <c r="AA2" s="4">
        <f>'Total Electricity Consumption'!X2</f>
        <v>277831860.13826227</v>
      </c>
      <c r="AB2" s="4">
        <f>'Total Electricity Consumption'!Y2</f>
        <v>286367278.5534724</v>
      </c>
      <c r="AC2" s="4">
        <f>'Total Electricity Consumption'!Z2</f>
        <v>295180156.23694694</v>
      </c>
      <c r="AD2" s="4">
        <f>'Total Electricity Consumption'!AA2</f>
        <v>304474691.40733963</v>
      </c>
      <c r="AE2" s="4">
        <f>'Total Electricity Consumption'!AB2</f>
        <v>314279933.2712518</v>
      </c>
      <c r="AF2" s="4">
        <f>'Total Electricity Consumption'!AC2</f>
        <v>324626714.16502416</v>
      </c>
      <c r="AG2" s="4">
        <f>'Total Electricity Consumption'!AD2</f>
        <v>335547760.29223913</v>
      </c>
      <c r="AH2" s="4">
        <f>'Total Electricity Consumption'!AE2</f>
        <v>346642937.01965147</v>
      </c>
      <c r="AI2" s="4">
        <f>'Total Electricity Consumption'!AF2</f>
        <v>358381985.85771459</v>
      </c>
      <c r="AJ2" s="4">
        <f>'Total Electricity Consumption'!AG2</f>
        <v>370804050.71418852</v>
      </c>
      <c r="AK2" s="4">
        <f>'Total Electricity Consumption'!AH2</f>
        <v>383950686.30110371</v>
      </c>
      <c r="AL2" s="4">
        <f>'Total Electricity Consumption'!AI2</f>
        <v>397866008.27958935</v>
      </c>
      <c r="AM2" s="4">
        <f>'Total Electricity Consumption'!AJ2</f>
        <v>412596852.8440761</v>
      </c>
      <c r="AN2" s="4">
        <f>'Total Electricity Consumption'!AK2</f>
        <v>428192946.34394515</v>
      </c>
      <c r="AO2" s="4">
        <f>'Total Electricity Consumption'!AL2</f>
        <v>444707085.57882154</v>
      </c>
      <c r="AP2" s="4">
        <f>'Total Electricity Consumption'!AM2</f>
        <v>462195329.44429433</v>
      </c>
      <c r="AQ2" s="4">
        <f>'Total Electricity Consumption'!AN2</f>
        <v>480717202.64801961</v>
      </c>
      <c r="AR2" s="42">
        <f>'Total Electricity Consumption'!AO2</f>
        <v>500337694.60989642</v>
      </c>
      <c r="AS2" s="42">
        <f>'Total Electricity Consumption'!AP2</f>
        <v>521123934.10863256</v>
      </c>
      <c r="AT2" s="42">
        <f>'Total Electricity Consumption'!AQ2</f>
        <v>543147207.25910652</v>
      </c>
      <c r="AU2" s="42">
        <f>'Total Electricity Consumption'!AR2</f>
        <v>566483217.67409635</v>
      </c>
      <c r="AV2" s="42">
        <f>'Total Electricity Consumption'!AS2</f>
        <v>591212363.04722893</v>
      </c>
      <c r="AW2" s="42">
        <f>'Total Electricity Consumption'!AT2</f>
        <v>617420029.2009716</v>
      </c>
      <c r="AX2" s="42">
        <f>'Total Electricity Consumption'!AU2</f>
        <v>645196902.7102083</v>
      </c>
      <c r="AY2" s="42">
        <f>'Total Electricity Consumption'!AV2</f>
        <v>674639303.28296912</v>
      </c>
      <c r="AZ2" s="42">
        <f>'Total Electricity Consumption'!AW2</f>
        <v>705849537.15544605</v>
      </c>
      <c r="BA2" s="42">
        <f>'Total Electricity Consumption'!AX2</f>
        <v>738936272.83886707</v>
      </c>
    </row>
    <row r="3" spans="1:5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28</v>
      </c>
      <c r="B8" s="15">
        <v>0</v>
      </c>
      <c r="C8" s="15">
        <v>0</v>
      </c>
      <c r="D8" s="15">
        <v>0</v>
      </c>
      <c r="E8" s="15">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30</v>
      </c>
      <c r="B10" s="15">
        <v>0</v>
      </c>
      <c r="C10" s="15">
        <v>0</v>
      </c>
      <c r="D10" s="15">
        <v>0</v>
      </c>
      <c r="E10" s="15">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DB7D-21BE-2048-A13F-57D1A93EEACE}">
  <dimension ref="A1:BA11"/>
  <sheetViews>
    <sheetView topLeftCell="AC1" workbookViewId="0">
      <selection activeCell="AO18" sqref="AO18"/>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22</v>
      </c>
      <c r="B2" s="15">
        <f>'Total Electricity Consumption'!E15</f>
        <v>57565943.358953953</v>
      </c>
      <c r="C2" s="15">
        <f>'Total Electricity Consumption'!E16</f>
        <v>58997872.514972687</v>
      </c>
      <c r="D2" s="15">
        <f>'Total Electricity Consumption'!E17</f>
        <v>60429801.670991421</v>
      </c>
      <c r="E2" s="15">
        <f>'Total Electricity Consumption'!B3</f>
        <v>61859330.596910387</v>
      </c>
      <c r="F2" s="15">
        <f>'Total Electricity Consumption'!C3</f>
        <v>63624672.370186687</v>
      </c>
      <c r="G2" s="15">
        <f>'Total Electricity Consumption'!D3</f>
        <v>64730020.370154157</v>
      </c>
      <c r="H2" s="15">
        <f>'Total Electricity Consumption'!E3</f>
        <v>65883469.835670039</v>
      </c>
      <c r="I2" s="15">
        <f>'Total Electricity Consumption'!F3</f>
        <v>67362437.471600503</v>
      </c>
      <c r="J2" s="15">
        <f>'Total Electricity Consumption'!G3</f>
        <v>68896520.073184237</v>
      </c>
      <c r="K2" s="15">
        <f>'Total Electricity Consumption'!H3</f>
        <v>70488813.739233106</v>
      </c>
      <c r="L2" s="15">
        <f>'Total Electricity Consumption'!I3</f>
        <v>72142598.527671725</v>
      </c>
      <c r="M2" s="15">
        <f>'Total Electricity Consumption'!J3</f>
        <v>73861349.556229204</v>
      </c>
      <c r="N2" s="15">
        <f>'Total Electricity Consumption'!K3</f>
        <v>75577682.196189016</v>
      </c>
      <c r="O2" s="15">
        <f>'Total Electricity Consumption'!L3</f>
        <v>77366223.826629236</v>
      </c>
      <c r="P2" s="15">
        <f>'Total Electricity Consumption'!M3</f>
        <v>79231108.353962392</v>
      </c>
      <c r="Q2" s="15">
        <f>'Total Electricity Consumption'!N3</f>
        <v>81176716.373314098</v>
      </c>
      <c r="R2" s="15">
        <f>'Total Electricity Consumption'!O3</f>
        <v>83207690.113112405</v>
      </c>
      <c r="S2" s="15">
        <f>'Total Electricity Consumption'!P3</f>
        <v>85256200.052023083</v>
      </c>
      <c r="T2" s="15">
        <f>'Total Electricity Consumption'!Q3</f>
        <v>87399865.049615264</v>
      </c>
      <c r="U2" s="15">
        <f>'Total Electricity Consumption'!R3</f>
        <v>89644211.366123185</v>
      </c>
      <c r="V2" s="15">
        <f>'Total Electricity Consumption'!S3</f>
        <v>91995096.437315792</v>
      </c>
      <c r="W2" s="15">
        <f>'Total Electricity Consumption'!T3</f>
        <v>94458729.013855368</v>
      </c>
      <c r="X2" s="15">
        <f>'Total Electricity Consumption'!U3</f>
        <v>96969695.985482976</v>
      </c>
      <c r="Y2" s="15">
        <f>'Total Electricity Consumption'!V3</f>
        <v>99606631.865379378</v>
      </c>
      <c r="Z2" s="15">
        <f>'Total Electricity Consumption'!W3</f>
        <v>102376932.98285285</v>
      </c>
      <c r="AA2" s="15">
        <f>'Total Electricity Consumption'!X3</f>
        <v>105288440.74351977</v>
      </c>
      <c r="AB2" s="15">
        <f>'Total Electricity Consumption'!Y3</f>
        <v>108349468.79492539</v>
      </c>
      <c r="AC2" s="15">
        <f>'Total Electricity Consumption'!Z3</f>
        <v>111498947.62885238</v>
      </c>
      <c r="AD2" s="15">
        <f>'Total Electricity Consumption'!AA3</f>
        <v>114815784.71075216</v>
      </c>
      <c r="AE2" s="15">
        <f>'Total Electricity Consumption'!AB3</f>
        <v>118309890.72709388</v>
      </c>
      <c r="AF2" s="15">
        <f>'Total Electricity Consumption'!AC3</f>
        <v>121991775.1393455</v>
      </c>
      <c r="AG2" s="15">
        <f>'Total Electricity Consumption'!AD3</f>
        <v>125872582.86068781</v>
      </c>
      <c r="AH2" s="15">
        <f>'Total Electricity Consumption'!AE3</f>
        <v>129793085.6470177</v>
      </c>
      <c r="AI2" s="15">
        <f>'Total Electricity Consumption'!AF3</f>
        <v>133936084.06324175</v>
      </c>
      <c r="AJ2" s="15">
        <f>'Total Electricity Consumption'!AG3</f>
        <v>138314872.89471757</v>
      </c>
      <c r="AK2" s="15">
        <f>'Total Electricity Consumption'!AH3</f>
        <v>142943553.29056334</v>
      </c>
      <c r="AL2" s="15">
        <f>'Total Electricity Consumption'!AI3</f>
        <v>147837082.32491556</v>
      </c>
      <c r="AM2" s="15">
        <f>'Total Electricity Consumption'!AJ3</f>
        <v>153011325.63949513</v>
      </c>
      <c r="AN2" s="15">
        <f>'Total Electricity Consumption'!AK3</f>
        <v>158483113.36091781</v>
      </c>
      <c r="AO2" s="15">
        <f>'Total Electricity Consumption'!AL3</f>
        <v>164270299.49842656</v>
      </c>
      <c r="AP2" s="15">
        <f>'Total Electricity Consumption'!AM3</f>
        <v>170391825.04074356</v>
      </c>
      <c r="AQ2" s="15">
        <f>'Total Electricity Consumption'!AN3</f>
        <v>176867784.98459217</v>
      </c>
      <c r="AR2" s="45">
        <f>'Total Electricity Consumption'!AO3</f>
        <v>183720194.68561265</v>
      </c>
      <c r="AS2" s="45">
        <f>'Total Electricity Consumption'!AP3</f>
        <v>190971678.78508079</v>
      </c>
      <c r="AT2" s="45">
        <f>'Total Electricity Consumption'!AQ3</f>
        <v>198646243.17832088</v>
      </c>
      <c r="AU2" s="45">
        <f>'Total Electricity Consumption'!AR3</f>
        <v>206769360.4046177</v>
      </c>
      <c r="AV2" s="45">
        <f>'Total Electricity Consumption'!AS3</f>
        <v>215368060.3722629</v>
      </c>
      <c r="AW2" s="45">
        <f>'Total Electricity Consumption'!AT3</f>
        <v>224471026.75504082</v>
      </c>
      <c r="AX2" s="45">
        <f>'Total Electricity Consumption'!AU3</f>
        <v>234108699.41781402</v>
      </c>
      <c r="AY2" s="45">
        <f>'Total Electricity Consumption'!AV3</f>
        <v>244313383.25158605</v>
      </c>
      <c r="AZ2" s="45">
        <f>'Total Electricity Consumption'!AW3</f>
        <v>255119363.8225902</v>
      </c>
      <c r="BA2" s="45">
        <f>'Total Electricity Consumption'!AX3</f>
        <v>266563030.26566547</v>
      </c>
    </row>
    <row r="3" spans="1:5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28</v>
      </c>
      <c r="B8" s="15">
        <v>0</v>
      </c>
      <c r="C8" s="15">
        <v>0</v>
      </c>
      <c r="D8" s="15">
        <v>0</v>
      </c>
      <c r="E8" s="15">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30</v>
      </c>
      <c r="B10" s="15">
        <v>0</v>
      </c>
      <c r="C10" s="15">
        <v>0</v>
      </c>
      <c r="D10" s="15">
        <v>0</v>
      </c>
      <c r="E10" s="15">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85FA-F029-C448-9A11-6D141898A048}">
  <dimension ref="A1:BA11"/>
  <sheetViews>
    <sheetView topLeftCell="AE1" workbookViewId="0">
      <selection activeCell="AR1" sqref="AR1:BA1"/>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12">
        <f>AQ1+1</f>
        <v>2061</v>
      </c>
      <c r="AS1" s="12">
        <f t="shared" ref="AS1:AZ1" si="0">AR1+1</f>
        <v>2062</v>
      </c>
      <c r="AT1" s="12">
        <f t="shared" si="0"/>
        <v>2063</v>
      </c>
      <c r="AU1" s="12">
        <f t="shared" si="0"/>
        <v>2064</v>
      </c>
      <c r="AV1" s="12">
        <f t="shared" si="0"/>
        <v>2065</v>
      </c>
      <c r="AW1" s="12">
        <f t="shared" si="0"/>
        <v>2066</v>
      </c>
      <c r="AX1" s="12">
        <f>AW1+1</f>
        <v>2067</v>
      </c>
      <c r="AY1" s="12">
        <f t="shared" si="0"/>
        <v>2068</v>
      </c>
      <c r="AZ1" s="12">
        <f t="shared" si="0"/>
        <v>2069</v>
      </c>
      <c r="BA1" s="12">
        <f>AZ1+1</f>
        <v>2070</v>
      </c>
    </row>
    <row r="2" spans="1:53" x14ac:dyDescent="0.2">
      <c r="A2" s="1" t="s">
        <v>22</v>
      </c>
      <c r="B2" s="15">
        <f>'Total Electricity Consumption'!I15</f>
        <v>9769869.5425009727</v>
      </c>
      <c r="C2" s="15">
        <f>'Total Electricity Consumption'!I16</f>
        <v>10112513.978792667</v>
      </c>
      <c r="D2" s="15">
        <f>'Total Electricity Consumption'!I17</f>
        <v>10455158.415084362</v>
      </c>
      <c r="E2" s="4">
        <f>'Total Electricity Consumption'!B5</f>
        <v>10929408.023246268</v>
      </c>
      <c r="F2" s="4">
        <f>'Total Electricity Consumption'!C5</f>
        <v>11275266.790357228</v>
      </c>
      <c r="G2" s="4">
        <f>'Total Electricity Consumption'!D5</f>
        <v>11516643.168142494</v>
      </c>
      <c r="H2" s="4">
        <f>'Total Electricity Consumption'!E5</f>
        <v>11769913.393915644</v>
      </c>
      <c r="I2" s="4">
        <f>'Total Electricity Consumption'!F5</f>
        <v>12080569.639695352</v>
      </c>
      <c r="J2" s="4">
        <f>'Total Electricity Consumption'!G5</f>
        <v>12404817.457372576</v>
      </c>
      <c r="K2" s="4">
        <f>'Total Electricity Consumption'!H5</f>
        <v>12743465.727425588</v>
      </c>
      <c r="L2" s="4">
        <f>'Total Electricity Consumption'!I5</f>
        <v>13097373.351572534</v>
      </c>
      <c r="M2" s="4">
        <f>'Total Electricity Consumption'!J5</f>
        <v>13467452.378886869</v>
      </c>
      <c r="N2" s="4">
        <f>'Total Electricity Consumption'!K5</f>
        <v>13843085.224855248</v>
      </c>
      <c r="O2" s="4">
        <f>'Total Electricity Consumption'!L5</f>
        <v>14236830.673791802</v>
      </c>
      <c r="P2" s="4">
        <f>'Total Electricity Consumption'!M5</f>
        <v>14649781.007911414</v>
      </c>
      <c r="Q2" s="4">
        <f>'Total Electricity Consumption'!N5</f>
        <v>15083096.261465739</v>
      </c>
      <c r="R2" s="4">
        <f>'Total Electricity Consumption'!O5</f>
        <v>15538008.46578685</v>
      </c>
      <c r="S2" s="4">
        <f>'Total Electricity Consumption'!P5</f>
        <v>16003964.897834763</v>
      </c>
      <c r="T2" s="4">
        <f>'Total Electricity Consumption'!Q5</f>
        <v>16494160.184403829</v>
      </c>
      <c r="U2" s="4">
        <f>'Total Electricity Consumption'!R5</f>
        <v>17010070.586863484</v>
      </c>
      <c r="V2" s="4">
        <f>'Total Electricity Consumption'!S5</f>
        <v>17553264.202122919</v>
      </c>
      <c r="W2" s="4">
        <f>'Total Electricity Consumption'!T5</f>
        <v>18125406.730637915</v>
      </c>
      <c r="X2" s="4">
        <f>'Total Electricity Consumption'!U5</f>
        <v>18716528.585921366</v>
      </c>
      <c r="Y2" s="4">
        <f>'Total Electricity Consumption'!V5</f>
        <v>19340193.238645088</v>
      </c>
      <c r="Z2" s="4">
        <f>'Total Electricity Consumption'!W5</f>
        <v>19998397.577443905</v>
      </c>
      <c r="AA2" s="4">
        <f>'Total Electricity Consumption'!X5</f>
        <v>20693263.058424495</v>
      </c>
      <c r="AB2" s="4">
        <f>'Total Electricity Consumption'!Y5</f>
        <v>21427043.547078911</v>
      </c>
      <c r="AC2" s="4">
        <f>'Total Electricity Consumption'!Z5</f>
        <v>22190737.965541691</v>
      </c>
      <c r="AD2" s="4">
        <f>'Total Electricity Consumption'!AA5</f>
        <v>22998233.228291646</v>
      </c>
      <c r="AE2" s="4">
        <f>'Total Electricity Consumption'!AB5</f>
        <v>23852232.615236707</v>
      </c>
      <c r="AF2" s="4">
        <f>'Total Electricity Consumption'!AC5</f>
        <v>24755608.485091403</v>
      </c>
      <c r="AG2" s="4">
        <f>'Total Electricity Consumption'!AD5</f>
        <v>25711412.942754716</v>
      </c>
      <c r="AH2" s="4">
        <f>'Total Electricity Consumption'!AE5</f>
        <v>26694995.442329846</v>
      </c>
      <c r="AI2" s="4">
        <f>'Total Electricity Consumption'!AF5</f>
        <v>27737567.819266148</v>
      </c>
      <c r="AJ2" s="4">
        <f>'Total Electricity Consumption'!AG5</f>
        <v>28842792.418942213</v>
      </c>
      <c r="AK2" s="4">
        <f>'Total Electricity Consumption'!AH5</f>
        <v>30014561.227993481</v>
      </c>
      <c r="AL2" s="4">
        <f>'Total Electricity Consumption'!AI5</f>
        <v>31257010.392745823</v>
      </c>
      <c r="AM2" s="4">
        <f>'Total Electricity Consumption'!AJ5</f>
        <v>32574535.661738403</v>
      </c>
      <c r="AN2" s="4">
        <f>'Total Electricity Consumption'!AK5</f>
        <v>33971808.811473578</v>
      </c>
      <c r="AO2" s="4">
        <f>'Total Electricity Consumption'!AL5</f>
        <v>35453795.118332669</v>
      </c>
      <c r="AP2" s="4">
        <f>'Total Electricity Consumption'!AM5</f>
        <v>37025771.943642527</v>
      </c>
      <c r="AQ2" s="42">
        <f>'Total Electricity Consumption'!AN5</f>
        <v>38693348.503184788</v>
      </c>
      <c r="AR2" s="42">
        <f>'Total Electricity Consumption'!AO5</f>
        <v>40462600.900549471</v>
      </c>
      <c r="AS2" s="42">
        <f>'Total Electricity Consumption'!AP5</f>
        <v>42339867.075524852</v>
      </c>
      <c r="AT2" s="42">
        <f>'Total Electricity Consumption'!AQ5</f>
        <v>44331884.024024345</v>
      </c>
      <c r="AU2" s="42">
        <f>'Total Electricity Consumption'!AR5</f>
        <v>46445813.114555553</v>
      </c>
      <c r="AV2" s="42">
        <f>'Total Electricity Consumption'!AS5</f>
        <v>48689267.020578176</v>
      </c>
      <c r="AW2" s="42">
        <f>'Total Electricity Consumption'!AT5</f>
        <v>51070338.372392386</v>
      </c>
      <c r="AX2" s="42">
        <f>'Total Electricity Consumption'!AU5</f>
        <v>53597630.238872066</v>
      </c>
      <c r="AY2" s="42">
        <f>'Total Electricity Consumption'!AV5</f>
        <v>56280288.556461692</v>
      </c>
      <c r="AZ2" s="42">
        <f>'Total Electricity Consumption'!AW5</f>
        <v>59128036.630418546</v>
      </c>
      <c r="BA2" s="42">
        <f>'Total Electricity Consumption'!AX5</f>
        <v>62151211.841333576</v>
      </c>
    </row>
    <row r="3" spans="1:53" x14ac:dyDescent="0.2">
      <c r="A3" s="1" t="s">
        <v>23</v>
      </c>
      <c r="B3" s="15">
        <v>0</v>
      </c>
      <c r="C3" s="15">
        <v>0</v>
      </c>
      <c r="D3" s="15">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2">
        <v>0</v>
      </c>
      <c r="AR3" s="42">
        <v>0</v>
      </c>
      <c r="AS3" s="42">
        <v>0</v>
      </c>
      <c r="AT3" s="42">
        <v>0</v>
      </c>
      <c r="AU3" s="42">
        <v>0</v>
      </c>
      <c r="AV3" s="42">
        <v>0</v>
      </c>
      <c r="AW3" s="42">
        <v>0</v>
      </c>
      <c r="AX3" s="42">
        <v>0</v>
      </c>
      <c r="AY3" s="42">
        <v>0</v>
      </c>
      <c r="AZ3" s="42">
        <v>0</v>
      </c>
      <c r="BA3" s="42">
        <v>0</v>
      </c>
    </row>
    <row r="4" spans="1:53" x14ac:dyDescent="0.2">
      <c r="A4" s="1" t="s">
        <v>24</v>
      </c>
      <c r="B4" s="15">
        <v>0</v>
      </c>
      <c r="C4" s="15">
        <v>0</v>
      </c>
      <c r="D4" s="15">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2">
        <v>0</v>
      </c>
      <c r="AR4" s="42">
        <v>0</v>
      </c>
      <c r="AS4" s="42">
        <v>0</v>
      </c>
      <c r="AT4" s="42">
        <v>0</v>
      </c>
      <c r="AU4" s="42">
        <v>0</v>
      </c>
      <c r="AV4" s="42">
        <v>0</v>
      </c>
      <c r="AW4" s="42">
        <v>0</v>
      </c>
      <c r="AX4" s="42">
        <v>0</v>
      </c>
      <c r="AY4" s="42">
        <v>0</v>
      </c>
      <c r="AZ4" s="42">
        <v>0</v>
      </c>
      <c r="BA4" s="42">
        <v>0</v>
      </c>
    </row>
    <row r="5" spans="1:53" x14ac:dyDescent="0.2">
      <c r="A5" s="1" t="s">
        <v>25</v>
      </c>
      <c r="B5" s="15">
        <v>0</v>
      </c>
      <c r="C5" s="15">
        <v>0</v>
      </c>
      <c r="D5" s="15">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2">
        <v>0</v>
      </c>
      <c r="AR5" s="42">
        <v>0</v>
      </c>
      <c r="AS5" s="42">
        <v>0</v>
      </c>
      <c r="AT5" s="42">
        <v>0</v>
      </c>
      <c r="AU5" s="42">
        <v>0</v>
      </c>
      <c r="AV5" s="42">
        <v>0</v>
      </c>
      <c r="AW5" s="42">
        <v>0</v>
      </c>
      <c r="AX5" s="42">
        <v>0</v>
      </c>
      <c r="AY5" s="42">
        <v>0</v>
      </c>
      <c r="AZ5" s="42">
        <v>0</v>
      </c>
      <c r="BA5" s="42">
        <v>0</v>
      </c>
    </row>
    <row r="6" spans="1:53" x14ac:dyDescent="0.2">
      <c r="A6" s="1" t="s">
        <v>26</v>
      </c>
      <c r="B6" s="15">
        <v>0</v>
      </c>
      <c r="C6" s="15">
        <v>0</v>
      </c>
      <c r="D6" s="15">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2">
        <v>0</v>
      </c>
      <c r="AR6" s="42">
        <v>0</v>
      </c>
      <c r="AS6" s="42">
        <v>0</v>
      </c>
      <c r="AT6" s="42">
        <v>0</v>
      </c>
      <c r="AU6" s="42">
        <v>0</v>
      </c>
      <c r="AV6" s="42">
        <v>0</v>
      </c>
      <c r="AW6" s="42">
        <v>0</v>
      </c>
      <c r="AX6" s="42">
        <v>0</v>
      </c>
      <c r="AY6" s="42">
        <v>0</v>
      </c>
      <c r="AZ6" s="42">
        <v>0</v>
      </c>
      <c r="BA6" s="42">
        <v>0</v>
      </c>
    </row>
    <row r="7" spans="1:53" x14ac:dyDescent="0.2">
      <c r="A7" s="1" t="s">
        <v>27</v>
      </c>
      <c r="B7" s="15">
        <v>0</v>
      </c>
      <c r="C7" s="15">
        <v>0</v>
      </c>
      <c r="D7" s="15">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2">
        <v>0</v>
      </c>
      <c r="AR7" s="42">
        <v>0</v>
      </c>
      <c r="AS7" s="42">
        <v>0</v>
      </c>
      <c r="AT7" s="42">
        <v>0</v>
      </c>
      <c r="AU7" s="42">
        <v>0</v>
      </c>
      <c r="AV7" s="42">
        <v>0</v>
      </c>
      <c r="AW7" s="42">
        <v>0</v>
      </c>
      <c r="AX7" s="42">
        <v>0</v>
      </c>
      <c r="AY7" s="42">
        <v>0</v>
      </c>
      <c r="AZ7" s="42">
        <v>0</v>
      </c>
      <c r="BA7" s="42">
        <v>0</v>
      </c>
    </row>
    <row r="8" spans="1:53" x14ac:dyDescent="0.2">
      <c r="A8" s="1" t="s">
        <v>28</v>
      </c>
      <c r="B8" s="15">
        <v>0</v>
      </c>
      <c r="C8" s="15">
        <v>0</v>
      </c>
      <c r="D8" s="15">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2">
        <v>0</v>
      </c>
      <c r="AR8" s="42">
        <v>0</v>
      </c>
      <c r="AS8" s="42">
        <v>0</v>
      </c>
      <c r="AT8" s="42">
        <v>0</v>
      </c>
      <c r="AU8" s="42">
        <v>0</v>
      </c>
      <c r="AV8" s="42">
        <v>0</v>
      </c>
      <c r="AW8" s="42">
        <v>0</v>
      </c>
      <c r="AX8" s="42">
        <v>0</v>
      </c>
      <c r="AY8" s="42">
        <v>0</v>
      </c>
      <c r="AZ8" s="42">
        <v>0</v>
      </c>
      <c r="BA8" s="42">
        <v>0</v>
      </c>
    </row>
    <row r="9" spans="1:53" x14ac:dyDescent="0.2">
      <c r="A9" s="1" t="s">
        <v>29</v>
      </c>
      <c r="B9" s="15">
        <v>0</v>
      </c>
      <c r="C9" s="15">
        <v>0</v>
      </c>
      <c r="D9" s="15">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2">
        <v>0</v>
      </c>
      <c r="AR9" s="42">
        <v>0</v>
      </c>
      <c r="AS9" s="42">
        <v>0</v>
      </c>
      <c r="AT9" s="42">
        <v>0</v>
      </c>
      <c r="AU9" s="42">
        <v>0</v>
      </c>
      <c r="AV9" s="42">
        <v>0</v>
      </c>
      <c r="AW9" s="42">
        <v>0</v>
      </c>
      <c r="AX9" s="42">
        <v>0</v>
      </c>
      <c r="AY9" s="42">
        <v>0</v>
      </c>
      <c r="AZ9" s="42">
        <v>0</v>
      </c>
      <c r="BA9" s="42">
        <v>0</v>
      </c>
    </row>
    <row r="10" spans="1:53" x14ac:dyDescent="0.2">
      <c r="A10" s="1" t="s">
        <v>30</v>
      </c>
      <c r="B10" s="15">
        <v>0</v>
      </c>
      <c r="C10" s="15">
        <v>0</v>
      </c>
      <c r="D10" s="15">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2">
        <v>0</v>
      </c>
      <c r="AR10" s="42">
        <v>0</v>
      </c>
      <c r="AS10" s="42">
        <v>0</v>
      </c>
      <c r="AT10" s="42">
        <v>0</v>
      </c>
      <c r="AU10" s="42">
        <v>0</v>
      </c>
      <c r="AV10" s="42">
        <v>0</v>
      </c>
      <c r="AW10" s="42">
        <v>0</v>
      </c>
      <c r="AX10" s="42">
        <v>0</v>
      </c>
      <c r="AY10" s="42">
        <v>0</v>
      </c>
      <c r="AZ10" s="42">
        <v>0</v>
      </c>
      <c r="BA10" s="42">
        <v>0</v>
      </c>
    </row>
    <row r="11" spans="1:53" x14ac:dyDescent="0.2">
      <c r="A11" s="1" t="s">
        <v>31</v>
      </c>
      <c r="B11" s="15">
        <v>0</v>
      </c>
      <c r="C11" s="15">
        <v>0</v>
      </c>
      <c r="D11" s="15">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2">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7B90-AA41-CC4A-AAFF-7B7590B580B6}">
  <dimension ref="A1:BA11"/>
  <sheetViews>
    <sheetView topLeftCell="AA1" workbookViewId="0">
      <selection activeCell="AR1" sqref="AR1:BA11"/>
    </sheetView>
  </sheetViews>
  <sheetFormatPr baseColWidth="10" defaultRowHeight="16" x14ac:dyDescent="0.2"/>
  <sheetData>
    <row r="1" spans="1:53" x14ac:dyDescent="0.2">
      <c r="A1" s="33" t="s">
        <v>11</v>
      </c>
      <c r="B1" s="34">
        <v>2019</v>
      </c>
      <c r="C1" s="34">
        <v>2020</v>
      </c>
      <c r="D1" s="34">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33" t="s">
        <v>22</v>
      </c>
      <c r="B2" s="32">
        <f>'Total Electricity Consumption'!G15 +'Total Other Sectors'!E15+'Total Other Sectors'!M15</f>
        <v>28571339.9083727</v>
      </c>
      <c r="C2" s="32">
        <f>'Total Electricity Consumption'!G16+'Total Other Sectors'!E16+'Total Other Sectors'!M16</f>
        <v>29488662.135480583</v>
      </c>
      <c r="D2" s="32">
        <f>'Total Electricity Consumption'!G17+'Total Other Sectors'!E17+'Total Other Sectors'!M17</f>
        <v>30405984.362588525</v>
      </c>
      <c r="E2" s="4">
        <f>'Total Electricity Consumption'!B4+'Total Other Sectors'!B3+'Total Other Sectors'!B8</f>
        <v>21464568.51548741</v>
      </c>
      <c r="F2" s="4">
        <f>'Total Electricity Consumption'!C4+'Total Other Sectors'!C3+'Total Other Sectors'!C8</f>
        <v>22144438.322786976</v>
      </c>
      <c r="G2" s="4">
        <f>'Total Electricity Consumption'!D4+'Total Other Sectors'!D3+'Total Other Sectors'!D8</f>
        <v>22657549.71891357</v>
      </c>
      <c r="H2" s="4">
        <f>'Total Electricity Consumption'!E4+'Total Other Sectors'!E3+'Total Other Sectors'!E8</f>
        <v>23197474.374155883</v>
      </c>
      <c r="I2" s="4">
        <f>'Total Electricity Consumption'!F4+'Total Other Sectors'!F3+'Total Other Sectors'!F8</f>
        <v>23850901.538049109</v>
      </c>
      <c r="J2" s="4">
        <f>'Total Electricity Consumption'!G4+'Total Other Sectors'!G3+'Total Other Sectors'!G8</f>
        <v>24534928.686160915</v>
      </c>
      <c r="K2" s="4">
        <f>'Total Electricity Consumption'!H4+'Total Other Sectors'!H3+'Total Other Sectors'!H8</f>
        <v>25251431.353982642</v>
      </c>
      <c r="L2" s="4">
        <f>'Total Electricity Consumption'!I4+'Total Other Sectors'!I3+'Total Other Sectors'!I8</f>
        <v>26002403.294264127</v>
      </c>
      <c r="M2" s="4">
        <f>'Total Electricity Consumption'!J4+'Total Other Sectors'!J3+'Total Other Sectors'!J8</f>
        <v>26789963.982975688</v>
      </c>
      <c r="N2" s="4">
        <f>'Total Electricity Consumption'!K4+'Total Other Sectors'!K3+'Total Other Sectors'!K8</f>
        <v>27594397.440446574</v>
      </c>
      <c r="O2" s="4">
        <f>'Total Electricity Consumption'!L4+'Total Other Sectors'!L3+'Total Other Sectors'!L8</f>
        <v>28439975.54578355</v>
      </c>
      <c r="P2" s="4">
        <f>'Total Electricity Consumption'!M4+'Total Other Sectors'!M3+'Total Other Sectors'!M8</f>
        <v>29329244.930210177</v>
      </c>
      <c r="Q2" s="4">
        <f>'Total Electricity Consumption'!N4+'Total Other Sectors'!N3+'Total Other Sectors'!N8</f>
        <v>30264913.083714779</v>
      </c>
      <c r="R2" s="4">
        <f>'Total Electricity Consumption'!O4+'Total Other Sectors'!O3+'Total Other Sectors'!O8</f>
        <v>31249858.586129081</v>
      </c>
      <c r="S2" s="4">
        <f>'Total Electricity Consumption'!P4+'Total Other Sectors'!P3+'Total Other Sectors'!P8</f>
        <v>32264684.49429445</v>
      </c>
      <c r="T2" s="4">
        <f>'Total Electricity Consumption'!Q4+'Total Other Sectors'!Q3+'Total Other Sectors'!Q8</f>
        <v>33335008.67359883</v>
      </c>
      <c r="U2" s="4">
        <f>'Total Electricity Consumption'!R4+'Total Other Sectors'!R3+'Total Other Sectors'!R8</f>
        <v>34464291.116399616</v>
      </c>
      <c r="V2" s="4">
        <f>'Total Electricity Consumption'!S4+'Total Other Sectors'!S3+'Total Other Sectors'!S8</f>
        <v>35656210.806943789</v>
      </c>
      <c r="W2" s="4">
        <f>'Total Electricity Consumption'!T4+'Total Other Sectors'!T3+'Total Other Sectors'!T8</f>
        <v>36914679.672630988</v>
      </c>
      <c r="X2" s="4">
        <f>'Total Electricity Consumption'!U4+'Total Other Sectors'!U3+'Total Other Sectors'!U8</f>
        <v>38221663.668392971</v>
      </c>
      <c r="Y2" s="4">
        <f>'Total Electricity Consumption'!V4+'Total Other Sectors'!V3+'Total Other Sectors'!V8</f>
        <v>39603688.16603224</v>
      </c>
      <c r="Z2" s="4">
        <f>'Total Electricity Consumption'!W4+'Total Other Sectors'!W3+'Total Other Sectors'!W8</f>
        <v>41065456.855644561</v>
      </c>
      <c r="AA2" s="4">
        <f>'Total Electricity Consumption'!X4+'Total Other Sectors'!X3+'Total Other Sectors'!X8</f>
        <v>42611971.703554176</v>
      </c>
      <c r="AB2" s="4">
        <f>'Total Electricity Consumption'!Y4+'Total Other Sectors'!Y3+'Total Other Sectors'!Y8</f>
        <v>44248551.983783074</v>
      </c>
      <c r="AC2" s="4">
        <f>'Total Electricity Consumption'!Z4+'Total Other Sectors'!Z3+'Total Other Sectors'!Z8</f>
        <v>45959340.490633182</v>
      </c>
      <c r="AD2" s="4">
        <f>'Total Electricity Consumption'!AA4+'Total Other Sectors'!AA3+'Total Other Sectors'!AA8</f>
        <v>47771779.236208536</v>
      </c>
      <c r="AE2" s="4">
        <f>'Total Electricity Consumption'!AB4+'Total Other Sectors'!AB3+'Total Other Sectors'!AB8</f>
        <v>49692266.207393803</v>
      </c>
      <c r="AF2" s="4">
        <f>'Total Electricity Consumption'!AC4+'Total Other Sectors'!AC3+'Total Other Sectors'!AC8</f>
        <v>51727605.838993162</v>
      </c>
      <c r="AG2" s="4">
        <f>'Total Electricity Consumption'!AD4+'Total Other Sectors'!AD3+'Total Other Sectors'!AD8</f>
        <v>53885034.984686904</v>
      </c>
      <c r="AH2" s="4">
        <f>'Total Electricity Consumption'!AE4+'Total Other Sectors'!AE3+'Total Other Sectors'!AE8</f>
        <v>56119662.910409771</v>
      </c>
      <c r="AI2" s="4">
        <f>'Total Electricity Consumption'!AF4+'Total Other Sectors'!AF3+'Total Other Sectors'!AF8</f>
        <v>58492050.78694015</v>
      </c>
      <c r="AJ2" s="4">
        <f>'Total Electricity Consumption'!AG4+'Total Other Sectors'!AG3+'Total Other Sectors'!AG8</f>
        <v>61010905.766355932</v>
      </c>
      <c r="AK2" s="4">
        <f>'Total Electricity Consumption'!AH4+'Total Other Sectors'!AH3+'Total Other Sectors'!AH8</f>
        <v>63685489.084781215</v>
      </c>
      <c r="AL2" s="4">
        <f>'Total Electricity Consumption'!AI4+'Total Other Sectors'!AI3+'Total Other Sectors'!AI8</f>
        <v>66525651.515225679</v>
      </c>
      <c r="AM2" s="4">
        <f>'Total Electricity Consumption'!AJ4+'Total Other Sectors'!AJ3+'Total Other Sectors'!AJ8</f>
        <v>69541871.098777592</v>
      </c>
      <c r="AN2" s="4">
        <f>'Total Electricity Consumption'!AK4+'Total Other Sectors'!AK3+'Total Other Sectors'!AK8</f>
        <v>72745293.301073819</v>
      </c>
      <c r="AO2" s="4">
        <f>'Total Electricity Consumption'!AL4+'Total Other Sectors'!AL3+'Total Other Sectors'!AL8</f>
        <v>76147773.750469133</v>
      </c>
      <c r="AP2" s="4">
        <f>'Total Electricity Consumption'!AM4+'Total Other Sectors'!AM3+'Total Other Sectors'!AM8</f>
        <v>79761923.724444151</v>
      </c>
      <c r="AQ2" s="4">
        <f>'Total Electricity Consumption'!AN4+'Total Other Sectors'!AN3+'Total Other Sectors'!AN8</f>
        <v>83601158.561561882</v>
      </c>
      <c r="AR2" s="42">
        <f>'Total Electricity Consumption'!AO4+'Total Other Sectors'!AO3+'Total Other Sectors'!AO8</f>
        <v>87679938.38172926</v>
      </c>
      <c r="AS2" s="42">
        <f>'Total Electricity Consumption'!AP4+'Total Other Sectors'!AP3+'Total Other Sectors'!AP8</f>
        <v>92013445.50990665</v>
      </c>
      <c r="AT2" s="42">
        <f>'Total Electricity Consumption'!AQ4+'Total Other Sectors'!AQ3+'Total Other Sectors'!AQ8</f>
        <v>96617831.0759238</v>
      </c>
      <c r="AU2" s="42">
        <f>'Total Electricity Consumption'!AR4+'Total Other Sectors'!AR3+'Total Other Sectors'!AR8</f>
        <v>101510277.14259058</v>
      </c>
      <c r="AV2" s="42">
        <f>'Total Electricity Consumption'!AS4+'Total Other Sectors'!AS3+'Total Other Sectors'!AS8</f>
        <v>106709062.83356035</v>
      </c>
      <c r="AW2" s="42">
        <f>'Total Electricity Consumption'!AT4+'Total Other Sectors'!AT3+'Total Other Sectors'!AT8</f>
        <v>112233634.71923748</v>
      </c>
      <c r="AX2" s="42">
        <f>'Total Electricity Consumption'!AU4+'Total Other Sectors'!AU3+'Total Other Sectors'!AU8</f>
        <v>118104681.73574053</v>
      </c>
      <c r="AY2" s="42">
        <f>'Total Electricity Consumption'!AV4+'Total Other Sectors'!AV3+'Total Other Sectors'!AV8</f>
        <v>124344214.92973655</v>
      </c>
      <c r="AZ2" s="42">
        <f>'Total Electricity Consumption'!AW4+'Total Other Sectors'!AW3+'Total Other Sectors'!AW8</f>
        <v>130975652.34092075</v>
      </c>
      <c r="BA2" s="42">
        <f>'Total Electricity Consumption'!AX4+'Total Other Sectors'!AX3+'Total Other Sectors'!AX8</f>
        <v>138023909.35410503</v>
      </c>
    </row>
    <row r="3" spans="1:53" x14ac:dyDescent="0.2">
      <c r="A3" s="33" t="s">
        <v>23</v>
      </c>
      <c r="B3" s="32">
        <v>0</v>
      </c>
      <c r="C3" s="32">
        <v>0</v>
      </c>
      <c r="D3" s="32">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1</v>
      </c>
      <c r="AS3" s="42">
        <v>2</v>
      </c>
      <c r="AT3" s="42">
        <v>3</v>
      </c>
      <c r="AU3" s="42">
        <v>4</v>
      </c>
      <c r="AV3" s="42">
        <v>5</v>
      </c>
      <c r="AW3" s="42">
        <v>6</v>
      </c>
      <c r="AX3" s="42">
        <v>7</v>
      </c>
      <c r="AY3" s="42">
        <v>8</v>
      </c>
      <c r="AZ3" s="42">
        <v>9</v>
      </c>
      <c r="BA3" s="42">
        <v>10</v>
      </c>
    </row>
    <row r="4" spans="1:53" x14ac:dyDescent="0.2">
      <c r="A4" s="33" t="s">
        <v>24</v>
      </c>
      <c r="B4" s="32">
        <f>'Total Other Sectors'!G15</f>
        <v>2123372.4080512077</v>
      </c>
      <c r="C4" s="32">
        <f>'Total Other Sectors'!G16</f>
        <v>2176461.9287858158</v>
      </c>
      <c r="D4" s="32">
        <f>'Total Other Sectors'!G17</f>
        <v>2229551.4495204091</v>
      </c>
      <c r="E4" s="4">
        <f>'Total Other Sectors'!B4</f>
        <v>2299912.3367749481</v>
      </c>
      <c r="F4" s="4">
        <f>'Total Other Sectors'!C4</f>
        <v>2339649.0243040454</v>
      </c>
      <c r="G4" s="4">
        <f>'Total Other Sectors'!D4</f>
        <v>2381580.8548520189</v>
      </c>
      <c r="H4" s="4">
        <f>'Total Other Sectors'!E4</f>
        <v>2425851.0936092082</v>
      </c>
      <c r="I4" s="4">
        <f>'Total Other Sectors'!F4</f>
        <v>2482833.4368244875</v>
      </c>
      <c r="J4" s="4">
        <f>'Total Other Sectors'!G4</f>
        <v>2542469.3793112878</v>
      </c>
      <c r="K4" s="4">
        <f>'Total Other Sectors'!H4</f>
        <v>2604932.1072362741</v>
      </c>
      <c r="L4" s="4">
        <f>'Total Other Sectors'!I4</f>
        <v>2670406.1096966774</v>
      </c>
      <c r="M4" s="4">
        <f>'Total Other Sectors'!J4</f>
        <v>2739087.9164018468</v>
      </c>
      <c r="N4" s="4">
        <f>'Total Other Sectors'!K4</f>
        <v>2808573.8987555825</v>
      </c>
      <c r="O4" s="4">
        <f>'Total Other Sectors'!L4</f>
        <v>2881700.0612000101</v>
      </c>
      <c r="P4" s="4">
        <f>'Total Other Sectors'!M4</f>
        <v>2958703.9787309612</v>
      </c>
      <c r="Q4" s="4">
        <f>'Total Other Sectors'!N4</f>
        <v>3039838.7315877541</v>
      </c>
      <c r="R4" s="4">
        <f>'Total Other Sectors'!O4</f>
        <v>3125373.9171971316</v>
      </c>
      <c r="S4" s="4">
        <f>'Total Other Sectors'!P4</f>
        <v>3212953.5363992136</v>
      </c>
      <c r="T4" s="4">
        <f>'Total Other Sectors'!Q4</f>
        <v>3305526.7170764105</v>
      </c>
      <c r="U4" s="4">
        <f>'Total Other Sectors'!R4</f>
        <v>3403419.3621557998</v>
      </c>
      <c r="V4" s="4">
        <f>'Total Other Sectors'!S4</f>
        <v>3506978.6444974281</v>
      </c>
      <c r="W4" s="4">
        <f>'Total Other Sectors'!T4</f>
        <v>3616574.3950685607</v>
      </c>
      <c r="X4" s="4">
        <f>'Total Other Sectors'!U4</f>
        <v>3730015.4096903177</v>
      </c>
      <c r="Y4" s="4">
        <f>'Total Other Sectors'!V4</f>
        <v>3850306.5404009805</v>
      </c>
      <c r="Z4" s="4">
        <f>'Total Other Sectors'!W4</f>
        <v>3977894.8574719997</v>
      </c>
      <c r="AA4" s="4">
        <f>'Total Other Sectors'!X4</f>
        <v>4113256.6090493342</v>
      </c>
      <c r="AB4" s="4">
        <f>'Total Other Sectors'!Y4</f>
        <v>4256899.1254365426</v>
      </c>
      <c r="AC4" s="4">
        <f>'Total Other Sectors'!Z4</f>
        <v>4406882.4683622662</v>
      </c>
      <c r="AD4" s="4">
        <f>'Total Other Sectors'!AA4</f>
        <v>4566262.7298330665</v>
      </c>
      <c r="AE4" s="4">
        <f>'Total Other Sectors'!AB4</f>
        <v>4735653.1962327361</v>
      </c>
      <c r="AF4" s="4">
        <f>'Total Other Sectors'!AC4</f>
        <v>4915707.1798521522</v>
      </c>
      <c r="AG4" s="4">
        <f>'Total Other Sectors'!AD4</f>
        <v>5107120.6311651682</v>
      </c>
      <c r="AH4" s="4">
        <f>'Total Other Sectors'!AE4</f>
        <v>5304633.3797909301</v>
      </c>
      <c r="AI4" s="4">
        <f>'Total Other Sectors'!AF4</f>
        <v>5515036.7242834978</v>
      </c>
      <c r="AJ4" s="4">
        <f>'Total Other Sectors'!AG4</f>
        <v>5739171.9645739272</v>
      </c>
      <c r="AK4" s="4">
        <f>'Total Other Sectors'!AH4</f>
        <v>5977935.3077194635</v>
      </c>
      <c r="AL4" s="4">
        <f>'Total Other Sectors'!AI4</f>
        <v>6232281.4513966683</v>
      </c>
      <c r="AM4" s="4">
        <f>'Total Other Sectors'!AJ4</f>
        <v>6503227.4012698531</v>
      </c>
      <c r="AN4" s="4">
        <f>'Total Other Sectors'!AK4</f>
        <v>6791856.5374986716</v>
      </c>
      <c r="AO4" s="4">
        <f>'Total Other Sectors'!AL4</f>
        <v>7099322.9466447998</v>
      </c>
      <c r="AP4" s="4">
        <f>'Total Other Sectors'!AM4</f>
        <v>7426856.0362988766</v>
      </c>
      <c r="AQ4" s="4">
        <f>'Total Other Sectors'!AN4</f>
        <v>7775765.4508793838</v>
      </c>
      <c r="AR4" s="42">
        <f>'Total Other Sectors'!AO4</f>
        <v>8147446.3082592748</v>
      </c>
      <c r="AS4" s="42">
        <f>'Total Other Sectors'!AP4</f>
        <v>8543384.7781591043</v>
      </c>
      <c r="AT4" s="42">
        <f>'Total Other Sectors'!AQ4</f>
        <v>8965164.0246118978</v>
      </c>
      <c r="AU4" s="42">
        <f>'Total Other Sectors'!AR4</f>
        <v>9414470.5362607725</v>
      </c>
      <c r="AV4" s="42">
        <f>'Total Other Sectors'!AS4</f>
        <v>9893100.8698010836</v>
      </c>
      <c r="AW4" s="42">
        <f>'Total Other Sectors'!AT4</f>
        <v>10402968.833530786</v>
      </c>
      <c r="AX4" s="42">
        <f>'Total Other Sectors'!AU4</f>
        <v>10946113.139732558</v>
      </c>
      <c r="AY4" s="42">
        <f>'Total Other Sectors'!AV4</f>
        <v>11524705.556485763</v>
      </c>
      <c r="AZ4" s="42">
        <f>'Total Other Sectors'!AW4</f>
        <v>12141059.591503395</v>
      </c>
      <c r="BA4" s="42">
        <f>'Total Other Sectors'!AX4</f>
        <v>12797639.742716396</v>
      </c>
    </row>
    <row r="5" spans="1:53" x14ac:dyDescent="0.2">
      <c r="A5" s="33" t="s">
        <v>25</v>
      </c>
      <c r="B5" s="32">
        <f>'Total Other Sectors'!K15</f>
        <v>920047.56509218365</v>
      </c>
      <c r="C5" s="32">
        <f>'Total Other Sectors'!K16</f>
        <v>941630.24161342531</v>
      </c>
      <c r="D5" s="32">
        <f>'Total Other Sectors'!K17</f>
        <v>963212.91813466698</v>
      </c>
      <c r="E5" s="4">
        <f>'Total Other Sectors'!B6</f>
        <v>989804.97371746902</v>
      </c>
      <c r="F5" s="4">
        <f>'Total Other Sectors'!C6</f>
        <v>1016431.4730912198</v>
      </c>
      <c r="G5" s="4">
        <f>'Total Other Sectors'!D6</f>
        <v>1030514.8253536799</v>
      </c>
      <c r="H5" s="4">
        <f>'Total Other Sectors'!E6</f>
        <v>1045193.8308173523</v>
      </c>
      <c r="I5" s="4">
        <f>'Total Other Sectors'!F6</f>
        <v>1065563.7909111511</v>
      </c>
      <c r="J5" s="4">
        <f>'Total Other Sectors'!G6</f>
        <v>1086632.3611796754</v>
      </c>
      <c r="K5" s="4">
        <f>'Total Other Sectors'!H6</f>
        <v>1108442.5170320182</v>
      </c>
      <c r="L5" s="4">
        <f>'Total Other Sectors'!I6</f>
        <v>1131040.0366179631</v>
      </c>
      <c r="M5" s="4">
        <f>'Total Other Sectors'!J6</f>
        <v>1154473.6836461462</v>
      </c>
      <c r="N5" s="4">
        <f>'Total Other Sectors'!K6</f>
        <v>1177486.6772746374</v>
      </c>
      <c r="O5" s="4">
        <f>'Total Other Sectors'!L6</f>
        <v>1201436.7498343072</v>
      </c>
      <c r="P5" s="4">
        <f>'Total Other Sectors'!M6</f>
        <v>1226382.8418254312</v>
      </c>
      <c r="Q5" s="4">
        <f>'Total Other Sectors'!N6</f>
        <v>1252387.7378829219</v>
      </c>
      <c r="R5" s="4">
        <f>'Total Other Sectors'!O6</f>
        <v>1279518.3175325836</v>
      </c>
      <c r="S5" s="4">
        <f>'Total Other Sectors'!P6</f>
        <v>1306505.9746373803</v>
      </c>
      <c r="T5" s="4">
        <f>'Total Other Sectors'!Q6</f>
        <v>1334760.0475471308</v>
      </c>
      <c r="U5" s="4">
        <f>'Total Other Sectors'!R6</f>
        <v>1364361.3739944631</v>
      </c>
      <c r="V5" s="4">
        <f>'Total Other Sectors'!S6</f>
        <v>1395396.0642443553</v>
      </c>
      <c r="W5" s="4">
        <f>'Total Other Sectors'!T6</f>
        <v>1427955.8450383875</v>
      </c>
      <c r="X5" s="4">
        <f>'Total Other Sectors'!U6</f>
        <v>1460812.346385255</v>
      </c>
      <c r="Y5" s="4">
        <f>'Total Other Sectors'!V6</f>
        <v>1495389.4736538348</v>
      </c>
      <c r="Z5" s="4">
        <f>'Total Other Sectors'!W6</f>
        <v>1531798.098488014</v>
      </c>
      <c r="AA5" s="4">
        <f>'Total Other Sectors'!X6</f>
        <v>1570156.324300969</v>
      </c>
      <c r="AB5" s="4">
        <f>'Total Other Sectors'!Y6</f>
        <v>1610589.9580425322</v>
      </c>
      <c r="AC5" s="4">
        <f>'Total Other Sectors'!Z6</f>
        <v>1651945.6788679403</v>
      </c>
      <c r="AD5" s="4">
        <f>'Total Other Sectors'!AA6</f>
        <v>1695647.5717661341</v>
      </c>
      <c r="AE5" s="4">
        <f>'Total Other Sectors'!AB6</f>
        <v>1741847.7028649866</v>
      </c>
      <c r="AF5" s="4">
        <f>'Total Other Sectors'!AC6</f>
        <v>1790708.057436394</v>
      </c>
      <c r="AG5" s="4">
        <f>'Total Other Sectors'!AD6</f>
        <v>1842401.1869957624</v>
      </c>
      <c r="AH5" s="4">
        <f>'Total Other Sectors'!AE6</f>
        <v>1893959.7429437977</v>
      </c>
      <c r="AI5" s="4">
        <f>'Total Other Sectors'!AF6</f>
        <v>1948716.1521721245</v>
      </c>
      <c r="AJ5" s="4">
        <f>'Total Other Sectors'!AG6</f>
        <v>2006878.9836692242</v>
      </c>
      <c r="AK5" s="4">
        <f>'Total Other Sectors'!AH6</f>
        <v>2068670.4117151597</v>
      </c>
      <c r="AL5" s="4">
        <f>'Total Other Sectors'!AI6</f>
        <v>2134327.1034815782</v>
      </c>
      <c r="AM5" s="4">
        <f>'Total Other Sectors'!AJ6</f>
        <v>2204101.1645433735</v>
      </c>
      <c r="AN5" s="4">
        <f>'Total Other Sectors'!AK6</f>
        <v>2278261.1460807482</v>
      </c>
      <c r="AO5" s="4">
        <f>'Total Other Sectors'!AL6</f>
        <v>2357093.1177969547</v>
      </c>
      <c r="AP5" s="4">
        <f>'Total Other Sectors'!AM6</f>
        <v>2440901.8108396926</v>
      </c>
      <c r="AQ5" s="4">
        <f>'Total Other Sectors'!AN6</f>
        <v>2530011.8352939175</v>
      </c>
      <c r="AR5" s="42">
        <f>'Total Other Sectors'!AO6</f>
        <v>2624781.8881760035</v>
      </c>
      <c r="AS5" s="42">
        <f>'Total Other Sectors'!AP6</f>
        <v>2725580.3790553072</v>
      </c>
      <c r="AT5" s="42">
        <f>'Total Other Sectors'!AQ6</f>
        <v>2832799.7469513728</v>
      </c>
      <c r="AU5" s="42">
        <f>'Total Other Sectors'!AR6</f>
        <v>2946858.0280525167</v>
      </c>
      <c r="AV5" s="42">
        <f>'Total Other Sectors'!AS6</f>
        <v>3068200.5257241894</v>
      </c>
      <c r="AW5" s="42">
        <f>'Total Other Sectors'!AT6</f>
        <v>3197301.5894816592</v>
      </c>
      <c r="AX5" s="42">
        <f>'Total Other Sectors'!AU6</f>
        <v>3334666.5100371325</v>
      </c>
      <c r="AY5" s="42">
        <f>'Total Other Sectors'!AV6</f>
        <v>3480833.5379954027</v>
      </c>
      <c r="AZ5" s="42">
        <f>'Total Other Sectors'!AW6</f>
        <v>3636376.0342663471</v>
      </c>
      <c r="BA5" s="42">
        <f>'Total Other Sectors'!AX6</f>
        <v>3801904.760789108</v>
      </c>
    </row>
    <row r="6" spans="1:53" x14ac:dyDescent="0.2">
      <c r="A6" s="33" t="s">
        <v>26</v>
      </c>
      <c r="B6" s="32">
        <f>'Total Other Sectors'!E15</f>
        <v>4304780.15320611</v>
      </c>
      <c r="C6" s="32">
        <f>'Total Other Sectors'!E16</f>
        <v>4600360.2395888567</v>
      </c>
      <c r="D6" s="32">
        <f>'Total Other Sectors'!E17</f>
        <v>4895940.3259716034</v>
      </c>
      <c r="E6" s="4">
        <f>'Total Other Sectors'!B3</f>
        <v>5359282.5791786565</v>
      </c>
      <c r="F6" s="4">
        <f>'Total Other Sectors'!C3</f>
        <v>5566922.1123801591</v>
      </c>
      <c r="G6" s="4">
        <f>'Total Other Sectors'!D3</f>
        <v>5787600.2781136483</v>
      </c>
      <c r="H6" s="4">
        <f>'Total Other Sectors'!E3</f>
        <v>6022168.0378679102</v>
      </c>
      <c r="I6" s="4">
        <f>'Total Other Sectors'!F3</f>
        <v>6284694.8220135197</v>
      </c>
      <c r="J6" s="4">
        <f>'Total Other Sectors'!G3</f>
        <v>6562983.3608561931</v>
      </c>
      <c r="K6" s="4">
        <f>'Total Other Sectors'!H3</f>
        <v>6858062.3394371057</v>
      </c>
      <c r="L6" s="4">
        <f>'Total Other Sectors'!I3</f>
        <v>7171027.5795429358</v>
      </c>
      <c r="M6" s="4">
        <f>'Total Other Sectors'!J3</f>
        <v>7503046.4213605318</v>
      </c>
      <c r="N6" s="4">
        <f>'Total Other Sectors'!K3</f>
        <v>7851997.3322846657</v>
      </c>
      <c r="O6" s="4">
        <f>'Total Other Sectors'!L3</f>
        <v>8222570.0556121934</v>
      </c>
      <c r="P6" s="4">
        <f>'Total Other Sectors'!M3</f>
        <v>8616175.730864685</v>
      </c>
      <c r="Q6" s="4">
        <f>'Total Other Sectors'!N3</f>
        <v>9034317.5950582325</v>
      </c>
      <c r="R6" s="4">
        <f>'Total Other Sectors'!O3</f>
        <v>9478596.993412083</v>
      </c>
      <c r="S6" s="4">
        <f>'Total Other Sectors'!P3</f>
        <v>9947315.8222720139</v>
      </c>
      <c r="T6" s="4">
        <f>'Total Other Sectors'!Q3</f>
        <v>10445695.230210399</v>
      </c>
      <c r="U6" s="4">
        <f>'Total Other Sectors'!R3</f>
        <v>10975671.0038574</v>
      </c>
      <c r="V6" s="4">
        <f>'Total Other Sectors'!S3</f>
        <v>11539305.268235542</v>
      </c>
      <c r="W6" s="4">
        <f>'Total Other Sectors'!T3</f>
        <v>12138794.732187774</v>
      </c>
      <c r="X6" s="4">
        <f>'Total Other Sectors'!U3</f>
        <v>12773150.23095125</v>
      </c>
      <c r="Y6" s="4">
        <f>'Total Other Sectors'!V3</f>
        <v>13448193.805943303</v>
      </c>
      <c r="Z6" s="4">
        <f>'Total Other Sectors'!W3</f>
        <v>14166580.949282337</v>
      </c>
      <c r="AA6" s="4">
        <f>'Total Other Sectors'!X3</f>
        <v>14931140.462789366</v>
      </c>
      <c r="AB6" s="4">
        <f>'Total Other Sectors'!Y3</f>
        <v>15744885.76898111</v>
      </c>
      <c r="AC6" s="4">
        <f>'Total Other Sectors'!Z3</f>
        <v>16607832.673645711</v>
      </c>
      <c r="AD6" s="4">
        <f>'Total Other Sectors'!AA3</f>
        <v>17526595.061305553</v>
      </c>
      <c r="AE6" s="4">
        <f>'Total Other Sectors'!AB3</f>
        <v>18504815.708639145</v>
      </c>
      <c r="AF6" s="4">
        <f>'Total Other Sectors'!AC3</f>
        <v>19546375.136786163</v>
      </c>
      <c r="AG6" s="4">
        <f>'Total Other Sectors'!AD3</f>
        <v>20655407.127651025</v>
      </c>
      <c r="AH6" s="4">
        <f>'Total Other Sectors'!AE3</f>
        <v>21828586.336280089</v>
      </c>
      <c r="AI6" s="4">
        <f>'Total Other Sectors'!AF3</f>
        <v>23078332.648364488</v>
      </c>
      <c r="AJ6" s="4">
        <f>'Total Other Sectors'!AG3</f>
        <v>24409643.1873517</v>
      </c>
      <c r="AK6" s="4">
        <f>'Total Other Sectors'!AH3</f>
        <v>25827841.212087069</v>
      </c>
      <c r="AL6" s="4">
        <f>'Total Other Sectors'!AI3</f>
        <v>27338597.401918944</v>
      </c>
      <c r="AM6" s="4">
        <f>'Total Other Sectors'!AJ3</f>
        <v>28947952.530968133</v>
      </c>
      <c r="AN6" s="4">
        <f>'Total Other Sectors'!AK3</f>
        <v>30662341.622225255</v>
      </c>
      <c r="AO6" s="4">
        <f>'Total Other Sectors'!AL3</f>
        <v>32488619.678056143</v>
      </c>
      <c r="AP6" s="4">
        <f>'Total Other Sectors'!AM3</f>
        <v>34434089.089999117</v>
      </c>
      <c r="AQ6" s="4">
        <f>'Total Other Sectors'!AN3</f>
        <v>36506528.837452449</v>
      </c>
      <c r="AR6" s="42">
        <f>'Total Other Sectors'!AO3</f>
        <v>38714225.592003308</v>
      </c>
      <c r="AS6" s="42">
        <f>'Total Other Sectors'!AP3</f>
        <v>41066006.851769038</v>
      </c>
      <c r="AT6" s="42">
        <f>'Total Other Sectors'!AQ3</f>
        <v>43571276.238238975</v>
      </c>
      <c r="AU6" s="42">
        <f>'Total Other Sectors'!AR3</f>
        <v>46240051.096751384</v>
      </c>
      <c r="AV6" s="42">
        <f>'Total Other Sectors'!AS3</f>
        <v>49083002.550951593</v>
      </c>
      <c r="AW6" s="42">
        <f>'Total Other Sectors'!AT3</f>
        <v>52111498.171389289</v>
      </c>
      <c r="AX6" s="42">
        <f>'Total Other Sectors'!AU3</f>
        <v>55337647.428865969</v>
      </c>
      <c r="AY6" s="42">
        <f>'Total Other Sectors'!AV3</f>
        <v>58774350.114278205</v>
      </c>
      <c r="AZ6" s="42">
        <f>'Total Other Sectors'!AW3</f>
        <v>62435347.918563768</v>
      </c>
      <c r="BA6" s="42">
        <f>'Total Other Sectors'!AX3</f>
        <v>66335279.378993839</v>
      </c>
    </row>
    <row r="7" spans="1:53" x14ac:dyDescent="0.2">
      <c r="A7" s="33" t="s">
        <v>27</v>
      </c>
      <c r="B7" s="32">
        <f>'Total Other Sectors'!C15</f>
        <v>6379155.5144389868</v>
      </c>
      <c r="C7" s="32">
        <f>'Total Other Sectors'!C16</f>
        <v>6725113.9213049412</v>
      </c>
      <c r="D7" s="32">
        <f>'Total Other Sectors'!C17</f>
        <v>7071072.3281707764</v>
      </c>
      <c r="E7" s="4">
        <f>'Total Other Sectors'!B2</f>
        <v>7420588.1681196541</v>
      </c>
      <c r="F7" s="4">
        <f>'Total Other Sectors'!C2</f>
        <v>7755874.2757369736</v>
      </c>
      <c r="G7" s="4">
        <f>'Total Other Sectors'!D2</f>
        <v>8112504.9818514977</v>
      </c>
      <c r="H7" s="4">
        <f>'Total Other Sectors'!E2</f>
        <v>8491873.33372261</v>
      </c>
      <c r="I7" s="4">
        <f>'Total Other Sectors'!F2</f>
        <v>8909263.7360791825</v>
      </c>
      <c r="J7" s="4">
        <f>'Total Other Sectors'!G2</f>
        <v>9352456.5624855906</v>
      </c>
      <c r="K7" s="4">
        <f>'Total Other Sectors'!H2</f>
        <v>9823135.7985231485</v>
      </c>
      <c r="L7" s="4">
        <f>'Total Other Sectors'!I2</f>
        <v>10323095.334463999</v>
      </c>
      <c r="M7" s="4">
        <f>'Total Other Sectors'!J2</f>
        <v>10854246.138159785</v>
      </c>
      <c r="N7" s="4">
        <f>'Total Other Sectors'!K2</f>
        <v>11415095.860090172</v>
      </c>
      <c r="O7" s="4">
        <f>'Total Other Sectors'!L2</f>
        <v>12011341.081004076</v>
      </c>
      <c r="P7" s="4">
        <f>'Total Other Sectors'!M2</f>
        <v>12645291.874940138</v>
      </c>
      <c r="Q7" s="4">
        <f>'Total Other Sectors'!N2</f>
        <v>13319409.082057459</v>
      </c>
      <c r="R7" s="4">
        <f>'Total Other Sectors'!O2</f>
        <v>14036314.148330254</v>
      </c>
      <c r="S7" s="4">
        <f>'Total Other Sectors'!P2</f>
        <v>14795230.786119444</v>
      </c>
      <c r="T7" s="4">
        <f>'Total Other Sectors'!Q2</f>
        <v>15602702.604068143</v>
      </c>
      <c r="U7" s="4">
        <f>'Total Other Sectors'!R2</f>
        <v>16461898.53789838</v>
      </c>
      <c r="V7" s="4">
        <f>'Total Other Sectors'!S2</f>
        <v>17376194.34274007</v>
      </c>
      <c r="W7" s="4">
        <f>'Total Other Sectors'!T2</f>
        <v>18349186.091122523</v>
      </c>
      <c r="X7" s="4">
        <f>'Total Other Sectors'!U2</f>
        <v>19381214.068491854</v>
      </c>
      <c r="Y7" s="4">
        <f>'Total Other Sectors'!V2</f>
        <v>20479849.540826034</v>
      </c>
      <c r="Z7" s="4">
        <f>'Total Other Sectors'!W2</f>
        <v>21649439.62143933</v>
      </c>
      <c r="AA7" s="4">
        <f>'Total Other Sectors'!X2</f>
        <v>22894615.136375021</v>
      </c>
      <c r="AB7" s="4">
        <f>'Total Other Sectors'!Y2</f>
        <v>24220309.140810788</v>
      </c>
      <c r="AC7" s="4">
        <f>'Total Other Sectors'!Z2</f>
        <v>25628427.651014082</v>
      </c>
      <c r="AD7" s="4">
        <f>'Total Other Sectors'!AA2</f>
        <v>27127917.635299366</v>
      </c>
      <c r="AE7" s="4">
        <f>'Total Other Sectors'!AB2</f>
        <v>28724742.418841057</v>
      </c>
      <c r="AF7" s="4">
        <f>'Total Other Sectors'!AC2</f>
        <v>30425254.521006718</v>
      </c>
      <c r="AG7" s="4">
        <f>'Total Other Sectors'!AD2</f>
        <v>32236221.055970985</v>
      </c>
      <c r="AH7" s="4">
        <f>'Total Other Sectors'!AE2</f>
        <v>34156747.546155207</v>
      </c>
      <c r="AI7" s="4">
        <f>'Total Other Sectors'!AF2</f>
        <v>36202616.481364921</v>
      </c>
      <c r="AJ7" s="4">
        <f>'Total Other Sectors'!AG2</f>
        <v>38382008.289521985</v>
      </c>
      <c r="AK7" s="4">
        <f>'Total Other Sectors'!AH2</f>
        <v>40703637.291125268</v>
      </c>
      <c r="AL7" s="4">
        <f>'Total Other Sectors'!AI2</f>
        <v>43176786.543550581</v>
      </c>
      <c r="AM7" s="4">
        <f>'Total Other Sectors'!AJ2</f>
        <v>45811344.959450759</v>
      </c>
      <c r="AN7" s="4">
        <f>'Total Other Sectors'!AK2</f>
        <v>48617846.847674385</v>
      </c>
      <c r="AO7" s="4">
        <f>'Total Other Sectors'!AL2</f>
        <v>51607514.034807704</v>
      </c>
      <c r="AP7" s="4">
        <f>'Total Other Sectors'!AM2</f>
        <v>54792300.735763431</v>
      </c>
      <c r="AQ7" s="4">
        <f>'Total Other Sectors'!AN2</f>
        <v>58184941.352831587</v>
      </c>
      <c r="AR7" s="42">
        <f>'Total Other Sectors'!AO2</f>
        <v>61799001.394317746</v>
      </c>
      <c r="AS7" s="42">
        <f>'Total Other Sectors'!AP2</f>
        <v>65648931.716367111</v>
      </c>
      <c r="AT7" s="42">
        <f>'Total Other Sectors'!AQ2</f>
        <v>69750126.304861024</v>
      </c>
      <c r="AU7" s="42">
        <f>'Total Other Sectors'!AR2</f>
        <v>74118983.828427404</v>
      </c>
      <c r="AV7" s="42">
        <f>'Total Other Sectors'!AS2</f>
        <v>78772973.208685488</v>
      </c>
      <c r="AW7" s="42">
        <f>'Total Other Sectors'!AT2</f>
        <v>83730703.469908074</v>
      </c>
      <c r="AX7" s="42">
        <f>'Total Other Sectors'!AU2</f>
        <v>89011998.147395954</v>
      </c>
      <c r="AY7" s="42">
        <f>'Total Other Sectors'!AV2</f>
        <v>94637974.552087188</v>
      </c>
      <c r="AZ7" s="42">
        <f>'Total Other Sectors'!AW2</f>
        <v>100631128.20834139</v>
      </c>
      <c r="BA7" s="42">
        <f>'Total Other Sectors'!AX2</f>
        <v>107015422.8025247</v>
      </c>
    </row>
    <row r="8" spans="1:53" x14ac:dyDescent="0.2">
      <c r="A8" s="33" t="s">
        <v>28</v>
      </c>
      <c r="B8" s="32">
        <f>'Total Other Sectors'!I15</f>
        <v>620356.00542429835</v>
      </c>
      <c r="C8" s="32">
        <f>'Total Other Sectors'!I16</f>
        <v>625306.72719156742</v>
      </c>
      <c r="D8" s="32">
        <f>'Total Other Sectors'!I17</f>
        <v>630257.4489588365</v>
      </c>
      <c r="E8" s="4">
        <f>'Total Other Sectors'!B5</f>
        <v>639821.05080976943</v>
      </c>
      <c r="F8" s="4">
        <f>'Total Other Sectors'!C5</f>
        <v>642008.88209712761</v>
      </c>
      <c r="G8" s="4">
        <f>'Total Other Sectors'!D5</f>
        <v>644196.71338448592</v>
      </c>
      <c r="H8" s="4">
        <f>'Total Other Sectors'!E5</f>
        <v>646384.54467184411</v>
      </c>
      <c r="I8" s="4">
        <f>'Total Other Sectors'!F5</f>
        <v>652236.96281764959</v>
      </c>
      <c r="J8" s="4">
        <f>'Total Other Sectors'!G5</f>
        <v>658089.38096345495</v>
      </c>
      <c r="K8" s="4">
        <f>'Total Other Sectors'!H5</f>
        <v>663941.79910926044</v>
      </c>
      <c r="L8" s="4">
        <f>'Total Other Sectors'!I5</f>
        <v>669794.2172550658</v>
      </c>
      <c r="M8" s="4">
        <f>'Total Other Sectors'!J5</f>
        <v>675646.63540087128</v>
      </c>
      <c r="N8" s="4">
        <f>'Total Other Sectors'!K5</f>
        <v>680562.21431821166</v>
      </c>
      <c r="O8" s="4">
        <f>'Total Other Sectors'!L5</f>
        <v>685477.79323555226</v>
      </c>
      <c r="P8" s="4">
        <f>'Total Other Sectors'!M5</f>
        <v>690393.37215289276</v>
      </c>
      <c r="Q8" s="4">
        <f>'Total Other Sectors'!N5</f>
        <v>695308.95107023325</v>
      </c>
      <c r="R8" s="4">
        <f>'Total Other Sectors'!O5</f>
        <v>700224.52998757374</v>
      </c>
      <c r="S8" s="4">
        <f>'Total Other Sectors'!P5</f>
        <v>704192.43948700011</v>
      </c>
      <c r="T8" s="4">
        <f>'Total Other Sectors'!Q5</f>
        <v>708160.34898642648</v>
      </c>
      <c r="U8" s="4">
        <f>'Total Other Sectors'!R5</f>
        <v>712128.25848585274</v>
      </c>
      <c r="V8" s="4">
        <f>'Total Other Sectors'!S5</f>
        <v>716096.167985279</v>
      </c>
      <c r="W8" s="4">
        <f>'Total Other Sectors'!T5</f>
        <v>720064.07748470525</v>
      </c>
      <c r="X8" s="4">
        <f>'Total Other Sectors'!U5</f>
        <v>723105.1195110766</v>
      </c>
      <c r="Y8" s="4">
        <f>'Total Other Sectors'!V5</f>
        <v>726146.16153744771</v>
      </c>
      <c r="Z8" s="4">
        <f>'Total Other Sectors'!W5</f>
        <v>729187.20356381906</v>
      </c>
      <c r="AA8" s="4">
        <f>'Total Other Sectors'!X5</f>
        <v>732228.24559019029</v>
      </c>
      <c r="AB8" s="4">
        <f>'Total Other Sectors'!Y5</f>
        <v>735269.2876165614</v>
      </c>
      <c r="AC8" s="4">
        <f>'Total Other Sectors'!Z5</f>
        <v>737421.03373970219</v>
      </c>
      <c r="AD8" s="4">
        <f>'Total Other Sectors'!AA5</f>
        <v>739572.77986284299</v>
      </c>
      <c r="AE8" s="4">
        <f>'Total Other Sectors'!AB5</f>
        <v>741724.52598598367</v>
      </c>
      <c r="AF8" s="4">
        <f>'Total Other Sectors'!AC5</f>
        <v>743876.27210912423</v>
      </c>
      <c r="AG8" s="4">
        <f>'Total Other Sectors'!AD5</f>
        <v>746028.01823226502</v>
      </c>
      <c r="AH8" s="4">
        <f>'Total Other Sectors'!AE5</f>
        <v>746028.01823226502</v>
      </c>
      <c r="AI8" s="4">
        <f>'Total Other Sectors'!AF5</f>
        <v>746028.01823226502</v>
      </c>
      <c r="AJ8" s="4">
        <f>'Total Other Sectors'!AG5</f>
        <v>746028.01823226502</v>
      </c>
      <c r="AK8" s="4">
        <f>'Total Other Sectors'!AH5</f>
        <v>746028.01823226502</v>
      </c>
      <c r="AL8" s="4">
        <f>'Total Other Sectors'!AI5</f>
        <v>746028.01823226502</v>
      </c>
      <c r="AM8" s="4">
        <f>'Total Other Sectors'!AJ5</f>
        <v>746028.01823226502</v>
      </c>
      <c r="AN8" s="4">
        <f>'Total Other Sectors'!AK5</f>
        <v>746028.01823226502</v>
      </c>
      <c r="AO8" s="4">
        <f>'Total Other Sectors'!AL5</f>
        <v>746028.01823226502</v>
      </c>
      <c r="AP8" s="4">
        <f>'Total Other Sectors'!AM5</f>
        <v>746028.01823226502</v>
      </c>
      <c r="AQ8" s="4">
        <f>'Total Other Sectors'!AN5</f>
        <v>746028.01823226502</v>
      </c>
      <c r="AR8" s="42">
        <f>'Total Other Sectors'!AO5</f>
        <v>746028.01823226502</v>
      </c>
      <c r="AS8" s="42">
        <f>'Total Other Sectors'!AP5</f>
        <v>746028.01823226502</v>
      </c>
      <c r="AT8" s="42">
        <f>'Total Other Sectors'!AQ5</f>
        <v>746028.01823226502</v>
      </c>
      <c r="AU8" s="42">
        <f>'Total Other Sectors'!AR5</f>
        <v>746028.01823226502</v>
      </c>
      <c r="AV8" s="42">
        <f>'Total Other Sectors'!AS5</f>
        <v>746028.01823226502</v>
      </c>
      <c r="AW8" s="42">
        <f>'Total Other Sectors'!AT5</f>
        <v>746028.01823226502</v>
      </c>
      <c r="AX8" s="42">
        <f>'Total Other Sectors'!AU5</f>
        <v>746028.01823226502</v>
      </c>
      <c r="AY8" s="42">
        <f>'Total Other Sectors'!AV5</f>
        <v>746028.01823226502</v>
      </c>
      <c r="AZ8" s="42">
        <f>'Total Other Sectors'!AW5</f>
        <v>746028.01823226502</v>
      </c>
      <c r="BA8" s="42">
        <f>'Total Other Sectors'!AX5</f>
        <v>746028.01823226502</v>
      </c>
    </row>
    <row r="9" spans="1:53" x14ac:dyDescent="0.2">
      <c r="A9" s="33" t="s">
        <v>29</v>
      </c>
      <c r="B9" s="32">
        <v>0</v>
      </c>
      <c r="C9" s="32">
        <v>0</v>
      </c>
      <c r="D9" s="32">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1</v>
      </c>
      <c r="AS9" s="42">
        <v>2</v>
      </c>
      <c r="AT9" s="42">
        <v>3</v>
      </c>
      <c r="AU9" s="42">
        <v>4</v>
      </c>
      <c r="AV9" s="42">
        <v>5</v>
      </c>
      <c r="AW9" s="42">
        <v>6</v>
      </c>
      <c r="AX9" s="42">
        <v>7</v>
      </c>
      <c r="AY9" s="42">
        <v>8</v>
      </c>
      <c r="AZ9" s="42">
        <v>9</v>
      </c>
      <c r="BA9" s="42">
        <v>10</v>
      </c>
    </row>
    <row r="10" spans="1:53" x14ac:dyDescent="0.2">
      <c r="A10" s="33" t="s">
        <v>30</v>
      </c>
      <c r="B10" s="32">
        <f>'Total Other Sectors'!Q15</f>
        <v>421286.81179249566</v>
      </c>
      <c r="C10" s="32">
        <f>'Total Other Sectors'!Q16</f>
        <v>424589.14338484872</v>
      </c>
      <c r="D10" s="32">
        <f>'Total Other Sectors'!Q17</f>
        <v>427891.47497720178</v>
      </c>
      <c r="E10" s="4">
        <f>'Total Other Sectors'!B9</f>
        <v>434127.25872929086</v>
      </c>
      <c r="F10" s="4">
        <f>'Total Other Sectors'!C9</f>
        <v>435611.73192400823</v>
      </c>
      <c r="G10" s="4">
        <f>'Total Other Sectors'!D9</f>
        <v>437096.20511872554</v>
      </c>
      <c r="H10" s="4">
        <f>'Total Other Sectors'!E9</f>
        <v>438580.67831344297</v>
      </c>
      <c r="I10" s="4">
        <f>'Total Other Sectors'!F9</f>
        <v>442551.62338216259</v>
      </c>
      <c r="J10" s="4">
        <f>'Total Other Sectors'!G9</f>
        <v>446522.56845088216</v>
      </c>
      <c r="K10" s="4">
        <f>'Total Other Sectors'!H9</f>
        <v>450493.51351960184</v>
      </c>
      <c r="L10" s="4">
        <f>'Total Other Sectors'!I9</f>
        <v>454464.45858832146</v>
      </c>
      <c r="M10" s="4">
        <f>'Total Other Sectors'!J9</f>
        <v>458435.40365704114</v>
      </c>
      <c r="N10" s="4">
        <f>'Total Other Sectors'!K9</f>
        <v>461770.69060602743</v>
      </c>
      <c r="O10" s="4">
        <f>'Total Other Sectors'!L9</f>
        <v>465105.97755501373</v>
      </c>
      <c r="P10" s="4">
        <f>'Total Other Sectors'!M9</f>
        <v>468441.26450399996</v>
      </c>
      <c r="Q10" s="4">
        <f>'Total Other Sectors'!N9</f>
        <v>471776.55145298626</v>
      </c>
      <c r="R10" s="4">
        <f>'Total Other Sectors'!O9</f>
        <v>475111.83840197261</v>
      </c>
      <c r="S10" s="4">
        <f>'Total Other Sectors'!P9</f>
        <v>477804.11880083056</v>
      </c>
      <c r="T10" s="4">
        <f>'Total Other Sectors'!Q9</f>
        <v>480496.39919968863</v>
      </c>
      <c r="U10" s="4">
        <f>'Total Other Sectors'!R9</f>
        <v>483188.67959854659</v>
      </c>
      <c r="V10" s="4">
        <f>'Total Other Sectors'!S9</f>
        <v>485880.9599974046</v>
      </c>
      <c r="W10" s="4">
        <f>'Total Other Sectors'!T9</f>
        <v>488573.24039626255</v>
      </c>
      <c r="X10" s="4">
        <f>'Total Other Sectors'!U9</f>
        <v>490636.62864664634</v>
      </c>
      <c r="Y10" s="4">
        <f>'Total Other Sectors'!V9</f>
        <v>492700.01689703029</v>
      </c>
      <c r="Z10" s="4">
        <f>'Total Other Sectors'!W9</f>
        <v>494763.4051474139</v>
      </c>
      <c r="AA10" s="4">
        <f>'Total Other Sectors'!X9</f>
        <v>496826.79339779785</v>
      </c>
      <c r="AB10" s="4">
        <f>'Total Other Sectors'!Y9</f>
        <v>498890.18164818163</v>
      </c>
      <c r="AC10" s="4">
        <f>'Total Other Sectors'!Z9</f>
        <v>500350.17056967504</v>
      </c>
      <c r="AD10" s="4">
        <f>'Total Other Sectors'!AA9</f>
        <v>501810.15949116834</v>
      </c>
      <c r="AE10" s="4">
        <f>'Total Other Sectors'!AB9</f>
        <v>503270.14841266157</v>
      </c>
      <c r="AF10" s="4">
        <f>'Total Other Sectors'!AC9</f>
        <v>504730.13733415492</v>
      </c>
      <c r="AG10" s="4">
        <f>'Total Other Sectors'!AD9</f>
        <v>506190.12625564815</v>
      </c>
      <c r="AH10" s="4">
        <f>'Total Other Sectors'!AE9</f>
        <v>506190.12625564815</v>
      </c>
      <c r="AI10" s="4">
        <f>'Total Other Sectors'!AF9</f>
        <v>506190.12625564815</v>
      </c>
      <c r="AJ10" s="4">
        <f>'Total Other Sectors'!AG9</f>
        <v>506190.12625564815</v>
      </c>
      <c r="AK10" s="4">
        <f>'Total Other Sectors'!AH9</f>
        <v>506190.12625564815</v>
      </c>
      <c r="AL10" s="4">
        <f>'Total Other Sectors'!AI9</f>
        <v>506190.12625564815</v>
      </c>
      <c r="AM10" s="4">
        <f>'Total Other Sectors'!AJ9</f>
        <v>506190.12625564815</v>
      </c>
      <c r="AN10" s="4">
        <f>'Total Other Sectors'!AK9</f>
        <v>506190.12625564815</v>
      </c>
      <c r="AO10" s="4">
        <f>'Total Other Sectors'!AL9</f>
        <v>506190.12625564815</v>
      </c>
      <c r="AP10" s="4">
        <f>'Total Other Sectors'!AM9</f>
        <v>506190.12625564815</v>
      </c>
      <c r="AQ10" s="4">
        <f>'Total Other Sectors'!AN9</f>
        <v>506190.12625564815</v>
      </c>
      <c r="AR10" s="42">
        <f>'Total Other Sectors'!AO9</f>
        <v>506190.12625564815</v>
      </c>
      <c r="AS10" s="42">
        <f>'Total Other Sectors'!AP9</f>
        <v>506190.12625564815</v>
      </c>
      <c r="AT10" s="42">
        <f>'Total Other Sectors'!AQ9</f>
        <v>506190.12625564815</v>
      </c>
      <c r="AU10" s="42">
        <f>'Total Other Sectors'!AR9</f>
        <v>506190.12625564815</v>
      </c>
      <c r="AV10" s="42">
        <f>'Total Other Sectors'!AS9</f>
        <v>506190.12625564815</v>
      </c>
      <c r="AW10" s="42">
        <f>'Total Other Sectors'!AT9</f>
        <v>506190.12625564815</v>
      </c>
      <c r="AX10" s="42">
        <f>'Total Other Sectors'!AU9</f>
        <v>506190.12625564815</v>
      </c>
      <c r="AY10" s="42">
        <f>'Total Other Sectors'!AV9</f>
        <v>506190.12625564815</v>
      </c>
      <c r="AZ10" s="42">
        <f>'Total Other Sectors'!AW9</f>
        <v>506190.12625564815</v>
      </c>
      <c r="BA10" s="42">
        <f>'Total Other Sectors'!AX9</f>
        <v>506190.12625564815</v>
      </c>
    </row>
    <row r="11" spans="1:53" x14ac:dyDescent="0.2">
      <c r="A11" s="33" t="s">
        <v>31</v>
      </c>
      <c r="B11" s="32">
        <v>0</v>
      </c>
      <c r="C11" s="32">
        <v>0</v>
      </c>
      <c r="D11" s="32">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1</v>
      </c>
      <c r="AS11" s="42">
        <v>2</v>
      </c>
      <c r="AT11" s="42">
        <v>3</v>
      </c>
      <c r="AU11" s="42">
        <v>4</v>
      </c>
      <c r="AV11" s="42">
        <v>5</v>
      </c>
      <c r="AW11" s="42">
        <v>6</v>
      </c>
      <c r="AX11" s="42">
        <v>7</v>
      </c>
      <c r="AY11" s="42">
        <v>8</v>
      </c>
      <c r="AZ11" s="42">
        <v>9</v>
      </c>
      <c r="BA11" s="42">
        <v>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BB8A-0821-F245-8797-808763BC18C0}">
  <dimension ref="A1:AX144"/>
  <sheetViews>
    <sheetView topLeftCell="AC1" workbookViewId="0">
      <selection activeCell="AO31" sqref="AO31:AX31"/>
    </sheetView>
  </sheetViews>
  <sheetFormatPr baseColWidth="10" defaultRowHeight="16" x14ac:dyDescent="0.2"/>
  <cols>
    <col min="40" max="40" width="12.1640625" bestFit="1" customWidth="1"/>
  </cols>
  <sheetData>
    <row r="1" spans="1:50" x14ac:dyDescent="0.2">
      <c r="A1" s="5" t="s">
        <v>158</v>
      </c>
    </row>
    <row r="2" spans="1:50" x14ac:dyDescent="0.2">
      <c r="A2" s="5" t="s">
        <v>4</v>
      </c>
    </row>
    <row r="3" spans="1:50" x14ac:dyDescent="0.2">
      <c r="A3" s="5" t="s">
        <v>77</v>
      </c>
    </row>
    <row r="4" spans="1:50" x14ac:dyDescent="0.2">
      <c r="A4" s="5" t="s">
        <v>6</v>
      </c>
    </row>
    <row r="5" spans="1:50" x14ac:dyDescent="0.2">
      <c r="A5" t="s">
        <v>156</v>
      </c>
      <c r="B5">
        <v>1000000</v>
      </c>
    </row>
    <row r="6" spans="1:5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c r="AO6" s="46">
        <f>AN6+1</f>
        <v>2061</v>
      </c>
      <c r="AP6" s="46">
        <f t="shared" ref="AP6:AW6" si="0">AO6+1</f>
        <v>2062</v>
      </c>
      <c r="AQ6" s="46">
        <f t="shared" si="0"/>
        <v>2063</v>
      </c>
      <c r="AR6" s="46">
        <f t="shared" si="0"/>
        <v>2064</v>
      </c>
      <c r="AS6" s="46">
        <f t="shared" si="0"/>
        <v>2065</v>
      </c>
      <c r="AT6" s="46">
        <f t="shared" si="0"/>
        <v>2066</v>
      </c>
      <c r="AU6" s="46">
        <f>AT6+1</f>
        <v>2067</v>
      </c>
      <c r="AV6" s="46">
        <f t="shared" si="0"/>
        <v>2068</v>
      </c>
      <c r="AW6" s="46">
        <f t="shared" si="0"/>
        <v>2069</v>
      </c>
      <c r="AX6" s="46">
        <f>AW6+1</f>
        <v>2070</v>
      </c>
    </row>
    <row r="7" spans="1:50" x14ac:dyDescent="0.2">
      <c r="A7" s="6" t="s">
        <v>78</v>
      </c>
      <c r="B7" s="37">
        <v>4.4000000000000004</v>
      </c>
      <c r="C7" s="37">
        <v>5.0999999999999996</v>
      </c>
      <c r="D7" s="37">
        <v>5.8</v>
      </c>
      <c r="E7" s="37">
        <v>6.5</v>
      </c>
      <c r="F7" s="37">
        <v>7.2</v>
      </c>
      <c r="G7" s="37">
        <v>7.9</v>
      </c>
      <c r="H7" s="37">
        <v>8.6</v>
      </c>
      <c r="I7" s="37">
        <v>9.3000000000000007</v>
      </c>
      <c r="J7" s="37">
        <v>10</v>
      </c>
      <c r="K7" s="37">
        <v>10.7</v>
      </c>
      <c r="L7" s="37">
        <v>11.4</v>
      </c>
      <c r="M7" s="37">
        <v>12.1</v>
      </c>
      <c r="N7" s="37">
        <v>12.8</v>
      </c>
      <c r="O7" s="37">
        <v>13.5</v>
      </c>
      <c r="P7" s="37">
        <v>14.2</v>
      </c>
      <c r="Q7" s="37">
        <v>14.9</v>
      </c>
      <c r="R7" s="37">
        <v>15.6</v>
      </c>
      <c r="S7" s="37">
        <v>16.3</v>
      </c>
      <c r="T7" s="37">
        <v>17</v>
      </c>
      <c r="U7" s="37">
        <v>17.7</v>
      </c>
      <c r="V7" s="37">
        <v>18.399999999999999</v>
      </c>
      <c r="W7" s="37">
        <v>19.100000000000001</v>
      </c>
      <c r="X7" s="37">
        <v>19.8</v>
      </c>
      <c r="Y7" s="37">
        <v>20.5</v>
      </c>
      <c r="Z7" s="37">
        <v>21.2</v>
      </c>
      <c r="AA7" s="37">
        <v>21.9</v>
      </c>
      <c r="AB7" s="37">
        <v>22.6</v>
      </c>
      <c r="AC7" s="37">
        <v>23.3</v>
      </c>
      <c r="AD7" s="37">
        <v>24</v>
      </c>
      <c r="AE7" s="37">
        <v>24.7</v>
      </c>
      <c r="AF7" s="37">
        <v>25.4</v>
      </c>
      <c r="AG7" s="37">
        <v>26.1</v>
      </c>
      <c r="AH7" s="37">
        <v>26.8</v>
      </c>
      <c r="AI7" s="37">
        <v>27.5</v>
      </c>
      <c r="AJ7" s="37">
        <v>28.2</v>
      </c>
      <c r="AK7" s="37">
        <v>28.9</v>
      </c>
      <c r="AL7" s="37">
        <v>29.6</v>
      </c>
      <c r="AM7" s="37">
        <v>30.3</v>
      </c>
      <c r="AN7" s="37">
        <v>31</v>
      </c>
      <c r="AO7" s="39">
        <f>(AN7+AN7*$AN$8)</f>
        <v>31.716171617161717</v>
      </c>
      <c r="AP7" s="39">
        <f t="shared" ref="AP7:AX7" si="1">(AO7+AO7*$AN$8)</f>
        <v>32.448888453201754</v>
      </c>
      <c r="AQ7" s="39">
        <f t="shared" si="1"/>
        <v>33.198532740899481</v>
      </c>
      <c r="AR7" s="39">
        <f t="shared" si="1"/>
        <v>33.965495543494519</v>
      </c>
      <c r="AS7" s="39">
        <f t="shared" si="1"/>
        <v>34.750176958690759</v>
      </c>
      <c r="AT7" s="39">
        <f t="shared" si="1"/>
        <v>35.552986327373382</v>
      </c>
      <c r="AU7" s="39">
        <f t="shared" si="1"/>
        <v>36.374342447147683</v>
      </c>
      <c r="AV7" s="39">
        <f t="shared" si="1"/>
        <v>37.214673790811162</v>
      </c>
      <c r="AW7" s="39">
        <f t="shared" si="1"/>
        <v>38.074418729872804</v>
      </c>
      <c r="AX7" s="39">
        <f t="shared" si="1"/>
        <v>38.954025763236203</v>
      </c>
    </row>
    <row r="8" spans="1:50" x14ac:dyDescent="0.2">
      <c r="AM8" s="13" t="s">
        <v>187</v>
      </c>
      <c r="AN8" s="13">
        <f>(AN7-AM7)/AM7</f>
        <v>2.310231023102308E-2</v>
      </c>
    </row>
    <row r="9" spans="1:50" x14ac:dyDescent="0.2">
      <c r="A9" s="5" t="s">
        <v>159</v>
      </c>
    </row>
    <row r="10" spans="1:50" x14ac:dyDescent="0.2">
      <c r="A10" s="5" t="s">
        <v>4</v>
      </c>
    </row>
    <row r="11" spans="1:50" x14ac:dyDescent="0.2">
      <c r="A11" s="5" t="s">
        <v>80</v>
      </c>
    </row>
    <row r="12" spans="1:50" x14ac:dyDescent="0.2">
      <c r="A12" s="5" t="s">
        <v>6</v>
      </c>
    </row>
    <row r="13" spans="1:50" x14ac:dyDescent="0.2">
      <c r="A13" t="s">
        <v>155</v>
      </c>
      <c r="B13">
        <v>1000</v>
      </c>
    </row>
    <row r="14" spans="1:50" x14ac:dyDescent="0.2">
      <c r="A14" s="6" t="s">
        <v>7</v>
      </c>
      <c r="B14" s="6">
        <v>2022</v>
      </c>
      <c r="C14" s="6">
        <v>2023</v>
      </c>
      <c r="D14" s="6">
        <v>2024</v>
      </c>
      <c r="E14" s="6">
        <v>2025</v>
      </c>
      <c r="F14" s="6">
        <v>2026</v>
      </c>
      <c r="G14" s="6">
        <v>2027</v>
      </c>
      <c r="H14" s="6">
        <v>2028</v>
      </c>
      <c r="I14" s="6">
        <v>2029</v>
      </c>
      <c r="J14" s="6">
        <v>2030</v>
      </c>
      <c r="K14" s="6">
        <v>2031</v>
      </c>
      <c r="L14" s="6">
        <v>2032</v>
      </c>
      <c r="M14" s="6">
        <v>2033</v>
      </c>
      <c r="N14" s="6">
        <v>2034</v>
      </c>
      <c r="O14" s="6">
        <v>2035</v>
      </c>
      <c r="P14" s="6">
        <v>2036</v>
      </c>
      <c r="Q14" s="6">
        <v>2037</v>
      </c>
      <c r="R14" s="6">
        <v>2038</v>
      </c>
      <c r="S14" s="6">
        <v>2039</v>
      </c>
      <c r="T14" s="6">
        <v>2040</v>
      </c>
      <c r="U14" s="6">
        <v>2041</v>
      </c>
      <c r="V14" s="6">
        <v>2042</v>
      </c>
      <c r="W14" s="6">
        <v>2043</v>
      </c>
      <c r="X14" s="6">
        <v>2044</v>
      </c>
      <c r="Y14" s="6">
        <v>2045</v>
      </c>
      <c r="Z14" s="6">
        <v>2046</v>
      </c>
      <c r="AA14" s="6">
        <v>2047</v>
      </c>
      <c r="AB14" s="6">
        <v>2048</v>
      </c>
      <c r="AC14" s="6">
        <v>2049</v>
      </c>
      <c r="AD14" s="6">
        <v>2050</v>
      </c>
      <c r="AE14" s="6">
        <v>2051</v>
      </c>
      <c r="AF14" s="6">
        <v>2052</v>
      </c>
      <c r="AG14" s="6">
        <v>2053</v>
      </c>
      <c r="AH14" s="6">
        <v>2054</v>
      </c>
      <c r="AI14" s="6">
        <v>2055</v>
      </c>
      <c r="AJ14" s="6">
        <v>2056</v>
      </c>
      <c r="AK14" s="6">
        <v>2057</v>
      </c>
      <c r="AL14" s="6">
        <v>2058</v>
      </c>
      <c r="AM14" s="6">
        <v>2059</v>
      </c>
      <c r="AN14" s="6">
        <v>2060</v>
      </c>
      <c r="AO14" s="46">
        <f>AN14+1</f>
        <v>2061</v>
      </c>
      <c r="AP14" s="46">
        <f t="shared" ref="AP14:AW14" si="2">AO14+1</f>
        <v>2062</v>
      </c>
      <c r="AQ14" s="46">
        <f t="shared" si="2"/>
        <v>2063</v>
      </c>
      <c r="AR14" s="46">
        <f t="shared" si="2"/>
        <v>2064</v>
      </c>
      <c r="AS14" s="46">
        <f t="shared" si="2"/>
        <v>2065</v>
      </c>
      <c r="AT14" s="46">
        <f t="shared" si="2"/>
        <v>2066</v>
      </c>
      <c r="AU14" s="46">
        <f>AT14+1</f>
        <v>2067</v>
      </c>
      <c r="AV14" s="46">
        <f t="shared" si="2"/>
        <v>2068</v>
      </c>
      <c r="AW14" s="46">
        <f t="shared" si="2"/>
        <v>2069</v>
      </c>
      <c r="AX14" s="46">
        <f>AW14+1</f>
        <v>2070</v>
      </c>
    </row>
    <row r="15" spans="1:50" x14ac:dyDescent="0.2">
      <c r="A15" s="6" t="s">
        <v>81</v>
      </c>
      <c r="B15" s="7">
        <v>4440.9990881224749</v>
      </c>
      <c r="C15" s="7">
        <v>3987.6838264512462</v>
      </c>
      <c r="D15" s="7">
        <v>3776.3074399760817</v>
      </c>
      <c r="E15" s="7">
        <v>3576.1355468117767</v>
      </c>
      <c r="F15" s="7">
        <v>3386.5742269256998</v>
      </c>
      <c r="G15" s="7">
        <v>3207.0610423875637</v>
      </c>
      <c r="H15" s="7">
        <v>3037.0633685879257</v>
      </c>
      <c r="I15" s="7">
        <v>2876.0768139142788</v>
      </c>
      <c r="J15" s="7">
        <v>2723.6237231958953</v>
      </c>
      <c r="K15" s="7">
        <v>2579.2517604769932</v>
      </c>
      <c r="L15" s="7">
        <v>2442.5325669133158</v>
      </c>
      <c r="M15" s="7">
        <v>2313.0604898099737</v>
      </c>
      <c r="N15" s="7">
        <v>2190.4513790295905</v>
      </c>
      <c r="O15" s="7">
        <v>2074.3414471995984</v>
      </c>
      <c r="P15" s="7">
        <v>1964.3861903368893</v>
      </c>
      <c r="Q15" s="7">
        <v>1860.2593656872418</v>
      </c>
      <c r="R15" s="7">
        <v>1761.6520237467244</v>
      </c>
      <c r="S15" s="7">
        <v>1668.2715915930469</v>
      </c>
      <c r="T15" s="7">
        <v>1579.84100480705</v>
      </c>
      <c r="U15" s="7">
        <v>1496.0978854086927</v>
      </c>
      <c r="V15" s="7">
        <v>1416.7937633684414</v>
      </c>
      <c r="W15" s="7">
        <v>1341.6933393842551</v>
      </c>
      <c r="X15" s="7">
        <v>1270.5737867367661</v>
      </c>
      <c r="Y15" s="7">
        <v>1203.2240901512446</v>
      </c>
      <c r="Z15" s="7">
        <v>1139.4444197047089</v>
      </c>
      <c r="AA15" s="7">
        <v>1079.04553792054</v>
      </c>
      <c r="AB15" s="7">
        <v>1021.8482382914032</v>
      </c>
      <c r="AC15" s="7">
        <v>967.68281356457146</v>
      </c>
      <c r="AD15" s="7">
        <v>916.38855221200311</v>
      </c>
      <c r="AE15" s="7">
        <v>867.81326159119101</v>
      </c>
      <c r="AF15" s="7">
        <v>821.81281638196879</v>
      </c>
      <c r="AG15" s="7">
        <v>778.25073095946664</v>
      </c>
      <c r="AH15" s="7">
        <v>736.99775443442854</v>
      </c>
      <c r="AI15" s="7">
        <v>697.93148715934797</v>
      </c>
      <c r="AJ15" s="7">
        <v>660.93601756258488</v>
      </c>
      <c r="AK15" s="7">
        <v>625.90157823292668</v>
      </c>
      <c r="AL15" s="7">
        <v>592.72422023418164</v>
      </c>
      <c r="AM15" s="7">
        <v>561.3055046834786</v>
      </c>
      <c r="AN15" s="7">
        <v>531.55221067817138</v>
      </c>
      <c r="AO15" s="48">
        <f>(AN15+AN15*$AN$16)</f>
        <v>503.37605870475187</v>
      </c>
      <c r="AP15" s="48">
        <f t="shared" ref="AP15:AX15" si="3">(AO15+AO15*$AN$16)</f>
        <v>476.69344870911164</v>
      </c>
      <c r="AQ15" s="48">
        <f t="shared" si="3"/>
        <v>451.42521205099445</v>
      </c>
      <c r="AR15" s="48">
        <f t="shared" si="3"/>
        <v>427.49637660667543</v>
      </c>
      <c r="AS15" s="48">
        <f t="shared" si="3"/>
        <v>404.835944322915</v>
      </c>
      <c r="AT15" s="48">
        <f t="shared" si="3"/>
        <v>383.37668056217888</v>
      </c>
      <c r="AU15" s="48">
        <f t="shared" si="3"/>
        <v>363.05491461410122</v>
      </c>
      <c r="AV15" s="48">
        <f t="shared" si="3"/>
        <v>343.81035078129793</v>
      </c>
      <c r="AW15" s="48">
        <f t="shared" si="3"/>
        <v>325.58588947901262</v>
      </c>
      <c r="AX15" s="48">
        <f t="shared" si="3"/>
        <v>308.32745781778885</v>
      </c>
    </row>
    <row r="16" spans="1:50" x14ac:dyDescent="0.2">
      <c r="AM16" s="13" t="s">
        <v>187</v>
      </c>
      <c r="AN16" s="13">
        <f>(AN15-AM15)/AM15</f>
        <v>-5.3007308421258351E-2</v>
      </c>
    </row>
    <row r="17" spans="1:50" x14ac:dyDescent="0.2">
      <c r="A17" s="5" t="s">
        <v>160</v>
      </c>
    </row>
    <row r="18" spans="1:50" x14ac:dyDescent="0.2">
      <c r="A18" s="5" t="s">
        <v>4</v>
      </c>
    </row>
    <row r="19" spans="1:50" x14ac:dyDescent="0.2">
      <c r="A19" s="5" t="s">
        <v>83</v>
      </c>
    </row>
    <row r="20" spans="1:50" x14ac:dyDescent="0.2">
      <c r="A20" s="5" t="s">
        <v>6</v>
      </c>
    </row>
    <row r="21" spans="1:50" x14ac:dyDescent="0.2">
      <c r="A21" t="s">
        <v>155</v>
      </c>
      <c r="B21">
        <v>1000</v>
      </c>
    </row>
    <row r="22" spans="1:50" x14ac:dyDescent="0.2">
      <c r="A22" s="6" t="s">
        <v>7</v>
      </c>
      <c r="B22" s="6">
        <v>2022</v>
      </c>
      <c r="C22" s="6">
        <v>2023</v>
      </c>
      <c r="D22" s="6">
        <v>2024</v>
      </c>
      <c r="E22" s="6">
        <v>2025</v>
      </c>
      <c r="F22" s="6">
        <v>2026</v>
      </c>
      <c r="G22" s="6">
        <v>2027</v>
      </c>
      <c r="H22" s="6">
        <v>2028</v>
      </c>
      <c r="I22" s="6">
        <v>2029</v>
      </c>
      <c r="J22" s="6">
        <v>2030</v>
      </c>
      <c r="K22" s="6">
        <v>2031</v>
      </c>
      <c r="L22" s="6">
        <v>2032</v>
      </c>
      <c r="M22" s="6">
        <v>2033</v>
      </c>
      <c r="N22" s="6">
        <v>2034</v>
      </c>
      <c r="O22" s="6">
        <v>2035</v>
      </c>
      <c r="P22" s="6">
        <v>2036</v>
      </c>
      <c r="Q22" s="6">
        <v>2037</v>
      </c>
      <c r="R22" s="6">
        <v>2038</v>
      </c>
      <c r="S22" s="6">
        <v>2039</v>
      </c>
      <c r="T22" s="6">
        <v>2040</v>
      </c>
      <c r="U22" s="6">
        <v>2041</v>
      </c>
      <c r="V22" s="6">
        <v>2042</v>
      </c>
      <c r="W22" s="6">
        <v>2043</v>
      </c>
      <c r="X22" s="6">
        <v>2044</v>
      </c>
      <c r="Y22" s="6">
        <v>2045</v>
      </c>
      <c r="Z22" s="6">
        <v>2046</v>
      </c>
      <c r="AA22" s="6">
        <v>2047</v>
      </c>
      <c r="AB22" s="6">
        <v>2048</v>
      </c>
      <c r="AC22" s="6">
        <v>2049</v>
      </c>
      <c r="AD22" s="6">
        <v>2050</v>
      </c>
      <c r="AE22" s="6">
        <v>2051</v>
      </c>
      <c r="AF22" s="6">
        <v>2052</v>
      </c>
      <c r="AG22" s="6">
        <v>2053</v>
      </c>
      <c r="AH22" s="6">
        <v>2054</v>
      </c>
      <c r="AI22" s="6">
        <v>2055</v>
      </c>
      <c r="AJ22" s="6">
        <v>2056</v>
      </c>
      <c r="AK22" s="6">
        <v>2057</v>
      </c>
      <c r="AL22" s="6">
        <v>2058</v>
      </c>
      <c r="AM22" s="6">
        <v>2059</v>
      </c>
      <c r="AN22" s="6">
        <v>2060</v>
      </c>
      <c r="AO22" s="46">
        <f>AN22+1</f>
        <v>2061</v>
      </c>
      <c r="AP22" s="46">
        <f t="shared" ref="AP22:AW22" si="4">AO22+1</f>
        <v>2062</v>
      </c>
      <c r="AQ22" s="46">
        <f t="shared" si="4"/>
        <v>2063</v>
      </c>
      <c r="AR22" s="46">
        <f t="shared" si="4"/>
        <v>2064</v>
      </c>
      <c r="AS22" s="46">
        <f t="shared" si="4"/>
        <v>2065</v>
      </c>
      <c r="AT22" s="46">
        <f t="shared" si="4"/>
        <v>2066</v>
      </c>
      <c r="AU22" s="46">
        <f>AT22+1</f>
        <v>2067</v>
      </c>
      <c r="AV22" s="46">
        <f t="shared" si="4"/>
        <v>2068</v>
      </c>
      <c r="AW22" s="46">
        <f t="shared" si="4"/>
        <v>2069</v>
      </c>
      <c r="AX22" s="46">
        <f>AW22+1</f>
        <v>2070</v>
      </c>
    </row>
    <row r="23" spans="1:50" x14ac:dyDescent="0.2">
      <c r="A23" s="6" t="s">
        <v>84</v>
      </c>
      <c r="B23" s="7">
        <v>1197.8871068211181</v>
      </c>
      <c r="C23" s="7">
        <v>1221.885697312382</v>
      </c>
      <c r="D23" s="7">
        <v>1242.0141202944874</v>
      </c>
      <c r="E23" s="7">
        <v>1258.7884545304748</v>
      </c>
      <c r="F23" s="7">
        <v>1272.6929673104089</v>
      </c>
      <c r="G23" s="7">
        <v>1284.1675816830541</v>
      </c>
      <c r="H23" s="7">
        <v>1293.602292731709</v>
      </c>
      <c r="I23" s="7">
        <v>1301.3363939185695</v>
      </c>
      <c r="J23" s="7">
        <v>1307.6607678488117</v>
      </c>
      <c r="K23" s="7">
        <v>1312.8219258894007</v>
      </c>
      <c r="L23" s="7">
        <v>1317.026868481061</v>
      </c>
      <c r="M23" s="7">
        <v>1320.4481512866635</v>
      </c>
      <c r="N23" s="7">
        <v>1323.2287777360821</v>
      </c>
      <c r="O23" s="7">
        <v>1325.486705506976</v>
      </c>
      <c r="P23" s="7">
        <v>1327.3188669852152</v>
      </c>
      <c r="Q23" s="7">
        <v>1328.8046756664974</v>
      </c>
      <c r="R23" s="7">
        <v>1330.009033625417</v>
      </c>
      <c r="S23" s="7">
        <v>1330.984878832212</v>
      </c>
      <c r="T23" s="7">
        <v>1331.7753220509373</v>
      </c>
      <c r="U23" s="7">
        <v>1332.4154261095914</v>
      </c>
      <c r="V23" s="7">
        <v>1332.9336787595273</v>
      </c>
      <c r="W23" s="7">
        <v>1333.3532062857764</v>
      </c>
      <c r="X23" s="7">
        <v>1333.6927698544107</v>
      </c>
      <c r="Y23" s="7">
        <v>1333.9675811167979</v>
      </c>
      <c r="Z23" s="7">
        <v>1334.1899683100096</v>
      </c>
      <c r="AA23" s="7">
        <v>1334.3699192476029</v>
      </c>
      <c r="AB23" s="7">
        <v>1334.5155232942716</v>
      </c>
      <c r="AC23" s="7">
        <v>1334.633330686072</v>
      </c>
      <c r="AD23" s="7">
        <v>1334.7286443719149</v>
      </c>
      <c r="AE23" s="7">
        <v>1334.8057568644397</v>
      </c>
      <c r="AF23" s="7">
        <v>1334.8681423415808</v>
      </c>
      <c r="AG23" s="7">
        <v>1334.9186123748109</v>
      </c>
      <c r="AH23" s="7">
        <v>1334.95944211967</v>
      </c>
      <c r="AI23" s="7">
        <v>1334.9924725374619</v>
      </c>
      <c r="AJ23" s="7">
        <v>1335.0191931787804</v>
      </c>
      <c r="AK23" s="7">
        <v>1335.0408092107564</v>
      </c>
      <c r="AL23" s="7">
        <v>1335.0582956775181</v>
      </c>
      <c r="AM23" s="7">
        <v>1335.072441419394</v>
      </c>
      <c r="AN23" s="7">
        <v>1335.0838846177326</v>
      </c>
      <c r="AO23" s="48">
        <f>(AN23+AN23*$AN$24)</f>
        <v>1335.0953279141534</v>
      </c>
      <c r="AP23" s="48">
        <f t="shared" ref="AP23:AX23" si="5">(AO23+AO23*$AN$24)</f>
        <v>1335.106771308657</v>
      </c>
      <c r="AQ23" s="48">
        <f t="shared" si="5"/>
        <v>1335.1182148012447</v>
      </c>
      <c r="AR23" s="48">
        <f t="shared" si="5"/>
        <v>1335.129658391917</v>
      </c>
      <c r="AS23" s="48">
        <f t="shared" si="5"/>
        <v>1335.1411020806747</v>
      </c>
      <c r="AT23" s="48">
        <f t="shared" si="5"/>
        <v>1335.1525458675189</v>
      </c>
      <c r="AU23" s="48">
        <f t="shared" si="5"/>
        <v>1335.1639897524503</v>
      </c>
      <c r="AV23" s="48">
        <f t="shared" si="5"/>
        <v>1335.1754337354698</v>
      </c>
      <c r="AW23" s="48">
        <f t="shared" si="5"/>
        <v>1335.1868778165781</v>
      </c>
      <c r="AX23" s="48">
        <f t="shared" si="5"/>
        <v>1335.198321995776</v>
      </c>
    </row>
    <row r="24" spans="1:50" x14ac:dyDescent="0.2">
      <c r="AM24" s="47" t="s">
        <v>187</v>
      </c>
      <c r="AN24" s="47">
        <f>(AN23-AM23)/AM23</f>
        <v>8.5712190466947585E-6</v>
      </c>
    </row>
    <row r="25" spans="1:50" x14ac:dyDescent="0.2">
      <c r="A25" s="5" t="s">
        <v>161</v>
      </c>
    </row>
    <row r="26" spans="1:50" x14ac:dyDescent="0.2">
      <c r="A26" s="5" t="s">
        <v>4</v>
      </c>
    </row>
    <row r="27" spans="1:50" x14ac:dyDescent="0.2">
      <c r="A27" s="5" t="s">
        <v>86</v>
      </c>
    </row>
    <row r="28" spans="1:50" x14ac:dyDescent="0.2">
      <c r="A28" s="5" t="s">
        <v>6</v>
      </c>
    </row>
    <row r="29" spans="1:50" x14ac:dyDescent="0.2">
      <c r="A29" t="s">
        <v>156</v>
      </c>
      <c r="B29">
        <v>1000000</v>
      </c>
    </row>
    <row r="30" spans="1:50" x14ac:dyDescent="0.2">
      <c r="A30" s="6" t="s">
        <v>7</v>
      </c>
      <c r="B30" s="6">
        <v>2022</v>
      </c>
      <c r="C30" s="6">
        <v>2023</v>
      </c>
      <c r="D30" s="6">
        <v>2024</v>
      </c>
      <c r="E30" s="6">
        <v>2025</v>
      </c>
      <c r="F30" s="6">
        <v>2026</v>
      </c>
      <c r="G30" s="6">
        <v>2027</v>
      </c>
      <c r="H30" s="6">
        <v>2028</v>
      </c>
      <c r="I30" s="6">
        <v>2029</v>
      </c>
      <c r="J30" s="6">
        <v>2030</v>
      </c>
      <c r="K30" s="6">
        <v>2031</v>
      </c>
      <c r="L30" s="6">
        <v>2032</v>
      </c>
      <c r="M30" s="6">
        <v>2033</v>
      </c>
      <c r="N30" s="6">
        <v>2034</v>
      </c>
      <c r="O30" s="6">
        <v>2035</v>
      </c>
      <c r="P30" s="6">
        <v>2036</v>
      </c>
      <c r="Q30" s="6">
        <v>2037</v>
      </c>
      <c r="R30" s="6">
        <v>2038</v>
      </c>
      <c r="S30" s="6">
        <v>2039</v>
      </c>
      <c r="T30" s="6">
        <v>2040</v>
      </c>
      <c r="U30" s="6">
        <v>2041</v>
      </c>
      <c r="V30" s="6">
        <v>2042</v>
      </c>
      <c r="W30" s="6">
        <v>2043</v>
      </c>
      <c r="X30" s="6">
        <v>2044</v>
      </c>
      <c r="Y30" s="6">
        <v>2045</v>
      </c>
      <c r="Z30" s="6">
        <v>2046</v>
      </c>
      <c r="AA30" s="6">
        <v>2047</v>
      </c>
      <c r="AB30" s="6">
        <v>2048</v>
      </c>
      <c r="AC30" s="6">
        <v>2049</v>
      </c>
      <c r="AD30" s="6">
        <v>2050</v>
      </c>
      <c r="AE30" s="6">
        <v>2051</v>
      </c>
      <c r="AF30" s="6">
        <v>2052</v>
      </c>
      <c r="AG30" s="6">
        <v>2053</v>
      </c>
      <c r="AH30" s="6">
        <v>2054</v>
      </c>
      <c r="AI30" s="6">
        <v>2055</v>
      </c>
      <c r="AJ30" s="6">
        <v>2056</v>
      </c>
      <c r="AK30" s="6">
        <v>2057</v>
      </c>
      <c r="AL30" s="6">
        <v>2058</v>
      </c>
      <c r="AM30" s="6">
        <v>2059</v>
      </c>
      <c r="AN30" s="6">
        <v>2060</v>
      </c>
      <c r="AO30" s="46">
        <f>AN30+1</f>
        <v>2061</v>
      </c>
      <c r="AP30" s="46">
        <f t="shared" ref="AP30:AW30" si="6">AO30+1</f>
        <v>2062</v>
      </c>
      <c r="AQ30" s="46">
        <f t="shared" si="6"/>
        <v>2063</v>
      </c>
      <c r="AR30" s="46">
        <f t="shared" si="6"/>
        <v>2064</v>
      </c>
      <c r="AS30" s="46">
        <f t="shared" si="6"/>
        <v>2065</v>
      </c>
      <c r="AT30" s="46">
        <f t="shared" si="6"/>
        <v>2066</v>
      </c>
      <c r="AU30" s="46">
        <f>AT30+1</f>
        <v>2067</v>
      </c>
      <c r="AV30" s="46">
        <f t="shared" si="6"/>
        <v>2068</v>
      </c>
      <c r="AW30" s="46">
        <f t="shared" si="6"/>
        <v>2069</v>
      </c>
      <c r="AX30" s="46">
        <f>AW30+1</f>
        <v>2070</v>
      </c>
    </row>
    <row r="31" spans="1:50" x14ac:dyDescent="0.2">
      <c r="A31" s="6" t="s">
        <v>87</v>
      </c>
      <c r="B31" s="7">
        <v>10.433175714882017</v>
      </c>
      <c r="C31" s="7">
        <v>9.3682086465701087</v>
      </c>
      <c r="D31" s="7">
        <v>8.8716251214866659</v>
      </c>
      <c r="E31" s="7">
        <v>8.4013641524742422</v>
      </c>
      <c r="F31" s="7">
        <v>7.956030451684736</v>
      </c>
      <c r="G31" s="7">
        <v>7.5343026917233562</v>
      </c>
      <c r="H31" s="7">
        <v>7.1349295852040617</v>
      </c>
      <c r="I31" s="7">
        <v>6.7567261721171876</v>
      </c>
      <c r="J31" s="7">
        <v>6.398570303993786</v>
      </c>
      <c r="K31" s="7">
        <v>6.0593993144348799</v>
      </c>
      <c r="L31" s="7">
        <v>5.7382068661270695</v>
      </c>
      <c r="M31" s="7">
        <v>5.4340399649892879</v>
      </c>
      <c r="N31" s="7">
        <v>5.1459961325916606</v>
      </c>
      <c r="O31" s="7">
        <v>4.8732207284567703</v>
      </c>
      <c r="P31" s="7">
        <v>4.614904414298592</v>
      </c>
      <c r="Q31" s="7">
        <v>4.3702807526752414</v>
      </c>
      <c r="R31" s="7">
        <v>4.1386239329306962</v>
      </c>
      <c r="S31" s="7">
        <v>3.9192466176782372</v>
      </c>
      <c r="T31" s="7">
        <v>3.7114979034359905</v>
      </c>
      <c r="U31" s="7">
        <v>3.5147613893637084</v>
      </c>
      <c r="V31" s="7">
        <v>3.3284533483705743</v>
      </c>
      <c r="W31" s="7">
        <v>3.1520209951677258</v>
      </c>
      <c r="X31" s="7">
        <v>2.9849408461265887</v>
      </c>
      <c r="Y31" s="7">
        <v>2.8267171660767461</v>
      </c>
      <c r="Z31" s="7">
        <v>2.6768804974348486</v>
      </c>
      <c r="AA31" s="7">
        <v>2.5349862673004679</v>
      </c>
      <c r="AB31" s="7">
        <v>2.4006134683860179</v>
      </c>
      <c r="AC31" s="7">
        <v>2.2733634098670539</v>
      </c>
      <c r="AD31" s="7">
        <v>2.152858534446628</v>
      </c>
      <c r="AE31" s="7">
        <v>2.0387412981238766</v>
      </c>
      <c r="AF31" s="7">
        <v>1.930673109343068</v>
      </c>
      <c r="AG31" s="7">
        <v>1.8283333243754905</v>
      </c>
      <c r="AH31" s="7">
        <v>1.7314182959534541</v>
      </c>
      <c r="AI31" s="7">
        <v>1.63964047233364</v>
      </c>
      <c r="AJ31" s="7">
        <v>1.5527275441166726</v>
      </c>
      <c r="AK31" s="7">
        <v>1.4704216362914975</v>
      </c>
      <c r="AL31" s="7">
        <v>1.3924785431073021</v>
      </c>
      <c r="AM31" s="7">
        <v>1.3186670035028292</v>
      </c>
      <c r="AN31" s="7">
        <v>1.2487680149432185</v>
      </c>
      <c r="AO31" s="48">
        <f>(AN31+AN31*$AN$32)</f>
        <v>1.1825741836285211</v>
      </c>
      <c r="AP31" s="48">
        <f t="shared" ref="AP31:AX31" si="7">(AO31+AO31*$AN$32)</f>
        <v>1.1198891091459067</v>
      </c>
      <c r="AQ31" s="48">
        <f t="shared" si="7"/>
        <v>1.0605268017398017</v>
      </c>
      <c r="AR31" s="48">
        <f t="shared" si="7"/>
        <v>1.0043111304709698</v>
      </c>
      <c r="AS31" s="48">
        <f t="shared" si="7"/>
        <v>0.9510753006271927</v>
      </c>
      <c r="AT31" s="48">
        <f t="shared" si="7"/>
        <v>0.90066135883500642</v>
      </c>
      <c r="AU31" s="48">
        <f t="shared" si="7"/>
        <v>0.85291972440412989</v>
      </c>
      <c r="AV31" s="48">
        <f t="shared" si="7"/>
        <v>0.8077087455140658</v>
      </c>
      <c r="AW31" s="48">
        <f t="shared" si="7"/>
        <v>0.76489427892605433</v>
      </c>
      <c r="AX31" s="48">
        <f t="shared" si="7"/>
        <v>0.72434929197336517</v>
      </c>
    </row>
    <row r="32" spans="1:50" x14ac:dyDescent="0.2">
      <c r="AM32" s="47" t="s">
        <v>187</v>
      </c>
      <c r="AN32" s="47">
        <f>(AN31-AM31)/AM31</f>
        <v>-5.3007308421258045E-2</v>
      </c>
    </row>
    <row r="33" spans="1:50" x14ac:dyDescent="0.2">
      <c r="A33" s="5" t="s">
        <v>162</v>
      </c>
    </row>
    <row r="34" spans="1:50" x14ac:dyDescent="0.2">
      <c r="A34" s="5" t="s">
        <v>4</v>
      </c>
    </row>
    <row r="35" spans="1:50" x14ac:dyDescent="0.2">
      <c r="A35" s="5" t="s">
        <v>89</v>
      </c>
    </row>
    <row r="36" spans="1:50" x14ac:dyDescent="0.2">
      <c r="A36" s="5" t="s">
        <v>6</v>
      </c>
    </row>
    <row r="37" spans="1:50" x14ac:dyDescent="0.2">
      <c r="A37" t="s">
        <v>156</v>
      </c>
      <c r="B37">
        <v>1000000</v>
      </c>
    </row>
    <row r="38" spans="1:50" x14ac:dyDescent="0.2">
      <c r="A38" s="6" t="s">
        <v>7</v>
      </c>
      <c r="B38" s="6">
        <v>2022</v>
      </c>
      <c r="C38" s="6">
        <v>2023</v>
      </c>
      <c r="D38" s="6">
        <v>2024</v>
      </c>
      <c r="E38" s="6">
        <v>2025</v>
      </c>
      <c r="F38" s="6">
        <v>2026</v>
      </c>
      <c r="G38" s="6">
        <v>2027</v>
      </c>
      <c r="H38" s="6">
        <v>2028</v>
      </c>
      <c r="I38" s="6">
        <v>2029</v>
      </c>
      <c r="J38" s="6">
        <v>2030</v>
      </c>
      <c r="K38" s="6">
        <v>2031</v>
      </c>
      <c r="L38" s="6">
        <v>2032</v>
      </c>
      <c r="M38" s="6">
        <v>2033</v>
      </c>
      <c r="N38" s="6">
        <v>2034</v>
      </c>
      <c r="O38" s="6">
        <v>2035</v>
      </c>
      <c r="P38" s="6">
        <v>2036</v>
      </c>
      <c r="Q38" s="6">
        <v>2037</v>
      </c>
      <c r="R38" s="6">
        <v>2038</v>
      </c>
      <c r="S38" s="6">
        <v>2039</v>
      </c>
      <c r="T38" s="6">
        <v>2040</v>
      </c>
      <c r="U38" s="6">
        <v>2041</v>
      </c>
      <c r="V38" s="6">
        <v>2042</v>
      </c>
      <c r="W38" s="6">
        <v>2043</v>
      </c>
      <c r="X38" s="6">
        <v>2044</v>
      </c>
      <c r="Y38" s="6">
        <v>2045</v>
      </c>
      <c r="Z38" s="6">
        <v>2046</v>
      </c>
      <c r="AA38" s="6">
        <v>2047</v>
      </c>
      <c r="AB38" s="6">
        <v>2048</v>
      </c>
      <c r="AC38" s="6">
        <v>2049</v>
      </c>
      <c r="AD38" s="6">
        <v>2050</v>
      </c>
      <c r="AE38" s="6">
        <v>2051</v>
      </c>
      <c r="AF38" s="6">
        <v>2052</v>
      </c>
      <c r="AG38" s="6">
        <v>2053</v>
      </c>
      <c r="AH38" s="6">
        <v>2054</v>
      </c>
      <c r="AI38" s="6">
        <v>2055</v>
      </c>
      <c r="AJ38" s="6">
        <v>2056</v>
      </c>
      <c r="AK38" s="6">
        <v>2057</v>
      </c>
      <c r="AL38" s="6">
        <v>2058</v>
      </c>
      <c r="AM38" s="6">
        <v>2059</v>
      </c>
      <c r="AN38" s="6">
        <v>2060</v>
      </c>
      <c r="AO38" s="46">
        <f>AN38+1</f>
        <v>2061</v>
      </c>
      <c r="AP38" s="46">
        <f t="shared" ref="AP38:AW38" si="8">AO38+1</f>
        <v>2062</v>
      </c>
      <c r="AQ38" s="46">
        <f t="shared" si="8"/>
        <v>2063</v>
      </c>
      <c r="AR38" s="46">
        <f t="shared" si="8"/>
        <v>2064</v>
      </c>
      <c r="AS38" s="46">
        <f t="shared" si="8"/>
        <v>2065</v>
      </c>
      <c r="AT38" s="46">
        <f t="shared" si="8"/>
        <v>2066</v>
      </c>
      <c r="AU38" s="46">
        <f>AT38+1</f>
        <v>2067</v>
      </c>
      <c r="AV38" s="46">
        <f t="shared" si="8"/>
        <v>2068</v>
      </c>
      <c r="AW38" s="46">
        <f t="shared" si="8"/>
        <v>2069</v>
      </c>
      <c r="AX38" s="46">
        <f>AW38+1</f>
        <v>2070</v>
      </c>
    </row>
    <row r="39" spans="1:50" x14ac:dyDescent="0.2">
      <c r="A39" s="6" t="s">
        <v>90</v>
      </c>
      <c r="B39" s="7">
        <v>98.90730847203136</v>
      </c>
      <c r="C39" s="7">
        <v>87.625206995929815</v>
      </c>
      <c r="D39" s="7">
        <v>77.630025725053031</v>
      </c>
      <c r="E39" s="7">
        <v>68.774968992111141</v>
      </c>
      <c r="F39" s="7">
        <v>60.929985732818999</v>
      </c>
      <c r="G39" s="7">
        <v>53.979859472235653</v>
      </c>
      <c r="H39" s="7">
        <v>47.822516181434516</v>
      </c>
      <c r="I39" s="7">
        <v>42.367525152596428</v>
      </c>
      <c r="J39" s="7">
        <v>37.534770875413365</v>
      </c>
      <c r="K39" s="7">
        <v>33.253276409123409</v>
      </c>
      <c r="L39" s="7">
        <v>29.460160969462329</v>
      </c>
      <c r="M39" s="7">
        <v>26.099716420981405</v>
      </c>
      <c r="N39" s="7">
        <v>23.122589111504052</v>
      </c>
      <c r="O39" s="7">
        <v>20.485055032614856</v>
      </c>
      <c r="P39" s="7">
        <v>18.148377660721369</v>
      </c>
      <c r="Q39" s="7">
        <v>16.078239047529092</v>
      </c>
      <c r="R39" s="7">
        <v>14.244235804558059</v>
      </c>
      <c r="S39" s="7">
        <v>12.619432579405229</v>
      </c>
      <c r="T39" s="7">
        <v>11.17996646581736</v>
      </c>
      <c r="U39" s="7">
        <v>9.9046965376863092</v>
      </c>
      <c r="V39" s="7">
        <v>8.7748933597971064</v>
      </c>
      <c r="W39" s="7">
        <v>7.7739639152839652</v>
      </c>
      <c r="X39" s="7">
        <v>6.8872079099015462</v>
      </c>
      <c r="Y39" s="7">
        <v>6.1016018740392886</v>
      </c>
      <c r="Z39" s="7">
        <v>5.4056078916618535</v>
      </c>
      <c r="AA39" s="7">
        <v>4.7890041470458549</v>
      </c>
      <c r="AB39" s="7">
        <v>4.2427348006130714</v>
      </c>
      <c r="AC39" s="7">
        <v>3.75877698904003</v>
      </c>
      <c r="AD39" s="7">
        <v>3.3300229963219223</v>
      </c>
      <c r="AE39" s="7">
        <v>2.9501758652792307</v>
      </c>
      <c r="AF39" s="7">
        <v>2.6136569163904557</v>
      </c>
      <c r="AG39" s="7">
        <v>2.3155238157129654</v>
      </c>
      <c r="AH39" s="7">
        <v>2.0513979885847231</v>
      </c>
      <c r="AI39" s="7">
        <v>1.8174003130577625</v>
      </c>
      <c r="AJ39" s="7">
        <v>1.6100941486157847</v>
      </c>
      <c r="AK39" s="7">
        <v>1.4264348634589428</v>
      </c>
      <c r="AL39" s="7">
        <v>1.2637251190810175</v>
      </c>
      <c r="AM39" s="7">
        <v>1.1195752554195051</v>
      </c>
      <c r="AN39" s="7">
        <v>0.99186819476941224</v>
      </c>
      <c r="AO39" s="48">
        <f>(AN39+AN39*$AN$40)</f>
        <v>0.87872834901705799</v>
      </c>
      <c r="AP39" s="48">
        <f t="shared" ref="AP39:AX39" si="9">(AO39+AO39*$AN$40)</f>
        <v>0.77849407354548317</v>
      </c>
      <c r="AQ39" s="48">
        <f t="shared" si="9"/>
        <v>0.68969326325179869</v>
      </c>
      <c r="AR39" s="48">
        <f t="shared" si="9"/>
        <v>0.61102173226386625</v>
      </c>
      <c r="AS39" s="48">
        <f t="shared" si="9"/>
        <v>0.54132405982691356</v>
      </c>
      <c r="AT39" s="48">
        <f t="shared" si="9"/>
        <v>0.47957662105044047</v>
      </c>
      <c r="AU39" s="48">
        <f t="shared" si="9"/>
        <v>0.4248725532940425</v>
      </c>
      <c r="AV39" s="48">
        <f t="shared" si="9"/>
        <v>0.37640843739881297</v>
      </c>
      <c r="AW39" s="48">
        <f t="shared" si="9"/>
        <v>0.33347249815631419</v>
      </c>
      <c r="AX39" s="48">
        <f t="shared" si="9"/>
        <v>0.29543415071960782</v>
      </c>
    </row>
    <row r="40" spans="1:50" x14ac:dyDescent="0.2">
      <c r="AM40" s="47" t="s">
        <v>187</v>
      </c>
      <c r="AN40" s="47">
        <f>(AN39-AM39)/AM39</f>
        <v>-0.11406741979326883</v>
      </c>
    </row>
    <row r="41" spans="1:50" x14ac:dyDescent="0.2">
      <c r="A41" s="5" t="s">
        <v>163</v>
      </c>
    </row>
    <row r="42" spans="1:50" x14ac:dyDescent="0.2">
      <c r="A42" s="5" t="s">
        <v>4</v>
      </c>
    </row>
    <row r="43" spans="1:50" x14ac:dyDescent="0.2">
      <c r="A43" s="5" t="s">
        <v>92</v>
      </c>
    </row>
    <row r="44" spans="1:50" x14ac:dyDescent="0.2">
      <c r="A44" s="5" t="s">
        <v>6</v>
      </c>
    </row>
    <row r="45" spans="1:50" x14ac:dyDescent="0.2">
      <c r="A45" t="s">
        <v>156</v>
      </c>
      <c r="B45">
        <v>1000000</v>
      </c>
    </row>
    <row r="46" spans="1:50" x14ac:dyDescent="0.2">
      <c r="A46" s="6" t="s">
        <v>7</v>
      </c>
      <c r="B46" s="6">
        <v>2022</v>
      </c>
      <c r="C46" s="6">
        <v>2023</v>
      </c>
      <c r="D46" s="6">
        <v>2024</v>
      </c>
      <c r="E46" s="6">
        <v>2025</v>
      </c>
      <c r="F46" s="6">
        <v>2026</v>
      </c>
      <c r="G46" s="6">
        <v>2027</v>
      </c>
      <c r="H46" s="6">
        <v>2028</v>
      </c>
      <c r="I46" s="6">
        <v>2029</v>
      </c>
      <c r="J46" s="6">
        <v>2030</v>
      </c>
      <c r="K46" s="6">
        <v>2031</v>
      </c>
      <c r="L46" s="6">
        <v>2032</v>
      </c>
      <c r="M46" s="6">
        <v>2033</v>
      </c>
      <c r="N46" s="6">
        <v>2034</v>
      </c>
      <c r="O46" s="6">
        <v>2035</v>
      </c>
      <c r="P46" s="6">
        <v>2036</v>
      </c>
      <c r="Q46" s="6">
        <v>2037</v>
      </c>
      <c r="R46" s="6">
        <v>2038</v>
      </c>
      <c r="S46" s="6">
        <v>2039</v>
      </c>
      <c r="T46" s="6">
        <v>2040</v>
      </c>
      <c r="U46" s="6">
        <v>2041</v>
      </c>
      <c r="V46" s="6">
        <v>2042</v>
      </c>
      <c r="W46" s="6">
        <v>2043</v>
      </c>
      <c r="X46" s="6">
        <v>2044</v>
      </c>
      <c r="Y46" s="6">
        <v>2045</v>
      </c>
      <c r="Z46" s="6">
        <v>2046</v>
      </c>
      <c r="AA46" s="6">
        <v>2047</v>
      </c>
      <c r="AB46" s="6">
        <v>2048</v>
      </c>
      <c r="AC46" s="6">
        <v>2049</v>
      </c>
      <c r="AD46" s="6">
        <v>2050</v>
      </c>
      <c r="AE46" s="6">
        <v>2051</v>
      </c>
      <c r="AF46" s="6">
        <v>2052</v>
      </c>
      <c r="AG46" s="6">
        <v>2053</v>
      </c>
      <c r="AH46" s="6">
        <v>2054</v>
      </c>
      <c r="AI46" s="6">
        <v>2055</v>
      </c>
      <c r="AJ46" s="6">
        <v>2056</v>
      </c>
      <c r="AK46" s="6">
        <v>2057</v>
      </c>
      <c r="AL46" s="6">
        <v>2058</v>
      </c>
      <c r="AM46" s="6">
        <v>2059</v>
      </c>
      <c r="AN46" s="6">
        <v>2060</v>
      </c>
      <c r="AO46" s="46">
        <f>AN46+1</f>
        <v>2061</v>
      </c>
      <c r="AP46" s="46">
        <f t="shared" ref="AP46:AW46" si="10">AO46+1</f>
        <v>2062</v>
      </c>
      <c r="AQ46" s="46">
        <f t="shared" si="10"/>
        <v>2063</v>
      </c>
      <c r="AR46" s="46">
        <f t="shared" si="10"/>
        <v>2064</v>
      </c>
      <c r="AS46" s="46">
        <f t="shared" si="10"/>
        <v>2065</v>
      </c>
      <c r="AT46" s="46">
        <f t="shared" si="10"/>
        <v>2066</v>
      </c>
      <c r="AU46" s="46">
        <f>AT46+1</f>
        <v>2067</v>
      </c>
      <c r="AV46" s="46">
        <f t="shared" ref="AV46:AX46" si="11">AU46+1</f>
        <v>2068</v>
      </c>
      <c r="AW46" s="46">
        <f t="shared" si="11"/>
        <v>2069</v>
      </c>
      <c r="AX46" s="46">
        <f>AW46+1</f>
        <v>2070</v>
      </c>
    </row>
    <row r="47" spans="1:50" x14ac:dyDescent="0.2">
      <c r="A47" s="6" t="s">
        <v>93</v>
      </c>
      <c r="B47">
        <v>2.1</v>
      </c>
      <c r="C47">
        <v>2.4</v>
      </c>
      <c r="D47">
        <v>2.7</v>
      </c>
      <c r="E47">
        <v>3</v>
      </c>
      <c r="F47">
        <v>3.4</v>
      </c>
      <c r="G47">
        <v>3.8</v>
      </c>
      <c r="H47">
        <v>4.3</v>
      </c>
      <c r="I47">
        <v>4.8</v>
      </c>
      <c r="J47">
        <v>5.4</v>
      </c>
      <c r="K47">
        <v>6.1</v>
      </c>
      <c r="L47">
        <v>6.9</v>
      </c>
      <c r="M47">
        <v>7.7</v>
      </c>
      <c r="N47">
        <v>8.6999999999999993</v>
      </c>
      <c r="O47">
        <v>9.8000000000000007</v>
      </c>
      <c r="P47">
        <v>11</v>
      </c>
      <c r="Q47">
        <v>12.4</v>
      </c>
      <c r="R47">
        <v>14</v>
      </c>
      <c r="S47">
        <v>15.8</v>
      </c>
      <c r="T47">
        <v>16.59</v>
      </c>
      <c r="U47">
        <v>17.39</v>
      </c>
      <c r="V47">
        <v>18.190000000000001</v>
      </c>
      <c r="W47">
        <v>18.989999999999998</v>
      </c>
      <c r="X47">
        <v>19.78</v>
      </c>
      <c r="Y47">
        <v>20.58</v>
      </c>
      <c r="Z47">
        <v>21.36</v>
      </c>
      <c r="AA47">
        <v>22.13</v>
      </c>
      <c r="AB47">
        <v>22.88</v>
      </c>
      <c r="AC47">
        <v>23.61</v>
      </c>
      <c r="AD47">
        <v>24.32</v>
      </c>
      <c r="AE47">
        <v>25</v>
      </c>
      <c r="AF47">
        <v>25.65</v>
      </c>
      <c r="AG47">
        <v>26.26</v>
      </c>
      <c r="AH47">
        <v>26.84</v>
      </c>
      <c r="AI47">
        <v>27.38</v>
      </c>
      <c r="AJ47">
        <v>27.87</v>
      </c>
      <c r="AK47">
        <v>28.32</v>
      </c>
      <c r="AL47">
        <v>28.71</v>
      </c>
      <c r="AM47">
        <v>29.06</v>
      </c>
      <c r="AN47">
        <v>29.35</v>
      </c>
      <c r="AO47" s="39">
        <f>(AN47+AN47*$AN$48)</f>
        <v>29.642894012388165</v>
      </c>
      <c r="AP47" s="39">
        <f t="shared" ref="AP47:AX47" si="12">(AO47+AO47*$AN$48)</f>
        <v>29.938710917535882</v>
      </c>
      <c r="AQ47" s="39">
        <f t="shared" si="12"/>
        <v>30.237479884021962</v>
      </c>
      <c r="AR47" s="39">
        <f t="shared" si="12"/>
        <v>30.539230371508765</v>
      </c>
      <c r="AS47" s="39">
        <f t="shared" si="12"/>
        <v>30.843992133647017</v>
      </c>
      <c r="AT47" s="39">
        <f t="shared" si="12"/>
        <v>31.151795221009635</v>
      </c>
      <c r="AU47" s="39">
        <f t="shared" si="12"/>
        <v>31.462669984054813</v>
      </c>
      <c r="AV47" s="39">
        <f t="shared" si="12"/>
        <v>31.776647076118682</v>
      </c>
      <c r="AW47" s="39">
        <f t="shared" si="12"/>
        <v>32.093757456437835</v>
      </c>
      <c r="AX47" s="39">
        <f t="shared" si="12"/>
        <v>32.414032393202014</v>
      </c>
    </row>
    <row r="48" spans="1:50" x14ac:dyDescent="0.2">
      <c r="AM48" s="47" t="s">
        <v>187</v>
      </c>
      <c r="AN48" s="47">
        <f>(AN47-AM47)/AM47</f>
        <v>9.9793530626291361E-3</v>
      </c>
    </row>
    <row r="49" spans="1:50" x14ac:dyDescent="0.2">
      <c r="A49" s="5" t="s">
        <v>164</v>
      </c>
    </row>
    <row r="50" spans="1:50" x14ac:dyDescent="0.2">
      <c r="A50" s="5" t="s">
        <v>4</v>
      </c>
    </row>
    <row r="51" spans="1:50" x14ac:dyDescent="0.2">
      <c r="A51" s="5" t="s">
        <v>95</v>
      </c>
    </row>
    <row r="52" spans="1:50" x14ac:dyDescent="0.2">
      <c r="A52" s="5" t="s">
        <v>6</v>
      </c>
    </row>
    <row r="53" spans="1:50" x14ac:dyDescent="0.2">
      <c r="A53" t="s">
        <v>156</v>
      </c>
      <c r="B53">
        <v>1000000</v>
      </c>
    </row>
    <row r="54" spans="1:50" x14ac:dyDescent="0.2">
      <c r="A54" s="6" t="s">
        <v>7</v>
      </c>
      <c r="B54" s="6">
        <v>2022</v>
      </c>
      <c r="C54" s="6">
        <v>2023</v>
      </c>
      <c r="D54" s="6">
        <v>2024</v>
      </c>
      <c r="E54" s="6">
        <v>2025</v>
      </c>
      <c r="F54" s="6">
        <v>2026</v>
      </c>
      <c r="G54" s="6">
        <v>2027</v>
      </c>
      <c r="H54" s="6">
        <v>2028</v>
      </c>
      <c r="I54" s="6">
        <v>2029</v>
      </c>
      <c r="J54" s="6">
        <v>2030</v>
      </c>
      <c r="K54" s="6">
        <v>2031</v>
      </c>
      <c r="L54" s="6">
        <v>2032</v>
      </c>
      <c r="M54" s="6">
        <v>2033</v>
      </c>
      <c r="N54" s="6">
        <v>2034</v>
      </c>
      <c r="O54" s="6">
        <v>2035</v>
      </c>
      <c r="P54" s="6">
        <v>2036</v>
      </c>
      <c r="Q54" s="6">
        <v>2037</v>
      </c>
      <c r="R54" s="6">
        <v>2038</v>
      </c>
      <c r="S54" s="6">
        <v>2039</v>
      </c>
      <c r="T54" s="6">
        <v>2040</v>
      </c>
      <c r="U54" s="6">
        <v>2041</v>
      </c>
      <c r="V54" s="6">
        <v>2042</v>
      </c>
      <c r="W54" s="6">
        <v>2043</v>
      </c>
      <c r="X54" s="6">
        <v>2044</v>
      </c>
      <c r="Y54" s="6">
        <v>2045</v>
      </c>
      <c r="Z54" s="6">
        <v>2046</v>
      </c>
      <c r="AA54" s="6">
        <v>2047</v>
      </c>
      <c r="AB54" s="6">
        <v>2048</v>
      </c>
      <c r="AC54" s="6">
        <v>2049</v>
      </c>
      <c r="AD54" s="6">
        <v>2050</v>
      </c>
      <c r="AE54" s="6">
        <v>2051</v>
      </c>
      <c r="AF54" s="6">
        <v>2052</v>
      </c>
      <c r="AG54" s="6">
        <v>2053</v>
      </c>
      <c r="AH54" s="6">
        <v>2054</v>
      </c>
      <c r="AI54" s="6">
        <v>2055</v>
      </c>
      <c r="AJ54" s="6">
        <v>2056</v>
      </c>
      <c r="AK54" s="6">
        <v>2057</v>
      </c>
      <c r="AL54" s="6">
        <v>2058</v>
      </c>
      <c r="AM54" s="6">
        <v>2059</v>
      </c>
      <c r="AN54" s="6">
        <v>2060</v>
      </c>
      <c r="AO54" s="46">
        <f>AN54+1</f>
        <v>2061</v>
      </c>
      <c r="AP54" s="46">
        <f t="shared" ref="AP54:AW54" si="13">AO54+1</f>
        <v>2062</v>
      </c>
      <c r="AQ54" s="46">
        <f t="shared" si="13"/>
        <v>2063</v>
      </c>
      <c r="AR54" s="46">
        <f t="shared" si="13"/>
        <v>2064</v>
      </c>
      <c r="AS54" s="46">
        <f t="shared" si="13"/>
        <v>2065</v>
      </c>
      <c r="AT54" s="46">
        <f t="shared" si="13"/>
        <v>2066</v>
      </c>
      <c r="AU54" s="46">
        <f>AT54+1</f>
        <v>2067</v>
      </c>
      <c r="AV54" s="46">
        <f t="shared" ref="AV54:AX54" si="14">AU54+1</f>
        <v>2068</v>
      </c>
      <c r="AW54" s="46">
        <f t="shared" si="14"/>
        <v>2069</v>
      </c>
      <c r="AX54" s="46">
        <f>AW54+1</f>
        <v>2070</v>
      </c>
    </row>
    <row r="55" spans="1:50" x14ac:dyDescent="0.2">
      <c r="A55" s="6" t="s">
        <v>96</v>
      </c>
      <c r="B55" s="7">
        <v>395.5231328041329</v>
      </c>
      <c r="C55" s="7">
        <v>401.73023180878573</v>
      </c>
      <c r="D55" s="7">
        <v>406.97620746336383</v>
      </c>
      <c r="E55" s="7">
        <v>411.63569665873035</v>
      </c>
      <c r="F55" s="7">
        <v>418.3427084086058</v>
      </c>
      <c r="G55" s="7">
        <v>424.53429447811169</v>
      </c>
      <c r="H55" s="7">
        <v>430.23720717513396</v>
      </c>
      <c r="I55" s="7">
        <v>435.47152065853817</v>
      </c>
      <c r="J55" s="7">
        <v>440.25093212749869</v>
      </c>
      <c r="K55" s="7">
        <v>443.93257738916856</v>
      </c>
      <c r="L55" s="7">
        <v>447.17035852693937</v>
      </c>
      <c r="M55" s="7">
        <v>449.95994877570473</v>
      </c>
      <c r="N55" s="7">
        <v>452.29095705036394</v>
      </c>
      <c r="O55" s="7">
        <v>454.14678396618092</v>
      </c>
      <c r="P55" s="7">
        <v>455.00064958812391</v>
      </c>
      <c r="Q55" s="7">
        <v>455.33067634846083</v>
      </c>
      <c r="R55" s="7">
        <v>455.10022154953487</v>
      </c>
      <c r="S55" s="7">
        <v>454.26500559838234</v>
      </c>
      <c r="T55" s="7">
        <v>452.7724996752392</v>
      </c>
      <c r="U55" s="7">
        <v>449.92166920178897</v>
      </c>
      <c r="V55" s="7">
        <v>446.28510583726387</v>
      </c>
      <c r="W55" s="7">
        <v>441.78143219617897</v>
      </c>
      <c r="X55" s="7">
        <v>436.3174442504004</v>
      </c>
      <c r="Y55" s="7">
        <v>429.7868297556858</v>
      </c>
      <c r="Z55" s="7">
        <v>421.46836618030136</v>
      </c>
      <c r="AA55" s="7">
        <v>411.83256205901608</v>
      </c>
      <c r="AB55" s="7">
        <v>400.72545105740369</v>
      </c>
      <c r="AC55" s="7">
        <v>387.97301195555372</v>
      </c>
      <c r="AD55" s="7">
        <v>373.37878518086001</v>
      </c>
      <c r="AE55" s="7">
        <v>355.32408223109127</v>
      </c>
      <c r="AF55" s="7">
        <v>334.98670748613785</v>
      </c>
      <c r="AG55" s="7">
        <v>312.09060826789027</v>
      </c>
      <c r="AH55" s="7">
        <v>286.32510847337943</v>
      </c>
      <c r="AI55" s="7">
        <v>257.34068729851856</v>
      </c>
      <c r="AJ55" s="7">
        <v>224.7442292597963</v>
      </c>
      <c r="AK55" s="7">
        <v>188.09368073804364</v>
      </c>
      <c r="AL55" s="7">
        <v>146.89204015763522</v>
      </c>
      <c r="AM55" s="7">
        <v>100.58059980593428</v>
      </c>
      <c r="AN55" s="7">
        <v>48.531347066530181</v>
      </c>
      <c r="AO55" s="48">
        <f>(AN55+AN55*$AN$56)</f>
        <v>23.416957670131577</v>
      </c>
      <c r="AP55" s="48">
        <f t="shared" ref="AP55:AX55" si="15">(AO55+AO55*$AN$56)</f>
        <v>11.298963240666122</v>
      </c>
      <c r="AQ55" s="48">
        <f t="shared" si="15"/>
        <v>5.4518854290266532</v>
      </c>
      <c r="AR55" s="48">
        <f t="shared" si="15"/>
        <v>2.6306001796923124</v>
      </c>
      <c r="AS55" s="48">
        <f t="shared" si="15"/>
        <v>1.2692961720277185</v>
      </c>
      <c r="AT55" s="48">
        <f t="shared" si="15"/>
        <v>0.61245064330249643</v>
      </c>
      <c r="AU55" s="48">
        <f t="shared" si="15"/>
        <v>0.29551478902076961</v>
      </c>
      <c r="AV55" s="48">
        <f t="shared" si="15"/>
        <v>0.14258943391599507</v>
      </c>
      <c r="AW55" s="48">
        <f t="shared" si="15"/>
        <v>6.880111392007171E-2</v>
      </c>
      <c r="AX55" s="48">
        <f t="shared" si="15"/>
        <v>3.3197363553820032E-2</v>
      </c>
    </row>
    <row r="56" spans="1:50" x14ac:dyDescent="0.2">
      <c r="AM56" s="47" t="s">
        <v>187</v>
      </c>
      <c r="AN56" s="47">
        <f>(AN55-AM55)/AM55</f>
        <v>-0.51748799311030935</v>
      </c>
    </row>
    <row r="57" spans="1:50" x14ac:dyDescent="0.2">
      <c r="A57" s="5" t="s">
        <v>165</v>
      </c>
    </row>
    <row r="58" spans="1:50" x14ac:dyDescent="0.2">
      <c r="A58" s="5" t="s">
        <v>4</v>
      </c>
    </row>
    <row r="59" spans="1:50" x14ac:dyDescent="0.2">
      <c r="A59" s="5" t="s">
        <v>98</v>
      </c>
    </row>
    <row r="60" spans="1:50" x14ac:dyDescent="0.2">
      <c r="A60" s="5" t="s">
        <v>6</v>
      </c>
    </row>
    <row r="61" spans="1:50" x14ac:dyDescent="0.2">
      <c r="A61" t="s">
        <v>156</v>
      </c>
      <c r="B61">
        <v>1000000</v>
      </c>
    </row>
    <row r="62" spans="1:50" x14ac:dyDescent="0.2">
      <c r="A62" s="6" t="s">
        <v>7</v>
      </c>
      <c r="B62" s="6">
        <v>2022</v>
      </c>
      <c r="C62" s="6">
        <v>2023</v>
      </c>
      <c r="D62" s="6">
        <v>2024</v>
      </c>
      <c r="E62" s="6">
        <v>2025</v>
      </c>
      <c r="F62" s="6">
        <v>2026</v>
      </c>
      <c r="G62" s="6">
        <v>2027</v>
      </c>
      <c r="H62" s="6">
        <v>2028</v>
      </c>
      <c r="I62" s="6">
        <v>2029</v>
      </c>
      <c r="J62" s="6">
        <v>2030</v>
      </c>
      <c r="K62" s="6">
        <v>2031</v>
      </c>
      <c r="L62" s="6">
        <v>2032</v>
      </c>
      <c r="M62" s="6">
        <v>2033</v>
      </c>
      <c r="N62" s="6">
        <v>2034</v>
      </c>
      <c r="O62" s="6">
        <v>2035</v>
      </c>
      <c r="P62" s="6">
        <v>2036</v>
      </c>
      <c r="Q62" s="6">
        <v>2037</v>
      </c>
      <c r="R62" s="6">
        <v>2038</v>
      </c>
      <c r="S62" s="6">
        <v>2039</v>
      </c>
      <c r="T62" s="6">
        <v>2040</v>
      </c>
      <c r="U62" s="6">
        <v>2041</v>
      </c>
      <c r="V62" s="6">
        <v>2042</v>
      </c>
      <c r="W62" s="6">
        <v>2043</v>
      </c>
      <c r="X62" s="6">
        <v>2044</v>
      </c>
      <c r="Y62" s="6">
        <v>2045</v>
      </c>
      <c r="Z62" s="6">
        <v>2046</v>
      </c>
      <c r="AA62" s="6">
        <v>2047</v>
      </c>
      <c r="AB62" s="6">
        <v>2048</v>
      </c>
      <c r="AC62" s="6">
        <v>2049</v>
      </c>
      <c r="AD62" s="6">
        <v>2050</v>
      </c>
      <c r="AE62" s="6">
        <v>2051</v>
      </c>
      <c r="AF62" s="6">
        <v>2052</v>
      </c>
      <c r="AG62" s="6">
        <v>2053</v>
      </c>
      <c r="AH62" s="6">
        <v>2054</v>
      </c>
      <c r="AI62" s="6">
        <v>2055</v>
      </c>
      <c r="AJ62" s="6">
        <v>2056</v>
      </c>
      <c r="AK62" s="6">
        <v>2057</v>
      </c>
      <c r="AL62" s="6">
        <v>2058</v>
      </c>
      <c r="AM62" s="6">
        <v>2059</v>
      </c>
      <c r="AN62" s="6">
        <v>2060</v>
      </c>
      <c r="AO62" s="46">
        <f>AN62+1</f>
        <v>2061</v>
      </c>
      <c r="AP62" s="46">
        <f t="shared" ref="AP62:AW62" si="16">AO62+1</f>
        <v>2062</v>
      </c>
      <c r="AQ62" s="46">
        <f t="shared" si="16"/>
        <v>2063</v>
      </c>
      <c r="AR62" s="46">
        <f t="shared" si="16"/>
        <v>2064</v>
      </c>
      <c r="AS62" s="46">
        <f t="shared" si="16"/>
        <v>2065</v>
      </c>
      <c r="AT62" s="46">
        <f t="shared" si="16"/>
        <v>2066</v>
      </c>
      <c r="AU62" s="46">
        <f>AT62+1</f>
        <v>2067</v>
      </c>
      <c r="AV62" s="46">
        <f t="shared" ref="AV62:AX62" si="17">AU62+1</f>
        <v>2068</v>
      </c>
      <c r="AW62" s="46">
        <f t="shared" si="17"/>
        <v>2069</v>
      </c>
      <c r="AX62" s="46">
        <f>AW62+1</f>
        <v>2070</v>
      </c>
    </row>
    <row r="63" spans="1:50" x14ac:dyDescent="0.2">
      <c r="A63" s="6" t="s">
        <v>99</v>
      </c>
      <c r="B63" s="7">
        <v>66.081280975717064</v>
      </c>
      <c r="C63" s="7">
        <v>98.116659483513985</v>
      </c>
      <c r="D63" s="7">
        <v>148.61302974219191</v>
      </c>
      <c r="E63" s="7">
        <v>197.47048180914905</v>
      </c>
      <c r="F63" s="7">
        <v>246.05748760674905</v>
      </c>
      <c r="G63" s="7">
        <v>293.41674790392699</v>
      </c>
      <c r="H63" s="7">
        <v>317.74225823410472</v>
      </c>
      <c r="I63" s="7">
        <v>342.42109476413697</v>
      </c>
      <c r="J63" s="7">
        <v>345.31763067186989</v>
      </c>
      <c r="K63" s="7">
        <v>347.73225260320862</v>
      </c>
      <c r="L63" s="7">
        <v>350.1401243303556</v>
      </c>
      <c r="M63" s="7">
        <v>352.54317755252077</v>
      </c>
      <c r="N63" s="7">
        <v>354.94261788500802</v>
      </c>
      <c r="O63" s="7">
        <v>357.33919768642852</v>
      </c>
      <c r="P63" s="7">
        <v>359.36541742193009</v>
      </c>
      <c r="Q63" s="7">
        <v>361.39114972192931</v>
      </c>
      <c r="R63" s="7">
        <v>363.4165782898524</v>
      </c>
      <c r="S63" s="7">
        <v>365.44181760238951</v>
      </c>
      <c r="T63" s="7">
        <v>367.46693899405005</v>
      </c>
      <c r="U63" s="7">
        <v>369.01898280619014</v>
      </c>
      <c r="V63" s="7">
        <v>370.57098064752199</v>
      </c>
      <c r="W63" s="7">
        <v>372.12294988612047</v>
      </c>
      <c r="X63" s="7">
        <v>373.67490132861735</v>
      </c>
      <c r="Y63" s="7">
        <v>375.22684169890414</v>
      </c>
      <c r="Z63" s="7">
        <v>376.32494457874583</v>
      </c>
      <c r="AA63" s="7">
        <v>377.42304315569595</v>
      </c>
      <c r="AB63" s="7">
        <v>378.52113905895669</v>
      </c>
      <c r="AC63" s="7">
        <v>379.61923330088013</v>
      </c>
      <c r="AD63" s="7">
        <v>380.71732651051599</v>
      </c>
      <c r="AE63" s="7">
        <v>380.71732756797928</v>
      </c>
      <c r="AF63" s="7">
        <v>380.71732822311998</v>
      </c>
      <c r="AG63" s="7">
        <v>380.71732862900575</v>
      </c>
      <c r="AH63" s="7">
        <v>380.71732888046824</v>
      </c>
      <c r="AI63" s="7">
        <v>380.71732903625917</v>
      </c>
      <c r="AJ63" s="7">
        <v>380.71732913277793</v>
      </c>
      <c r="AK63" s="7">
        <v>380.71732919257511</v>
      </c>
      <c r="AL63" s="7">
        <v>380.71732922962184</v>
      </c>
      <c r="AM63" s="7">
        <v>380.71732925257379</v>
      </c>
      <c r="AN63" s="7">
        <v>380.71732926679334</v>
      </c>
      <c r="AO63" s="48">
        <f>(AN63+AN63*$AN$64)</f>
        <v>380.71732928101289</v>
      </c>
      <c r="AP63" s="48">
        <f t="shared" ref="AP63:AX63" si="18">(AO63+AO63*$AN$64)</f>
        <v>380.71732929523245</v>
      </c>
      <c r="AQ63" s="48">
        <f t="shared" si="18"/>
        <v>380.717329309452</v>
      </c>
      <c r="AR63" s="48">
        <f t="shared" si="18"/>
        <v>380.71732932367155</v>
      </c>
      <c r="AS63" s="48">
        <f t="shared" si="18"/>
        <v>380.7173293378911</v>
      </c>
      <c r="AT63" s="48">
        <f t="shared" si="18"/>
        <v>380.71732935211065</v>
      </c>
      <c r="AU63" s="48">
        <f t="shared" si="18"/>
        <v>380.7173293663302</v>
      </c>
      <c r="AV63" s="48">
        <f t="shared" si="18"/>
        <v>380.71732938054976</v>
      </c>
      <c r="AW63" s="48">
        <f t="shared" si="18"/>
        <v>380.71732939476931</v>
      </c>
      <c r="AX63" s="48">
        <f t="shared" si="18"/>
        <v>380.71732940898886</v>
      </c>
    </row>
    <row r="64" spans="1:50" x14ac:dyDescent="0.2">
      <c r="AM64" s="47" t="s">
        <v>187</v>
      </c>
      <c r="AN64" s="47">
        <f>(AN63-AM63)/AM63</f>
        <v>3.7349368325848482E-11</v>
      </c>
    </row>
    <row r="65" spans="1:50" x14ac:dyDescent="0.2">
      <c r="A65" s="5" t="s">
        <v>166</v>
      </c>
    </row>
    <row r="66" spans="1:50" x14ac:dyDescent="0.2">
      <c r="A66" s="5" t="s">
        <v>4</v>
      </c>
    </row>
    <row r="67" spans="1:50" x14ac:dyDescent="0.2">
      <c r="A67" s="5" t="s">
        <v>101</v>
      </c>
    </row>
    <row r="68" spans="1:50" x14ac:dyDescent="0.2">
      <c r="A68" s="5" t="s">
        <v>6</v>
      </c>
    </row>
    <row r="69" spans="1:50" x14ac:dyDescent="0.2">
      <c r="A69" t="s">
        <v>156</v>
      </c>
      <c r="B69">
        <v>1000000</v>
      </c>
    </row>
    <row r="70" spans="1:50" x14ac:dyDescent="0.2">
      <c r="A70" s="6" t="s">
        <v>7</v>
      </c>
      <c r="B70" s="6">
        <v>2022</v>
      </c>
      <c r="C70" s="6">
        <v>2023</v>
      </c>
      <c r="D70" s="6">
        <v>2024</v>
      </c>
      <c r="E70" s="6">
        <v>2025</v>
      </c>
      <c r="F70" s="6">
        <v>2026</v>
      </c>
      <c r="G70" s="6">
        <v>2027</v>
      </c>
      <c r="H70" s="6">
        <v>2028</v>
      </c>
      <c r="I70" s="6">
        <v>2029</v>
      </c>
      <c r="J70" s="6">
        <v>2030</v>
      </c>
      <c r="K70" s="6">
        <v>2031</v>
      </c>
      <c r="L70" s="6">
        <v>2032</v>
      </c>
      <c r="M70" s="6">
        <v>2033</v>
      </c>
      <c r="N70" s="6">
        <v>2034</v>
      </c>
      <c r="O70" s="6">
        <v>2035</v>
      </c>
      <c r="P70" s="6">
        <v>2036</v>
      </c>
      <c r="Q70" s="6">
        <v>2037</v>
      </c>
      <c r="R70" s="6">
        <v>2038</v>
      </c>
      <c r="S70" s="6">
        <v>2039</v>
      </c>
      <c r="T70" s="6">
        <v>2040</v>
      </c>
      <c r="U70" s="6">
        <v>2041</v>
      </c>
      <c r="V70" s="6">
        <v>2042</v>
      </c>
      <c r="W70" s="6">
        <v>2043</v>
      </c>
      <c r="X70" s="6">
        <v>2044</v>
      </c>
      <c r="Y70" s="6">
        <v>2045</v>
      </c>
      <c r="Z70" s="6">
        <v>2046</v>
      </c>
      <c r="AA70" s="6">
        <v>2047</v>
      </c>
      <c r="AB70" s="6">
        <v>2048</v>
      </c>
      <c r="AC70" s="6">
        <v>2049</v>
      </c>
      <c r="AD70" s="6">
        <v>2050</v>
      </c>
      <c r="AE70" s="6">
        <v>2051</v>
      </c>
      <c r="AF70" s="6">
        <v>2052</v>
      </c>
      <c r="AG70" s="6">
        <v>2053</v>
      </c>
      <c r="AH70" s="6">
        <v>2054</v>
      </c>
      <c r="AI70" s="6">
        <v>2055</v>
      </c>
      <c r="AJ70" s="6">
        <v>2056</v>
      </c>
      <c r="AK70" s="6">
        <v>2057</v>
      </c>
      <c r="AL70" s="6">
        <v>2058</v>
      </c>
      <c r="AM70" s="6">
        <v>2059</v>
      </c>
      <c r="AN70" s="6">
        <v>2060</v>
      </c>
      <c r="AO70" s="46">
        <f>AN70+1</f>
        <v>2061</v>
      </c>
      <c r="AP70" s="46">
        <f t="shared" ref="AP70:AW70" si="19">AO70+1</f>
        <v>2062</v>
      </c>
      <c r="AQ70" s="46">
        <f t="shared" si="19"/>
        <v>2063</v>
      </c>
      <c r="AR70" s="46">
        <f t="shared" si="19"/>
        <v>2064</v>
      </c>
      <c r="AS70" s="46">
        <f t="shared" si="19"/>
        <v>2065</v>
      </c>
      <c r="AT70" s="46">
        <f t="shared" si="19"/>
        <v>2066</v>
      </c>
      <c r="AU70" s="46">
        <f>AT70+1</f>
        <v>2067</v>
      </c>
      <c r="AV70" s="46">
        <f t="shared" ref="AV70:AX70" si="20">AU70+1</f>
        <v>2068</v>
      </c>
      <c r="AW70" s="46">
        <f t="shared" si="20"/>
        <v>2069</v>
      </c>
      <c r="AX70" s="46">
        <f>AW70+1</f>
        <v>2070</v>
      </c>
    </row>
    <row r="71" spans="1:50" x14ac:dyDescent="0.2">
      <c r="A71" s="6" t="s">
        <v>102</v>
      </c>
      <c r="B71" s="7">
        <v>26.340412631155697</v>
      </c>
      <c r="C71" s="7">
        <v>27.701629481810016</v>
      </c>
      <c r="D71" s="7">
        <v>32.174494980305447</v>
      </c>
      <c r="E71" s="7">
        <v>36.999775686732548</v>
      </c>
      <c r="F71" s="7">
        <v>42.567150377976851</v>
      </c>
      <c r="G71" s="7">
        <v>48.442698584824825</v>
      </c>
      <c r="H71" s="7">
        <v>54.669114572432491</v>
      </c>
      <c r="I71" s="7">
        <v>59.506128388315005</v>
      </c>
      <c r="J71" s="7">
        <v>63.876768042195337</v>
      </c>
      <c r="K71" s="7">
        <v>71.551994652050595</v>
      </c>
      <c r="L71" s="7">
        <v>74.596936273447071</v>
      </c>
      <c r="M71" s="7">
        <v>77.352790824633104</v>
      </c>
      <c r="N71" s="7">
        <v>80.000815791201958</v>
      </c>
      <c r="O71" s="7">
        <v>82.592270419592182</v>
      </c>
      <c r="P71" s="7">
        <v>86.168330037792231</v>
      </c>
      <c r="Q71" s="7">
        <v>88.538138863023207</v>
      </c>
      <c r="R71" s="7">
        <v>90.866876769952881</v>
      </c>
      <c r="S71" s="7">
        <v>93.174524892901502</v>
      </c>
      <c r="T71" s="7">
        <v>95.477681019888848</v>
      </c>
      <c r="U71" s="7">
        <v>98.561089680948101</v>
      </c>
      <c r="V71" s="7">
        <v>100.29214275240119</v>
      </c>
      <c r="W71" s="7">
        <v>102.02351010731016</v>
      </c>
      <c r="X71" s="7">
        <v>103.76887018951302</v>
      </c>
      <c r="Y71" s="7">
        <v>105.55226586083464</v>
      </c>
      <c r="Z71" s="7">
        <v>107.24063602310393</v>
      </c>
      <c r="AA71" s="7">
        <v>108.98621057552479</v>
      </c>
      <c r="AB71" s="7">
        <v>110.80109295538729</v>
      </c>
      <c r="AC71" s="7">
        <v>112.6981433042734</v>
      </c>
      <c r="AD71" s="7">
        <v>114.69113137425562</v>
      </c>
      <c r="AE71" s="7">
        <v>116.74101675086554</v>
      </c>
      <c r="AF71" s="7">
        <v>118.55431289772203</v>
      </c>
      <c r="AG71" s="7">
        <v>120.49898356936653</v>
      </c>
      <c r="AH71" s="7">
        <v>122.5930697936041</v>
      </c>
      <c r="AI71" s="7">
        <v>124.85632378596155</v>
      </c>
      <c r="AJ71" s="7">
        <v>127.37011701192513</v>
      </c>
      <c r="AK71" s="7">
        <v>130.09871481219403</v>
      </c>
      <c r="AL71" s="7">
        <v>133.06856322125165</v>
      </c>
      <c r="AM71" s="7">
        <v>136.3089485678365</v>
      </c>
      <c r="AN71" s="7">
        <v>139.8523549858561</v>
      </c>
      <c r="AO71" s="48">
        <f>(AN71+AN71*$AN$72)</f>
        <v>143.48787369125802</v>
      </c>
      <c r="AP71" s="48">
        <f t="shared" ref="AP71:AX71" si="21">(AO71+AO71*$AN$72)</f>
        <v>147.21789918032235</v>
      </c>
      <c r="AQ71" s="48">
        <f t="shared" si="21"/>
        <v>151.04488819523144</v>
      </c>
      <c r="AR71" s="48">
        <f t="shared" si="21"/>
        <v>154.97136134217732</v>
      </c>
      <c r="AS71" s="48">
        <f t="shared" si="21"/>
        <v>158.9999047515326</v>
      </c>
      <c r="AT71" s="48">
        <f t="shared" si="21"/>
        <v>163.13317178117811</v>
      </c>
      <c r="AU71" s="48">
        <f t="shared" si="21"/>
        <v>167.37388476410928</v>
      </c>
      <c r="AV71" s="48">
        <f t="shared" si="21"/>
        <v>171.72483680147215</v>
      </c>
      <c r="AW71" s="48">
        <f t="shared" si="21"/>
        <v>176.18889360221021</v>
      </c>
      <c r="AX71" s="48">
        <f t="shared" si="21"/>
        <v>180.76899537053356</v>
      </c>
    </row>
    <row r="72" spans="1:50" x14ac:dyDescent="0.2">
      <c r="AM72" s="47" t="s">
        <v>187</v>
      </c>
      <c r="AN72" s="47">
        <f>(AN71-AM71)/AM71</f>
        <v>2.5995405696025622E-2</v>
      </c>
    </row>
    <row r="73" spans="1:50" x14ac:dyDescent="0.2">
      <c r="A73" s="5" t="s">
        <v>167</v>
      </c>
    </row>
    <row r="74" spans="1:50" x14ac:dyDescent="0.2">
      <c r="A74" s="5" t="s">
        <v>4</v>
      </c>
    </row>
    <row r="75" spans="1:50" x14ac:dyDescent="0.2">
      <c r="A75" s="5" t="s">
        <v>104</v>
      </c>
    </row>
    <row r="76" spans="1:50" x14ac:dyDescent="0.2">
      <c r="A76" s="5" t="s">
        <v>6</v>
      </c>
    </row>
    <row r="77" spans="1:50" x14ac:dyDescent="0.2">
      <c r="A77" t="s">
        <v>156</v>
      </c>
      <c r="B77">
        <v>1000000</v>
      </c>
    </row>
    <row r="78" spans="1:50" x14ac:dyDescent="0.2">
      <c r="A78" s="6" t="s">
        <v>7</v>
      </c>
      <c r="B78" s="6">
        <v>2022</v>
      </c>
      <c r="C78" s="6">
        <v>2023</v>
      </c>
      <c r="D78" s="6">
        <v>2024</v>
      </c>
      <c r="E78" s="6">
        <v>2025</v>
      </c>
      <c r="F78" s="6">
        <v>2026</v>
      </c>
      <c r="G78" s="6">
        <v>2027</v>
      </c>
      <c r="H78" s="6">
        <v>2028</v>
      </c>
      <c r="I78" s="6">
        <v>2029</v>
      </c>
      <c r="J78" s="6">
        <v>2030</v>
      </c>
      <c r="K78" s="6">
        <v>2031</v>
      </c>
      <c r="L78" s="6">
        <v>2032</v>
      </c>
      <c r="M78" s="6">
        <v>2033</v>
      </c>
      <c r="N78" s="6">
        <v>2034</v>
      </c>
      <c r="O78" s="6">
        <v>2035</v>
      </c>
      <c r="P78" s="6">
        <v>2036</v>
      </c>
      <c r="Q78" s="6">
        <v>2037</v>
      </c>
      <c r="R78" s="6">
        <v>2038</v>
      </c>
      <c r="S78" s="6">
        <v>2039</v>
      </c>
      <c r="T78" s="6">
        <v>2040</v>
      </c>
      <c r="U78" s="6">
        <v>2041</v>
      </c>
      <c r="V78" s="6">
        <v>2042</v>
      </c>
      <c r="W78" s="6">
        <v>2043</v>
      </c>
      <c r="X78" s="6">
        <v>2044</v>
      </c>
      <c r="Y78" s="6">
        <v>2045</v>
      </c>
      <c r="Z78" s="6">
        <v>2046</v>
      </c>
      <c r="AA78" s="6">
        <v>2047</v>
      </c>
      <c r="AB78" s="6">
        <v>2048</v>
      </c>
      <c r="AC78" s="6">
        <v>2049</v>
      </c>
      <c r="AD78" s="6">
        <v>2050</v>
      </c>
      <c r="AE78" s="6">
        <v>2051</v>
      </c>
      <c r="AF78" s="6">
        <v>2052</v>
      </c>
      <c r="AG78" s="6">
        <v>2053</v>
      </c>
      <c r="AH78" s="6">
        <v>2054</v>
      </c>
      <c r="AI78" s="6">
        <v>2055</v>
      </c>
      <c r="AJ78" s="6">
        <v>2056</v>
      </c>
      <c r="AK78" s="6">
        <v>2057</v>
      </c>
      <c r="AL78" s="6">
        <v>2058</v>
      </c>
      <c r="AM78" s="6">
        <v>2059</v>
      </c>
      <c r="AN78" s="6">
        <v>2060</v>
      </c>
      <c r="AO78" s="46">
        <f>AN78+1</f>
        <v>2061</v>
      </c>
      <c r="AP78" s="46">
        <f t="shared" ref="AP78:AW78" si="22">AO78+1</f>
        <v>2062</v>
      </c>
      <c r="AQ78" s="46">
        <f t="shared" si="22"/>
        <v>2063</v>
      </c>
      <c r="AR78" s="46">
        <f t="shared" si="22"/>
        <v>2064</v>
      </c>
      <c r="AS78" s="46">
        <f t="shared" si="22"/>
        <v>2065</v>
      </c>
      <c r="AT78" s="46">
        <f t="shared" si="22"/>
        <v>2066</v>
      </c>
      <c r="AU78" s="46">
        <f>AT78+1</f>
        <v>2067</v>
      </c>
      <c r="AV78" s="46">
        <f t="shared" ref="AV78:AX78" si="23">AU78+1</f>
        <v>2068</v>
      </c>
      <c r="AW78" s="46">
        <f t="shared" si="23"/>
        <v>2069</v>
      </c>
      <c r="AX78" s="46">
        <f>AW78+1</f>
        <v>2070</v>
      </c>
    </row>
    <row r="79" spans="1:50" x14ac:dyDescent="0.2">
      <c r="A79" s="6" t="s">
        <v>105</v>
      </c>
      <c r="B79" s="7">
        <v>7.3312071582458387</v>
      </c>
      <c r="C79" s="7">
        <v>6.8842278584261782</v>
      </c>
      <c r="D79" s="7">
        <v>7.3562373997414348</v>
      </c>
      <c r="E79" s="7">
        <v>7.8159158908368553</v>
      </c>
      <c r="F79" s="7">
        <v>8.3065057898180115</v>
      </c>
      <c r="G79" s="7">
        <v>8.7829129618613759</v>
      </c>
      <c r="H79" s="7">
        <v>9.2422905295178239</v>
      </c>
      <c r="I79" s="7">
        <v>9.6823694531048474</v>
      </c>
      <c r="J79" s="7">
        <v>10.101503083878013</v>
      </c>
      <c r="K79" s="7">
        <v>13.334001033340167</v>
      </c>
      <c r="L79" s="7">
        <v>13.810668474418451</v>
      </c>
      <c r="M79" s="7">
        <v>14.237777957394171</v>
      </c>
      <c r="N79" s="7">
        <v>14.619573454480877</v>
      </c>
      <c r="O79" s="7">
        <v>14.960729466919135</v>
      </c>
      <c r="P79" s="7">
        <v>16.131074168108547</v>
      </c>
      <c r="Q79" s="7">
        <v>16.479221648961875</v>
      </c>
      <c r="R79" s="7">
        <v>16.793100656451891</v>
      </c>
      <c r="S79" s="7">
        <v>17.076591241525016</v>
      </c>
      <c r="T79" s="7">
        <v>17.333390969513736</v>
      </c>
      <c r="U79" s="7">
        <v>18.532619970761413</v>
      </c>
      <c r="V79" s="7">
        <v>18.812038158973618</v>
      </c>
      <c r="W79" s="7">
        <v>19.066900495127243</v>
      </c>
      <c r="X79" s="7">
        <v>19.299869145900125</v>
      </c>
      <c r="Y79" s="7">
        <v>19.513429953964714</v>
      </c>
      <c r="Z79" s="7">
        <v>19.686130856587226</v>
      </c>
      <c r="AA79" s="7">
        <v>19.843554555446769</v>
      </c>
      <c r="AB79" s="7">
        <v>19.987628321707422</v>
      </c>
      <c r="AC79" s="7">
        <v>20.120072101539641</v>
      </c>
      <c r="AD79" s="7">
        <v>20.242410889742331</v>
      </c>
      <c r="AE79" s="7">
        <v>20.538374388029204</v>
      </c>
      <c r="AF79" s="7">
        <v>20.592193608253517</v>
      </c>
      <c r="AG79" s="7">
        <v>20.638517091530797</v>
      </c>
      <c r="AH79" s="7">
        <v>20.678361384385259</v>
      </c>
      <c r="AI79" s="7">
        <v>20.712612438032981</v>
      </c>
      <c r="AJ79" s="7">
        <v>20.742040436592475</v>
      </c>
      <c r="AK79" s="7">
        <v>20.767313483802152</v>
      </c>
      <c r="AL79" s="7">
        <v>20.789010069220762</v>
      </c>
      <c r="AM79" s="7">
        <v>20.807630303804597</v>
      </c>
      <c r="AN79" s="7">
        <v>20.823605960965459</v>
      </c>
      <c r="AO79" s="48">
        <f>(AN79+AN79*$AN$80)</f>
        <v>20.839593883897003</v>
      </c>
      <c r="AP79" s="48">
        <f t="shared" ref="AP79:AX79" si="24">(AO79+AO79*$AN$80)</f>
        <v>20.855594082016626</v>
      </c>
      <c r="AQ79" s="48">
        <f t="shared" si="24"/>
        <v>20.871606564748959</v>
      </c>
      <c r="AR79" s="48">
        <f t="shared" si="24"/>
        <v>20.887631341525864</v>
      </c>
      <c r="AS79" s="48">
        <f t="shared" si="24"/>
        <v>20.903668421786449</v>
      </c>
      <c r="AT79" s="48">
        <f t="shared" si="24"/>
        <v>20.919717814977069</v>
      </c>
      <c r="AU79" s="48">
        <f t="shared" si="24"/>
        <v>20.935779530551329</v>
      </c>
      <c r="AV79" s="48">
        <f t="shared" si="24"/>
        <v>20.951853577970095</v>
      </c>
      <c r="AW79" s="48">
        <f t="shared" si="24"/>
        <v>20.967939966701493</v>
      </c>
      <c r="AX79" s="48">
        <f t="shared" si="24"/>
        <v>20.984038706220925</v>
      </c>
    </row>
    <row r="80" spans="1:50" x14ac:dyDescent="0.2">
      <c r="AM80" s="47" t="s">
        <v>187</v>
      </c>
      <c r="AN80" s="47">
        <f>(AN79-AM79)/AM79</f>
        <v>7.6777878728173632E-4</v>
      </c>
    </row>
    <row r="81" spans="1:50" x14ac:dyDescent="0.2">
      <c r="A81" s="5" t="s">
        <v>168</v>
      </c>
    </row>
    <row r="82" spans="1:50" x14ac:dyDescent="0.2">
      <c r="A82" s="5" t="s">
        <v>4</v>
      </c>
    </row>
    <row r="83" spans="1:50" x14ac:dyDescent="0.2">
      <c r="A83" s="5" t="s">
        <v>107</v>
      </c>
    </row>
    <row r="84" spans="1:50" x14ac:dyDescent="0.2">
      <c r="A84" s="5" t="s">
        <v>6</v>
      </c>
    </row>
    <row r="85" spans="1:50" x14ac:dyDescent="0.2">
      <c r="A85" t="s">
        <v>156</v>
      </c>
      <c r="B85">
        <v>1000000</v>
      </c>
    </row>
    <row r="86" spans="1:50" x14ac:dyDescent="0.2">
      <c r="A86" s="6" t="s">
        <v>7</v>
      </c>
      <c r="B86" s="6">
        <v>2022</v>
      </c>
      <c r="C86" s="6">
        <v>2023</v>
      </c>
      <c r="D86" s="6">
        <v>2024</v>
      </c>
      <c r="E86" s="6">
        <v>2025</v>
      </c>
      <c r="F86" s="6">
        <v>2026</v>
      </c>
      <c r="G86" s="6">
        <v>2027</v>
      </c>
      <c r="H86" s="6">
        <v>2028</v>
      </c>
      <c r="I86" s="6">
        <v>2029</v>
      </c>
      <c r="J86" s="6">
        <v>2030</v>
      </c>
      <c r="K86" s="6">
        <v>2031</v>
      </c>
      <c r="L86" s="6">
        <v>2032</v>
      </c>
      <c r="M86" s="6">
        <v>2033</v>
      </c>
      <c r="N86" s="6">
        <v>2034</v>
      </c>
      <c r="O86" s="6">
        <v>2035</v>
      </c>
      <c r="P86" s="6">
        <v>2036</v>
      </c>
      <c r="Q86" s="6">
        <v>2037</v>
      </c>
      <c r="R86" s="6">
        <v>2038</v>
      </c>
      <c r="S86" s="6">
        <v>2039</v>
      </c>
      <c r="T86" s="6">
        <v>2040</v>
      </c>
      <c r="U86" s="6">
        <v>2041</v>
      </c>
      <c r="V86" s="6">
        <v>2042</v>
      </c>
      <c r="W86" s="6">
        <v>2043</v>
      </c>
      <c r="X86" s="6">
        <v>2044</v>
      </c>
      <c r="Y86" s="6">
        <v>2045</v>
      </c>
      <c r="Z86" s="6">
        <v>2046</v>
      </c>
      <c r="AA86" s="6">
        <v>2047</v>
      </c>
      <c r="AB86" s="6">
        <v>2048</v>
      </c>
      <c r="AC86" s="6">
        <v>2049</v>
      </c>
      <c r="AD86" s="6">
        <v>2050</v>
      </c>
      <c r="AE86" s="6">
        <v>2051</v>
      </c>
      <c r="AF86" s="6">
        <v>2052</v>
      </c>
      <c r="AG86" s="6">
        <v>2053</v>
      </c>
      <c r="AH86" s="6">
        <v>2054</v>
      </c>
      <c r="AI86" s="6">
        <v>2055</v>
      </c>
      <c r="AJ86" s="6">
        <v>2056</v>
      </c>
      <c r="AK86" s="6">
        <v>2057</v>
      </c>
      <c r="AL86" s="6">
        <v>2058</v>
      </c>
      <c r="AM86" s="6">
        <v>2059</v>
      </c>
      <c r="AN86" s="6">
        <v>2060</v>
      </c>
      <c r="AO86" s="46">
        <f>AN86+1</f>
        <v>2061</v>
      </c>
      <c r="AP86" s="46">
        <f t="shared" ref="AP86:AW86" si="25">AO86+1</f>
        <v>2062</v>
      </c>
      <c r="AQ86" s="46">
        <f t="shared" si="25"/>
        <v>2063</v>
      </c>
      <c r="AR86" s="46">
        <f t="shared" si="25"/>
        <v>2064</v>
      </c>
      <c r="AS86" s="46">
        <f t="shared" si="25"/>
        <v>2065</v>
      </c>
      <c r="AT86" s="46">
        <f t="shared" si="25"/>
        <v>2066</v>
      </c>
      <c r="AU86" s="46">
        <f>AT86+1</f>
        <v>2067</v>
      </c>
      <c r="AV86" s="46">
        <f t="shared" ref="AV86:AX86" si="26">AU86+1</f>
        <v>2068</v>
      </c>
      <c r="AW86" s="46">
        <f t="shared" si="26"/>
        <v>2069</v>
      </c>
      <c r="AX86" s="46">
        <f>AW86+1</f>
        <v>2070</v>
      </c>
    </row>
    <row r="87" spans="1:50" x14ac:dyDescent="0.2">
      <c r="A87" s="6" t="s">
        <v>108</v>
      </c>
      <c r="B87" s="7">
        <v>29.60740525726353</v>
      </c>
      <c r="C87" s="7">
        <v>29.719025798297409</v>
      </c>
      <c r="D87" s="7">
        <v>30.845226459591341</v>
      </c>
      <c r="E87" s="7">
        <v>31.935879697357855</v>
      </c>
      <c r="F87" s="7">
        <v>33.177925115532901</v>
      </c>
      <c r="G87" s="7">
        <v>34.395437205821736</v>
      </c>
      <c r="H87" s="7">
        <v>35.587199667257806</v>
      </c>
      <c r="I87" s="7">
        <v>36.751851278717965</v>
      </c>
      <c r="J87" s="7">
        <v>37.888082425411589</v>
      </c>
      <c r="K87" s="7">
        <v>49.879555059821385</v>
      </c>
      <c r="L87" s="7">
        <v>51.322224973912363</v>
      </c>
      <c r="M87" s="7">
        <v>52.6424043050514</v>
      </c>
      <c r="N87" s="7">
        <v>53.849635849935247</v>
      </c>
      <c r="O87" s="7">
        <v>54.95405470307611</v>
      </c>
      <c r="P87" s="7">
        <v>59.870865973871979</v>
      </c>
      <c r="Q87" s="7">
        <v>61.232086554373097</v>
      </c>
      <c r="R87" s="7">
        <v>62.500519612656944</v>
      </c>
      <c r="S87" s="7">
        <v>63.68196765853672</v>
      </c>
      <c r="T87" s="7">
        <v>64.782573562508816</v>
      </c>
      <c r="U87" s="7">
        <v>72.755063783976922</v>
      </c>
      <c r="V87" s="7">
        <v>74.706370103032526</v>
      </c>
      <c r="W87" s="7">
        <v>76.597546321387227</v>
      </c>
      <c r="X87" s="7">
        <v>78.426707327040347</v>
      </c>
      <c r="Y87" s="7">
        <v>80.192607276332225</v>
      </c>
      <c r="Z87" s="7">
        <v>81.795952713148793</v>
      </c>
      <c r="AA87" s="7">
        <v>83.332157586880029</v>
      </c>
      <c r="AB87" s="7">
        <v>84.801868745991101</v>
      </c>
      <c r="AC87" s="7">
        <v>86.206155857822822</v>
      </c>
      <c r="AD87" s="7">
        <v>87.54645168307178</v>
      </c>
      <c r="AE87" s="7">
        <v>98.977513160378024</v>
      </c>
      <c r="AF87" s="7">
        <v>100.60614098105773</v>
      </c>
      <c r="AG87" s="7">
        <v>102.15999886751125</v>
      </c>
      <c r="AH87" s="7">
        <v>103.63964489630119</v>
      </c>
      <c r="AI87" s="7">
        <v>105.04602164383647</v>
      </c>
      <c r="AJ87" s="7">
        <v>106.38041091558908</v>
      </c>
      <c r="AK87" s="7">
        <v>107.6443887175781</v>
      </c>
      <c r="AL87" s="7">
        <v>108.83978131906474</v>
      </c>
      <c r="AM87" s="7">
        <v>109.96862310043512</v>
      </c>
      <c r="AN87" s="7">
        <v>111.03311672919645</v>
      </c>
      <c r="AO87" s="48">
        <f>(AN87+AN87*$AN$88)</f>
        <v>112.10791463070146</v>
      </c>
      <c r="AP87" s="48">
        <f t="shared" ref="AP87:AX87" si="27">(AO87+AO87*$AN$88)</f>
        <v>113.19311655006265</v>
      </c>
      <c r="AQ87" s="48">
        <f t="shared" si="27"/>
        <v>114.28882319792285</v>
      </c>
      <c r="AR87" s="48">
        <f t="shared" si="27"/>
        <v>115.39513625980148</v>
      </c>
      <c r="AS87" s="48">
        <f t="shared" si="27"/>
        <v>116.51215840553131</v>
      </c>
      <c r="AT87" s="48">
        <f t="shared" si="27"/>
        <v>117.63999329878668</v>
      </c>
      <c r="AU87" s="48">
        <f t="shared" si="27"/>
        <v>118.77874560670375</v>
      </c>
      <c r="AV87" s="48">
        <f t="shared" si="27"/>
        <v>119.92852100959409</v>
      </c>
      <c r="AW87" s="48">
        <f t="shared" si="27"/>
        <v>121.08942621075212</v>
      </c>
      <c r="AX87" s="48">
        <f t="shared" si="27"/>
        <v>122.26156894635758</v>
      </c>
    </row>
    <row r="88" spans="1:50" x14ac:dyDescent="0.2">
      <c r="AM88" s="47" t="s">
        <v>187</v>
      </c>
      <c r="AN88" s="47">
        <f>(AN87-AM87)/AM87</f>
        <v>9.6799759672276404E-3</v>
      </c>
    </row>
    <row r="89" spans="1:50" x14ac:dyDescent="0.2">
      <c r="A89" s="5" t="s">
        <v>169</v>
      </c>
    </row>
    <row r="90" spans="1:50" x14ac:dyDescent="0.2">
      <c r="A90" s="5" t="s">
        <v>4</v>
      </c>
    </row>
    <row r="91" spans="1:50" x14ac:dyDescent="0.2">
      <c r="A91" s="5" t="s">
        <v>110</v>
      </c>
    </row>
    <row r="92" spans="1:50" x14ac:dyDescent="0.2">
      <c r="A92" s="5" t="s">
        <v>6</v>
      </c>
    </row>
    <row r="93" spans="1:50" x14ac:dyDescent="0.2">
      <c r="A93" t="s">
        <v>156</v>
      </c>
      <c r="B93">
        <v>1000000</v>
      </c>
    </row>
    <row r="94" spans="1:5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c r="AO94" s="46">
        <f>AN94+1</f>
        <v>2061</v>
      </c>
      <c r="AP94" s="46">
        <f t="shared" ref="AP94:AW94" si="28">AO94+1</f>
        <v>2062</v>
      </c>
      <c r="AQ94" s="46">
        <f t="shared" si="28"/>
        <v>2063</v>
      </c>
      <c r="AR94" s="46">
        <f t="shared" si="28"/>
        <v>2064</v>
      </c>
      <c r="AS94" s="46">
        <f t="shared" si="28"/>
        <v>2065</v>
      </c>
      <c r="AT94" s="46">
        <f t="shared" si="28"/>
        <v>2066</v>
      </c>
      <c r="AU94" s="46">
        <f>AT94+1</f>
        <v>2067</v>
      </c>
      <c r="AV94" s="46">
        <f t="shared" ref="AV94:AX94" si="29">AU94+1</f>
        <v>2068</v>
      </c>
      <c r="AW94" s="46">
        <f t="shared" si="29"/>
        <v>2069</v>
      </c>
      <c r="AX94" s="46">
        <f>AW94+1</f>
        <v>2070</v>
      </c>
    </row>
    <row r="95" spans="1:50" x14ac:dyDescent="0.2">
      <c r="A95" s="6" t="s">
        <v>111</v>
      </c>
      <c r="B95" s="7">
        <v>68.054235129065859</v>
      </c>
      <c r="C95" s="7">
        <v>65.768687935281747</v>
      </c>
      <c r="D95" s="7">
        <v>67.247554958366209</v>
      </c>
      <c r="E95" s="7">
        <v>68.62309574158661</v>
      </c>
      <c r="F95" s="7">
        <v>70.301126057547563</v>
      </c>
      <c r="G95" s="7">
        <v>71.906819610304623</v>
      </c>
      <c r="H95" s="7">
        <v>73.445601972130731</v>
      </c>
      <c r="I95" s="7">
        <v>74.921921674937266</v>
      </c>
      <c r="J95" s="7">
        <v>76.339647010045098</v>
      </c>
      <c r="K95" s="7">
        <v>84.565465363026519</v>
      </c>
      <c r="L95" s="7">
        <v>85.921307971219463</v>
      </c>
      <c r="M95" s="7">
        <v>87.183422359190914</v>
      </c>
      <c r="N95" s="7">
        <v>88.362397810397312</v>
      </c>
      <c r="O95" s="7">
        <v>89.46793718487217</v>
      </c>
      <c r="P95" s="7">
        <v>92.903018865852829</v>
      </c>
      <c r="Q95" s="7">
        <v>94.014636884785645</v>
      </c>
      <c r="R95" s="7">
        <v>95.065064080835413</v>
      </c>
      <c r="S95" s="7">
        <v>96.060333841013488</v>
      </c>
      <c r="T95" s="7">
        <v>97.006027468834077</v>
      </c>
      <c r="U95" s="7">
        <v>100.01993039413924</v>
      </c>
      <c r="V95" s="7">
        <v>100.93826212439791</v>
      </c>
      <c r="W95" s="7">
        <v>101.81212818356558</v>
      </c>
      <c r="X95" s="7">
        <v>102.64528395317754</v>
      </c>
      <c r="Y95" s="7">
        <v>103.44124199519547</v>
      </c>
      <c r="Z95" s="7">
        <v>104.07775975554677</v>
      </c>
      <c r="AA95" s="7">
        <v>104.68265863627857</v>
      </c>
      <c r="AB95" s="7">
        <v>105.25885059071186</v>
      </c>
      <c r="AC95" s="7">
        <v>105.80901250394078</v>
      </c>
      <c r="AD95" s="7">
        <v>106.33559854990493</v>
      </c>
      <c r="AE95" s="7">
        <v>108.22518387932142</v>
      </c>
      <c r="AF95" s="7">
        <v>108.46750800807409</v>
      </c>
      <c r="AG95" s="7">
        <v>108.68745708056352</v>
      </c>
      <c r="AH95" s="7">
        <v>108.88701684617934</v>
      </c>
      <c r="AI95" s="7">
        <v>109.06801135043217</v>
      </c>
      <c r="AJ95" s="7">
        <v>109.23211342697019</v>
      </c>
      <c r="AK95" s="7">
        <v>109.38085503023431</v>
      </c>
      <c r="AL95" s="7">
        <v>109.51563728780738</v>
      </c>
      <c r="AM95" s="7">
        <v>109.63774018330568</v>
      </c>
      <c r="AN95" s="7">
        <v>109.74833180687595</v>
      </c>
      <c r="AO95" s="48">
        <f>(AN95+AN95*$AN$96)</f>
        <v>109.85903498425228</v>
      </c>
      <c r="AP95" s="48">
        <f t="shared" ref="AP95:AX95" si="30">(AO95+AO95*$AN$96)</f>
        <v>109.96984982795901</v>
      </c>
      <c r="AQ95" s="48">
        <f t="shared" si="30"/>
        <v>110.080776450634</v>
      </c>
      <c r="AR95" s="48">
        <f t="shared" si="30"/>
        <v>110.19181496502875</v>
      </c>
      <c r="AS95" s="48">
        <f t="shared" si="30"/>
        <v>110.30296548400847</v>
      </c>
      <c r="AT95" s="48">
        <f t="shared" si="30"/>
        <v>110.41422812055221</v>
      </c>
      <c r="AU95" s="48">
        <f t="shared" si="30"/>
        <v>110.525602987753</v>
      </c>
      <c r="AV95" s="48">
        <f t="shared" si="30"/>
        <v>110.63709019881794</v>
      </c>
      <c r="AW95" s="48">
        <f t="shared" si="30"/>
        <v>110.74868986706832</v>
      </c>
      <c r="AX95" s="48">
        <f t="shared" si="30"/>
        <v>110.86040210593974</v>
      </c>
    </row>
    <row r="96" spans="1:50" x14ac:dyDescent="0.2">
      <c r="AM96" s="47" t="s">
        <v>187</v>
      </c>
      <c r="AN96" s="47">
        <f>(AN95-AM95)/AM95</f>
        <v>1.0087003196652146E-3</v>
      </c>
    </row>
    <row r="97" spans="1:50" x14ac:dyDescent="0.2">
      <c r="A97" s="5" t="s">
        <v>170</v>
      </c>
    </row>
    <row r="98" spans="1:50" x14ac:dyDescent="0.2">
      <c r="A98" s="5" t="s">
        <v>4</v>
      </c>
    </row>
    <row r="99" spans="1:50" x14ac:dyDescent="0.2">
      <c r="A99" s="5" t="s">
        <v>113</v>
      </c>
    </row>
    <row r="100" spans="1:50" x14ac:dyDescent="0.2">
      <c r="A100" s="5" t="s">
        <v>6</v>
      </c>
    </row>
    <row r="101" spans="1:50" x14ac:dyDescent="0.2">
      <c r="A101" t="s">
        <v>156</v>
      </c>
      <c r="B101">
        <v>1000000</v>
      </c>
    </row>
    <row r="102" spans="1:50" x14ac:dyDescent="0.2">
      <c r="A102" s="6" t="s">
        <v>7</v>
      </c>
      <c r="B102" s="6">
        <v>2022</v>
      </c>
      <c r="C102" s="6">
        <v>2023</v>
      </c>
      <c r="D102" s="6">
        <v>2024</v>
      </c>
      <c r="E102" s="6">
        <v>2025</v>
      </c>
      <c r="F102" s="6">
        <v>2026</v>
      </c>
      <c r="G102" s="6">
        <v>2027</v>
      </c>
      <c r="H102" s="6">
        <v>2028</v>
      </c>
      <c r="I102" s="6">
        <v>2029</v>
      </c>
      <c r="J102" s="6">
        <v>2030</v>
      </c>
      <c r="K102" s="6">
        <v>2031</v>
      </c>
      <c r="L102" s="6">
        <v>2032</v>
      </c>
      <c r="M102" s="6">
        <v>2033</v>
      </c>
      <c r="N102" s="6">
        <v>2034</v>
      </c>
      <c r="O102" s="6">
        <v>2035</v>
      </c>
      <c r="P102" s="6">
        <v>2036</v>
      </c>
      <c r="Q102" s="6">
        <v>2037</v>
      </c>
      <c r="R102" s="6">
        <v>2038</v>
      </c>
      <c r="S102" s="6">
        <v>2039</v>
      </c>
      <c r="T102" s="6">
        <v>2040</v>
      </c>
      <c r="U102" s="6">
        <v>2041</v>
      </c>
      <c r="V102" s="6">
        <v>2042</v>
      </c>
      <c r="W102" s="6">
        <v>2043</v>
      </c>
      <c r="X102" s="6">
        <v>2044</v>
      </c>
      <c r="Y102" s="6">
        <v>2045</v>
      </c>
      <c r="Z102" s="6">
        <v>2046</v>
      </c>
      <c r="AA102" s="6">
        <v>2047</v>
      </c>
      <c r="AB102" s="6">
        <v>2048</v>
      </c>
      <c r="AC102" s="6">
        <v>2049</v>
      </c>
      <c r="AD102" s="6">
        <v>2050</v>
      </c>
      <c r="AE102" s="6">
        <v>2051</v>
      </c>
      <c r="AF102" s="6">
        <v>2052</v>
      </c>
      <c r="AG102" s="6">
        <v>2053</v>
      </c>
      <c r="AH102" s="6">
        <v>2054</v>
      </c>
      <c r="AI102" s="6">
        <v>2055</v>
      </c>
      <c r="AJ102" s="6">
        <v>2056</v>
      </c>
      <c r="AK102" s="6">
        <v>2057</v>
      </c>
      <c r="AL102" s="6">
        <v>2058</v>
      </c>
      <c r="AM102" s="6">
        <v>2059</v>
      </c>
      <c r="AN102" s="6">
        <v>2060</v>
      </c>
      <c r="AO102" s="46">
        <f>AN102+1</f>
        <v>2061</v>
      </c>
      <c r="AP102" s="46">
        <f t="shared" ref="AP102:AW102" si="31">AO102+1</f>
        <v>2062</v>
      </c>
      <c r="AQ102" s="46">
        <f t="shared" si="31"/>
        <v>2063</v>
      </c>
      <c r="AR102" s="46">
        <f t="shared" si="31"/>
        <v>2064</v>
      </c>
      <c r="AS102" s="46">
        <f t="shared" si="31"/>
        <v>2065</v>
      </c>
      <c r="AT102" s="46">
        <f t="shared" si="31"/>
        <v>2066</v>
      </c>
      <c r="AU102" s="46">
        <f>AT102+1</f>
        <v>2067</v>
      </c>
      <c r="AV102" s="46">
        <f t="shared" ref="AV102:AX102" si="32">AU102+1</f>
        <v>2068</v>
      </c>
      <c r="AW102" s="46">
        <f t="shared" si="32"/>
        <v>2069</v>
      </c>
      <c r="AX102" s="46">
        <f>AW102+1</f>
        <v>2070</v>
      </c>
    </row>
    <row r="103" spans="1:50" x14ac:dyDescent="0.2">
      <c r="A103" s="6" t="s">
        <v>114</v>
      </c>
      <c r="B103" s="7">
        <v>25.868719504587531</v>
      </c>
      <c r="C103" s="7">
        <v>50.403135456290897</v>
      </c>
      <c r="D103" s="7">
        <v>61.774310998013064</v>
      </c>
      <c r="E103" s="7">
        <v>66.290015684125265</v>
      </c>
      <c r="F103" s="7">
        <v>68.944294564853166</v>
      </c>
      <c r="G103" s="7">
        <v>70.404250970154592</v>
      </c>
      <c r="H103" s="7">
        <v>71.018114970968625</v>
      </c>
      <c r="I103" s="7">
        <v>71.627173201229724</v>
      </c>
      <c r="J103" s="7">
        <v>72.23306659482941</v>
      </c>
      <c r="K103" s="7">
        <v>72.738153886284451</v>
      </c>
      <c r="L103" s="7">
        <v>73.241829179319495</v>
      </c>
      <c r="M103" s="7">
        <v>73.744496544115947</v>
      </c>
      <c r="N103" s="7">
        <v>74.246408169623294</v>
      </c>
      <c r="O103" s="7">
        <v>74.747721433180118</v>
      </c>
      <c r="P103" s="7">
        <v>75.171563288012365</v>
      </c>
      <c r="Q103" s="7">
        <v>75.595303181757288</v>
      </c>
      <c r="R103" s="7">
        <v>76.018979541244661</v>
      </c>
      <c r="S103" s="7">
        <v>76.442616312550896</v>
      </c>
      <c r="T103" s="7">
        <v>76.866228417330532</v>
      </c>
      <c r="U103" s="7">
        <v>77.190882805298756</v>
      </c>
      <c r="V103" s="7">
        <v>77.515527577156561</v>
      </c>
      <c r="W103" s="7">
        <v>77.840166365934039</v>
      </c>
      <c r="X103" s="7">
        <v>78.164801432147414</v>
      </c>
      <c r="Y103" s="7">
        <v>78.489434182291163</v>
      </c>
      <c r="Z103" s="7">
        <v>78.719133830968971</v>
      </c>
      <c r="AA103" s="7">
        <v>78.948832579573875</v>
      </c>
      <c r="AB103" s="7">
        <v>79.178530768900032</v>
      </c>
      <c r="AC103" s="7">
        <v>79.408228610710026</v>
      </c>
      <c r="AD103" s="7">
        <v>79.637926236587433</v>
      </c>
      <c r="AE103" s="7">
        <v>79.637926457786179</v>
      </c>
      <c r="AF103" s="7">
        <v>79.63792659482759</v>
      </c>
      <c r="AG103" s="7">
        <v>79.637926679730228</v>
      </c>
      <c r="AH103" s="7">
        <v>79.637926732330783</v>
      </c>
      <c r="AI103" s="7">
        <v>79.637926764918944</v>
      </c>
      <c r="AJ103" s="7">
        <v>79.637926785108576</v>
      </c>
      <c r="AK103" s="7">
        <v>79.637926797616871</v>
      </c>
      <c r="AL103" s="7">
        <v>79.637926805366277</v>
      </c>
      <c r="AM103" s="7">
        <v>79.637926810167329</v>
      </c>
      <c r="AN103" s="7">
        <v>79.63792681314176</v>
      </c>
      <c r="AO103" s="48">
        <f>(AN103+AN103*$AN$104)</f>
        <v>79.637926816116192</v>
      </c>
      <c r="AP103" s="48">
        <f t="shared" ref="AP103:AX103" si="33">(AO103+AO103*$AN$104)</f>
        <v>79.637926819090623</v>
      </c>
      <c r="AQ103" s="48">
        <f t="shared" si="33"/>
        <v>79.637926822065054</v>
      </c>
      <c r="AR103" s="48">
        <f t="shared" si="33"/>
        <v>79.637926825039486</v>
      </c>
      <c r="AS103" s="48">
        <f t="shared" si="33"/>
        <v>79.637926828013917</v>
      </c>
      <c r="AT103" s="48">
        <f t="shared" si="33"/>
        <v>79.637926830988349</v>
      </c>
      <c r="AU103" s="48">
        <f t="shared" si="33"/>
        <v>79.63792683396278</v>
      </c>
      <c r="AV103" s="48">
        <f t="shared" si="33"/>
        <v>79.637926836937211</v>
      </c>
      <c r="AW103" s="48">
        <f t="shared" si="33"/>
        <v>79.637926839911643</v>
      </c>
      <c r="AX103" s="48">
        <f t="shared" si="33"/>
        <v>79.637926842886074</v>
      </c>
    </row>
    <row r="104" spans="1:50" x14ac:dyDescent="0.2">
      <c r="AM104" s="47" t="s">
        <v>187</v>
      </c>
      <c r="AN104" s="47">
        <f>(AN103-AM103)/AM103</f>
        <v>3.7349432450256122E-11</v>
      </c>
    </row>
    <row r="105" spans="1:50" x14ac:dyDescent="0.2">
      <c r="A105" s="5" t="s">
        <v>171</v>
      </c>
    </row>
    <row r="106" spans="1:50" x14ac:dyDescent="0.2">
      <c r="A106" s="5" t="s">
        <v>4</v>
      </c>
    </row>
    <row r="107" spans="1:50" x14ac:dyDescent="0.2">
      <c r="A107" s="5" t="s">
        <v>116</v>
      </c>
    </row>
    <row r="108" spans="1:50" x14ac:dyDescent="0.2">
      <c r="A108" s="5" t="s">
        <v>6</v>
      </c>
    </row>
    <row r="109" spans="1:50" x14ac:dyDescent="0.2">
      <c r="A109" t="s">
        <v>156</v>
      </c>
      <c r="B109">
        <v>1000000</v>
      </c>
    </row>
    <row r="110" spans="1:50" x14ac:dyDescent="0.2">
      <c r="A110" s="6" t="s">
        <v>7</v>
      </c>
      <c r="B110" s="6">
        <v>2022</v>
      </c>
      <c r="C110" s="6">
        <v>2023</v>
      </c>
      <c r="D110" s="6">
        <v>2024</v>
      </c>
      <c r="E110" s="6">
        <v>2025</v>
      </c>
      <c r="F110" s="6">
        <v>2026</v>
      </c>
      <c r="G110" s="6">
        <v>2027</v>
      </c>
      <c r="H110" s="6">
        <v>2028</v>
      </c>
      <c r="I110" s="6">
        <v>2029</v>
      </c>
      <c r="J110" s="6">
        <v>2030</v>
      </c>
      <c r="K110" s="6">
        <v>2031</v>
      </c>
      <c r="L110" s="6">
        <v>2032</v>
      </c>
      <c r="M110" s="6">
        <v>2033</v>
      </c>
      <c r="N110" s="6">
        <v>2034</v>
      </c>
      <c r="O110" s="6">
        <v>2035</v>
      </c>
      <c r="P110" s="6">
        <v>2036</v>
      </c>
      <c r="Q110" s="6">
        <v>2037</v>
      </c>
      <c r="R110" s="6">
        <v>2038</v>
      </c>
      <c r="S110" s="6">
        <v>2039</v>
      </c>
      <c r="T110" s="6">
        <v>2040</v>
      </c>
      <c r="U110" s="6">
        <v>2041</v>
      </c>
      <c r="V110" s="6">
        <v>2042</v>
      </c>
      <c r="W110" s="6">
        <v>2043</v>
      </c>
      <c r="X110" s="6">
        <v>2044</v>
      </c>
      <c r="Y110" s="6">
        <v>2045</v>
      </c>
      <c r="Z110" s="6">
        <v>2046</v>
      </c>
      <c r="AA110" s="6">
        <v>2047</v>
      </c>
      <c r="AB110" s="6">
        <v>2048</v>
      </c>
      <c r="AC110" s="6">
        <v>2049</v>
      </c>
      <c r="AD110" s="6">
        <v>2050</v>
      </c>
      <c r="AE110" s="6">
        <v>2051</v>
      </c>
      <c r="AF110" s="6">
        <v>2052</v>
      </c>
      <c r="AG110" s="6">
        <v>2053</v>
      </c>
      <c r="AH110" s="6">
        <v>2054</v>
      </c>
      <c r="AI110" s="6">
        <v>2055</v>
      </c>
      <c r="AJ110" s="6">
        <v>2056</v>
      </c>
      <c r="AK110" s="6">
        <v>2057</v>
      </c>
      <c r="AL110" s="6">
        <v>2058</v>
      </c>
      <c r="AM110" s="6">
        <v>2059</v>
      </c>
      <c r="AN110" s="6">
        <v>2060</v>
      </c>
      <c r="AO110" s="46">
        <f>AN110+1</f>
        <v>2061</v>
      </c>
      <c r="AP110" s="46">
        <f t="shared" ref="AP110:AW110" si="34">AO110+1</f>
        <v>2062</v>
      </c>
      <c r="AQ110" s="46">
        <f t="shared" si="34"/>
        <v>2063</v>
      </c>
      <c r="AR110" s="46">
        <f t="shared" si="34"/>
        <v>2064</v>
      </c>
      <c r="AS110" s="46">
        <f t="shared" si="34"/>
        <v>2065</v>
      </c>
      <c r="AT110" s="46">
        <f t="shared" si="34"/>
        <v>2066</v>
      </c>
      <c r="AU110" s="46">
        <f>AT110+1</f>
        <v>2067</v>
      </c>
      <c r="AV110" s="46">
        <f t="shared" ref="AV110:AX110" si="35">AU110+1</f>
        <v>2068</v>
      </c>
      <c r="AW110" s="46">
        <f t="shared" si="35"/>
        <v>2069</v>
      </c>
      <c r="AX110" s="46">
        <f>AW110+1</f>
        <v>2070</v>
      </c>
    </row>
    <row r="111" spans="1:50" x14ac:dyDescent="0.2">
      <c r="A111" s="6" t="s">
        <v>117</v>
      </c>
      <c r="B111" s="7">
        <v>18.487696109852504</v>
      </c>
      <c r="C111" s="7">
        <v>21.617304740437092</v>
      </c>
      <c r="D111" s="7">
        <v>24.759780222418836</v>
      </c>
      <c r="E111" s="7">
        <v>27.915982105704774</v>
      </c>
      <c r="F111" s="7">
        <v>29.234561641407286</v>
      </c>
      <c r="G111" s="7">
        <v>29.494842756102582</v>
      </c>
      <c r="H111" s="7">
        <v>29.752012201528775</v>
      </c>
      <c r="I111" s="7">
        <v>30.007168338882988</v>
      </c>
      <c r="J111" s="7">
        <v>30.260998613687853</v>
      </c>
      <c r="K111" s="7">
        <v>30.472597629859287</v>
      </c>
      <c r="L111" s="7">
        <v>30.683605109713028</v>
      </c>
      <c r="M111" s="7">
        <v>30.894190332607881</v>
      </c>
      <c r="N111" s="7">
        <v>31.104458949457097</v>
      </c>
      <c r="O111" s="7">
        <v>31.314476891220671</v>
      </c>
      <c r="P111" s="7">
        <v>31.492039306692302</v>
      </c>
      <c r="Q111" s="7">
        <v>31.669559007040956</v>
      </c>
      <c r="R111" s="7">
        <v>31.847052090631262</v>
      </c>
      <c r="S111" s="7">
        <v>32.024528589325605</v>
      </c>
      <c r="T111" s="7">
        <v>32.201994754335338</v>
      </c>
      <c r="U111" s="7">
        <v>32.338004015015656</v>
      </c>
      <c r="V111" s="7">
        <v>32.474009247165569</v>
      </c>
      <c r="W111" s="7">
        <v>32.610011972790502</v>
      </c>
      <c r="X111" s="7">
        <v>32.746013138901048</v>
      </c>
      <c r="Y111" s="7">
        <v>32.882013334727723</v>
      </c>
      <c r="Z111" s="7">
        <v>32.978242680619864</v>
      </c>
      <c r="AA111" s="7">
        <v>33.074471649439459</v>
      </c>
      <c r="AB111" s="7">
        <v>33.170700383957346</v>
      </c>
      <c r="AC111" s="7">
        <v>33.26692897288833</v>
      </c>
      <c r="AD111" s="7">
        <v>33.363157471357503</v>
      </c>
      <c r="AE111" s="7">
        <v>33.363157564025514</v>
      </c>
      <c r="AF111" s="7">
        <v>33.36315762143704</v>
      </c>
      <c r="AG111" s="7">
        <v>33.363157657005758</v>
      </c>
      <c r="AH111" s="7">
        <v>33.363157679042011</v>
      </c>
      <c r="AI111" s="7">
        <v>33.363157692694337</v>
      </c>
      <c r="AJ111" s="7">
        <v>33.363157701152502</v>
      </c>
      <c r="AK111" s="7">
        <v>33.363157706392677</v>
      </c>
      <c r="AL111" s="7">
        <v>33.363157709639175</v>
      </c>
      <c r="AM111" s="7">
        <v>33.363157711650508</v>
      </c>
      <c r="AN111" s="7">
        <v>33.363157712896594</v>
      </c>
      <c r="AO111" s="48">
        <f>(AN111+AN111*$AN$112)</f>
        <v>33.36315771414268</v>
      </c>
      <c r="AP111" s="48">
        <f t="shared" ref="AP111:AX111" si="36">(AO111+AO111*$AN$112)</f>
        <v>33.363157715388766</v>
      </c>
      <c r="AQ111" s="48">
        <f t="shared" si="36"/>
        <v>33.363157716634852</v>
      </c>
      <c r="AR111" s="48">
        <f t="shared" si="36"/>
        <v>33.363157717880938</v>
      </c>
      <c r="AS111" s="48">
        <f t="shared" si="36"/>
        <v>33.363157719127024</v>
      </c>
      <c r="AT111" s="48">
        <f t="shared" si="36"/>
        <v>33.36315772037311</v>
      </c>
      <c r="AU111" s="48">
        <f t="shared" si="36"/>
        <v>33.363157721619196</v>
      </c>
      <c r="AV111" s="48">
        <f t="shared" si="36"/>
        <v>33.363157722865282</v>
      </c>
      <c r="AW111" s="48">
        <f t="shared" si="36"/>
        <v>33.363157724111367</v>
      </c>
      <c r="AX111" s="48">
        <f t="shared" si="36"/>
        <v>33.363157725357453</v>
      </c>
    </row>
    <row r="112" spans="1:50" x14ac:dyDescent="0.2">
      <c r="AM112" s="47" t="s">
        <v>187</v>
      </c>
      <c r="AN112" s="47">
        <f>(AN111-AM111)/AM111</f>
        <v>3.7349159569950078E-11</v>
      </c>
    </row>
    <row r="113" spans="1:50" x14ac:dyDescent="0.2">
      <c r="A113" s="5" t="s">
        <v>172</v>
      </c>
    </row>
    <row r="114" spans="1:50" x14ac:dyDescent="0.2">
      <c r="A114" s="5" t="s">
        <v>4</v>
      </c>
    </row>
    <row r="115" spans="1:50" x14ac:dyDescent="0.2">
      <c r="A115" s="5" t="s">
        <v>119</v>
      </c>
    </row>
    <row r="116" spans="1:50" x14ac:dyDescent="0.2">
      <c r="A116" s="5" t="s">
        <v>6</v>
      </c>
    </row>
    <row r="117" spans="1:50" x14ac:dyDescent="0.2">
      <c r="A117" t="s">
        <v>156</v>
      </c>
      <c r="B117">
        <v>1000000</v>
      </c>
    </row>
    <row r="118" spans="1:50" x14ac:dyDescent="0.2">
      <c r="A118" s="6" t="s">
        <v>7</v>
      </c>
      <c r="B118" s="6">
        <v>2022</v>
      </c>
      <c r="C118" s="6">
        <v>2023</v>
      </c>
      <c r="D118" s="6">
        <v>2024</v>
      </c>
      <c r="E118" s="6">
        <v>2025</v>
      </c>
      <c r="F118" s="6">
        <v>2026</v>
      </c>
      <c r="G118" s="6">
        <v>2027</v>
      </c>
      <c r="H118" s="6">
        <v>2028</v>
      </c>
      <c r="I118" s="6">
        <v>2029</v>
      </c>
      <c r="J118" s="6">
        <v>2030</v>
      </c>
      <c r="K118" s="6">
        <v>2031</v>
      </c>
      <c r="L118" s="6">
        <v>2032</v>
      </c>
      <c r="M118" s="6">
        <v>2033</v>
      </c>
      <c r="N118" s="6">
        <v>2034</v>
      </c>
      <c r="O118" s="6">
        <v>2035</v>
      </c>
      <c r="P118" s="6">
        <v>2036</v>
      </c>
      <c r="Q118" s="6">
        <v>2037</v>
      </c>
      <c r="R118" s="6">
        <v>2038</v>
      </c>
      <c r="S118" s="6">
        <v>2039</v>
      </c>
      <c r="T118" s="6">
        <v>2040</v>
      </c>
      <c r="U118" s="6">
        <v>2041</v>
      </c>
      <c r="V118" s="6">
        <v>2042</v>
      </c>
      <c r="W118" s="6">
        <v>2043</v>
      </c>
      <c r="X118" s="6">
        <v>2044</v>
      </c>
      <c r="Y118" s="6">
        <v>2045</v>
      </c>
      <c r="Z118" s="6">
        <v>2046</v>
      </c>
      <c r="AA118" s="6">
        <v>2047</v>
      </c>
      <c r="AB118" s="6">
        <v>2048</v>
      </c>
      <c r="AC118" s="6">
        <v>2049</v>
      </c>
      <c r="AD118" s="6">
        <v>2050</v>
      </c>
      <c r="AE118" s="6">
        <v>2051</v>
      </c>
      <c r="AF118" s="6">
        <v>2052</v>
      </c>
      <c r="AG118" s="6">
        <v>2053</v>
      </c>
      <c r="AH118" s="6">
        <v>2054</v>
      </c>
      <c r="AI118" s="6">
        <v>2055</v>
      </c>
      <c r="AJ118" s="6">
        <v>2056</v>
      </c>
      <c r="AK118" s="6">
        <v>2057</v>
      </c>
      <c r="AL118" s="6">
        <v>2058</v>
      </c>
      <c r="AM118" s="6">
        <v>2059</v>
      </c>
      <c r="AN118" s="6">
        <v>2060</v>
      </c>
      <c r="AO118" s="46">
        <f>AN118+1</f>
        <v>2061</v>
      </c>
      <c r="AP118" s="46">
        <f t="shared" ref="AP118:AW118" si="37">AO118+1</f>
        <v>2062</v>
      </c>
      <c r="AQ118" s="46">
        <f t="shared" si="37"/>
        <v>2063</v>
      </c>
      <c r="AR118" s="46">
        <f t="shared" si="37"/>
        <v>2064</v>
      </c>
      <c r="AS118" s="46">
        <f t="shared" si="37"/>
        <v>2065</v>
      </c>
      <c r="AT118" s="46">
        <f t="shared" si="37"/>
        <v>2066</v>
      </c>
      <c r="AU118" s="46">
        <f>AT118+1</f>
        <v>2067</v>
      </c>
      <c r="AV118" s="46">
        <f t="shared" ref="AV118:AX118" si="38">AU118+1</f>
        <v>2068</v>
      </c>
      <c r="AW118" s="46">
        <f t="shared" si="38"/>
        <v>2069</v>
      </c>
      <c r="AX118" s="46">
        <f>AW118+1</f>
        <v>2070</v>
      </c>
    </row>
    <row r="119" spans="1:50" x14ac:dyDescent="0.2">
      <c r="A119" s="6" t="s">
        <v>120</v>
      </c>
      <c r="B119" s="7">
        <v>6.1967667328840683</v>
      </c>
      <c r="C119" s="7">
        <v>6.3118449059002479</v>
      </c>
      <c r="D119" s="7">
        <v>6.4233530809967023</v>
      </c>
      <c r="E119" s="7">
        <v>6.5327852340105723</v>
      </c>
      <c r="F119" s="7">
        <v>6.8323897343601523</v>
      </c>
      <c r="G119" s="7">
        <v>7.1351673105674962</v>
      </c>
      <c r="H119" s="7">
        <v>7.4414368044824117</v>
      </c>
      <c r="I119" s="7">
        <v>7.7514053676056509</v>
      </c>
      <c r="J119" s="7">
        <v>8.0652066731917902</v>
      </c>
      <c r="K119" s="7">
        <v>8.3379897677226182</v>
      </c>
      <c r="L119" s="7">
        <v>8.6136119540004348</v>
      </c>
      <c r="M119" s="7">
        <v>8.8921093532114561</v>
      </c>
      <c r="N119" s="7">
        <v>9.1735041291225254</v>
      </c>
      <c r="O119" s="7">
        <v>9.457809449941637</v>
      </c>
      <c r="P119" s="7">
        <v>9.5393182496035909</v>
      </c>
      <c r="Q119" s="7">
        <v>9.6211284679120563</v>
      </c>
      <c r="R119" s="7">
        <v>9.7032448963114426</v>
      </c>
      <c r="S119" s="7">
        <v>9.7856705295254915</v>
      </c>
      <c r="T119" s="7">
        <v>9.8684072392101783</v>
      </c>
      <c r="U119" s="7">
        <v>9.9100877246253383</v>
      </c>
      <c r="V119" s="7">
        <v>9.9517669754841105</v>
      </c>
      <c r="W119" s="7">
        <v>9.9934454582100507</v>
      </c>
      <c r="X119" s="7">
        <v>10.035123463017676</v>
      </c>
      <c r="Y119" s="7">
        <v>10.076801170478616</v>
      </c>
      <c r="Z119" s="7">
        <v>10.106290970128331</v>
      </c>
      <c r="AA119" s="7">
        <v>10.13578065422292</v>
      </c>
      <c r="AB119" s="7">
        <v>10.165270266514984</v>
      </c>
      <c r="AC119" s="7">
        <v>10.194759834191457</v>
      </c>
      <c r="AD119" s="7">
        <v>10.224249374145618</v>
      </c>
      <c r="AE119" s="7">
        <v>10.224249402544032</v>
      </c>
      <c r="AF119" s="7">
        <v>10.224249420137985</v>
      </c>
      <c r="AG119" s="7">
        <v>10.224249431038137</v>
      </c>
      <c r="AH119" s="7">
        <v>10.224249437791217</v>
      </c>
      <c r="AI119" s="7">
        <v>10.224249441975019</v>
      </c>
      <c r="AJ119" s="7">
        <v>10.22424944456705</v>
      </c>
      <c r="AK119" s="7">
        <v>10.224249446172919</v>
      </c>
      <c r="AL119" s="7">
        <v>10.224249447167818</v>
      </c>
      <c r="AM119" s="7">
        <v>10.224249447784196</v>
      </c>
      <c r="AN119" s="7">
        <v>10.224249448166066</v>
      </c>
      <c r="AO119" s="48">
        <f>(AN119+AN119*$AN$120)</f>
        <v>10.224249448547937</v>
      </c>
      <c r="AP119" s="48">
        <f t="shared" ref="AP119:AX119" si="39">(AO119+AO119*$AN$120)</f>
        <v>10.224249448929807</v>
      </c>
      <c r="AQ119" s="48">
        <f t="shared" si="39"/>
        <v>10.224249449311678</v>
      </c>
      <c r="AR119" s="48">
        <f t="shared" si="39"/>
        <v>10.224249449693549</v>
      </c>
      <c r="AS119" s="48">
        <f t="shared" si="39"/>
        <v>10.224249450075419</v>
      </c>
      <c r="AT119" s="48">
        <f t="shared" si="39"/>
        <v>10.22424945045729</v>
      </c>
      <c r="AU119" s="48">
        <f t="shared" si="39"/>
        <v>10.22424945083916</v>
      </c>
      <c r="AV119" s="48">
        <f t="shared" si="39"/>
        <v>10.224249451221031</v>
      </c>
      <c r="AW119" s="48">
        <f t="shared" si="39"/>
        <v>10.224249451602901</v>
      </c>
      <c r="AX119" s="48">
        <f t="shared" si="39"/>
        <v>10.224249451984772</v>
      </c>
    </row>
    <row r="120" spans="1:50" x14ac:dyDescent="0.2">
      <c r="AM120" s="47" t="s">
        <v>187</v>
      </c>
      <c r="AN120" s="47">
        <f>(AN119-AM119)/AM119</f>
        <v>3.7349493196880932E-11</v>
      </c>
    </row>
    <row r="121" spans="1:50" x14ac:dyDescent="0.2">
      <c r="A121" s="5" t="s">
        <v>173</v>
      </c>
    </row>
    <row r="122" spans="1:50" x14ac:dyDescent="0.2">
      <c r="A122" s="5" t="s">
        <v>4</v>
      </c>
    </row>
    <row r="123" spans="1:50" x14ac:dyDescent="0.2">
      <c r="A123" s="5" t="s">
        <v>122</v>
      </c>
    </row>
    <row r="124" spans="1:50" x14ac:dyDescent="0.2">
      <c r="A124" s="5" t="s">
        <v>6</v>
      </c>
    </row>
    <row r="125" spans="1:50" x14ac:dyDescent="0.2">
      <c r="A125" t="s">
        <v>156</v>
      </c>
      <c r="B125">
        <v>1000000</v>
      </c>
    </row>
    <row r="126" spans="1:50" x14ac:dyDescent="0.2">
      <c r="A126" s="6" t="s">
        <v>7</v>
      </c>
      <c r="B126" s="6">
        <v>2022</v>
      </c>
      <c r="C126" s="6">
        <v>2023</v>
      </c>
      <c r="D126" s="6">
        <v>2024</v>
      </c>
      <c r="E126" s="6">
        <v>2025</v>
      </c>
      <c r="F126" s="6">
        <v>2026</v>
      </c>
      <c r="G126" s="6">
        <v>2027</v>
      </c>
      <c r="H126" s="6">
        <v>2028</v>
      </c>
      <c r="I126" s="6">
        <v>2029</v>
      </c>
      <c r="J126" s="6">
        <v>2030</v>
      </c>
      <c r="K126" s="6">
        <v>2031</v>
      </c>
      <c r="L126" s="6">
        <v>2032</v>
      </c>
      <c r="M126" s="6">
        <v>2033</v>
      </c>
      <c r="N126" s="6">
        <v>2034</v>
      </c>
      <c r="O126" s="6">
        <v>2035</v>
      </c>
      <c r="P126" s="6">
        <v>2036</v>
      </c>
      <c r="Q126" s="6">
        <v>2037</v>
      </c>
      <c r="R126" s="6">
        <v>2038</v>
      </c>
      <c r="S126" s="6">
        <v>2039</v>
      </c>
      <c r="T126" s="6">
        <v>2040</v>
      </c>
      <c r="U126" s="6">
        <v>2041</v>
      </c>
      <c r="V126" s="6">
        <v>2042</v>
      </c>
      <c r="W126" s="6">
        <v>2043</v>
      </c>
      <c r="X126" s="6">
        <v>2044</v>
      </c>
      <c r="Y126" s="6">
        <v>2045</v>
      </c>
      <c r="Z126" s="6">
        <v>2046</v>
      </c>
      <c r="AA126" s="6">
        <v>2047</v>
      </c>
      <c r="AB126" s="6">
        <v>2048</v>
      </c>
      <c r="AC126" s="6">
        <v>2049</v>
      </c>
      <c r="AD126" s="6">
        <v>2050</v>
      </c>
      <c r="AE126" s="6">
        <v>2051</v>
      </c>
      <c r="AF126" s="6">
        <v>2052</v>
      </c>
      <c r="AG126" s="6">
        <v>2053</v>
      </c>
      <c r="AH126" s="6">
        <v>2054</v>
      </c>
      <c r="AI126" s="6">
        <v>2055</v>
      </c>
      <c r="AJ126" s="6">
        <v>2056</v>
      </c>
      <c r="AK126" s="6">
        <v>2057</v>
      </c>
      <c r="AL126" s="6">
        <v>2058</v>
      </c>
      <c r="AM126" s="6">
        <v>2059</v>
      </c>
      <c r="AN126" s="6">
        <v>2060</v>
      </c>
      <c r="AO126" s="46">
        <f>AN126+1</f>
        <v>2061</v>
      </c>
      <c r="AP126" s="46">
        <f t="shared" ref="AP126:AW126" si="40">AO126+1</f>
        <v>2062</v>
      </c>
      <c r="AQ126" s="46">
        <f t="shared" si="40"/>
        <v>2063</v>
      </c>
      <c r="AR126" s="46">
        <f t="shared" si="40"/>
        <v>2064</v>
      </c>
      <c r="AS126" s="46">
        <f t="shared" si="40"/>
        <v>2065</v>
      </c>
      <c r="AT126" s="46">
        <f t="shared" si="40"/>
        <v>2066</v>
      </c>
      <c r="AU126" s="46">
        <f>AT126+1</f>
        <v>2067</v>
      </c>
      <c r="AV126" s="46">
        <f t="shared" ref="AV126:AX126" si="41">AU126+1</f>
        <v>2068</v>
      </c>
      <c r="AW126" s="46">
        <f t="shared" si="41"/>
        <v>2069</v>
      </c>
      <c r="AX126" s="46">
        <f>AW126+1</f>
        <v>2070</v>
      </c>
    </row>
    <row r="127" spans="1:50" x14ac:dyDescent="0.2">
      <c r="A127" s="6" t="s">
        <v>123</v>
      </c>
      <c r="B127" s="7">
        <v>6.7183880152800084</v>
      </c>
      <c r="C127" s="7">
        <v>9.254245759494415</v>
      </c>
      <c r="D127" s="7">
        <v>11.32263090212364</v>
      </c>
      <c r="E127" s="7">
        <v>13.165327365611187</v>
      </c>
      <c r="F127" s="7">
        <v>14.877281769800422</v>
      </c>
      <c r="G127" s="7">
        <v>16.40605846633046</v>
      </c>
      <c r="H127" s="7">
        <v>17.755629881679688</v>
      </c>
      <c r="I127" s="7">
        <v>18.943436264155018</v>
      </c>
      <c r="J127" s="7">
        <v>20.329373325024577</v>
      </c>
      <c r="K127" s="7">
        <v>21.192336773715898</v>
      </c>
      <c r="L127" s="7">
        <v>21.83682932469106</v>
      </c>
      <c r="M127" s="7">
        <v>22.487860397615531</v>
      </c>
      <c r="N127" s="7">
        <v>23.14548806015161</v>
      </c>
      <c r="O127" s="7">
        <v>23.809747034600658</v>
      </c>
      <c r="P127" s="7">
        <v>24.087617775796499</v>
      </c>
      <c r="Q127" s="7">
        <v>24.367066660924323</v>
      </c>
      <c r="R127" s="7">
        <v>24.64810556802728</v>
      </c>
      <c r="S127" s="7">
        <v>24.930741944561909</v>
      </c>
      <c r="T127" s="7">
        <v>25.214980459675473</v>
      </c>
      <c r="U127" s="7">
        <v>25.373872048657613</v>
      </c>
      <c r="V127" s="7">
        <v>25.533201184849183</v>
      </c>
      <c r="W127" s="7">
        <v>25.69296904783614</v>
      </c>
      <c r="X127" s="7">
        <v>25.853176373106177</v>
      </c>
      <c r="Y127" s="7">
        <v>26.013823619235005</v>
      </c>
      <c r="Z127" s="7">
        <v>26.165930885107421</v>
      </c>
      <c r="AA127" s="7">
        <v>26.318481251443828</v>
      </c>
      <c r="AB127" s="7">
        <v>26.471474829574589</v>
      </c>
      <c r="AC127" s="7">
        <v>26.624911688882456</v>
      </c>
      <c r="AD127" s="7">
        <v>26.778791872607091</v>
      </c>
      <c r="AE127" s="7">
        <v>26.778791946986662</v>
      </c>
      <c r="AF127" s="7">
        <v>26.77879199306777</v>
      </c>
      <c r="AG127" s="7">
        <v>26.778792021616848</v>
      </c>
      <c r="AH127" s="7">
        <v>26.778792039304157</v>
      </c>
      <c r="AI127" s="7">
        <v>26.77879205026213</v>
      </c>
      <c r="AJ127" s="7">
        <v>26.778792057051042</v>
      </c>
      <c r="AK127" s="7">
        <v>26.778792061257032</v>
      </c>
      <c r="AL127" s="7">
        <v>26.778792063862824</v>
      </c>
      <c r="AM127" s="7">
        <v>26.778792065477216</v>
      </c>
      <c r="AN127" s="7">
        <v>26.778792066477376</v>
      </c>
      <c r="AO127" s="48">
        <f>(AN127+AN127*$AN$128)</f>
        <v>26.778792067477536</v>
      </c>
      <c r="AP127" s="48">
        <f t="shared" ref="AP127:AX127" si="42">(AO127+AO127*$AN$128)</f>
        <v>26.778792068477696</v>
      </c>
      <c r="AQ127" s="48">
        <f t="shared" si="42"/>
        <v>26.778792069477856</v>
      </c>
      <c r="AR127" s="48">
        <f t="shared" si="42"/>
        <v>26.778792070478016</v>
      </c>
      <c r="AS127" s="48">
        <f t="shared" si="42"/>
        <v>26.778792071478176</v>
      </c>
      <c r="AT127" s="48">
        <f t="shared" si="42"/>
        <v>26.778792072478335</v>
      </c>
      <c r="AU127" s="48">
        <f t="shared" si="42"/>
        <v>26.778792073478495</v>
      </c>
      <c r="AV127" s="48">
        <f t="shared" si="42"/>
        <v>26.778792074478655</v>
      </c>
      <c r="AW127" s="48">
        <f t="shared" si="42"/>
        <v>26.778792075478815</v>
      </c>
      <c r="AX127" s="48">
        <f t="shared" si="42"/>
        <v>26.778792076478975</v>
      </c>
    </row>
    <row r="128" spans="1:50" x14ac:dyDescent="0.2">
      <c r="AM128" s="47" t="s">
        <v>187</v>
      </c>
      <c r="AN128" s="47">
        <f>(AN127-AM127)/AM127</f>
        <v>3.7348957055658493E-11</v>
      </c>
    </row>
    <row r="129" spans="1:50" x14ac:dyDescent="0.2">
      <c r="A129" s="5" t="s">
        <v>174</v>
      </c>
    </row>
    <row r="130" spans="1:50" x14ac:dyDescent="0.2">
      <c r="A130" s="5" t="s">
        <v>4</v>
      </c>
    </row>
    <row r="131" spans="1:50" x14ac:dyDescent="0.2">
      <c r="A131" s="5" t="s">
        <v>125</v>
      </c>
    </row>
    <row r="132" spans="1:50" x14ac:dyDescent="0.2">
      <c r="A132" s="5" t="s">
        <v>6</v>
      </c>
    </row>
    <row r="133" spans="1:50" x14ac:dyDescent="0.2">
      <c r="A133" t="s">
        <v>156</v>
      </c>
      <c r="B133">
        <v>1000000</v>
      </c>
    </row>
    <row r="134" spans="1:50" x14ac:dyDescent="0.2">
      <c r="A134" s="6" t="s">
        <v>7</v>
      </c>
      <c r="B134" s="6">
        <v>2022</v>
      </c>
      <c r="C134" s="6">
        <v>2023</v>
      </c>
      <c r="D134" s="6">
        <v>2024</v>
      </c>
      <c r="E134" s="6">
        <v>2025</v>
      </c>
      <c r="F134" s="6">
        <v>2026</v>
      </c>
      <c r="G134" s="6">
        <v>2027</v>
      </c>
      <c r="H134" s="6">
        <v>2028</v>
      </c>
      <c r="I134" s="6">
        <v>2029</v>
      </c>
      <c r="J134" s="6">
        <v>2030</v>
      </c>
      <c r="K134" s="6">
        <v>2031</v>
      </c>
      <c r="L134" s="6">
        <v>2032</v>
      </c>
      <c r="M134" s="6">
        <v>2033</v>
      </c>
      <c r="N134" s="6">
        <v>2034</v>
      </c>
      <c r="O134" s="6">
        <v>2035</v>
      </c>
      <c r="P134" s="6">
        <v>2036</v>
      </c>
      <c r="Q134" s="6">
        <v>2037</v>
      </c>
      <c r="R134" s="6">
        <v>2038</v>
      </c>
      <c r="S134" s="6">
        <v>2039</v>
      </c>
      <c r="T134" s="6">
        <v>2040</v>
      </c>
      <c r="U134" s="6">
        <v>2041</v>
      </c>
      <c r="V134" s="6">
        <v>2042</v>
      </c>
      <c r="W134" s="6">
        <v>2043</v>
      </c>
      <c r="X134" s="6">
        <v>2044</v>
      </c>
      <c r="Y134" s="6">
        <v>2045</v>
      </c>
      <c r="Z134" s="6">
        <v>2046</v>
      </c>
      <c r="AA134" s="6">
        <v>2047</v>
      </c>
      <c r="AB134" s="6">
        <v>2048</v>
      </c>
      <c r="AC134" s="6">
        <v>2049</v>
      </c>
      <c r="AD134" s="6">
        <v>2050</v>
      </c>
      <c r="AE134" s="6">
        <v>2051</v>
      </c>
      <c r="AF134" s="6">
        <v>2052</v>
      </c>
      <c r="AG134" s="6">
        <v>2053</v>
      </c>
      <c r="AH134" s="6">
        <v>2054</v>
      </c>
      <c r="AI134" s="6">
        <v>2055</v>
      </c>
      <c r="AJ134" s="6">
        <v>2056</v>
      </c>
      <c r="AK134" s="6">
        <v>2057</v>
      </c>
      <c r="AL134" s="6">
        <v>2058</v>
      </c>
      <c r="AM134" s="6">
        <v>2059</v>
      </c>
      <c r="AN134" s="6">
        <v>2060</v>
      </c>
      <c r="AO134" s="46">
        <f>AN134+1</f>
        <v>2061</v>
      </c>
      <c r="AP134" s="46">
        <f t="shared" ref="AP134:AW134" si="43">AO134+1</f>
        <v>2062</v>
      </c>
      <c r="AQ134" s="46">
        <f t="shared" si="43"/>
        <v>2063</v>
      </c>
      <c r="AR134" s="46">
        <f t="shared" si="43"/>
        <v>2064</v>
      </c>
      <c r="AS134" s="46">
        <f t="shared" si="43"/>
        <v>2065</v>
      </c>
      <c r="AT134" s="46">
        <f t="shared" si="43"/>
        <v>2066</v>
      </c>
      <c r="AU134" s="46">
        <f>AT134+1</f>
        <v>2067</v>
      </c>
      <c r="AV134" s="46">
        <f t="shared" ref="AV134:AX134" si="44">AU134+1</f>
        <v>2068</v>
      </c>
      <c r="AW134" s="46">
        <f t="shared" si="44"/>
        <v>2069</v>
      </c>
      <c r="AX134" s="46">
        <f>AW134+1</f>
        <v>2070</v>
      </c>
    </row>
    <row r="135" spans="1:50" x14ac:dyDescent="0.2">
      <c r="A135" s="6" t="s">
        <v>126</v>
      </c>
      <c r="B135" s="7">
        <v>121.73493093338234</v>
      </c>
      <c r="C135" s="7">
        <v>124.61068532627522</v>
      </c>
      <c r="D135" s="7">
        <v>127.4214988217481</v>
      </c>
      <c r="E135" s="7">
        <v>130.19592628525422</v>
      </c>
      <c r="F135" s="7">
        <v>136.16693008301681</v>
      </c>
      <c r="G135" s="7">
        <v>142.20117207638458</v>
      </c>
      <c r="H135" s="7">
        <v>148.30500666221684</v>
      </c>
      <c r="I135" s="7">
        <v>154.48256229117541</v>
      </c>
      <c r="J135" s="7">
        <v>160.73650302040824</v>
      </c>
      <c r="K135" s="7">
        <v>166.62038551981681</v>
      </c>
      <c r="L135" s="7">
        <v>172.5670463452488</v>
      </c>
      <c r="M135" s="7">
        <v>178.57718677863423</v>
      </c>
      <c r="N135" s="7">
        <v>184.65123614079133</v>
      </c>
      <c r="O135" s="7">
        <v>190.78944776344508</v>
      </c>
      <c r="P135" s="7">
        <v>191.96453535766855</v>
      </c>
      <c r="Q135" s="7">
        <v>193.14041404838372</v>
      </c>
      <c r="R135" s="7">
        <v>194.31718168150655</v>
      </c>
      <c r="S135" s="7">
        <v>195.4948992604524</v>
      </c>
      <c r="T135" s="7">
        <v>196.67360481714528</v>
      </c>
      <c r="U135" s="7">
        <v>197.50428104669501</v>
      </c>
      <c r="V135" s="7">
        <v>198.33493267200515</v>
      </c>
      <c r="W135" s="7">
        <v>199.16556898872003</v>
      </c>
      <c r="X135" s="7">
        <v>199.9961957807046</v>
      </c>
      <c r="Y135" s="7">
        <v>200.82681664668272</v>
      </c>
      <c r="Z135" s="7">
        <v>201.41453714319806</v>
      </c>
      <c r="AA135" s="7">
        <v>202.00225533674381</v>
      </c>
      <c r="AB135" s="7">
        <v>202.58997209929237</v>
      </c>
      <c r="AC135" s="7">
        <v>203.17768797266933</v>
      </c>
      <c r="AD135" s="7">
        <v>203.765403293551</v>
      </c>
      <c r="AE135" s="7">
        <v>203.76540385952057</v>
      </c>
      <c r="AF135" s="7">
        <v>203.76540421016139</v>
      </c>
      <c r="AG135" s="7">
        <v>203.76540442739724</v>
      </c>
      <c r="AH135" s="7">
        <v>203.76540456198364</v>
      </c>
      <c r="AI135" s="7">
        <v>203.76540464536518</v>
      </c>
      <c r="AJ135" s="7">
        <v>203.7654046970234</v>
      </c>
      <c r="AK135" s="7">
        <v>203.76540472902772</v>
      </c>
      <c r="AL135" s="7">
        <v>203.76540474885567</v>
      </c>
      <c r="AM135" s="7">
        <v>203.76540476113991</v>
      </c>
      <c r="AN135" s="7">
        <v>203.76540476875039</v>
      </c>
      <c r="AO135" s="48">
        <f>(AN135+AN135*$AN$136)</f>
        <v>203.76540477636087</v>
      </c>
      <c r="AP135" s="48">
        <f t="shared" ref="AP135:AX135" si="45">(AO135+AO135*$AN$136)</f>
        <v>203.76540478397135</v>
      </c>
      <c r="AQ135" s="48">
        <f t="shared" si="45"/>
        <v>203.76540479158183</v>
      </c>
      <c r="AR135" s="48">
        <f t="shared" si="45"/>
        <v>203.76540479919231</v>
      </c>
      <c r="AS135" s="48">
        <f t="shared" si="45"/>
        <v>203.76540480680279</v>
      </c>
      <c r="AT135" s="48">
        <f t="shared" si="45"/>
        <v>203.76540481441327</v>
      </c>
      <c r="AU135" s="48">
        <f t="shared" si="45"/>
        <v>203.76540482202375</v>
      </c>
      <c r="AV135" s="48">
        <f t="shared" si="45"/>
        <v>203.76540482963424</v>
      </c>
      <c r="AW135" s="48">
        <f t="shared" si="45"/>
        <v>203.76540483724472</v>
      </c>
      <c r="AX135" s="48">
        <f t="shared" si="45"/>
        <v>203.7654048448552</v>
      </c>
    </row>
    <row r="136" spans="1:50" x14ac:dyDescent="0.2">
      <c r="AM136" s="47" t="s">
        <v>187</v>
      </c>
      <c r="AN136" s="47">
        <f>(AN135-AM135)/AM135</f>
        <v>3.7349230813250769E-11</v>
      </c>
    </row>
    <row r="137" spans="1:50" x14ac:dyDescent="0.2">
      <c r="A137" s="5" t="s">
        <v>175</v>
      </c>
    </row>
    <row r="138" spans="1:50" x14ac:dyDescent="0.2">
      <c r="A138" s="5" t="s">
        <v>4</v>
      </c>
    </row>
    <row r="139" spans="1:50" x14ac:dyDescent="0.2">
      <c r="A139" s="5" t="s">
        <v>128</v>
      </c>
    </row>
    <row r="140" spans="1:50" x14ac:dyDescent="0.2">
      <c r="A140" s="5" t="s">
        <v>6</v>
      </c>
    </row>
    <row r="141" spans="1:50" x14ac:dyDescent="0.2">
      <c r="A141" t="s">
        <v>156</v>
      </c>
      <c r="B141">
        <v>1000000</v>
      </c>
    </row>
    <row r="142" spans="1:50" x14ac:dyDescent="0.2">
      <c r="A142" s="6" t="s">
        <v>7</v>
      </c>
      <c r="B142" s="6">
        <v>2022</v>
      </c>
      <c r="C142" s="6">
        <v>2023</v>
      </c>
      <c r="D142" s="6">
        <v>2024</v>
      </c>
      <c r="E142" s="6">
        <v>2025</v>
      </c>
      <c r="F142" s="6">
        <v>2026</v>
      </c>
      <c r="G142" s="6">
        <v>2027</v>
      </c>
      <c r="H142" s="6">
        <v>2028</v>
      </c>
      <c r="I142" s="6">
        <v>2029</v>
      </c>
      <c r="J142" s="6">
        <v>2030</v>
      </c>
      <c r="K142" s="6">
        <v>2031</v>
      </c>
      <c r="L142" s="6">
        <v>2032</v>
      </c>
      <c r="M142" s="6">
        <v>2033</v>
      </c>
      <c r="N142" s="6">
        <v>2034</v>
      </c>
      <c r="O142" s="6">
        <v>2035</v>
      </c>
      <c r="P142" s="6">
        <v>2036</v>
      </c>
      <c r="Q142" s="6">
        <v>2037</v>
      </c>
      <c r="R142" s="6">
        <v>2038</v>
      </c>
      <c r="S142" s="6">
        <v>2039</v>
      </c>
      <c r="T142" s="6">
        <v>2040</v>
      </c>
      <c r="U142" s="6">
        <v>2041</v>
      </c>
      <c r="V142" s="6">
        <v>2042</v>
      </c>
      <c r="W142" s="6">
        <v>2043</v>
      </c>
      <c r="X142" s="6">
        <v>2044</v>
      </c>
      <c r="Y142" s="6">
        <v>2045</v>
      </c>
      <c r="Z142" s="6">
        <v>2046</v>
      </c>
      <c r="AA142" s="6">
        <v>2047</v>
      </c>
      <c r="AB142" s="6">
        <v>2048</v>
      </c>
      <c r="AC142" s="6">
        <v>2049</v>
      </c>
      <c r="AD142" s="6">
        <v>2050</v>
      </c>
      <c r="AE142" s="6">
        <v>2051</v>
      </c>
      <c r="AF142" s="6">
        <v>2052</v>
      </c>
      <c r="AG142" s="6">
        <v>2053</v>
      </c>
      <c r="AH142" s="6">
        <v>2054</v>
      </c>
      <c r="AI142" s="6">
        <v>2055</v>
      </c>
      <c r="AJ142" s="6">
        <v>2056</v>
      </c>
      <c r="AK142" s="6">
        <v>2057</v>
      </c>
      <c r="AL142" s="6">
        <v>2058</v>
      </c>
      <c r="AM142" s="6">
        <v>2059</v>
      </c>
      <c r="AN142" s="6">
        <v>2060</v>
      </c>
      <c r="AO142" s="46">
        <f>AN142+1</f>
        <v>2061</v>
      </c>
      <c r="AP142" s="46">
        <f t="shared" ref="AP142:AW142" si="46">AO142+1</f>
        <v>2062</v>
      </c>
      <c r="AQ142" s="46">
        <f t="shared" si="46"/>
        <v>2063</v>
      </c>
      <c r="AR142" s="46">
        <f t="shared" si="46"/>
        <v>2064</v>
      </c>
      <c r="AS142" s="46">
        <f t="shared" si="46"/>
        <v>2065</v>
      </c>
      <c r="AT142" s="46">
        <f t="shared" si="46"/>
        <v>2066</v>
      </c>
      <c r="AU142" s="46">
        <f>AT142+1</f>
        <v>2067</v>
      </c>
      <c r="AV142" s="46">
        <f t="shared" ref="AV142:AX142" si="47">AU142+1</f>
        <v>2068</v>
      </c>
      <c r="AW142" s="46">
        <f t="shared" si="47"/>
        <v>2069</v>
      </c>
      <c r="AX142" s="46">
        <f>AW142+1</f>
        <v>2070</v>
      </c>
    </row>
    <row r="143" spans="1:50" x14ac:dyDescent="0.2">
      <c r="A143" s="6" t="s">
        <v>2</v>
      </c>
      <c r="B143" s="7">
        <v>39.3952263670378</v>
      </c>
      <c r="C143" s="7">
        <v>39.589535956283868</v>
      </c>
      <c r="D143" s="7">
        <v>39.756614702927102</v>
      </c>
      <c r="E143" s="7">
        <v>39.906654128983504</v>
      </c>
      <c r="F143" s="7">
        <v>40.271904842428086</v>
      </c>
      <c r="G143" s="7">
        <v>40.630453618081454</v>
      </c>
      <c r="H143" s="7">
        <v>40.984715931353669</v>
      </c>
      <c r="I143" s="7">
        <v>41.336204823492082</v>
      </c>
      <c r="J143" s="7">
        <v>41.685867281183597</v>
      </c>
      <c r="K143" s="7">
        <v>41.977354307687797</v>
      </c>
      <c r="L143" s="7">
        <v>42.26802646668726</v>
      </c>
      <c r="M143" s="7">
        <v>42.558116948004098</v>
      </c>
      <c r="N143" s="7">
        <v>42.84777129045564</v>
      </c>
      <c r="O143" s="7">
        <v>43.137080316862431</v>
      </c>
      <c r="P143" s="7">
        <v>43.381680416811847</v>
      </c>
      <c r="Q143" s="7">
        <v>43.626221674785469</v>
      </c>
      <c r="R143" s="7">
        <v>43.870726266994353</v>
      </c>
      <c r="S143" s="7">
        <v>44.115208012773721</v>
      </c>
      <c r="T143" s="7">
        <v>44.359675523444402</v>
      </c>
      <c r="U143" s="7">
        <v>44.547034310314253</v>
      </c>
      <c r="V143" s="7">
        <v>44.734387547704905</v>
      </c>
      <c r="W143" s="7">
        <v>44.921737332246231</v>
      </c>
      <c r="X143" s="7">
        <v>45.109084968487359</v>
      </c>
      <c r="Y143" s="7">
        <v>45.296431268119427</v>
      </c>
      <c r="Z143" s="7">
        <v>45.428991458634776</v>
      </c>
      <c r="AA143" s="7">
        <v>45.561551129715973</v>
      </c>
      <c r="AB143" s="7">
        <v>45.694110478036151</v>
      </c>
      <c r="AC143" s="7">
        <v>45.826669625803937</v>
      </c>
      <c r="AD143" s="7">
        <v>45.959228648956582</v>
      </c>
      <c r="AE143" s="7">
        <v>45.959228776610864</v>
      </c>
      <c r="AF143" s="7">
        <v>45.959228855697795</v>
      </c>
      <c r="AG143" s="7">
        <v>45.959228904695294</v>
      </c>
      <c r="AH143" s="7">
        <v>45.9592289350512</v>
      </c>
      <c r="AI143" s="7">
        <v>45.959228953857895</v>
      </c>
      <c r="AJ143" s="7">
        <v>45.959228965509382</v>
      </c>
      <c r="AK143" s="7">
        <v>45.959228972727935</v>
      </c>
      <c r="AL143" s="7">
        <v>45.959228977200141</v>
      </c>
      <c r="AM143" s="7">
        <v>45.959228979970838</v>
      </c>
      <c r="AN143" s="7">
        <v>45.959228981687389</v>
      </c>
      <c r="AO143" s="48">
        <f>(AN143+AN143*$AN$144)</f>
        <v>45.959228983403939</v>
      </c>
      <c r="AP143" s="48">
        <f t="shared" ref="AP143:AX143" si="48">(AO143+AO143*$AN$144)</f>
        <v>45.95922898512049</v>
      </c>
      <c r="AQ143" s="48">
        <f t="shared" si="48"/>
        <v>45.95922898683704</v>
      </c>
      <c r="AR143" s="48">
        <f t="shared" si="48"/>
        <v>45.959228988553591</v>
      </c>
      <c r="AS143" s="48">
        <f t="shared" si="48"/>
        <v>45.959228990270141</v>
      </c>
      <c r="AT143" s="48">
        <f t="shared" si="48"/>
        <v>45.959228991986691</v>
      </c>
      <c r="AU143" s="48">
        <f t="shared" si="48"/>
        <v>45.959228993703242</v>
      </c>
      <c r="AV143" s="48">
        <f t="shared" si="48"/>
        <v>45.959228995419792</v>
      </c>
      <c r="AW143" s="48">
        <f t="shared" si="48"/>
        <v>45.959228997136343</v>
      </c>
      <c r="AX143" s="48">
        <f t="shared" si="48"/>
        <v>45.959228998852893</v>
      </c>
    </row>
    <row r="144" spans="1:50" x14ac:dyDescent="0.2">
      <c r="AM144" s="47" t="s">
        <v>187</v>
      </c>
      <c r="AN144" s="47">
        <f>(AN143-AM143)/AM143</f>
        <v>3.7349418069641692E-11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3EC0-484D-4143-979B-202D6E18F421}">
  <sheetPr>
    <tabColor theme="4" tint="0.79998168889431442"/>
  </sheetPr>
  <dimension ref="A1:AX157"/>
  <sheetViews>
    <sheetView topLeftCell="AG1" workbookViewId="0">
      <selection activeCell="AT144" sqref="AT144"/>
    </sheetView>
  </sheetViews>
  <sheetFormatPr baseColWidth="10" defaultRowHeight="16" x14ac:dyDescent="0.2"/>
  <cols>
    <col min="2" max="2" width="13.33203125" bestFit="1" customWidth="1"/>
  </cols>
  <sheetData>
    <row r="1" spans="1:50" x14ac:dyDescent="0.2">
      <c r="A1" s="5" t="s">
        <v>76</v>
      </c>
    </row>
    <row r="2" spans="1:50" x14ac:dyDescent="0.2">
      <c r="A2" s="5" t="s">
        <v>4</v>
      </c>
    </row>
    <row r="3" spans="1:50" x14ac:dyDescent="0.2">
      <c r="A3" s="5" t="s">
        <v>77</v>
      </c>
    </row>
    <row r="4" spans="1:50" x14ac:dyDescent="0.2">
      <c r="A4" s="5" t="s">
        <v>6</v>
      </c>
    </row>
    <row r="5" spans="1:50" x14ac:dyDescent="0.2">
      <c r="A5" s="5"/>
    </row>
    <row r="6" spans="1:5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c r="AO6" s="46">
        <f>AN6+1</f>
        <v>2061</v>
      </c>
      <c r="AP6" s="46">
        <f t="shared" ref="AP6:AW6" si="0">AO6+1</f>
        <v>2062</v>
      </c>
      <c r="AQ6" s="46">
        <f t="shared" si="0"/>
        <v>2063</v>
      </c>
      <c r="AR6" s="46">
        <f t="shared" si="0"/>
        <v>2064</v>
      </c>
      <c r="AS6" s="46">
        <f t="shared" si="0"/>
        <v>2065</v>
      </c>
      <c r="AT6" s="46">
        <f t="shared" si="0"/>
        <v>2066</v>
      </c>
      <c r="AU6" s="46">
        <f>AT6+1</f>
        <v>2067</v>
      </c>
      <c r="AV6" s="46">
        <f t="shared" si="0"/>
        <v>2068</v>
      </c>
      <c r="AW6" s="46">
        <f t="shared" si="0"/>
        <v>2069</v>
      </c>
      <c r="AX6" s="46">
        <f>AW6+1</f>
        <v>2070</v>
      </c>
    </row>
    <row r="7" spans="1:50" x14ac:dyDescent="0.2">
      <c r="A7" s="6" t="s">
        <v>78</v>
      </c>
      <c r="B7" s="35">
        <f>Residential!B7*Residential!$B$5</f>
        <v>4400000</v>
      </c>
      <c r="C7" s="35">
        <f>Residential!C7*Residential!$B$5</f>
        <v>5100000</v>
      </c>
      <c r="D7" s="35">
        <f>Residential!D7*Residential!$B$5</f>
        <v>5800000</v>
      </c>
      <c r="E7" s="35">
        <f>Residential!E7*Residential!$B$5</f>
        <v>6500000</v>
      </c>
      <c r="F7" s="35">
        <f>Residential!F7*Residential!$B$5</f>
        <v>7200000</v>
      </c>
      <c r="G7" s="35">
        <f>Residential!G7*Residential!$B$5</f>
        <v>7900000</v>
      </c>
      <c r="H7" s="35">
        <f>Residential!H7*Residential!$B$5</f>
        <v>8600000</v>
      </c>
      <c r="I7" s="35">
        <f>Residential!I7*Residential!$B$5</f>
        <v>9300000</v>
      </c>
      <c r="J7" s="35">
        <f>Residential!J7*Residential!$B$5</f>
        <v>10000000</v>
      </c>
      <c r="K7" s="35">
        <f>Residential!K7*Residential!$B$5</f>
        <v>10700000</v>
      </c>
      <c r="L7" s="35">
        <f>Residential!L7*Residential!$B$5</f>
        <v>11400000</v>
      </c>
      <c r="M7" s="35">
        <f>Residential!M7*Residential!$B$5</f>
        <v>12100000</v>
      </c>
      <c r="N7" s="35">
        <f>Residential!N7*Residential!$B$5</f>
        <v>12800000</v>
      </c>
      <c r="O7" s="35">
        <f>Residential!O7*Residential!$B$5</f>
        <v>13500000</v>
      </c>
      <c r="P7" s="35">
        <f>Residential!P7*Residential!$B$5</f>
        <v>14200000</v>
      </c>
      <c r="Q7" s="35">
        <f>Residential!Q7*Residential!$B$5</f>
        <v>14900000</v>
      </c>
      <c r="R7" s="35">
        <f>Residential!R7*Residential!$B$5</f>
        <v>15600000</v>
      </c>
      <c r="S7" s="35">
        <f>Residential!S7*Residential!$B$5</f>
        <v>16300000</v>
      </c>
      <c r="T7" s="35">
        <f>Residential!T7*Residential!$B$5</f>
        <v>17000000</v>
      </c>
      <c r="U7" s="35">
        <f>Residential!U7*Residential!$B$5</f>
        <v>17700000</v>
      </c>
      <c r="V7" s="35">
        <f>Residential!V7*Residential!$B$5</f>
        <v>18400000</v>
      </c>
      <c r="W7" s="35">
        <f>Residential!W7*Residential!$B$5</f>
        <v>19100000</v>
      </c>
      <c r="X7" s="35">
        <f>Residential!X7*Residential!$B$5</f>
        <v>19800000</v>
      </c>
      <c r="Y7" s="35">
        <f>Residential!Y7*Residential!$B$5</f>
        <v>20500000</v>
      </c>
      <c r="Z7" s="35">
        <f>Residential!Z7*Residential!$B$5</f>
        <v>21200000</v>
      </c>
      <c r="AA7" s="35">
        <f>Residential!AA7*Residential!$B$5</f>
        <v>21900000</v>
      </c>
      <c r="AB7" s="35">
        <f>Residential!AB7*Residential!$B$5</f>
        <v>22600000</v>
      </c>
      <c r="AC7" s="35">
        <f>Residential!AC7*Residential!$B$5</f>
        <v>23300000</v>
      </c>
      <c r="AD7" s="35">
        <f>Residential!AD7*Residential!$B$5</f>
        <v>24000000</v>
      </c>
      <c r="AE7" s="35">
        <f>Residential!AE7*Residential!$B$5</f>
        <v>24700000</v>
      </c>
      <c r="AF7" s="35">
        <f>Residential!AF7*Residential!$B$5</f>
        <v>25400000</v>
      </c>
      <c r="AG7" s="35">
        <f>Residential!AG7*Residential!$B$5</f>
        <v>26100000</v>
      </c>
      <c r="AH7" s="35">
        <f>Residential!AH7*Residential!$B$5</f>
        <v>26800000</v>
      </c>
      <c r="AI7" s="35">
        <f>Residential!AI7*Residential!$B$5</f>
        <v>27500000</v>
      </c>
      <c r="AJ7" s="35">
        <f>Residential!AJ7*Residential!$B$5</f>
        <v>28200000</v>
      </c>
      <c r="AK7" s="35">
        <f>Residential!AK7*Residential!$B$5</f>
        <v>28900000</v>
      </c>
      <c r="AL7" s="35">
        <f>Residential!AL7*Residential!$B$5</f>
        <v>29600000</v>
      </c>
      <c r="AM7" s="35">
        <f>Residential!AM7*Residential!$B$5</f>
        <v>30300000</v>
      </c>
      <c r="AN7" s="35">
        <f>Residential!AN7*Residential!$B$5</f>
        <v>31000000</v>
      </c>
      <c r="AO7" s="49">
        <f>Residential!AO7*Residential!$B$5</f>
        <v>31716171.617161717</v>
      </c>
      <c r="AP7" s="49">
        <f>Residential!AP7*Residential!$B$5</f>
        <v>32448888.453201752</v>
      </c>
      <c r="AQ7" s="49">
        <f>Residential!AQ7*Residential!$B$5</f>
        <v>33198532.740899481</v>
      </c>
      <c r="AR7" s="49">
        <f>Residential!AR7*Residential!$B$5</f>
        <v>33965495.543494523</v>
      </c>
      <c r="AS7" s="49">
        <f>Residential!AS7*Residential!$B$5</f>
        <v>34750176.958690755</v>
      </c>
      <c r="AT7" s="49">
        <f>Residential!AT7*Residential!$B$5</f>
        <v>35552986.327373385</v>
      </c>
      <c r="AU7" s="49">
        <f>Residential!AU7*Residential!$B$5</f>
        <v>36374342.447147682</v>
      </c>
      <c r="AV7" s="49">
        <f>Residential!AV7*Residential!$B$5</f>
        <v>37214673.790811159</v>
      </c>
      <c r="AW7" s="49">
        <f>Residential!AW7*Residential!$B$5</f>
        <v>38074418.7298728</v>
      </c>
      <c r="AX7" s="49">
        <f>Residential!AX7*Residential!$B$5</f>
        <v>38954025.763236202</v>
      </c>
    </row>
    <row r="9" spans="1:50" x14ac:dyDescent="0.2">
      <c r="A9" s="5" t="s">
        <v>79</v>
      </c>
    </row>
    <row r="10" spans="1:50" x14ac:dyDescent="0.2">
      <c r="A10" s="5" t="s">
        <v>4</v>
      </c>
    </row>
    <row r="11" spans="1:50" x14ac:dyDescent="0.2">
      <c r="A11" s="5" t="s">
        <v>80</v>
      </c>
    </row>
    <row r="12" spans="1:50" x14ac:dyDescent="0.2">
      <c r="A12" s="5" t="s">
        <v>6</v>
      </c>
    </row>
    <row r="13" spans="1:50" x14ac:dyDescent="0.2">
      <c r="A13" s="5"/>
    </row>
    <row r="14" spans="1:50" x14ac:dyDescent="0.2">
      <c r="A14" s="6" t="s">
        <v>7</v>
      </c>
      <c r="B14" s="6">
        <v>2022</v>
      </c>
      <c r="C14" s="6">
        <v>2023</v>
      </c>
      <c r="D14" s="6">
        <v>2024</v>
      </c>
      <c r="E14" s="6">
        <v>2025</v>
      </c>
      <c r="F14" s="6">
        <v>2026</v>
      </c>
      <c r="G14" s="6">
        <v>2027</v>
      </c>
      <c r="H14" s="6">
        <v>2028</v>
      </c>
      <c r="I14" s="6">
        <v>2029</v>
      </c>
      <c r="J14" s="6">
        <v>2030</v>
      </c>
      <c r="K14" s="6">
        <v>2031</v>
      </c>
      <c r="L14" s="6">
        <v>2032</v>
      </c>
      <c r="M14" s="6">
        <v>2033</v>
      </c>
      <c r="N14" s="6">
        <v>2034</v>
      </c>
      <c r="O14" s="6">
        <v>2035</v>
      </c>
      <c r="P14" s="6">
        <v>2036</v>
      </c>
      <c r="Q14" s="6">
        <v>2037</v>
      </c>
      <c r="R14" s="6">
        <v>2038</v>
      </c>
      <c r="S14" s="6">
        <v>2039</v>
      </c>
      <c r="T14" s="6">
        <v>2040</v>
      </c>
      <c r="U14" s="6">
        <v>2041</v>
      </c>
      <c r="V14" s="6">
        <v>2042</v>
      </c>
      <c r="W14" s="6">
        <v>2043</v>
      </c>
      <c r="X14" s="6">
        <v>2044</v>
      </c>
      <c r="Y14" s="6">
        <v>2045</v>
      </c>
      <c r="Z14" s="6">
        <v>2046</v>
      </c>
      <c r="AA14" s="6">
        <v>2047</v>
      </c>
      <c r="AB14" s="6">
        <v>2048</v>
      </c>
      <c r="AC14" s="6">
        <v>2049</v>
      </c>
      <c r="AD14" s="6">
        <v>2050</v>
      </c>
      <c r="AE14" s="6">
        <v>2051</v>
      </c>
      <c r="AF14" s="6">
        <v>2052</v>
      </c>
      <c r="AG14" s="6">
        <v>2053</v>
      </c>
      <c r="AH14" s="6">
        <v>2054</v>
      </c>
      <c r="AI14" s="6">
        <v>2055</v>
      </c>
      <c r="AJ14" s="6">
        <v>2056</v>
      </c>
      <c r="AK14" s="6">
        <v>2057</v>
      </c>
      <c r="AL14" s="6">
        <v>2058</v>
      </c>
      <c r="AM14" s="6">
        <v>2059</v>
      </c>
      <c r="AN14" s="6">
        <v>2060</v>
      </c>
      <c r="AO14" s="46">
        <f>AN14+1</f>
        <v>2061</v>
      </c>
      <c r="AP14" s="46">
        <f t="shared" ref="AP14:AW14" si="1">AO14+1</f>
        <v>2062</v>
      </c>
      <c r="AQ14" s="46">
        <f t="shared" si="1"/>
        <v>2063</v>
      </c>
      <c r="AR14" s="46">
        <f t="shared" si="1"/>
        <v>2064</v>
      </c>
      <c r="AS14" s="46">
        <f t="shared" si="1"/>
        <v>2065</v>
      </c>
      <c r="AT14" s="46">
        <f t="shared" si="1"/>
        <v>2066</v>
      </c>
      <c r="AU14" s="46">
        <f>AT14+1</f>
        <v>2067</v>
      </c>
      <c r="AV14" s="46">
        <f t="shared" si="1"/>
        <v>2068</v>
      </c>
      <c r="AW14" s="46">
        <f t="shared" si="1"/>
        <v>2069</v>
      </c>
      <c r="AX14" s="46">
        <f>AW14+1</f>
        <v>2070</v>
      </c>
    </row>
    <row r="15" spans="1:50" x14ac:dyDescent="0.2">
      <c r="A15" s="6" t="s">
        <v>81</v>
      </c>
      <c r="B15" s="35">
        <f>Residential!B15*Residential!$B$13</f>
        <v>4440999.088122475</v>
      </c>
      <c r="C15" s="35">
        <f>Residential!C15*Residential!$B$13</f>
        <v>3987683.8264512462</v>
      </c>
      <c r="D15" s="35">
        <f>Residential!D15*Residential!$B$13</f>
        <v>3776307.4399760817</v>
      </c>
      <c r="E15" s="35">
        <f>Residential!E15*Residential!$B$13</f>
        <v>3576135.5468117767</v>
      </c>
      <c r="F15" s="35">
        <f>Residential!F15*Residential!$B$13</f>
        <v>3386574.2269257</v>
      </c>
      <c r="G15" s="35">
        <f>Residential!G15*Residential!$B$13</f>
        <v>3207061.0423875637</v>
      </c>
      <c r="H15" s="35">
        <f>Residential!H15*Residential!$B$13</f>
        <v>3037063.3685879256</v>
      </c>
      <c r="I15" s="35">
        <f>Residential!I15*Residential!$B$13</f>
        <v>2876076.813914279</v>
      </c>
      <c r="J15" s="35">
        <f>Residential!J15*Residential!$B$13</f>
        <v>2723623.7231958951</v>
      </c>
      <c r="K15" s="35">
        <f>Residential!K15*Residential!$B$13</f>
        <v>2579251.7604769934</v>
      </c>
      <c r="L15" s="35">
        <f>Residential!L15*Residential!$B$13</f>
        <v>2442532.566913316</v>
      </c>
      <c r="M15" s="35">
        <f>Residential!M15*Residential!$B$13</f>
        <v>2313060.4898099736</v>
      </c>
      <c r="N15" s="35">
        <f>Residential!N15*Residential!$B$13</f>
        <v>2190451.3790295906</v>
      </c>
      <c r="O15" s="35">
        <f>Residential!O15*Residential!$B$13</f>
        <v>2074341.4471995984</v>
      </c>
      <c r="P15" s="35">
        <f>Residential!P15*Residential!$B$13</f>
        <v>1964386.1903368894</v>
      </c>
      <c r="Q15" s="35">
        <f>Residential!Q15*Residential!$B$13</f>
        <v>1860259.3656872418</v>
      </c>
      <c r="R15" s="35">
        <f>Residential!R15*Residential!$B$13</f>
        <v>1761652.0237467242</v>
      </c>
      <c r="S15" s="35">
        <f>Residential!S15*Residential!$B$13</f>
        <v>1668271.5915930469</v>
      </c>
      <c r="T15" s="35">
        <f>Residential!T15*Residential!$B$13</f>
        <v>1579841.0048070501</v>
      </c>
      <c r="U15" s="35">
        <f>Residential!U15*Residential!$B$13</f>
        <v>1496097.8854086928</v>
      </c>
      <c r="V15" s="35">
        <f>Residential!V15*Residential!$B$13</f>
        <v>1416793.7633684415</v>
      </c>
      <c r="W15" s="35">
        <f>Residential!W15*Residential!$B$13</f>
        <v>1341693.339384255</v>
      </c>
      <c r="X15" s="35">
        <f>Residential!X15*Residential!$B$13</f>
        <v>1270573.7867367661</v>
      </c>
      <c r="Y15" s="35">
        <f>Residential!Y15*Residential!$B$13</f>
        <v>1203224.0901512445</v>
      </c>
      <c r="Z15" s="35">
        <f>Residential!Z15*Residential!$B$13</f>
        <v>1139444.419704709</v>
      </c>
      <c r="AA15" s="35">
        <f>Residential!AA15*Residential!$B$13</f>
        <v>1079045.53792054</v>
      </c>
      <c r="AB15" s="35">
        <f>Residential!AB15*Residential!$B$13</f>
        <v>1021848.2382914032</v>
      </c>
      <c r="AC15" s="35">
        <f>Residential!AC15*Residential!$B$13</f>
        <v>967682.81356457144</v>
      </c>
      <c r="AD15" s="35">
        <f>Residential!AD15*Residential!$B$13</f>
        <v>916388.55221200315</v>
      </c>
      <c r="AE15" s="35">
        <f>Residential!AE15*Residential!$B$13</f>
        <v>867813.26159119105</v>
      </c>
      <c r="AF15" s="35">
        <f>Residential!AF15*Residential!$B$13</f>
        <v>821812.81638196879</v>
      </c>
      <c r="AG15" s="35">
        <f>Residential!AG15*Residential!$B$13</f>
        <v>778250.73095946666</v>
      </c>
      <c r="AH15" s="35">
        <f>Residential!AH15*Residential!$B$13</f>
        <v>736997.75443442853</v>
      </c>
      <c r="AI15" s="35">
        <f>Residential!AI15*Residential!$B$13</f>
        <v>697931.48715934798</v>
      </c>
      <c r="AJ15" s="35">
        <f>Residential!AJ15*Residential!$B$13</f>
        <v>660936.01756258484</v>
      </c>
      <c r="AK15" s="35">
        <f>Residential!AK15*Residential!$B$13</f>
        <v>625901.57823292667</v>
      </c>
      <c r="AL15" s="35">
        <f>Residential!AL15*Residential!$B$13</f>
        <v>592724.22023418162</v>
      </c>
      <c r="AM15" s="35">
        <f>Residential!AM15*Residential!$B$13</f>
        <v>561305.50468347862</v>
      </c>
      <c r="AN15" s="35">
        <f>Residential!AN15*Residential!$B$13</f>
        <v>531552.21067817137</v>
      </c>
      <c r="AO15" s="49">
        <f>Residential!AO15*Residential!$B$13</f>
        <v>503376.05870475189</v>
      </c>
      <c r="AP15" s="49">
        <f>Residential!AP15*Residential!$B$13</f>
        <v>476693.44870911166</v>
      </c>
      <c r="AQ15" s="49">
        <f>Residential!AQ15*Residential!$B$13</f>
        <v>451425.21205099445</v>
      </c>
      <c r="AR15" s="49">
        <f>Residential!AR15*Residential!$B$13</f>
        <v>427496.37660667545</v>
      </c>
      <c r="AS15" s="49">
        <f>Residential!AS15*Residential!$B$13</f>
        <v>404835.94432291499</v>
      </c>
      <c r="AT15" s="49">
        <f>Residential!AT15*Residential!$B$13</f>
        <v>383376.6805621789</v>
      </c>
      <c r="AU15" s="49">
        <f>Residential!AU15*Residential!$B$13</f>
        <v>363054.91461410123</v>
      </c>
      <c r="AV15" s="49">
        <f>Residential!AV15*Residential!$B$13</f>
        <v>343810.35078129795</v>
      </c>
      <c r="AW15" s="49">
        <f>Residential!AW15*Residential!$B$13</f>
        <v>325585.88947901264</v>
      </c>
      <c r="AX15" s="49">
        <f>Residential!AX15*Residential!$B$13</f>
        <v>308327.45781778888</v>
      </c>
    </row>
    <row r="17" spans="1:50" x14ac:dyDescent="0.2">
      <c r="A17" s="5" t="s">
        <v>82</v>
      </c>
    </row>
    <row r="18" spans="1:50" x14ac:dyDescent="0.2">
      <c r="A18" s="5" t="s">
        <v>4</v>
      </c>
    </row>
    <row r="19" spans="1:50" x14ac:dyDescent="0.2">
      <c r="A19" s="5" t="s">
        <v>83</v>
      </c>
    </row>
    <row r="20" spans="1:50" x14ac:dyDescent="0.2">
      <c r="A20" s="5" t="s">
        <v>6</v>
      </c>
    </row>
    <row r="21" spans="1:50" x14ac:dyDescent="0.2">
      <c r="A21" s="5"/>
    </row>
    <row r="22" spans="1:50" x14ac:dyDescent="0.2">
      <c r="A22" s="6" t="s">
        <v>7</v>
      </c>
      <c r="B22" s="6">
        <v>2022</v>
      </c>
      <c r="C22" s="6">
        <v>2023</v>
      </c>
      <c r="D22" s="6">
        <v>2024</v>
      </c>
      <c r="E22" s="6">
        <v>2025</v>
      </c>
      <c r="F22" s="6">
        <v>2026</v>
      </c>
      <c r="G22" s="6">
        <v>2027</v>
      </c>
      <c r="H22" s="6">
        <v>2028</v>
      </c>
      <c r="I22" s="6">
        <v>2029</v>
      </c>
      <c r="J22" s="6">
        <v>2030</v>
      </c>
      <c r="K22" s="6">
        <v>2031</v>
      </c>
      <c r="L22" s="6">
        <v>2032</v>
      </c>
      <c r="M22" s="6">
        <v>2033</v>
      </c>
      <c r="N22" s="6">
        <v>2034</v>
      </c>
      <c r="O22" s="6">
        <v>2035</v>
      </c>
      <c r="P22" s="6">
        <v>2036</v>
      </c>
      <c r="Q22" s="6">
        <v>2037</v>
      </c>
      <c r="R22" s="6">
        <v>2038</v>
      </c>
      <c r="S22" s="6">
        <v>2039</v>
      </c>
      <c r="T22" s="6">
        <v>2040</v>
      </c>
      <c r="U22" s="6">
        <v>2041</v>
      </c>
      <c r="V22" s="6">
        <v>2042</v>
      </c>
      <c r="W22" s="6">
        <v>2043</v>
      </c>
      <c r="X22" s="6">
        <v>2044</v>
      </c>
      <c r="Y22" s="6">
        <v>2045</v>
      </c>
      <c r="Z22" s="6">
        <v>2046</v>
      </c>
      <c r="AA22" s="6">
        <v>2047</v>
      </c>
      <c r="AB22" s="6">
        <v>2048</v>
      </c>
      <c r="AC22" s="6">
        <v>2049</v>
      </c>
      <c r="AD22" s="6">
        <v>2050</v>
      </c>
      <c r="AE22" s="6">
        <v>2051</v>
      </c>
      <c r="AF22" s="6">
        <v>2052</v>
      </c>
      <c r="AG22" s="6">
        <v>2053</v>
      </c>
      <c r="AH22" s="6">
        <v>2054</v>
      </c>
      <c r="AI22" s="6">
        <v>2055</v>
      </c>
      <c r="AJ22" s="6">
        <v>2056</v>
      </c>
      <c r="AK22" s="6">
        <v>2057</v>
      </c>
      <c r="AL22" s="6">
        <v>2058</v>
      </c>
      <c r="AM22" s="6">
        <v>2059</v>
      </c>
      <c r="AN22" s="6">
        <v>2060</v>
      </c>
      <c r="AO22" s="46">
        <f>AN22+1</f>
        <v>2061</v>
      </c>
      <c r="AP22" s="46">
        <f t="shared" ref="AP22:AW22" si="2">AO22+1</f>
        <v>2062</v>
      </c>
      <c r="AQ22" s="46">
        <f t="shared" si="2"/>
        <v>2063</v>
      </c>
      <c r="AR22" s="46">
        <f t="shared" si="2"/>
        <v>2064</v>
      </c>
      <c r="AS22" s="46">
        <f t="shared" si="2"/>
        <v>2065</v>
      </c>
      <c r="AT22" s="46">
        <f t="shared" si="2"/>
        <v>2066</v>
      </c>
      <c r="AU22" s="46">
        <f>AT22+1</f>
        <v>2067</v>
      </c>
      <c r="AV22" s="46">
        <f t="shared" si="2"/>
        <v>2068</v>
      </c>
      <c r="AW22" s="46">
        <f t="shared" si="2"/>
        <v>2069</v>
      </c>
      <c r="AX22" s="46">
        <f>AW22+1</f>
        <v>2070</v>
      </c>
    </row>
    <row r="23" spans="1:50" x14ac:dyDescent="0.2">
      <c r="A23" s="6" t="s">
        <v>84</v>
      </c>
      <c r="B23" s="35">
        <f>Residential!B23</f>
        <v>1197.8871068211181</v>
      </c>
      <c r="C23" s="35">
        <f>Residential!C23</f>
        <v>1221.885697312382</v>
      </c>
      <c r="D23" s="35">
        <f>Residential!D23</f>
        <v>1242.0141202944874</v>
      </c>
      <c r="E23" s="35">
        <f>Residential!E23</f>
        <v>1258.7884545304748</v>
      </c>
      <c r="F23" s="35">
        <f>Residential!F23</f>
        <v>1272.6929673104089</v>
      </c>
      <c r="G23" s="35">
        <f>Residential!G23</f>
        <v>1284.1675816830541</v>
      </c>
      <c r="H23" s="35">
        <f>Residential!H23</f>
        <v>1293.602292731709</v>
      </c>
      <c r="I23" s="35">
        <f>Residential!I23</f>
        <v>1301.3363939185695</v>
      </c>
      <c r="J23" s="35">
        <f>Residential!J23</f>
        <v>1307.6607678488117</v>
      </c>
      <c r="K23" s="35">
        <f>Residential!K23</f>
        <v>1312.8219258894007</v>
      </c>
      <c r="L23" s="35">
        <f>Residential!L23</f>
        <v>1317.026868481061</v>
      </c>
      <c r="M23" s="35">
        <f>Residential!M23</f>
        <v>1320.4481512866635</v>
      </c>
      <c r="N23" s="35">
        <f>Residential!N23</f>
        <v>1323.2287777360821</v>
      </c>
      <c r="O23" s="35">
        <f>Residential!O23</f>
        <v>1325.486705506976</v>
      </c>
      <c r="P23" s="35">
        <f>Residential!P23</f>
        <v>1327.3188669852152</v>
      </c>
      <c r="Q23" s="35">
        <f>Residential!Q23</f>
        <v>1328.8046756664974</v>
      </c>
      <c r="R23" s="35">
        <f>Residential!R23</f>
        <v>1330.009033625417</v>
      </c>
      <c r="S23" s="35">
        <f>Residential!S23</f>
        <v>1330.984878832212</v>
      </c>
      <c r="T23" s="35">
        <f>Residential!T23</f>
        <v>1331.7753220509373</v>
      </c>
      <c r="U23" s="35">
        <f>Residential!U23</f>
        <v>1332.4154261095914</v>
      </c>
      <c r="V23" s="35">
        <f>Residential!V23</f>
        <v>1332.9336787595273</v>
      </c>
      <c r="W23" s="35">
        <f>Residential!W23</f>
        <v>1333.3532062857764</v>
      </c>
      <c r="X23" s="35">
        <f>Residential!X23</f>
        <v>1333.6927698544107</v>
      </c>
      <c r="Y23" s="35">
        <f>Residential!Y23</f>
        <v>1333.9675811167979</v>
      </c>
      <c r="Z23" s="35">
        <f>Residential!Z23</f>
        <v>1334.1899683100096</v>
      </c>
      <c r="AA23" s="35">
        <f>Residential!AA23</f>
        <v>1334.3699192476029</v>
      </c>
      <c r="AB23" s="35">
        <f>Residential!AB23</f>
        <v>1334.5155232942716</v>
      </c>
      <c r="AC23" s="35">
        <f>Residential!AC23</f>
        <v>1334.633330686072</v>
      </c>
      <c r="AD23" s="35">
        <f>Residential!AD23</f>
        <v>1334.7286443719149</v>
      </c>
      <c r="AE23" s="35">
        <f>Residential!AE23</f>
        <v>1334.8057568644397</v>
      </c>
      <c r="AF23" s="35">
        <f>Residential!AF23</f>
        <v>1334.8681423415808</v>
      </c>
      <c r="AG23" s="35">
        <f>Residential!AG23</f>
        <v>1334.9186123748109</v>
      </c>
      <c r="AH23" s="35">
        <f>Residential!AH23</f>
        <v>1334.95944211967</v>
      </c>
      <c r="AI23" s="35">
        <f>Residential!AI23</f>
        <v>1334.9924725374619</v>
      </c>
      <c r="AJ23" s="35">
        <f>Residential!AJ23</f>
        <v>1335.0191931787804</v>
      </c>
      <c r="AK23" s="35">
        <f>Residential!AK23</f>
        <v>1335.0408092107564</v>
      </c>
      <c r="AL23" s="35">
        <f>Residential!AL23</f>
        <v>1335.0582956775181</v>
      </c>
      <c r="AM23" s="35">
        <f>Residential!AM23</f>
        <v>1335.072441419394</v>
      </c>
      <c r="AN23" s="35">
        <f>Residential!AN23</f>
        <v>1335.0838846177326</v>
      </c>
      <c r="AO23" s="49">
        <f>Residential!AO23</f>
        <v>1335.0953279141534</v>
      </c>
      <c r="AP23" s="49">
        <f>Residential!AP23</f>
        <v>1335.106771308657</v>
      </c>
      <c r="AQ23" s="49">
        <f>Residential!AQ23</f>
        <v>1335.1182148012447</v>
      </c>
      <c r="AR23" s="49">
        <f>Residential!AR23</f>
        <v>1335.129658391917</v>
      </c>
      <c r="AS23" s="49">
        <f>Residential!AS23</f>
        <v>1335.1411020806747</v>
      </c>
      <c r="AT23" s="49">
        <f>Residential!AT23</f>
        <v>1335.1525458675189</v>
      </c>
      <c r="AU23" s="49">
        <f>Residential!AU23</f>
        <v>1335.1639897524503</v>
      </c>
      <c r="AV23" s="49">
        <f>Residential!AV23</f>
        <v>1335.1754337354698</v>
      </c>
      <c r="AW23" s="49">
        <f>Residential!AW23</f>
        <v>1335.1868778165781</v>
      </c>
      <c r="AX23" s="49">
        <f>Residential!AX23</f>
        <v>1335.198321995776</v>
      </c>
    </row>
    <row r="25" spans="1:50" x14ac:dyDescent="0.2">
      <c r="A25" s="5" t="s">
        <v>85</v>
      </c>
    </row>
    <row r="26" spans="1:50" x14ac:dyDescent="0.2">
      <c r="A26" s="5" t="s">
        <v>4</v>
      </c>
    </row>
    <row r="27" spans="1:50" x14ac:dyDescent="0.2">
      <c r="A27" s="5" t="s">
        <v>86</v>
      </c>
    </row>
    <row r="28" spans="1:50" x14ac:dyDescent="0.2">
      <c r="A28" s="5" t="s">
        <v>6</v>
      </c>
    </row>
    <row r="29" spans="1:50" x14ac:dyDescent="0.2">
      <c r="A29" s="5"/>
    </row>
    <row r="30" spans="1:50" x14ac:dyDescent="0.2">
      <c r="A30" s="6" t="s">
        <v>7</v>
      </c>
      <c r="B30" s="6">
        <v>2022</v>
      </c>
      <c r="C30" s="6">
        <v>2023</v>
      </c>
      <c r="D30" s="6">
        <v>2024</v>
      </c>
      <c r="E30" s="6">
        <v>2025</v>
      </c>
      <c r="F30" s="6">
        <v>2026</v>
      </c>
      <c r="G30" s="6">
        <v>2027</v>
      </c>
      <c r="H30" s="6">
        <v>2028</v>
      </c>
      <c r="I30" s="6">
        <v>2029</v>
      </c>
      <c r="J30" s="6">
        <v>2030</v>
      </c>
      <c r="K30" s="6">
        <v>2031</v>
      </c>
      <c r="L30" s="6">
        <v>2032</v>
      </c>
      <c r="M30" s="6">
        <v>2033</v>
      </c>
      <c r="N30" s="6">
        <v>2034</v>
      </c>
      <c r="O30" s="6">
        <v>2035</v>
      </c>
      <c r="P30" s="6">
        <v>2036</v>
      </c>
      <c r="Q30" s="6">
        <v>2037</v>
      </c>
      <c r="R30" s="6">
        <v>2038</v>
      </c>
      <c r="S30" s="6">
        <v>2039</v>
      </c>
      <c r="T30" s="6">
        <v>2040</v>
      </c>
      <c r="U30" s="6">
        <v>2041</v>
      </c>
      <c r="V30" s="6">
        <v>2042</v>
      </c>
      <c r="W30" s="6">
        <v>2043</v>
      </c>
      <c r="X30" s="6">
        <v>2044</v>
      </c>
      <c r="Y30" s="6">
        <v>2045</v>
      </c>
      <c r="Z30" s="6">
        <v>2046</v>
      </c>
      <c r="AA30" s="6">
        <v>2047</v>
      </c>
      <c r="AB30" s="6">
        <v>2048</v>
      </c>
      <c r="AC30" s="6">
        <v>2049</v>
      </c>
      <c r="AD30" s="6">
        <v>2050</v>
      </c>
      <c r="AE30" s="6">
        <v>2051</v>
      </c>
      <c r="AF30" s="6">
        <v>2052</v>
      </c>
      <c r="AG30" s="6">
        <v>2053</v>
      </c>
      <c r="AH30" s="6">
        <v>2054</v>
      </c>
      <c r="AI30" s="6">
        <v>2055</v>
      </c>
      <c r="AJ30" s="6">
        <v>2056</v>
      </c>
      <c r="AK30" s="6">
        <v>2057</v>
      </c>
      <c r="AL30" s="6">
        <v>2058</v>
      </c>
      <c r="AM30" s="6">
        <v>2059</v>
      </c>
      <c r="AN30" s="6">
        <v>2060</v>
      </c>
      <c r="AO30" s="46">
        <f>AN30+1</f>
        <v>2061</v>
      </c>
      <c r="AP30" s="46">
        <f t="shared" ref="AP30:AW30" si="3">AO30+1</f>
        <v>2062</v>
      </c>
      <c r="AQ30" s="46">
        <f t="shared" si="3"/>
        <v>2063</v>
      </c>
      <c r="AR30" s="46">
        <f t="shared" si="3"/>
        <v>2064</v>
      </c>
      <c r="AS30" s="46">
        <f t="shared" si="3"/>
        <v>2065</v>
      </c>
      <c r="AT30" s="46">
        <f t="shared" si="3"/>
        <v>2066</v>
      </c>
      <c r="AU30" s="46">
        <f>AT30+1</f>
        <v>2067</v>
      </c>
      <c r="AV30" s="46">
        <f t="shared" si="3"/>
        <v>2068</v>
      </c>
      <c r="AW30" s="46">
        <f t="shared" si="3"/>
        <v>2069</v>
      </c>
      <c r="AX30" s="46">
        <f>AW30+1</f>
        <v>2070</v>
      </c>
    </row>
    <row r="31" spans="1:50" x14ac:dyDescent="0.2">
      <c r="A31" s="6" t="s">
        <v>87</v>
      </c>
      <c r="B31" s="35">
        <f>Residential!B31*Residential!$B$29</f>
        <v>10433175.714882016</v>
      </c>
      <c r="C31" s="35">
        <f>Residential!C31*Residential!$B$29</f>
        <v>9368208.6465701088</v>
      </c>
      <c r="D31" s="35">
        <f>Residential!D31*Residential!$B$29</f>
        <v>8871625.1214866657</v>
      </c>
      <c r="E31" s="35">
        <f>Residential!E31*Residential!$B$29</f>
        <v>8401364.1524742413</v>
      </c>
      <c r="F31" s="35">
        <f>Residential!F31*Residential!$B$29</f>
        <v>7956030.4516847357</v>
      </c>
      <c r="G31" s="35">
        <f>Residential!G31*Residential!$B$29</f>
        <v>7534302.691723356</v>
      </c>
      <c r="H31" s="35">
        <f>Residential!H31*Residential!$B$29</f>
        <v>7134929.5852040621</v>
      </c>
      <c r="I31" s="35">
        <f>Residential!I31*Residential!$B$29</f>
        <v>6756726.1721171876</v>
      </c>
      <c r="J31" s="35">
        <f>Residential!J31*Residential!$B$29</f>
        <v>6398570.3039937858</v>
      </c>
      <c r="K31" s="35">
        <f>Residential!K31*Residential!$B$29</f>
        <v>6059399.3144348795</v>
      </c>
      <c r="L31" s="35">
        <f>Residential!L31*Residential!$B$29</f>
        <v>5738206.8661270691</v>
      </c>
      <c r="M31" s="35">
        <f>Residential!M31*Residential!$B$29</f>
        <v>5434039.9649892878</v>
      </c>
      <c r="N31" s="35">
        <f>Residential!N31*Residential!$B$29</f>
        <v>5145996.1325916601</v>
      </c>
      <c r="O31" s="35">
        <f>Residential!O31*Residential!$B$29</f>
        <v>4873220.7284567701</v>
      </c>
      <c r="P31" s="35">
        <f>Residential!P31*Residential!$B$29</f>
        <v>4614904.4142985921</v>
      </c>
      <c r="Q31" s="35">
        <f>Residential!Q31*Residential!$B$29</f>
        <v>4370280.7526752418</v>
      </c>
      <c r="R31" s="35">
        <f>Residential!R31*Residential!$B$29</f>
        <v>4138623.9329306963</v>
      </c>
      <c r="S31" s="35">
        <f>Residential!S31*Residential!$B$29</f>
        <v>3919246.6176782371</v>
      </c>
      <c r="T31" s="35">
        <f>Residential!T31*Residential!$B$29</f>
        <v>3711497.9034359907</v>
      </c>
      <c r="U31" s="35">
        <f>Residential!U31*Residential!$B$29</f>
        <v>3514761.3893637084</v>
      </c>
      <c r="V31" s="35">
        <f>Residential!V31*Residential!$B$29</f>
        <v>3328453.3483705744</v>
      </c>
      <c r="W31" s="35">
        <f>Residential!W31*Residential!$B$29</f>
        <v>3152020.9951677257</v>
      </c>
      <c r="X31" s="35">
        <f>Residential!X31*Residential!$B$29</f>
        <v>2984940.8461265885</v>
      </c>
      <c r="Y31" s="35">
        <f>Residential!Y31*Residential!$B$29</f>
        <v>2826717.1660767458</v>
      </c>
      <c r="Z31" s="35">
        <f>Residential!Z31*Residential!$B$29</f>
        <v>2676880.4974348485</v>
      </c>
      <c r="AA31" s="35">
        <f>Residential!AA31*Residential!$B$29</f>
        <v>2534986.2673004679</v>
      </c>
      <c r="AB31" s="35">
        <f>Residential!AB31*Residential!$B$29</f>
        <v>2400613.4683860177</v>
      </c>
      <c r="AC31" s="35">
        <f>Residential!AC31*Residential!$B$29</f>
        <v>2273363.4098670539</v>
      </c>
      <c r="AD31" s="35">
        <f>Residential!AD31*Residential!$B$29</f>
        <v>2152858.5344466278</v>
      </c>
      <c r="AE31" s="35">
        <f>Residential!AE31*Residential!$B$29</f>
        <v>2038741.2981238766</v>
      </c>
      <c r="AF31" s="35">
        <f>Residential!AF31*Residential!$B$29</f>
        <v>1930673.109343068</v>
      </c>
      <c r="AG31" s="35">
        <f>Residential!AG31*Residential!$B$29</f>
        <v>1828333.3243754904</v>
      </c>
      <c r="AH31" s="35">
        <f>Residential!AH31*Residential!$B$29</f>
        <v>1731418.295953454</v>
      </c>
      <c r="AI31" s="35">
        <f>Residential!AI31*Residential!$B$29</f>
        <v>1639640.4723336399</v>
      </c>
      <c r="AJ31" s="35">
        <f>Residential!AJ31*Residential!$B$29</f>
        <v>1552727.5441166726</v>
      </c>
      <c r="AK31" s="35">
        <f>Residential!AK31*Residential!$B$29</f>
        <v>1470421.6362914974</v>
      </c>
      <c r="AL31" s="35">
        <f>Residential!AL31*Residential!$B$29</f>
        <v>1392478.5431073022</v>
      </c>
      <c r="AM31" s="35">
        <f>Residential!AM31*Residential!$B$29</f>
        <v>1318667.0035028292</v>
      </c>
      <c r="AN31" s="35">
        <f>Residential!AN31*Residential!$B$29</f>
        <v>1248768.0149432186</v>
      </c>
      <c r="AO31" s="49">
        <f>Residential!AO31*Residential!$B$29</f>
        <v>1182574.1836285212</v>
      </c>
      <c r="AP31" s="49">
        <f>Residential!AP31*Residential!$B$29</f>
        <v>1119889.1091459068</v>
      </c>
      <c r="AQ31" s="49">
        <f>Residential!AQ31*Residential!$B$29</f>
        <v>1060526.8017398017</v>
      </c>
      <c r="AR31" s="49">
        <f>Residential!AR31*Residential!$B$29</f>
        <v>1004311.1304709697</v>
      </c>
      <c r="AS31" s="49">
        <f>Residential!AS31*Residential!$B$29</f>
        <v>951075.30062719272</v>
      </c>
      <c r="AT31" s="49">
        <f>Residential!AT31*Residential!$B$29</f>
        <v>900661.35883500637</v>
      </c>
      <c r="AU31" s="49">
        <f>Residential!AU31*Residential!$B$29</f>
        <v>852919.7244041299</v>
      </c>
      <c r="AV31" s="49">
        <f>Residential!AV31*Residential!$B$29</f>
        <v>807708.74551406584</v>
      </c>
      <c r="AW31" s="49">
        <f>Residential!AW31*Residential!$B$29</f>
        <v>764894.27892605437</v>
      </c>
      <c r="AX31" s="49">
        <f>Residential!AX31*Residential!$B$29</f>
        <v>724349.29197336512</v>
      </c>
    </row>
    <row r="33" spans="1:50" x14ac:dyDescent="0.2">
      <c r="A33" s="5" t="s">
        <v>88</v>
      </c>
    </row>
    <row r="34" spans="1:50" x14ac:dyDescent="0.2">
      <c r="A34" s="5" t="s">
        <v>4</v>
      </c>
    </row>
    <row r="35" spans="1:50" x14ac:dyDescent="0.2">
      <c r="A35" s="5" t="s">
        <v>89</v>
      </c>
    </row>
    <row r="36" spans="1:50" x14ac:dyDescent="0.2">
      <c r="A36" s="5" t="s">
        <v>6</v>
      </c>
    </row>
    <row r="37" spans="1:50" x14ac:dyDescent="0.2">
      <c r="A37" s="5"/>
    </row>
    <row r="38" spans="1:50" x14ac:dyDescent="0.2">
      <c r="A38" s="6" t="s">
        <v>7</v>
      </c>
      <c r="B38" s="6">
        <v>2022</v>
      </c>
      <c r="C38" s="6">
        <v>2023</v>
      </c>
      <c r="D38" s="6">
        <v>2024</v>
      </c>
      <c r="E38" s="6">
        <v>2025</v>
      </c>
      <c r="F38" s="6">
        <v>2026</v>
      </c>
      <c r="G38" s="6">
        <v>2027</v>
      </c>
      <c r="H38" s="6">
        <v>2028</v>
      </c>
      <c r="I38" s="6">
        <v>2029</v>
      </c>
      <c r="J38" s="6">
        <v>2030</v>
      </c>
      <c r="K38" s="6">
        <v>2031</v>
      </c>
      <c r="L38" s="6">
        <v>2032</v>
      </c>
      <c r="M38" s="6">
        <v>2033</v>
      </c>
      <c r="N38" s="6">
        <v>2034</v>
      </c>
      <c r="O38" s="6">
        <v>2035</v>
      </c>
      <c r="P38" s="6">
        <v>2036</v>
      </c>
      <c r="Q38" s="6">
        <v>2037</v>
      </c>
      <c r="R38" s="6">
        <v>2038</v>
      </c>
      <c r="S38" s="6">
        <v>2039</v>
      </c>
      <c r="T38" s="6">
        <v>2040</v>
      </c>
      <c r="U38" s="6">
        <v>2041</v>
      </c>
      <c r="V38" s="6">
        <v>2042</v>
      </c>
      <c r="W38" s="6">
        <v>2043</v>
      </c>
      <c r="X38" s="6">
        <v>2044</v>
      </c>
      <c r="Y38" s="6">
        <v>2045</v>
      </c>
      <c r="Z38" s="6">
        <v>2046</v>
      </c>
      <c r="AA38" s="6">
        <v>2047</v>
      </c>
      <c r="AB38" s="6">
        <v>2048</v>
      </c>
      <c r="AC38" s="6">
        <v>2049</v>
      </c>
      <c r="AD38" s="6">
        <v>2050</v>
      </c>
      <c r="AE38" s="6">
        <v>2051</v>
      </c>
      <c r="AF38" s="6">
        <v>2052</v>
      </c>
      <c r="AG38" s="6">
        <v>2053</v>
      </c>
      <c r="AH38" s="6">
        <v>2054</v>
      </c>
      <c r="AI38" s="6">
        <v>2055</v>
      </c>
      <c r="AJ38" s="6">
        <v>2056</v>
      </c>
      <c r="AK38" s="6">
        <v>2057</v>
      </c>
      <c r="AL38" s="6">
        <v>2058</v>
      </c>
      <c r="AM38" s="6">
        <v>2059</v>
      </c>
      <c r="AN38" s="6">
        <v>2060</v>
      </c>
      <c r="AO38" s="46">
        <f>AN38+1</f>
        <v>2061</v>
      </c>
      <c r="AP38" s="46">
        <f t="shared" ref="AP38:AW38" si="4">AO38+1</f>
        <v>2062</v>
      </c>
      <c r="AQ38" s="46">
        <f t="shared" si="4"/>
        <v>2063</v>
      </c>
      <c r="AR38" s="46">
        <f t="shared" si="4"/>
        <v>2064</v>
      </c>
      <c r="AS38" s="46">
        <f t="shared" si="4"/>
        <v>2065</v>
      </c>
      <c r="AT38" s="46">
        <f t="shared" si="4"/>
        <v>2066</v>
      </c>
      <c r="AU38" s="46">
        <f>AT38+1</f>
        <v>2067</v>
      </c>
      <c r="AV38" s="46">
        <f t="shared" si="4"/>
        <v>2068</v>
      </c>
      <c r="AW38" s="46">
        <f t="shared" si="4"/>
        <v>2069</v>
      </c>
      <c r="AX38" s="46">
        <f>AW38+1</f>
        <v>2070</v>
      </c>
    </row>
    <row r="39" spans="1:50" x14ac:dyDescent="0.2">
      <c r="A39" s="6" t="s">
        <v>90</v>
      </c>
      <c r="B39" s="35">
        <f>Residential!B39*Residential!$B$45</f>
        <v>98907308.472031355</v>
      </c>
      <c r="C39" s="35">
        <f>Residential!C39*Residential!$B$45</f>
        <v>87625206.995929822</v>
      </c>
      <c r="D39" s="35">
        <f>Residential!D39*Residential!$B$45</f>
        <v>77630025.725053027</v>
      </c>
      <c r="E39" s="35">
        <f>Residential!E39*Residential!$B$45</f>
        <v>68774968.992111146</v>
      </c>
      <c r="F39" s="35">
        <f>Residential!F39*Residential!$B$45</f>
        <v>60929985.732818998</v>
      </c>
      <c r="G39" s="35">
        <f>Residential!G39*Residential!$B$45</f>
        <v>53979859.47223565</v>
      </c>
      <c r="H39" s="35">
        <f>Residential!H39*Residential!$B$45</f>
        <v>47822516.181434512</v>
      </c>
      <c r="I39" s="35">
        <f>Residential!I39*Residential!$B$45</f>
        <v>42367525.152596429</v>
      </c>
      <c r="J39" s="35">
        <f>Residential!J39*Residential!$B$45</f>
        <v>37534770.875413366</v>
      </c>
      <c r="K39" s="35">
        <f>Residential!K39*Residential!$B$45</f>
        <v>33253276.40912341</v>
      </c>
      <c r="L39" s="35">
        <f>Residential!L39*Residential!$B$45</f>
        <v>29460160.969462328</v>
      </c>
      <c r="M39" s="35">
        <f>Residential!M39*Residential!$B$45</f>
        <v>26099716.420981403</v>
      </c>
      <c r="N39" s="35">
        <f>Residential!N39*Residential!$B$45</f>
        <v>23122589.111504052</v>
      </c>
      <c r="O39" s="35">
        <f>Residential!O39*Residential!$B$45</f>
        <v>20485055.032614857</v>
      </c>
      <c r="P39" s="35">
        <f>Residential!P39*Residential!$B$45</f>
        <v>18148377.660721369</v>
      </c>
      <c r="Q39" s="35">
        <f>Residential!Q39*Residential!$B$45</f>
        <v>16078239.047529092</v>
      </c>
      <c r="R39" s="35">
        <f>Residential!R39*Residential!$B$45</f>
        <v>14244235.804558059</v>
      </c>
      <c r="S39" s="35">
        <f>Residential!S39*Residential!$B$45</f>
        <v>12619432.57940523</v>
      </c>
      <c r="T39" s="35">
        <f>Residential!T39*Residential!$B$45</f>
        <v>11179966.46581736</v>
      </c>
      <c r="U39" s="35">
        <f>Residential!U39*Residential!$B$45</f>
        <v>9904696.5376863088</v>
      </c>
      <c r="V39" s="35">
        <f>Residential!V39*Residential!$B$45</f>
        <v>8774893.3597971071</v>
      </c>
      <c r="W39" s="35">
        <f>Residential!W39*Residential!$B$45</f>
        <v>7773963.9152839649</v>
      </c>
      <c r="X39" s="35">
        <f>Residential!X39*Residential!$B$45</f>
        <v>6887207.9099015463</v>
      </c>
      <c r="Y39" s="35">
        <f>Residential!Y39*Residential!$B$45</f>
        <v>6101601.8740392886</v>
      </c>
      <c r="Z39" s="35">
        <f>Residential!Z39*Residential!$B$45</f>
        <v>5405607.8916618535</v>
      </c>
      <c r="AA39" s="35">
        <f>Residential!AA39*Residential!$B$45</f>
        <v>4789004.1470458545</v>
      </c>
      <c r="AB39" s="35">
        <f>Residential!AB39*Residential!$B$45</f>
        <v>4242734.8006130718</v>
      </c>
      <c r="AC39" s="35">
        <f>Residential!AC39*Residential!$B$45</f>
        <v>3758776.9890400302</v>
      </c>
      <c r="AD39" s="35">
        <f>Residential!AD39*Residential!$B$45</f>
        <v>3330022.9963219222</v>
      </c>
      <c r="AE39" s="35">
        <f>Residential!AE39*Residential!$B$45</f>
        <v>2950175.8652792308</v>
      </c>
      <c r="AF39" s="35">
        <f>Residential!AF39*Residential!$B$45</f>
        <v>2613656.9163904558</v>
      </c>
      <c r="AG39" s="35">
        <f>Residential!AG39*Residential!$B$45</f>
        <v>2315523.8157129656</v>
      </c>
      <c r="AH39" s="35">
        <f>Residential!AH39*Residential!$B$45</f>
        <v>2051397.9885847231</v>
      </c>
      <c r="AI39" s="35">
        <f>Residential!AI39*Residential!$B$45</f>
        <v>1817400.3130577626</v>
      </c>
      <c r="AJ39" s="35">
        <f>Residential!AJ39*Residential!$B$45</f>
        <v>1610094.1486157847</v>
      </c>
      <c r="AK39" s="35">
        <f>Residential!AK39*Residential!$B$45</f>
        <v>1426434.8634589429</v>
      </c>
      <c r="AL39" s="35">
        <f>Residential!AL39*Residential!$B$45</f>
        <v>1263725.1190810176</v>
      </c>
      <c r="AM39" s="35">
        <f>Residential!AM39*Residential!$B$45</f>
        <v>1119575.2554195051</v>
      </c>
      <c r="AN39" s="35">
        <f>Residential!AN39*Residential!$B$45</f>
        <v>991868.19476941228</v>
      </c>
      <c r="AO39" s="49">
        <f>Residential!AO39*Residential!$B$45</f>
        <v>878728.34901705803</v>
      </c>
      <c r="AP39" s="49">
        <f>Residential!AP39*Residential!$B$45</f>
        <v>778494.07354548317</v>
      </c>
      <c r="AQ39" s="49">
        <f>Residential!AQ39*Residential!$B$45</f>
        <v>689693.26325179869</v>
      </c>
      <c r="AR39" s="49">
        <f>Residential!AR39*Residential!$B$45</f>
        <v>611021.73226386623</v>
      </c>
      <c r="AS39" s="49">
        <f>Residential!AS39*Residential!$B$45</f>
        <v>541324.05982691352</v>
      </c>
      <c r="AT39" s="49">
        <f>Residential!AT39*Residential!$B$45</f>
        <v>479576.62105044047</v>
      </c>
      <c r="AU39" s="49">
        <f>Residential!AU39*Residential!$B$45</f>
        <v>424872.55329404247</v>
      </c>
      <c r="AV39" s="49">
        <f>Residential!AV39*Residential!$B$45</f>
        <v>376408.43739881297</v>
      </c>
      <c r="AW39" s="49">
        <f>Residential!AW39*Residential!$B$45</f>
        <v>333472.49815631419</v>
      </c>
      <c r="AX39" s="49">
        <f>Residential!AX39*Residential!$B$45</f>
        <v>295434.15071960783</v>
      </c>
    </row>
    <row r="41" spans="1:50" x14ac:dyDescent="0.2">
      <c r="A41" s="5" t="s">
        <v>91</v>
      </c>
    </row>
    <row r="42" spans="1:50" x14ac:dyDescent="0.2">
      <c r="A42" s="5" t="s">
        <v>4</v>
      </c>
    </row>
    <row r="43" spans="1:50" x14ac:dyDescent="0.2">
      <c r="A43" s="5" t="s">
        <v>92</v>
      </c>
    </row>
    <row r="44" spans="1:50" x14ac:dyDescent="0.2">
      <c r="A44" s="5" t="s">
        <v>6</v>
      </c>
    </row>
    <row r="45" spans="1:50" x14ac:dyDescent="0.2">
      <c r="A45" s="5"/>
    </row>
    <row r="46" spans="1:50" x14ac:dyDescent="0.2">
      <c r="A46" s="6" t="s">
        <v>7</v>
      </c>
      <c r="B46" s="6">
        <v>2022</v>
      </c>
      <c r="C46" s="6">
        <v>2023</v>
      </c>
      <c r="D46" s="6">
        <v>2024</v>
      </c>
      <c r="E46" s="6">
        <v>2025</v>
      </c>
      <c r="F46" s="6">
        <v>2026</v>
      </c>
      <c r="G46" s="6">
        <v>2027</v>
      </c>
      <c r="H46" s="6">
        <v>2028</v>
      </c>
      <c r="I46" s="6">
        <v>2029</v>
      </c>
      <c r="J46" s="6">
        <v>2030</v>
      </c>
      <c r="K46" s="6">
        <v>2031</v>
      </c>
      <c r="L46" s="6">
        <v>2032</v>
      </c>
      <c r="M46" s="6">
        <v>2033</v>
      </c>
      <c r="N46" s="6">
        <v>2034</v>
      </c>
      <c r="O46" s="6">
        <v>2035</v>
      </c>
      <c r="P46" s="6">
        <v>2036</v>
      </c>
      <c r="Q46" s="6">
        <v>2037</v>
      </c>
      <c r="R46" s="6">
        <v>2038</v>
      </c>
      <c r="S46" s="6">
        <v>2039</v>
      </c>
      <c r="T46" s="6">
        <v>2040</v>
      </c>
      <c r="U46" s="6">
        <v>2041</v>
      </c>
      <c r="V46" s="6">
        <v>2042</v>
      </c>
      <c r="W46" s="6">
        <v>2043</v>
      </c>
      <c r="X46" s="6">
        <v>2044</v>
      </c>
      <c r="Y46" s="6">
        <v>2045</v>
      </c>
      <c r="Z46" s="6">
        <v>2046</v>
      </c>
      <c r="AA46" s="6">
        <v>2047</v>
      </c>
      <c r="AB46" s="6">
        <v>2048</v>
      </c>
      <c r="AC46" s="6">
        <v>2049</v>
      </c>
      <c r="AD46" s="6">
        <v>2050</v>
      </c>
      <c r="AE46" s="6">
        <v>2051</v>
      </c>
      <c r="AF46" s="6">
        <v>2052</v>
      </c>
      <c r="AG46" s="6">
        <v>2053</v>
      </c>
      <c r="AH46" s="6">
        <v>2054</v>
      </c>
      <c r="AI46" s="6">
        <v>2055</v>
      </c>
      <c r="AJ46" s="6">
        <v>2056</v>
      </c>
      <c r="AK46" s="6">
        <v>2057</v>
      </c>
      <c r="AL46" s="6">
        <v>2058</v>
      </c>
      <c r="AM46" s="6">
        <v>2059</v>
      </c>
      <c r="AN46" s="6">
        <v>2060</v>
      </c>
      <c r="AO46" s="46">
        <f>AN46+1</f>
        <v>2061</v>
      </c>
      <c r="AP46" s="46">
        <f t="shared" ref="AP46:AW46" si="5">AO46+1</f>
        <v>2062</v>
      </c>
      <c r="AQ46" s="46">
        <f t="shared" si="5"/>
        <v>2063</v>
      </c>
      <c r="AR46" s="46">
        <f t="shared" si="5"/>
        <v>2064</v>
      </c>
      <c r="AS46" s="46">
        <f t="shared" si="5"/>
        <v>2065</v>
      </c>
      <c r="AT46" s="46">
        <f t="shared" si="5"/>
        <v>2066</v>
      </c>
      <c r="AU46" s="46">
        <f>AT46+1</f>
        <v>2067</v>
      </c>
      <c r="AV46" s="46">
        <f t="shared" si="5"/>
        <v>2068</v>
      </c>
      <c r="AW46" s="46">
        <f t="shared" si="5"/>
        <v>2069</v>
      </c>
      <c r="AX46" s="46">
        <f>AW46+1</f>
        <v>2070</v>
      </c>
    </row>
    <row r="47" spans="1:50" x14ac:dyDescent="0.2">
      <c r="A47" s="6" t="s">
        <v>93</v>
      </c>
      <c r="B47" s="35">
        <f>Residential!B47*Residential!$B$45</f>
        <v>2100000</v>
      </c>
      <c r="C47" s="35">
        <f>Residential!C47*Residential!$B$45</f>
        <v>2400000</v>
      </c>
      <c r="D47" s="35">
        <f>Residential!D47*Residential!$B$45</f>
        <v>2700000</v>
      </c>
      <c r="E47" s="35">
        <f>Residential!E47*Residential!$B$45</f>
        <v>3000000</v>
      </c>
      <c r="F47" s="35">
        <f>Residential!F47*Residential!$B$45</f>
        <v>3400000</v>
      </c>
      <c r="G47" s="35">
        <f>Residential!G47*Residential!$B$45</f>
        <v>3800000</v>
      </c>
      <c r="H47" s="35">
        <f>Residential!H47*Residential!$B$45</f>
        <v>4300000</v>
      </c>
      <c r="I47" s="35">
        <f>Residential!I47*Residential!$B$45</f>
        <v>4800000</v>
      </c>
      <c r="J47" s="35">
        <f>Residential!J47*Residential!$B$45</f>
        <v>5400000</v>
      </c>
      <c r="K47" s="35">
        <f>Residential!K47*Residential!$B$45</f>
        <v>6100000</v>
      </c>
      <c r="L47" s="35">
        <f>Residential!L47*Residential!$B$45</f>
        <v>6900000</v>
      </c>
      <c r="M47" s="35">
        <f>Residential!M47*Residential!$B$45</f>
        <v>7700000</v>
      </c>
      <c r="N47" s="35">
        <f>Residential!N47*Residential!$B$45</f>
        <v>8700000</v>
      </c>
      <c r="O47" s="35">
        <f>Residential!O47*Residential!$B$45</f>
        <v>9800000</v>
      </c>
      <c r="P47" s="35">
        <f>Residential!P47*Residential!$B$45</f>
        <v>11000000</v>
      </c>
      <c r="Q47" s="35">
        <f>Residential!Q47*Residential!$B$45</f>
        <v>12400000</v>
      </c>
      <c r="R47" s="35">
        <f>Residential!R47*Residential!$B$45</f>
        <v>14000000</v>
      </c>
      <c r="S47" s="35">
        <f>Residential!S47*Residential!$B$45</f>
        <v>15800000</v>
      </c>
      <c r="T47" s="35">
        <f>Residential!T47*Residential!$B$45</f>
        <v>16590000</v>
      </c>
      <c r="U47" s="35">
        <f>Residential!U47*Residential!$B$45</f>
        <v>17390000</v>
      </c>
      <c r="V47" s="35">
        <f>Residential!V47*Residential!$B$45</f>
        <v>18190000</v>
      </c>
      <c r="W47" s="35">
        <f>Residential!W47*Residential!$B$45</f>
        <v>18990000</v>
      </c>
      <c r="X47" s="35">
        <f>Residential!X47*Residential!$B$45</f>
        <v>19780000</v>
      </c>
      <c r="Y47" s="35">
        <f>Residential!Y47*Residential!$B$45</f>
        <v>20580000</v>
      </c>
      <c r="Z47" s="35">
        <f>Residential!Z47*Residential!$B$45</f>
        <v>21360000</v>
      </c>
      <c r="AA47" s="35">
        <f>Residential!AA47*Residential!$B$45</f>
        <v>22130000</v>
      </c>
      <c r="AB47" s="35">
        <f>Residential!AB47*Residential!$B$45</f>
        <v>22880000</v>
      </c>
      <c r="AC47" s="35">
        <f>Residential!AC47*Residential!$B$45</f>
        <v>23610000</v>
      </c>
      <c r="AD47" s="35">
        <f>Residential!AD47*Residential!$B$45</f>
        <v>24320000</v>
      </c>
      <c r="AE47" s="35">
        <f>Residential!AE47*Residential!$B$45</f>
        <v>25000000</v>
      </c>
      <c r="AF47" s="35">
        <f>Residential!AF47*Residential!$B$45</f>
        <v>25650000</v>
      </c>
      <c r="AG47" s="35">
        <f>Residential!AG47*Residential!$B$45</f>
        <v>26260000</v>
      </c>
      <c r="AH47" s="35">
        <f>Residential!AH47*Residential!$B$45</f>
        <v>26840000</v>
      </c>
      <c r="AI47" s="35">
        <f>Residential!AI47*Residential!$B$45</f>
        <v>27380000</v>
      </c>
      <c r="AJ47" s="35">
        <f>Residential!AJ47*Residential!$B$45</f>
        <v>27870000</v>
      </c>
      <c r="AK47" s="35">
        <f>Residential!AK47*Residential!$B$45</f>
        <v>28320000</v>
      </c>
      <c r="AL47" s="35">
        <f>Residential!AL47*Residential!$B$45</f>
        <v>28710000</v>
      </c>
      <c r="AM47" s="35">
        <f>Residential!AM47*Residential!$B$45</f>
        <v>29060000</v>
      </c>
      <c r="AN47" s="35">
        <f>Residential!AN47*Residential!$B$45</f>
        <v>29350000</v>
      </c>
      <c r="AO47" s="49">
        <f>Residential!AO47*Residential!$B$45</f>
        <v>29642894.012388166</v>
      </c>
      <c r="AP47" s="49">
        <f>Residential!AP47*Residential!$B$45</f>
        <v>29938710.917535882</v>
      </c>
      <c r="AQ47" s="49">
        <f>Residential!AQ47*Residential!$B$45</f>
        <v>30237479.88402196</v>
      </c>
      <c r="AR47" s="49">
        <f>Residential!AR47*Residential!$B$45</f>
        <v>30539230.371508766</v>
      </c>
      <c r="AS47" s="49">
        <f>Residential!AS47*Residential!$B$45</f>
        <v>30843992.133647017</v>
      </c>
      <c r="AT47" s="49">
        <f>Residential!AT47*Residential!$B$45</f>
        <v>31151795.221009634</v>
      </c>
      <c r="AU47" s="49">
        <f>Residential!AU47*Residential!$B$45</f>
        <v>31462669.984054811</v>
      </c>
      <c r="AV47" s="49">
        <f>Residential!AV47*Residential!$B$45</f>
        <v>31776647.076118682</v>
      </c>
      <c r="AW47" s="49">
        <f>Residential!AW47*Residential!$B$45</f>
        <v>32093757.456437834</v>
      </c>
      <c r="AX47" s="49">
        <f>Residential!AX47*Residential!$B$45</f>
        <v>32414032.393202014</v>
      </c>
    </row>
    <row r="49" spans="1:50" x14ac:dyDescent="0.2">
      <c r="A49" s="5" t="s">
        <v>94</v>
      </c>
    </row>
    <row r="50" spans="1:50" x14ac:dyDescent="0.2">
      <c r="A50" s="5" t="s">
        <v>4</v>
      </c>
    </row>
    <row r="51" spans="1:50" x14ac:dyDescent="0.2">
      <c r="A51" s="5" t="s">
        <v>95</v>
      </c>
    </row>
    <row r="52" spans="1:50" x14ac:dyDescent="0.2">
      <c r="A52" s="5" t="s">
        <v>6</v>
      </c>
    </row>
    <row r="53" spans="1:50" x14ac:dyDescent="0.2">
      <c r="A53" s="5"/>
    </row>
    <row r="54" spans="1:50" x14ac:dyDescent="0.2">
      <c r="A54" s="6" t="s">
        <v>7</v>
      </c>
      <c r="B54" s="6">
        <v>2022</v>
      </c>
      <c r="C54" s="6">
        <v>2023</v>
      </c>
      <c r="D54" s="6">
        <v>2024</v>
      </c>
      <c r="E54" s="6">
        <v>2025</v>
      </c>
      <c r="F54" s="6">
        <v>2026</v>
      </c>
      <c r="G54" s="6">
        <v>2027</v>
      </c>
      <c r="H54" s="6">
        <v>2028</v>
      </c>
      <c r="I54" s="6">
        <v>2029</v>
      </c>
      <c r="J54" s="6">
        <v>2030</v>
      </c>
      <c r="K54" s="6">
        <v>2031</v>
      </c>
      <c r="L54" s="6">
        <v>2032</v>
      </c>
      <c r="M54" s="6">
        <v>2033</v>
      </c>
      <c r="N54" s="6">
        <v>2034</v>
      </c>
      <c r="O54" s="6">
        <v>2035</v>
      </c>
      <c r="P54" s="6">
        <v>2036</v>
      </c>
      <c r="Q54" s="6">
        <v>2037</v>
      </c>
      <c r="R54" s="6">
        <v>2038</v>
      </c>
      <c r="S54" s="6">
        <v>2039</v>
      </c>
      <c r="T54" s="6">
        <v>2040</v>
      </c>
      <c r="U54" s="6">
        <v>2041</v>
      </c>
      <c r="V54" s="6">
        <v>2042</v>
      </c>
      <c r="W54" s="6">
        <v>2043</v>
      </c>
      <c r="X54" s="6">
        <v>2044</v>
      </c>
      <c r="Y54" s="6">
        <v>2045</v>
      </c>
      <c r="Z54" s="6">
        <v>2046</v>
      </c>
      <c r="AA54" s="6">
        <v>2047</v>
      </c>
      <c r="AB54" s="6">
        <v>2048</v>
      </c>
      <c r="AC54" s="6">
        <v>2049</v>
      </c>
      <c r="AD54" s="6">
        <v>2050</v>
      </c>
      <c r="AE54" s="6">
        <v>2051</v>
      </c>
      <c r="AF54" s="6">
        <v>2052</v>
      </c>
      <c r="AG54" s="6">
        <v>2053</v>
      </c>
      <c r="AH54" s="6">
        <v>2054</v>
      </c>
      <c r="AI54" s="6">
        <v>2055</v>
      </c>
      <c r="AJ54" s="6">
        <v>2056</v>
      </c>
      <c r="AK54" s="6">
        <v>2057</v>
      </c>
      <c r="AL54" s="6">
        <v>2058</v>
      </c>
      <c r="AM54" s="6">
        <v>2059</v>
      </c>
      <c r="AN54" s="6">
        <v>2060</v>
      </c>
      <c r="AO54" s="46">
        <f>AN54+1</f>
        <v>2061</v>
      </c>
      <c r="AP54" s="46">
        <f t="shared" ref="AP54:AW54" si="6">AO54+1</f>
        <v>2062</v>
      </c>
      <c r="AQ54" s="46">
        <f t="shared" si="6"/>
        <v>2063</v>
      </c>
      <c r="AR54" s="46">
        <f t="shared" si="6"/>
        <v>2064</v>
      </c>
      <c r="AS54" s="46">
        <f t="shared" si="6"/>
        <v>2065</v>
      </c>
      <c r="AT54" s="46">
        <f t="shared" si="6"/>
        <v>2066</v>
      </c>
      <c r="AU54" s="46">
        <f>AT54+1</f>
        <v>2067</v>
      </c>
      <c r="AV54" s="46">
        <f t="shared" si="6"/>
        <v>2068</v>
      </c>
      <c r="AW54" s="46">
        <f t="shared" si="6"/>
        <v>2069</v>
      </c>
      <c r="AX54" s="46">
        <f>AW54+1</f>
        <v>2070</v>
      </c>
    </row>
    <row r="55" spans="1:50" x14ac:dyDescent="0.2">
      <c r="A55" s="6" t="s">
        <v>96</v>
      </c>
      <c r="B55" s="35">
        <f>Residential!B55*Residential!$B$53</f>
        <v>395523132.80413288</v>
      </c>
      <c r="C55" s="35">
        <f>Residential!C55*Residential!$B$53</f>
        <v>401730231.80878574</v>
      </c>
      <c r="D55" s="35">
        <f>Residential!D55*Residential!$B$53</f>
        <v>406976207.46336383</v>
      </c>
      <c r="E55" s="35">
        <f>Residential!E55*Residential!$B$53</f>
        <v>411635696.65873033</v>
      </c>
      <c r="F55" s="35">
        <f>Residential!F55*Residential!$B$53</f>
        <v>418342708.40860581</v>
      </c>
      <c r="G55" s="35">
        <f>Residential!G55*Residential!$B$53</f>
        <v>424534294.47811168</v>
      </c>
      <c r="H55" s="35">
        <f>Residential!H55*Residential!$B$53</f>
        <v>430237207.17513394</v>
      </c>
      <c r="I55" s="35">
        <f>Residential!I55*Residential!$B$53</f>
        <v>435471520.65853816</v>
      </c>
      <c r="J55" s="35">
        <f>Residential!J55*Residential!$B$53</f>
        <v>440250932.12749869</v>
      </c>
      <c r="K55" s="35">
        <f>Residential!K55*Residential!$B$53</f>
        <v>443932577.38916856</v>
      </c>
      <c r="L55" s="35">
        <f>Residential!L55*Residential!$B$53</f>
        <v>447170358.52693939</v>
      </c>
      <c r="M55" s="35">
        <f>Residential!M55*Residential!$B$53</f>
        <v>449959948.77570474</v>
      </c>
      <c r="N55" s="35">
        <f>Residential!N55*Residential!$B$53</f>
        <v>452290957.05036396</v>
      </c>
      <c r="O55" s="35">
        <f>Residential!O55*Residential!$B$53</f>
        <v>454146783.96618092</v>
      </c>
      <c r="P55" s="35">
        <f>Residential!P55*Residential!$B$53</f>
        <v>455000649.58812392</v>
      </c>
      <c r="Q55" s="35">
        <f>Residential!Q55*Residential!$B$53</f>
        <v>455330676.34846085</v>
      </c>
      <c r="R55" s="35">
        <f>Residential!R55*Residential!$B$53</f>
        <v>455100221.54953486</v>
      </c>
      <c r="S55" s="35">
        <f>Residential!S55*Residential!$B$53</f>
        <v>454265005.59838235</v>
      </c>
      <c r="T55" s="35">
        <f>Residential!T55*Residential!$B$53</f>
        <v>452772499.67523921</v>
      </c>
      <c r="U55" s="35">
        <f>Residential!U55*Residential!$B$53</f>
        <v>449921669.20178896</v>
      </c>
      <c r="V55" s="35">
        <f>Residential!V55*Residential!$B$53</f>
        <v>446285105.83726388</v>
      </c>
      <c r="W55" s="35">
        <f>Residential!W55*Residential!$B$53</f>
        <v>441781432.19617897</v>
      </c>
      <c r="X55" s="35">
        <f>Residential!X55*Residential!$B$53</f>
        <v>436317444.25040042</v>
      </c>
      <c r="Y55" s="35">
        <f>Residential!Y55*Residential!$B$53</f>
        <v>429786829.75568581</v>
      </c>
      <c r="Z55" s="35">
        <f>Residential!Z55*Residential!$B$53</f>
        <v>421468366.18030137</v>
      </c>
      <c r="AA55" s="35">
        <f>Residential!AA55*Residential!$B$53</f>
        <v>411832562.05901611</v>
      </c>
      <c r="AB55" s="35">
        <f>Residential!AB55*Residential!$B$53</f>
        <v>400725451.05740368</v>
      </c>
      <c r="AC55" s="35">
        <f>Residential!AC55*Residential!$B$53</f>
        <v>387973011.95555371</v>
      </c>
      <c r="AD55" s="35">
        <f>Residential!AD55*Residential!$B$53</f>
        <v>373378785.18085998</v>
      </c>
      <c r="AE55" s="35">
        <f>Residential!AE55*Residential!$B$53</f>
        <v>355324082.23109126</v>
      </c>
      <c r="AF55" s="35">
        <f>Residential!AF55*Residential!$B$53</f>
        <v>334986707.48613787</v>
      </c>
      <c r="AG55" s="35">
        <f>Residential!AG55*Residential!$B$53</f>
        <v>312090608.26789027</v>
      </c>
      <c r="AH55" s="35">
        <f>Residential!AH55*Residential!$B$53</f>
        <v>286325108.47337943</v>
      </c>
      <c r="AI55" s="35">
        <f>Residential!AI55*Residential!$B$53</f>
        <v>257340687.29851857</v>
      </c>
      <c r="AJ55" s="35">
        <f>Residential!AJ55*Residential!$B$53</f>
        <v>224744229.25979629</v>
      </c>
      <c r="AK55" s="35">
        <f>Residential!AK55*Residential!$B$53</f>
        <v>188093680.73804364</v>
      </c>
      <c r="AL55" s="35">
        <f>Residential!AL55*Residential!$B$53</f>
        <v>146892040.15763521</v>
      </c>
      <c r="AM55" s="35">
        <f>Residential!AM55*Residential!$B$53</f>
        <v>100580599.80593428</v>
      </c>
      <c r="AN55" s="35">
        <f>Residential!AN55*Residential!$B$53</f>
        <v>48531347.066530183</v>
      </c>
      <c r="AO55" s="49">
        <f>Residential!AO55*Residential!$B$53</f>
        <v>23416957.670131575</v>
      </c>
      <c r="AP55" s="49">
        <f>Residential!AP55*Residential!$B$53</f>
        <v>11298963.240666123</v>
      </c>
      <c r="AQ55" s="49">
        <f>Residential!AQ55*Residential!$B$53</f>
        <v>5451885.4290266531</v>
      </c>
      <c r="AR55" s="49">
        <f>Residential!AR55*Residential!$B$53</f>
        <v>2630600.1796923126</v>
      </c>
      <c r="AS55" s="49">
        <f>Residential!AS55*Residential!$B$53</f>
        <v>1269296.1720277185</v>
      </c>
      <c r="AT55" s="49">
        <f>Residential!AT55*Residential!$B$53</f>
        <v>612450.64330249641</v>
      </c>
      <c r="AU55" s="49">
        <f>Residential!AU55*Residential!$B$53</f>
        <v>295514.78902076959</v>
      </c>
      <c r="AV55" s="49">
        <f>Residential!AV55*Residential!$B$53</f>
        <v>142589.43391599506</v>
      </c>
      <c r="AW55" s="49">
        <f>Residential!AW55*Residential!$B$53</f>
        <v>68801.113920071715</v>
      </c>
      <c r="AX55" s="49">
        <f>Residential!AX55*Residential!$B$53</f>
        <v>33197.363553820032</v>
      </c>
    </row>
    <row r="57" spans="1:50" x14ac:dyDescent="0.2">
      <c r="A57" s="5" t="s">
        <v>97</v>
      </c>
    </row>
    <row r="58" spans="1:50" x14ac:dyDescent="0.2">
      <c r="A58" s="5" t="s">
        <v>4</v>
      </c>
    </row>
    <row r="59" spans="1:50" x14ac:dyDescent="0.2">
      <c r="A59" s="5" t="s">
        <v>98</v>
      </c>
    </row>
    <row r="60" spans="1:50" x14ac:dyDescent="0.2">
      <c r="A60" s="5" t="s">
        <v>6</v>
      </c>
    </row>
    <row r="61" spans="1:50" x14ac:dyDescent="0.2">
      <c r="A61" s="5"/>
    </row>
    <row r="62" spans="1:50" x14ac:dyDescent="0.2">
      <c r="A62" s="6" t="s">
        <v>7</v>
      </c>
      <c r="B62" s="6">
        <v>2022</v>
      </c>
      <c r="C62" s="6">
        <v>2023</v>
      </c>
      <c r="D62" s="6">
        <v>2024</v>
      </c>
      <c r="E62" s="6">
        <v>2025</v>
      </c>
      <c r="F62" s="6">
        <v>2026</v>
      </c>
      <c r="G62" s="6">
        <v>2027</v>
      </c>
      <c r="H62" s="6">
        <v>2028</v>
      </c>
      <c r="I62" s="6">
        <v>2029</v>
      </c>
      <c r="J62" s="6">
        <v>2030</v>
      </c>
      <c r="K62" s="6">
        <v>2031</v>
      </c>
      <c r="L62" s="6">
        <v>2032</v>
      </c>
      <c r="M62" s="6">
        <v>2033</v>
      </c>
      <c r="N62" s="6">
        <v>2034</v>
      </c>
      <c r="O62" s="6">
        <v>2035</v>
      </c>
      <c r="P62" s="6">
        <v>2036</v>
      </c>
      <c r="Q62" s="6">
        <v>2037</v>
      </c>
      <c r="R62" s="6">
        <v>2038</v>
      </c>
      <c r="S62" s="6">
        <v>2039</v>
      </c>
      <c r="T62" s="6">
        <v>2040</v>
      </c>
      <c r="U62" s="6">
        <v>2041</v>
      </c>
      <c r="V62" s="6">
        <v>2042</v>
      </c>
      <c r="W62" s="6">
        <v>2043</v>
      </c>
      <c r="X62" s="6">
        <v>2044</v>
      </c>
      <c r="Y62" s="6">
        <v>2045</v>
      </c>
      <c r="Z62" s="6">
        <v>2046</v>
      </c>
      <c r="AA62" s="6">
        <v>2047</v>
      </c>
      <c r="AB62" s="6">
        <v>2048</v>
      </c>
      <c r="AC62" s="6">
        <v>2049</v>
      </c>
      <c r="AD62" s="6">
        <v>2050</v>
      </c>
      <c r="AE62" s="6">
        <v>2051</v>
      </c>
      <c r="AF62" s="6">
        <v>2052</v>
      </c>
      <c r="AG62" s="6">
        <v>2053</v>
      </c>
      <c r="AH62" s="6">
        <v>2054</v>
      </c>
      <c r="AI62" s="6">
        <v>2055</v>
      </c>
      <c r="AJ62" s="6">
        <v>2056</v>
      </c>
      <c r="AK62" s="6">
        <v>2057</v>
      </c>
      <c r="AL62" s="6">
        <v>2058</v>
      </c>
      <c r="AM62" s="6">
        <v>2059</v>
      </c>
      <c r="AN62" s="6">
        <v>2060</v>
      </c>
      <c r="AO62" s="46">
        <f>AN62+1</f>
        <v>2061</v>
      </c>
      <c r="AP62" s="46">
        <f t="shared" ref="AP62:AW62" si="7">AO62+1</f>
        <v>2062</v>
      </c>
      <c r="AQ62" s="46">
        <f t="shared" si="7"/>
        <v>2063</v>
      </c>
      <c r="AR62" s="46">
        <f t="shared" si="7"/>
        <v>2064</v>
      </c>
      <c r="AS62" s="46">
        <f t="shared" si="7"/>
        <v>2065</v>
      </c>
      <c r="AT62" s="46">
        <f t="shared" si="7"/>
        <v>2066</v>
      </c>
      <c r="AU62" s="46">
        <f>AT62+1</f>
        <v>2067</v>
      </c>
      <c r="AV62" s="46">
        <f t="shared" si="7"/>
        <v>2068</v>
      </c>
      <c r="AW62" s="46">
        <f t="shared" si="7"/>
        <v>2069</v>
      </c>
      <c r="AX62" s="46">
        <f>AW62+1</f>
        <v>2070</v>
      </c>
    </row>
    <row r="63" spans="1:50" x14ac:dyDescent="0.2">
      <c r="A63" s="6" t="s">
        <v>99</v>
      </c>
      <c r="B63" s="35">
        <f>Residential!B63*Residential!$B$61</f>
        <v>66081280.975717068</v>
      </c>
      <c r="C63" s="35">
        <f>Residential!C63*Residential!$B$61</f>
        <v>98116659.483513981</v>
      </c>
      <c r="D63" s="35">
        <f>Residential!D63*Residential!$B$61</f>
        <v>148613029.74219191</v>
      </c>
      <c r="E63" s="35">
        <f>Residential!E63*Residential!$B$61</f>
        <v>197470481.80914906</v>
      </c>
      <c r="F63" s="35">
        <f>Residential!F63*Residential!$B$61</f>
        <v>246057487.60674906</v>
      </c>
      <c r="G63" s="35">
        <f>Residential!G63*Residential!$B$61</f>
        <v>293416747.90392697</v>
      </c>
      <c r="H63" s="35">
        <f>Residential!H63*Residential!$B$61</f>
        <v>317742258.23410475</v>
      </c>
      <c r="I63" s="35">
        <f>Residential!I63*Residential!$B$61</f>
        <v>342421094.76413697</v>
      </c>
      <c r="J63" s="35">
        <f>Residential!J63*Residential!$B$61</f>
        <v>345317630.67186987</v>
      </c>
      <c r="K63" s="35">
        <f>Residential!K63*Residential!$B$61</f>
        <v>347732252.6032086</v>
      </c>
      <c r="L63" s="35">
        <f>Residential!L63*Residential!$B$61</f>
        <v>350140124.33035558</v>
      </c>
      <c r="M63" s="35">
        <f>Residential!M63*Residential!$B$61</f>
        <v>352543177.55252075</v>
      </c>
      <c r="N63" s="35">
        <f>Residential!N63*Residential!$B$61</f>
        <v>354942617.88500804</v>
      </c>
      <c r="O63" s="35">
        <f>Residential!O63*Residential!$B$61</f>
        <v>357339197.68642855</v>
      </c>
      <c r="P63" s="35">
        <f>Residential!P63*Residential!$B$61</f>
        <v>359365417.42193007</v>
      </c>
      <c r="Q63" s="35">
        <f>Residential!Q63*Residential!$B$61</f>
        <v>361391149.72192931</v>
      </c>
      <c r="R63" s="35">
        <f>Residential!R63*Residential!$B$61</f>
        <v>363416578.28985238</v>
      </c>
      <c r="S63" s="35">
        <f>Residential!S63*Residential!$B$61</f>
        <v>365441817.60238951</v>
      </c>
      <c r="T63" s="35">
        <f>Residential!T63*Residential!$B$61</f>
        <v>367466938.99405003</v>
      </c>
      <c r="U63" s="35">
        <f>Residential!U63*Residential!$B$61</f>
        <v>369018982.80619013</v>
      </c>
      <c r="V63" s="35">
        <f>Residential!V63*Residential!$B$61</f>
        <v>370570980.64752197</v>
      </c>
      <c r="W63" s="35">
        <f>Residential!W63*Residential!$B$61</f>
        <v>372122949.88612044</v>
      </c>
      <c r="X63" s="35">
        <f>Residential!X63*Residential!$B$61</f>
        <v>373674901.32861733</v>
      </c>
      <c r="Y63" s="35">
        <f>Residential!Y63*Residential!$B$61</f>
        <v>375226841.69890416</v>
      </c>
      <c r="Z63" s="35">
        <f>Residential!Z63*Residential!$B$61</f>
        <v>376324944.57874584</v>
      </c>
      <c r="AA63" s="35">
        <f>Residential!AA63*Residential!$B$61</f>
        <v>377423043.15569597</v>
      </c>
      <c r="AB63" s="35">
        <f>Residential!AB63*Residential!$B$61</f>
        <v>378521139.05895668</v>
      </c>
      <c r="AC63" s="35">
        <f>Residential!AC63*Residential!$B$61</f>
        <v>379619233.30088013</v>
      </c>
      <c r="AD63" s="35">
        <f>Residential!AD63*Residential!$B$61</f>
        <v>380717326.51051599</v>
      </c>
      <c r="AE63" s="35">
        <f>Residential!AE63*Residential!$B$61</f>
        <v>380717327.56797928</v>
      </c>
      <c r="AF63" s="35">
        <f>Residential!AF63*Residential!$B$61</f>
        <v>380717328.22311997</v>
      </c>
      <c r="AG63" s="35">
        <f>Residential!AG63*Residential!$B$61</f>
        <v>380717328.62900573</v>
      </c>
      <c r="AH63" s="35">
        <f>Residential!AH63*Residential!$B$61</f>
        <v>380717328.88046825</v>
      </c>
      <c r="AI63" s="35">
        <f>Residential!AI63*Residential!$B$61</f>
        <v>380717329.03625917</v>
      </c>
      <c r="AJ63" s="35">
        <f>Residential!AJ63*Residential!$B$61</f>
        <v>380717329.13277793</v>
      </c>
      <c r="AK63" s="35">
        <f>Residential!AK63*Residential!$B$61</f>
        <v>380717329.1925751</v>
      </c>
      <c r="AL63" s="35">
        <f>Residential!AL63*Residential!$B$61</f>
        <v>380717329.22962183</v>
      </c>
      <c r="AM63" s="35">
        <f>Residential!AM63*Residential!$B$61</f>
        <v>380717329.25257379</v>
      </c>
      <c r="AN63" s="35">
        <f>Residential!AN63*Residential!$B$61</f>
        <v>380717329.26679337</v>
      </c>
      <c r="AO63" s="49">
        <f>Residential!AO63*Residential!$B$61</f>
        <v>380717329.28101289</v>
      </c>
      <c r="AP63" s="49">
        <f>Residential!AP63*Residential!$B$61</f>
        <v>380717329.29523247</v>
      </c>
      <c r="AQ63" s="49">
        <f>Residential!AQ63*Residential!$B$61</f>
        <v>380717329.309452</v>
      </c>
      <c r="AR63" s="49">
        <f>Residential!AR63*Residential!$B$61</f>
        <v>380717329.32367152</v>
      </c>
      <c r="AS63" s="49">
        <f>Residential!AS63*Residential!$B$61</f>
        <v>380717329.3378911</v>
      </c>
      <c r="AT63" s="49">
        <f>Residential!AT63*Residential!$B$61</f>
        <v>380717329.35211062</v>
      </c>
      <c r="AU63" s="49">
        <f>Residential!AU63*Residential!$B$61</f>
        <v>380717329.36633021</v>
      </c>
      <c r="AV63" s="49">
        <f>Residential!AV63*Residential!$B$61</f>
        <v>380717329.38054973</v>
      </c>
      <c r="AW63" s="49">
        <f>Residential!AW63*Residential!$B$61</f>
        <v>380717329.39476931</v>
      </c>
      <c r="AX63" s="49">
        <f>Residential!AX63*Residential!$B$61</f>
        <v>380717329.40898883</v>
      </c>
    </row>
    <row r="65" spans="1:50" x14ac:dyDescent="0.2">
      <c r="A65" s="5" t="s">
        <v>100</v>
      </c>
    </row>
    <row r="66" spans="1:50" x14ac:dyDescent="0.2">
      <c r="A66" s="5" t="s">
        <v>4</v>
      </c>
    </row>
    <row r="67" spans="1:50" x14ac:dyDescent="0.2">
      <c r="A67" s="5" t="s">
        <v>101</v>
      </c>
    </row>
    <row r="68" spans="1:50" x14ac:dyDescent="0.2">
      <c r="A68" s="5" t="s">
        <v>6</v>
      </c>
    </row>
    <row r="69" spans="1:50" x14ac:dyDescent="0.2">
      <c r="A69" s="5"/>
    </row>
    <row r="70" spans="1:50" x14ac:dyDescent="0.2">
      <c r="A70" s="6" t="s">
        <v>7</v>
      </c>
      <c r="B70" s="6">
        <v>2022</v>
      </c>
      <c r="C70" s="6">
        <v>2023</v>
      </c>
      <c r="D70" s="6">
        <v>2024</v>
      </c>
      <c r="E70" s="6">
        <v>2025</v>
      </c>
      <c r="F70" s="6">
        <v>2026</v>
      </c>
      <c r="G70" s="6">
        <v>2027</v>
      </c>
      <c r="H70" s="6">
        <v>2028</v>
      </c>
      <c r="I70" s="6">
        <v>2029</v>
      </c>
      <c r="J70" s="6">
        <v>2030</v>
      </c>
      <c r="K70" s="6">
        <v>2031</v>
      </c>
      <c r="L70" s="6">
        <v>2032</v>
      </c>
      <c r="M70" s="6">
        <v>2033</v>
      </c>
      <c r="N70" s="6">
        <v>2034</v>
      </c>
      <c r="O70" s="6">
        <v>2035</v>
      </c>
      <c r="P70" s="6">
        <v>2036</v>
      </c>
      <c r="Q70" s="6">
        <v>2037</v>
      </c>
      <c r="R70" s="6">
        <v>2038</v>
      </c>
      <c r="S70" s="6">
        <v>2039</v>
      </c>
      <c r="T70" s="6">
        <v>2040</v>
      </c>
      <c r="U70" s="6">
        <v>2041</v>
      </c>
      <c r="V70" s="6">
        <v>2042</v>
      </c>
      <c r="W70" s="6">
        <v>2043</v>
      </c>
      <c r="X70" s="6">
        <v>2044</v>
      </c>
      <c r="Y70" s="6">
        <v>2045</v>
      </c>
      <c r="Z70" s="6">
        <v>2046</v>
      </c>
      <c r="AA70" s="6">
        <v>2047</v>
      </c>
      <c r="AB70" s="6">
        <v>2048</v>
      </c>
      <c r="AC70" s="6">
        <v>2049</v>
      </c>
      <c r="AD70" s="6">
        <v>2050</v>
      </c>
      <c r="AE70" s="6">
        <v>2051</v>
      </c>
      <c r="AF70" s="6">
        <v>2052</v>
      </c>
      <c r="AG70" s="6">
        <v>2053</v>
      </c>
      <c r="AH70" s="6">
        <v>2054</v>
      </c>
      <c r="AI70" s="6">
        <v>2055</v>
      </c>
      <c r="AJ70" s="6">
        <v>2056</v>
      </c>
      <c r="AK70" s="6">
        <v>2057</v>
      </c>
      <c r="AL70" s="6">
        <v>2058</v>
      </c>
      <c r="AM70" s="6">
        <v>2059</v>
      </c>
      <c r="AN70" s="6">
        <v>2060</v>
      </c>
      <c r="AO70" s="46">
        <f>AN70+1</f>
        <v>2061</v>
      </c>
      <c r="AP70" s="46">
        <f t="shared" ref="AP70:AW70" si="8">AO70+1</f>
        <v>2062</v>
      </c>
      <c r="AQ70" s="46">
        <f t="shared" si="8"/>
        <v>2063</v>
      </c>
      <c r="AR70" s="46">
        <f t="shared" si="8"/>
        <v>2064</v>
      </c>
      <c r="AS70" s="46">
        <f t="shared" si="8"/>
        <v>2065</v>
      </c>
      <c r="AT70" s="46">
        <f t="shared" si="8"/>
        <v>2066</v>
      </c>
      <c r="AU70" s="46">
        <f>AT70+1</f>
        <v>2067</v>
      </c>
      <c r="AV70" s="46">
        <f t="shared" si="8"/>
        <v>2068</v>
      </c>
      <c r="AW70" s="46">
        <f t="shared" si="8"/>
        <v>2069</v>
      </c>
      <c r="AX70" s="46">
        <f>AW70+1</f>
        <v>2070</v>
      </c>
    </row>
    <row r="71" spans="1:50" x14ac:dyDescent="0.2">
      <c r="A71" s="6" t="s">
        <v>102</v>
      </c>
      <c r="B71" s="35">
        <f>Residential!B71*Residential!$B$69</f>
        <v>26340412.631155696</v>
      </c>
      <c r="C71" s="35">
        <f>Residential!C71*Residential!$B$69</f>
        <v>27701629.481810015</v>
      </c>
      <c r="D71" s="35">
        <f>Residential!D71*Residential!$B$69</f>
        <v>32174494.980305448</v>
      </c>
      <c r="E71" s="35">
        <f>Residential!E71*Residential!$B$69</f>
        <v>36999775.686732545</v>
      </c>
      <c r="F71" s="35">
        <f>Residential!F71*Residential!$B$69</f>
        <v>42567150.37797685</v>
      </c>
      <c r="G71" s="35">
        <f>Residential!G71*Residential!$B$69</f>
        <v>48442698.584824823</v>
      </c>
      <c r="H71" s="35">
        <f>Residential!H71*Residential!$B$69</f>
        <v>54669114.572432488</v>
      </c>
      <c r="I71" s="35">
        <f>Residential!I71*Residential!$B$69</f>
        <v>59506128.388315007</v>
      </c>
      <c r="J71" s="35">
        <f>Residential!J71*Residential!$B$69</f>
        <v>63876768.042195335</v>
      </c>
      <c r="K71" s="35">
        <f>Residential!K71*Residential!$B$69</f>
        <v>71551994.652050599</v>
      </c>
      <c r="L71" s="35">
        <f>Residential!L71*Residential!$B$69</f>
        <v>74596936.273447067</v>
      </c>
      <c r="M71" s="35">
        <f>Residential!M71*Residential!$B$69</f>
        <v>77352790.824633107</v>
      </c>
      <c r="N71" s="35">
        <f>Residential!N71*Residential!$B$69</f>
        <v>80000815.791201964</v>
      </c>
      <c r="O71" s="35">
        <f>Residential!O71*Residential!$B$69</f>
        <v>82592270.419592187</v>
      </c>
      <c r="P71" s="35">
        <f>Residential!P71*Residential!$B$69</f>
        <v>86168330.037792236</v>
      </c>
      <c r="Q71" s="35">
        <f>Residential!Q71*Residential!$B$69</f>
        <v>88538138.863023207</v>
      </c>
      <c r="R71" s="35">
        <f>Residential!R71*Residential!$B$69</f>
        <v>90866876.769952878</v>
      </c>
      <c r="S71" s="35">
        <f>Residential!S71*Residential!$B$69</f>
        <v>93174524.892901495</v>
      </c>
      <c r="T71" s="35">
        <f>Residential!T71*Residential!$B$69</f>
        <v>95477681.019888848</v>
      </c>
      <c r="U71" s="35">
        <f>Residential!U71*Residential!$B$69</f>
        <v>98561089.680948094</v>
      </c>
      <c r="V71" s="35">
        <f>Residential!V71*Residential!$B$69</f>
        <v>100292142.75240119</v>
      </c>
      <c r="W71" s="35">
        <f>Residential!W71*Residential!$B$69</f>
        <v>102023510.10731016</v>
      </c>
      <c r="X71" s="35">
        <f>Residential!X71*Residential!$B$69</f>
        <v>103768870.18951303</v>
      </c>
      <c r="Y71" s="35">
        <f>Residential!Y71*Residential!$B$69</f>
        <v>105552265.86083464</v>
      </c>
      <c r="Z71" s="35">
        <f>Residential!Z71*Residential!$B$69</f>
        <v>107240636.02310394</v>
      </c>
      <c r="AA71" s="35">
        <f>Residential!AA71*Residential!$B$69</f>
        <v>108986210.57552479</v>
      </c>
      <c r="AB71" s="35">
        <f>Residential!AB71*Residential!$B$69</f>
        <v>110801092.95538729</v>
      </c>
      <c r="AC71" s="35">
        <f>Residential!AC71*Residential!$B$69</f>
        <v>112698143.3042734</v>
      </c>
      <c r="AD71" s="35">
        <f>Residential!AD71*Residential!$B$69</f>
        <v>114691131.37425561</v>
      </c>
      <c r="AE71" s="35">
        <f>Residential!AE71*Residential!$B$69</f>
        <v>116741016.75086553</v>
      </c>
      <c r="AF71" s="35">
        <f>Residential!AF71*Residential!$B$69</f>
        <v>118554312.89772202</v>
      </c>
      <c r="AG71" s="35">
        <f>Residential!AG71*Residential!$B$69</f>
        <v>120498983.56936653</v>
      </c>
      <c r="AH71" s="35">
        <f>Residential!AH71*Residential!$B$69</f>
        <v>122593069.79360411</v>
      </c>
      <c r="AI71" s="35">
        <f>Residential!AI71*Residential!$B$69</f>
        <v>124856323.78596155</v>
      </c>
      <c r="AJ71" s="35">
        <f>Residential!AJ71*Residential!$B$69</f>
        <v>127370117.01192513</v>
      </c>
      <c r="AK71" s="35">
        <f>Residential!AK71*Residential!$B$69</f>
        <v>130098714.81219403</v>
      </c>
      <c r="AL71" s="35">
        <f>Residential!AL71*Residential!$B$69</f>
        <v>133068563.22125165</v>
      </c>
      <c r="AM71" s="35">
        <f>Residential!AM71*Residential!$B$69</f>
        <v>136308948.56783649</v>
      </c>
      <c r="AN71" s="35">
        <f>Residential!AN71*Residential!$B$69</f>
        <v>139852354.98585609</v>
      </c>
      <c r="AO71" s="49">
        <f>Residential!AO71*Residential!$B$69</f>
        <v>143487873.69125801</v>
      </c>
      <c r="AP71" s="49">
        <f>Residential!AP71*Residential!$B$69</f>
        <v>147217899.18032235</v>
      </c>
      <c r="AQ71" s="49">
        <f>Residential!AQ71*Residential!$B$69</f>
        <v>151044888.19523144</v>
      </c>
      <c r="AR71" s="49">
        <f>Residential!AR71*Residential!$B$69</f>
        <v>154971361.34217733</v>
      </c>
      <c r="AS71" s="49">
        <f>Residential!AS71*Residential!$B$69</f>
        <v>158999904.75153258</v>
      </c>
      <c r="AT71" s="49">
        <f>Residential!AT71*Residential!$B$69</f>
        <v>163133171.78117812</v>
      </c>
      <c r="AU71" s="49">
        <f>Residential!AU71*Residential!$B$69</f>
        <v>167373884.76410928</v>
      </c>
      <c r="AV71" s="49">
        <f>Residential!AV71*Residential!$B$69</f>
        <v>171724836.80147216</v>
      </c>
      <c r="AW71" s="49">
        <f>Residential!AW71*Residential!$B$69</f>
        <v>176188893.60221022</v>
      </c>
      <c r="AX71" s="49">
        <f>Residential!AX71*Residential!$B$69</f>
        <v>180768995.37053356</v>
      </c>
    </row>
    <row r="73" spans="1:50" x14ac:dyDescent="0.2">
      <c r="A73" s="5" t="s">
        <v>103</v>
      </c>
    </row>
    <row r="74" spans="1:50" x14ac:dyDescent="0.2">
      <c r="A74" s="5" t="s">
        <v>4</v>
      </c>
    </row>
    <row r="75" spans="1:50" x14ac:dyDescent="0.2">
      <c r="A75" s="5" t="s">
        <v>104</v>
      </c>
    </row>
    <row r="76" spans="1:50" x14ac:dyDescent="0.2">
      <c r="A76" s="5" t="s">
        <v>6</v>
      </c>
    </row>
    <row r="77" spans="1:50" x14ac:dyDescent="0.2">
      <c r="A77" s="5"/>
    </row>
    <row r="78" spans="1:50" x14ac:dyDescent="0.2">
      <c r="A78" s="6" t="s">
        <v>7</v>
      </c>
      <c r="B78" s="6">
        <v>2022</v>
      </c>
      <c r="C78" s="6">
        <v>2023</v>
      </c>
      <c r="D78" s="6">
        <v>2024</v>
      </c>
      <c r="E78" s="6">
        <v>2025</v>
      </c>
      <c r="F78" s="6">
        <v>2026</v>
      </c>
      <c r="G78" s="6">
        <v>2027</v>
      </c>
      <c r="H78" s="6">
        <v>2028</v>
      </c>
      <c r="I78" s="6">
        <v>2029</v>
      </c>
      <c r="J78" s="6">
        <v>2030</v>
      </c>
      <c r="K78" s="6">
        <v>2031</v>
      </c>
      <c r="L78" s="6">
        <v>2032</v>
      </c>
      <c r="M78" s="6">
        <v>2033</v>
      </c>
      <c r="N78" s="6">
        <v>2034</v>
      </c>
      <c r="O78" s="6">
        <v>2035</v>
      </c>
      <c r="P78" s="6">
        <v>2036</v>
      </c>
      <c r="Q78" s="6">
        <v>2037</v>
      </c>
      <c r="R78" s="6">
        <v>2038</v>
      </c>
      <c r="S78" s="6">
        <v>2039</v>
      </c>
      <c r="T78" s="6">
        <v>2040</v>
      </c>
      <c r="U78" s="6">
        <v>2041</v>
      </c>
      <c r="V78" s="6">
        <v>2042</v>
      </c>
      <c r="W78" s="6">
        <v>2043</v>
      </c>
      <c r="X78" s="6">
        <v>2044</v>
      </c>
      <c r="Y78" s="6">
        <v>2045</v>
      </c>
      <c r="Z78" s="6">
        <v>2046</v>
      </c>
      <c r="AA78" s="6">
        <v>2047</v>
      </c>
      <c r="AB78" s="6">
        <v>2048</v>
      </c>
      <c r="AC78" s="6">
        <v>2049</v>
      </c>
      <c r="AD78" s="6">
        <v>2050</v>
      </c>
      <c r="AE78" s="6">
        <v>2051</v>
      </c>
      <c r="AF78" s="6">
        <v>2052</v>
      </c>
      <c r="AG78" s="6">
        <v>2053</v>
      </c>
      <c r="AH78" s="6">
        <v>2054</v>
      </c>
      <c r="AI78" s="6">
        <v>2055</v>
      </c>
      <c r="AJ78" s="6">
        <v>2056</v>
      </c>
      <c r="AK78" s="6">
        <v>2057</v>
      </c>
      <c r="AL78" s="6">
        <v>2058</v>
      </c>
      <c r="AM78" s="6">
        <v>2059</v>
      </c>
      <c r="AN78" s="6">
        <v>2060</v>
      </c>
      <c r="AO78" s="46">
        <f>AN78+1</f>
        <v>2061</v>
      </c>
      <c r="AP78" s="46">
        <f t="shared" ref="AP78:AW78" si="9">AO78+1</f>
        <v>2062</v>
      </c>
      <c r="AQ78" s="46">
        <f t="shared" si="9"/>
        <v>2063</v>
      </c>
      <c r="AR78" s="46">
        <f t="shared" si="9"/>
        <v>2064</v>
      </c>
      <c r="AS78" s="46">
        <f t="shared" si="9"/>
        <v>2065</v>
      </c>
      <c r="AT78" s="46">
        <f t="shared" si="9"/>
        <v>2066</v>
      </c>
      <c r="AU78" s="46">
        <f>AT78+1</f>
        <v>2067</v>
      </c>
      <c r="AV78" s="46">
        <f t="shared" si="9"/>
        <v>2068</v>
      </c>
      <c r="AW78" s="46">
        <f t="shared" si="9"/>
        <v>2069</v>
      </c>
      <c r="AX78" s="46">
        <f>AW78+1</f>
        <v>2070</v>
      </c>
    </row>
    <row r="79" spans="1:50" x14ac:dyDescent="0.2">
      <c r="A79" s="6" t="s">
        <v>105</v>
      </c>
      <c r="B79" s="35">
        <f>Residential!B79*Residential!$B$77</f>
        <v>7331207.1582458382</v>
      </c>
      <c r="C79" s="35">
        <f>Residential!C79*Residential!$B$77</f>
        <v>6884227.8584261779</v>
      </c>
      <c r="D79" s="35">
        <f>Residential!D79*Residential!$B$77</f>
        <v>7356237.3997414345</v>
      </c>
      <c r="E79" s="35">
        <f>Residential!E79*Residential!$B$77</f>
        <v>7815915.8908368554</v>
      </c>
      <c r="F79" s="35">
        <f>Residential!F79*Residential!$B$77</f>
        <v>8306505.7898180112</v>
      </c>
      <c r="G79" s="35">
        <f>Residential!G79*Residential!$B$77</f>
        <v>8782912.9618613757</v>
      </c>
      <c r="H79" s="35">
        <f>Residential!H79*Residential!$B$77</f>
        <v>9242290.5295178238</v>
      </c>
      <c r="I79" s="35">
        <f>Residential!I79*Residential!$B$77</f>
        <v>9682369.453104848</v>
      </c>
      <c r="J79" s="35">
        <f>Residential!J79*Residential!$B$77</f>
        <v>10101503.083878012</v>
      </c>
      <c r="K79" s="35">
        <f>Residential!K79*Residential!$B$77</f>
        <v>13334001.033340167</v>
      </c>
      <c r="L79" s="35">
        <f>Residential!L79*Residential!$B$77</f>
        <v>13810668.47441845</v>
      </c>
      <c r="M79" s="35">
        <f>Residential!M79*Residential!$B$77</f>
        <v>14237777.95739417</v>
      </c>
      <c r="N79" s="35">
        <f>Residential!N79*Residential!$B$77</f>
        <v>14619573.454480877</v>
      </c>
      <c r="O79" s="35">
        <f>Residential!O79*Residential!$B$77</f>
        <v>14960729.466919135</v>
      </c>
      <c r="P79" s="35">
        <f>Residential!P79*Residential!$B$77</f>
        <v>16131074.168108547</v>
      </c>
      <c r="Q79" s="35">
        <f>Residential!Q79*Residential!$B$77</f>
        <v>16479221.648961876</v>
      </c>
      <c r="R79" s="35">
        <f>Residential!R79*Residential!$B$77</f>
        <v>16793100.656451892</v>
      </c>
      <c r="S79" s="35">
        <f>Residential!S79*Residential!$B$77</f>
        <v>17076591.241525017</v>
      </c>
      <c r="T79" s="35">
        <f>Residential!T79*Residential!$B$77</f>
        <v>17333390.969513737</v>
      </c>
      <c r="U79" s="35">
        <f>Residential!U79*Residential!$B$77</f>
        <v>18532619.970761415</v>
      </c>
      <c r="V79" s="35">
        <f>Residential!V79*Residential!$B$77</f>
        <v>18812038.158973619</v>
      </c>
      <c r="W79" s="35">
        <f>Residential!W79*Residential!$B$77</f>
        <v>19066900.495127242</v>
      </c>
      <c r="X79" s="35">
        <f>Residential!X79*Residential!$B$77</f>
        <v>19299869.145900127</v>
      </c>
      <c r="Y79" s="35">
        <f>Residential!Y79*Residential!$B$77</f>
        <v>19513429.953964714</v>
      </c>
      <c r="Z79" s="35">
        <f>Residential!Z79*Residential!$B$77</f>
        <v>19686130.856587227</v>
      </c>
      <c r="AA79" s="35">
        <f>Residential!AA79*Residential!$B$77</f>
        <v>19843554.55544677</v>
      </c>
      <c r="AB79" s="35">
        <f>Residential!AB79*Residential!$B$77</f>
        <v>19987628.321707424</v>
      </c>
      <c r="AC79" s="35">
        <f>Residential!AC79*Residential!$B$77</f>
        <v>20120072.101539642</v>
      </c>
      <c r="AD79" s="35">
        <f>Residential!AD79*Residential!$B$77</f>
        <v>20242410.88974233</v>
      </c>
      <c r="AE79" s="35">
        <f>Residential!AE79*Residential!$B$77</f>
        <v>20538374.388029203</v>
      </c>
      <c r="AF79" s="35">
        <f>Residential!AF79*Residential!$B$77</f>
        <v>20592193.608253516</v>
      </c>
      <c r="AG79" s="35">
        <f>Residential!AG79*Residential!$B$77</f>
        <v>20638517.091530796</v>
      </c>
      <c r="AH79" s="35">
        <f>Residential!AH79*Residential!$B$77</f>
        <v>20678361.384385258</v>
      </c>
      <c r="AI79" s="35">
        <f>Residential!AI79*Residential!$B$77</f>
        <v>20712612.438032981</v>
      </c>
      <c r="AJ79" s="35">
        <f>Residential!AJ79*Residential!$B$77</f>
        <v>20742040.436592475</v>
      </c>
      <c r="AK79" s="35">
        <f>Residential!AK79*Residential!$B$77</f>
        <v>20767313.483802151</v>
      </c>
      <c r="AL79" s="35">
        <f>Residential!AL79*Residential!$B$77</f>
        <v>20789010.069220763</v>
      </c>
      <c r="AM79" s="35">
        <f>Residential!AM79*Residential!$B$77</f>
        <v>20807630.303804599</v>
      </c>
      <c r="AN79" s="35">
        <f>Residential!AN79*Residential!$B$77</f>
        <v>20823605.960965458</v>
      </c>
      <c r="AO79" s="49">
        <f>Residential!AO79*Residential!$B$77</f>
        <v>20839593.883897003</v>
      </c>
      <c r="AP79" s="49">
        <f>Residential!AP79*Residential!$B$77</f>
        <v>20855594.082016625</v>
      </c>
      <c r="AQ79" s="49">
        <f>Residential!AQ79*Residential!$B$77</f>
        <v>20871606.564748958</v>
      </c>
      <c r="AR79" s="49">
        <f>Residential!AR79*Residential!$B$77</f>
        <v>20887631.341525864</v>
      </c>
      <c r="AS79" s="49">
        <f>Residential!AS79*Residential!$B$77</f>
        <v>20903668.42178645</v>
      </c>
      <c r="AT79" s="49">
        <f>Residential!AT79*Residential!$B$77</f>
        <v>20919717.814977068</v>
      </c>
      <c r="AU79" s="49">
        <f>Residential!AU79*Residential!$B$77</f>
        <v>20935779.530551329</v>
      </c>
      <c r="AV79" s="49">
        <f>Residential!AV79*Residential!$B$77</f>
        <v>20951853.577970095</v>
      </c>
      <c r="AW79" s="49">
        <f>Residential!AW79*Residential!$B$77</f>
        <v>20967939.966701493</v>
      </c>
      <c r="AX79" s="49">
        <f>Residential!AX79*Residential!$B$77</f>
        <v>20984038.706220925</v>
      </c>
    </row>
    <row r="81" spans="1:50" x14ac:dyDescent="0.2">
      <c r="A81" s="5" t="s">
        <v>106</v>
      </c>
    </row>
    <row r="82" spans="1:50" x14ac:dyDescent="0.2">
      <c r="A82" s="5" t="s">
        <v>4</v>
      </c>
    </row>
    <row r="83" spans="1:50" x14ac:dyDescent="0.2">
      <c r="A83" s="5" t="s">
        <v>107</v>
      </c>
    </row>
    <row r="84" spans="1:50" x14ac:dyDescent="0.2">
      <c r="A84" s="5" t="s">
        <v>6</v>
      </c>
    </row>
    <row r="85" spans="1:50" x14ac:dyDescent="0.2">
      <c r="A85" s="5"/>
    </row>
    <row r="86" spans="1:50" x14ac:dyDescent="0.2">
      <c r="A86" s="6" t="s">
        <v>7</v>
      </c>
      <c r="B86" s="6">
        <v>2022</v>
      </c>
      <c r="C86" s="6">
        <v>2023</v>
      </c>
      <c r="D86" s="6">
        <v>2024</v>
      </c>
      <c r="E86" s="6">
        <v>2025</v>
      </c>
      <c r="F86" s="6">
        <v>2026</v>
      </c>
      <c r="G86" s="6">
        <v>2027</v>
      </c>
      <c r="H86" s="6">
        <v>2028</v>
      </c>
      <c r="I86" s="6">
        <v>2029</v>
      </c>
      <c r="J86" s="6">
        <v>2030</v>
      </c>
      <c r="K86" s="6">
        <v>2031</v>
      </c>
      <c r="L86" s="6">
        <v>2032</v>
      </c>
      <c r="M86" s="6">
        <v>2033</v>
      </c>
      <c r="N86" s="6">
        <v>2034</v>
      </c>
      <c r="O86" s="6">
        <v>2035</v>
      </c>
      <c r="P86" s="6">
        <v>2036</v>
      </c>
      <c r="Q86" s="6">
        <v>2037</v>
      </c>
      <c r="R86" s="6">
        <v>2038</v>
      </c>
      <c r="S86" s="6">
        <v>2039</v>
      </c>
      <c r="T86" s="6">
        <v>2040</v>
      </c>
      <c r="U86" s="6">
        <v>2041</v>
      </c>
      <c r="V86" s="6">
        <v>2042</v>
      </c>
      <c r="W86" s="6">
        <v>2043</v>
      </c>
      <c r="X86" s="6">
        <v>2044</v>
      </c>
      <c r="Y86" s="6">
        <v>2045</v>
      </c>
      <c r="Z86" s="6">
        <v>2046</v>
      </c>
      <c r="AA86" s="6">
        <v>2047</v>
      </c>
      <c r="AB86" s="6">
        <v>2048</v>
      </c>
      <c r="AC86" s="6">
        <v>2049</v>
      </c>
      <c r="AD86" s="6">
        <v>2050</v>
      </c>
      <c r="AE86" s="6">
        <v>2051</v>
      </c>
      <c r="AF86" s="6">
        <v>2052</v>
      </c>
      <c r="AG86" s="6">
        <v>2053</v>
      </c>
      <c r="AH86" s="6">
        <v>2054</v>
      </c>
      <c r="AI86" s="6">
        <v>2055</v>
      </c>
      <c r="AJ86" s="6">
        <v>2056</v>
      </c>
      <c r="AK86" s="6">
        <v>2057</v>
      </c>
      <c r="AL86" s="6">
        <v>2058</v>
      </c>
      <c r="AM86" s="6">
        <v>2059</v>
      </c>
      <c r="AN86" s="6">
        <v>2060</v>
      </c>
      <c r="AO86" s="46">
        <f>AN86+1</f>
        <v>2061</v>
      </c>
      <c r="AP86" s="46">
        <f t="shared" ref="AP86:AW86" si="10">AO86+1</f>
        <v>2062</v>
      </c>
      <c r="AQ86" s="46">
        <f t="shared" si="10"/>
        <v>2063</v>
      </c>
      <c r="AR86" s="46">
        <f t="shared" si="10"/>
        <v>2064</v>
      </c>
      <c r="AS86" s="46">
        <f t="shared" si="10"/>
        <v>2065</v>
      </c>
      <c r="AT86" s="46">
        <f t="shared" si="10"/>
        <v>2066</v>
      </c>
      <c r="AU86" s="46">
        <f>AT86+1</f>
        <v>2067</v>
      </c>
      <c r="AV86" s="46">
        <f t="shared" si="10"/>
        <v>2068</v>
      </c>
      <c r="AW86" s="46">
        <f t="shared" si="10"/>
        <v>2069</v>
      </c>
      <c r="AX86" s="46">
        <f>AW86+1</f>
        <v>2070</v>
      </c>
    </row>
    <row r="87" spans="1:50" x14ac:dyDescent="0.2">
      <c r="A87" s="6" t="s">
        <v>108</v>
      </c>
      <c r="B87" s="35">
        <f>Residential!B87*Residential!$B$85</f>
        <v>29607405.25726353</v>
      </c>
      <c r="C87" s="35">
        <f>Residential!C87*Residential!$B$85</f>
        <v>29719025.798297409</v>
      </c>
      <c r="D87" s="35">
        <f>Residential!D87*Residential!$B$85</f>
        <v>30845226.45959134</v>
      </c>
      <c r="E87" s="35">
        <f>Residential!E87*Residential!$B$85</f>
        <v>31935879.697357856</v>
      </c>
      <c r="F87" s="35">
        <f>Residential!F87*Residential!$B$85</f>
        <v>33177925.115532901</v>
      </c>
      <c r="G87" s="35">
        <f>Residential!G87*Residential!$B$85</f>
        <v>34395437.205821738</v>
      </c>
      <c r="H87" s="35">
        <f>Residential!H87*Residential!$B$85</f>
        <v>35587199.667257808</v>
      </c>
      <c r="I87" s="35">
        <f>Residential!I87*Residential!$B$85</f>
        <v>36751851.278717965</v>
      </c>
      <c r="J87" s="35">
        <f>Residential!J87*Residential!$B$85</f>
        <v>37888082.425411589</v>
      </c>
      <c r="K87" s="35">
        <f>Residential!K87*Residential!$B$85</f>
        <v>49879555.059821382</v>
      </c>
      <c r="L87" s="35">
        <f>Residential!L87*Residential!$B$85</f>
        <v>51322224.973912366</v>
      </c>
      <c r="M87" s="35">
        <f>Residential!M87*Residential!$B$85</f>
        <v>52642404.305051401</v>
      </c>
      <c r="N87" s="35">
        <f>Residential!N87*Residential!$B$85</f>
        <v>53849635.849935248</v>
      </c>
      <c r="O87" s="35">
        <f>Residential!O87*Residential!$B$85</f>
        <v>54954054.703076109</v>
      </c>
      <c r="P87" s="35">
        <f>Residential!P87*Residential!$B$85</f>
        <v>59870865.973871976</v>
      </c>
      <c r="Q87" s="35">
        <f>Residential!Q87*Residential!$B$85</f>
        <v>61232086.5543731</v>
      </c>
      <c r="R87" s="35">
        <f>Residential!R87*Residential!$B$85</f>
        <v>62500519.612656944</v>
      </c>
      <c r="S87" s="35">
        <f>Residential!S87*Residential!$B$85</f>
        <v>63681967.658536717</v>
      </c>
      <c r="T87" s="35">
        <f>Residential!T87*Residential!$B$85</f>
        <v>64782573.562508814</v>
      </c>
      <c r="U87" s="35">
        <f>Residential!U87*Residential!$B$85</f>
        <v>72755063.783976927</v>
      </c>
      <c r="V87" s="35">
        <f>Residential!V87*Residential!$B$85</f>
        <v>74706370.103032529</v>
      </c>
      <c r="W87" s="35">
        <f>Residential!W87*Residential!$B$85</f>
        <v>76597546.321387231</v>
      </c>
      <c r="X87" s="35">
        <f>Residential!X87*Residential!$B$85</f>
        <v>78426707.327040344</v>
      </c>
      <c r="Y87" s="35">
        <f>Residential!Y87*Residential!$B$85</f>
        <v>80192607.276332229</v>
      </c>
      <c r="Z87" s="35">
        <f>Residential!Z87*Residential!$B$85</f>
        <v>81795952.713148788</v>
      </c>
      <c r="AA87" s="35">
        <f>Residential!AA87*Residential!$B$85</f>
        <v>83332157.586880028</v>
      </c>
      <c r="AB87" s="35">
        <f>Residential!AB87*Residential!$B$85</f>
        <v>84801868.745991096</v>
      </c>
      <c r="AC87" s="35">
        <f>Residential!AC87*Residential!$B$85</f>
        <v>86206155.857822821</v>
      </c>
      <c r="AD87" s="35">
        <f>Residential!AD87*Residential!$B$85</f>
        <v>87546451.683071777</v>
      </c>
      <c r="AE87" s="35">
        <f>Residential!AE87*Residential!$B$85</f>
        <v>98977513.160378024</v>
      </c>
      <c r="AF87" s="35">
        <f>Residential!AF87*Residential!$B$85</f>
        <v>100606140.98105773</v>
      </c>
      <c r="AG87" s="35">
        <f>Residential!AG87*Residential!$B$85</f>
        <v>102159998.86751124</v>
      </c>
      <c r="AH87" s="35">
        <f>Residential!AH87*Residential!$B$85</f>
        <v>103639644.8963012</v>
      </c>
      <c r="AI87" s="35">
        <f>Residential!AI87*Residential!$B$85</f>
        <v>105046021.64383647</v>
      </c>
      <c r="AJ87" s="35">
        <f>Residential!AJ87*Residential!$B$85</f>
        <v>106380410.91558908</v>
      </c>
      <c r="AK87" s="35">
        <f>Residential!AK87*Residential!$B$85</f>
        <v>107644388.7175781</v>
      </c>
      <c r="AL87" s="35">
        <f>Residential!AL87*Residential!$B$85</f>
        <v>108839781.31906474</v>
      </c>
      <c r="AM87" s="35">
        <f>Residential!AM87*Residential!$B$85</f>
        <v>109968623.10043512</v>
      </c>
      <c r="AN87" s="35">
        <f>Residential!AN87*Residential!$B$85</f>
        <v>111033116.72919644</v>
      </c>
      <c r="AO87" s="49">
        <f>Residential!AO87*Residential!$B$85</f>
        <v>112107914.63070145</v>
      </c>
      <c r="AP87" s="49">
        <f>Residential!AP87*Residential!$B$85</f>
        <v>113193116.55006266</v>
      </c>
      <c r="AQ87" s="49">
        <f>Residential!AQ87*Residential!$B$85</f>
        <v>114288823.19792286</v>
      </c>
      <c r="AR87" s="49">
        <f>Residential!AR87*Residential!$B$85</f>
        <v>115395136.25980148</v>
      </c>
      <c r="AS87" s="49">
        <f>Residential!AS87*Residential!$B$85</f>
        <v>116512158.4055313</v>
      </c>
      <c r="AT87" s="49">
        <f>Residential!AT87*Residential!$B$85</f>
        <v>117639993.29878668</v>
      </c>
      <c r="AU87" s="49">
        <f>Residential!AU87*Residential!$B$85</f>
        <v>118778745.60670376</v>
      </c>
      <c r="AV87" s="49">
        <f>Residential!AV87*Residential!$B$85</f>
        <v>119928521.0095941</v>
      </c>
      <c r="AW87" s="49">
        <f>Residential!AW87*Residential!$B$85</f>
        <v>121089426.21075213</v>
      </c>
      <c r="AX87" s="49">
        <f>Residential!AX87*Residential!$B$85</f>
        <v>122261568.94635758</v>
      </c>
    </row>
    <row r="89" spans="1:50" x14ac:dyDescent="0.2">
      <c r="A89" s="5" t="s">
        <v>109</v>
      </c>
    </row>
    <row r="90" spans="1:50" x14ac:dyDescent="0.2">
      <c r="A90" s="5" t="s">
        <v>4</v>
      </c>
    </row>
    <row r="91" spans="1:50" x14ac:dyDescent="0.2">
      <c r="A91" s="5" t="s">
        <v>110</v>
      </c>
    </row>
    <row r="92" spans="1:50" x14ac:dyDescent="0.2">
      <c r="A92" s="5" t="s">
        <v>6</v>
      </c>
    </row>
    <row r="93" spans="1:50" x14ac:dyDescent="0.2">
      <c r="A93" s="5"/>
    </row>
    <row r="94" spans="1:5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c r="AO94" s="46">
        <f>AN94+1</f>
        <v>2061</v>
      </c>
      <c r="AP94" s="46">
        <f t="shared" ref="AP94:AW94" si="11">AO94+1</f>
        <v>2062</v>
      </c>
      <c r="AQ94" s="46">
        <f t="shared" si="11"/>
        <v>2063</v>
      </c>
      <c r="AR94" s="46">
        <f t="shared" si="11"/>
        <v>2064</v>
      </c>
      <c r="AS94" s="46">
        <f t="shared" si="11"/>
        <v>2065</v>
      </c>
      <c r="AT94" s="46">
        <f t="shared" si="11"/>
        <v>2066</v>
      </c>
      <c r="AU94" s="46">
        <f>AT94+1</f>
        <v>2067</v>
      </c>
      <c r="AV94" s="46">
        <f t="shared" si="11"/>
        <v>2068</v>
      </c>
      <c r="AW94" s="46">
        <f t="shared" si="11"/>
        <v>2069</v>
      </c>
      <c r="AX94" s="46">
        <f>AW94+1</f>
        <v>2070</v>
      </c>
    </row>
    <row r="95" spans="1:50" x14ac:dyDescent="0.2">
      <c r="A95" s="6" t="s">
        <v>111</v>
      </c>
      <c r="B95" s="35">
        <f>Residential!B95*Residential!$B$93</f>
        <v>68054235.129065856</v>
      </c>
      <c r="C95" s="35">
        <f>Residential!C95*Residential!$B$93</f>
        <v>65768687.935281746</v>
      </c>
      <c r="D95" s="35">
        <f>Residential!D95*Residential!$B$93</f>
        <v>67247554.958366215</v>
      </c>
      <c r="E95" s="35">
        <f>Residential!E95*Residential!$B$93</f>
        <v>68623095.741586611</v>
      </c>
      <c r="F95" s="35">
        <f>Residential!F95*Residential!$B$93</f>
        <v>70301126.057547569</v>
      </c>
      <c r="G95" s="35">
        <f>Residential!G95*Residential!$B$93</f>
        <v>71906819.610304624</v>
      </c>
      <c r="H95" s="35">
        <f>Residential!H95*Residential!$B$93</f>
        <v>73445601.972130731</v>
      </c>
      <c r="I95" s="35">
        <f>Residential!I95*Residential!$B$93</f>
        <v>74921921.674937263</v>
      </c>
      <c r="J95" s="35">
        <f>Residential!J95*Residential!$B$93</f>
        <v>76339647.010045096</v>
      </c>
      <c r="K95" s="35">
        <f>Residential!K95*Residential!$B$93</f>
        <v>84565465.363026515</v>
      </c>
      <c r="L95" s="35">
        <f>Residential!L95*Residential!$B$93</f>
        <v>85921307.971219465</v>
      </c>
      <c r="M95" s="35">
        <f>Residential!M95*Residential!$B$93</f>
        <v>87183422.359190911</v>
      </c>
      <c r="N95" s="35">
        <f>Residential!N95*Residential!$B$93</f>
        <v>88362397.810397312</v>
      </c>
      <c r="O95" s="35">
        <f>Residential!O95*Residential!$B$93</f>
        <v>89467937.184872165</v>
      </c>
      <c r="P95" s="35">
        <f>Residential!P95*Residential!$B$93</f>
        <v>92903018.865852833</v>
      </c>
      <c r="Q95" s="35">
        <f>Residential!Q95*Residential!$B$93</f>
        <v>94014636.884785652</v>
      </c>
      <c r="R95" s="35">
        <f>Residential!R95*Residential!$B$93</f>
        <v>95065064.080835417</v>
      </c>
      <c r="S95" s="35">
        <f>Residential!S95*Residential!$B$93</f>
        <v>96060333.841013491</v>
      </c>
      <c r="T95" s="35">
        <f>Residential!T95*Residential!$B$93</f>
        <v>97006027.468834072</v>
      </c>
      <c r="U95" s="35">
        <f>Residential!U95*Residential!$B$93</f>
        <v>100019930.39413923</v>
      </c>
      <c r="V95" s="35">
        <f>Residential!V95*Residential!$B$93</f>
        <v>100938262.1243979</v>
      </c>
      <c r="W95" s="35">
        <f>Residential!W95*Residential!$B$93</f>
        <v>101812128.18356557</v>
      </c>
      <c r="X95" s="35">
        <f>Residential!X95*Residential!$B$93</f>
        <v>102645283.95317754</v>
      </c>
      <c r="Y95" s="35">
        <f>Residential!Y95*Residential!$B$93</f>
        <v>103441241.99519546</v>
      </c>
      <c r="Z95" s="35">
        <f>Residential!Z95*Residential!$B$93</f>
        <v>104077759.75554676</v>
      </c>
      <c r="AA95" s="35">
        <f>Residential!AA95*Residential!$B$93</f>
        <v>104682658.63627857</v>
      </c>
      <c r="AB95" s="35">
        <f>Residential!AB95*Residential!$B$93</f>
        <v>105258850.59071186</v>
      </c>
      <c r="AC95" s="35">
        <f>Residential!AC95*Residential!$B$93</f>
        <v>105809012.50394078</v>
      </c>
      <c r="AD95" s="35">
        <f>Residential!AD95*Residential!$B$93</f>
        <v>106335598.54990493</v>
      </c>
      <c r="AE95" s="35">
        <f>Residential!AE95*Residential!$B$93</f>
        <v>108225183.87932143</v>
      </c>
      <c r="AF95" s="35">
        <f>Residential!AF95*Residential!$B$93</f>
        <v>108467508.00807409</v>
      </c>
      <c r="AG95" s="35">
        <f>Residential!AG95*Residential!$B$93</f>
        <v>108687457.08056352</v>
      </c>
      <c r="AH95" s="35">
        <f>Residential!AH95*Residential!$B$93</f>
        <v>108887016.84617934</v>
      </c>
      <c r="AI95" s="35">
        <f>Residential!AI95*Residential!$B$93</f>
        <v>109068011.35043217</v>
      </c>
      <c r="AJ95" s="35">
        <f>Residential!AJ95*Residential!$B$93</f>
        <v>109232113.42697018</v>
      </c>
      <c r="AK95" s="35">
        <f>Residential!AK95*Residential!$B$93</f>
        <v>109380855.03023432</v>
      </c>
      <c r="AL95" s="35">
        <f>Residential!AL95*Residential!$B$93</f>
        <v>109515637.28780738</v>
      </c>
      <c r="AM95" s="35">
        <f>Residential!AM95*Residential!$B$93</f>
        <v>109637740.18330568</v>
      </c>
      <c r="AN95" s="35">
        <f>Residential!AN95*Residential!$B$93</f>
        <v>109748331.80687596</v>
      </c>
      <c r="AO95" s="49">
        <f>Residential!AO95*Residential!$B$93</f>
        <v>109859034.98425227</v>
      </c>
      <c r="AP95" s="49">
        <f>Residential!AP95*Residential!$B$93</f>
        <v>109969849.82795902</v>
      </c>
      <c r="AQ95" s="49">
        <f>Residential!AQ95*Residential!$B$93</f>
        <v>110080776.450634</v>
      </c>
      <c r="AR95" s="49">
        <f>Residential!AR95*Residential!$B$93</f>
        <v>110191814.96502875</v>
      </c>
      <c r="AS95" s="49">
        <f>Residential!AS95*Residential!$B$93</f>
        <v>110302965.48400846</v>
      </c>
      <c r="AT95" s="49">
        <f>Residential!AT95*Residential!$B$93</f>
        <v>110414228.12055221</v>
      </c>
      <c r="AU95" s="49">
        <f>Residential!AU95*Residential!$B$93</f>
        <v>110525602.987753</v>
      </c>
      <c r="AV95" s="49">
        <f>Residential!AV95*Residential!$B$93</f>
        <v>110637090.19881794</v>
      </c>
      <c r="AW95" s="49">
        <f>Residential!AW95*Residential!$B$93</f>
        <v>110748689.86706832</v>
      </c>
      <c r="AX95" s="49">
        <f>Residential!AX95*Residential!$B$93</f>
        <v>110860402.10593975</v>
      </c>
    </row>
    <row r="97" spans="1:50" x14ac:dyDescent="0.2">
      <c r="A97" s="5" t="s">
        <v>112</v>
      </c>
    </row>
    <row r="98" spans="1:50" x14ac:dyDescent="0.2">
      <c r="A98" s="5" t="s">
        <v>4</v>
      </c>
    </row>
    <row r="99" spans="1:50" x14ac:dyDescent="0.2">
      <c r="A99" s="5" t="s">
        <v>113</v>
      </c>
    </row>
    <row r="100" spans="1:50" x14ac:dyDescent="0.2">
      <c r="A100" s="5" t="s">
        <v>6</v>
      </c>
    </row>
    <row r="101" spans="1:50" x14ac:dyDescent="0.2">
      <c r="A101" s="5"/>
    </row>
    <row r="102" spans="1:50" x14ac:dyDescent="0.2">
      <c r="A102" s="6" t="s">
        <v>7</v>
      </c>
      <c r="B102" s="6">
        <v>2022</v>
      </c>
      <c r="C102" s="6">
        <v>2023</v>
      </c>
      <c r="D102" s="6">
        <v>2024</v>
      </c>
      <c r="E102" s="6">
        <v>2025</v>
      </c>
      <c r="F102" s="6">
        <v>2026</v>
      </c>
      <c r="G102" s="6">
        <v>2027</v>
      </c>
      <c r="H102" s="6">
        <v>2028</v>
      </c>
      <c r="I102" s="6">
        <v>2029</v>
      </c>
      <c r="J102" s="6">
        <v>2030</v>
      </c>
      <c r="K102" s="6">
        <v>2031</v>
      </c>
      <c r="L102" s="6">
        <v>2032</v>
      </c>
      <c r="M102" s="6">
        <v>2033</v>
      </c>
      <c r="N102" s="6">
        <v>2034</v>
      </c>
      <c r="O102" s="6">
        <v>2035</v>
      </c>
      <c r="P102" s="6">
        <v>2036</v>
      </c>
      <c r="Q102" s="6">
        <v>2037</v>
      </c>
      <c r="R102" s="6">
        <v>2038</v>
      </c>
      <c r="S102" s="6">
        <v>2039</v>
      </c>
      <c r="T102" s="6">
        <v>2040</v>
      </c>
      <c r="U102" s="6">
        <v>2041</v>
      </c>
      <c r="V102" s="6">
        <v>2042</v>
      </c>
      <c r="W102" s="6">
        <v>2043</v>
      </c>
      <c r="X102" s="6">
        <v>2044</v>
      </c>
      <c r="Y102" s="6">
        <v>2045</v>
      </c>
      <c r="Z102" s="6">
        <v>2046</v>
      </c>
      <c r="AA102" s="6">
        <v>2047</v>
      </c>
      <c r="AB102" s="6">
        <v>2048</v>
      </c>
      <c r="AC102" s="6">
        <v>2049</v>
      </c>
      <c r="AD102" s="6">
        <v>2050</v>
      </c>
      <c r="AE102" s="6">
        <v>2051</v>
      </c>
      <c r="AF102" s="6">
        <v>2052</v>
      </c>
      <c r="AG102" s="6">
        <v>2053</v>
      </c>
      <c r="AH102" s="6">
        <v>2054</v>
      </c>
      <c r="AI102" s="6">
        <v>2055</v>
      </c>
      <c r="AJ102" s="6">
        <v>2056</v>
      </c>
      <c r="AK102" s="6">
        <v>2057</v>
      </c>
      <c r="AL102" s="6">
        <v>2058</v>
      </c>
      <c r="AM102" s="6">
        <v>2059</v>
      </c>
      <c r="AN102" s="6">
        <v>2060</v>
      </c>
      <c r="AO102" s="46">
        <f>AN102+1</f>
        <v>2061</v>
      </c>
      <c r="AP102" s="46">
        <f t="shared" ref="AP102:AW102" si="12">AO102+1</f>
        <v>2062</v>
      </c>
      <c r="AQ102" s="46">
        <f t="shared" si="12"/>
        <v>2063</v>
      </c>
      <c r="AR102" s="46">
        <f t="shared" si="12"/>
        <v>2064</v>
      </c>
      <c r="AS102" s="46">
        <f t="shared" si="12"/>
        <v>2065</v>
      </c>
      <c r="AT102" s="46">
        <f t="shared" si="12"/>
        <v>2066</v>
      </c>
      <c r="AU102" s="46">
        <f>AT102+1</f>
        <v>2067</v>
      </c>
      <c r="AV102" s="46">
        <f t="shared" si="12"/>
        <v>2068</v>
      </c>
      <c r="AW102" s="46">
        <f t="shared" si="12"/>
        <v>2069</v>
      </c>
      <c r="AX102" s="46">
        <f>AW102+1</f>
        <v>2070</v>
      </c>
    </row>
    <row r="103" spans="1:50" x14ac:dyDescent="0.2">
      <c r="A103" s="6" t="s">
        <v>114</v>
      </c>
      <c r="B103" s="35">
        <f>Residential!B103*Residential!$B$101</f>
        <v>25868719.504587531</v>
      </c>
      <c r="C103" s="35">
        <f>Residential!C103*Residential!$B$101</f>
        <v>50403135.456290901</v>
      </c>
      <c r="D103" s="35">
        <f>Residential!D103*Residential!$B$101</f>
        <v>61774310.998013064</v>
      </c>
      <c r="E103" s="35">
        <f>Residential!E103*Residential!$B$101</f>
        <v>66290015.684125267</v>
      </c>
      <c r="F103" s="35">
        <f>Residential!F103*Residential!$B$101</f>
        <v>68944294.564853162</v>
      </c>
      <c r="G103" s="35">
        <f>Residential!G103*Residential!$B$101</f>
        <v>70404250.970154598</v>
      </c>
      <c r="H103" s="35">
        <f>Residential!H103*Residential!$B$101</f>
        <v>71018114.970968619</v>
      </c>
      <c r="I103" s="35">
        <f>Residential!I103*Residential!$B$101</f>
        <v>71627173.201229721</v>
      </c>
      <c r="J103" s="35">
        <f>Residential!J103*Residential!$B$101</f>
        <v>72233066.59482941</v>
      </c>
      <c r="K103" s="35">
        <f>Residential!K103*Residential!$B$101</f>
        <v>72738153.886284456</v>
      </c>
      <c r="L103" s="35">
        <f>Residential!L103*Residential!$B$101</f>
        <v>73241829.179319501</v>
      </c>
      <c r="M103" s="35">
        <f>Residential!M103*Residential!$B$101</f>
        <v>73744496.544115946</v>
      </c>
      <c r="N103" s="35">
        <f>Residential!N103*Residential!$B$101</f>
        <v>74246408.1696233</v>
      </c>
      <c r="O103" s="35">
        <f>Residential!O103*Residential!$B$101</f>
        <v>74747721.433180124</v>
      </c>
      <c r="P103" s="35">
        <f>Residential!P103*Residential!$B$101</f>
        <v>75171563.28801237</v>
      </c>
      <c r="Q103" s="35">
        <f>Residential!Q103*Residential!$B$101</f>
        <v>75595303.181757286</v>
      </c>
      <c r="R103" s="35">
        <f>Residential!R103*Residential!$B$101</f>
        <v>76018979.541244656</v>
      </c>
      <c r="S103" s="35">
        <f>Residential!S103*Residential!$B$101</f>
        <v>76442616.312550902</v>
      </c>
      <c r="T103" s="35">
        <f>Residential!T103*Residential!$B$101</f>
        <v>76866228.417330533</v>
      </c>
      <c r="U103" s="35">
        <f>Residential!U103*Residential!$B$101</f>
        <v>77190882.805298761</v>
      </c>
      <c r="V103" s="35">
        <f>Residential!V103*Residential!$B$101</f>
        <v>77515527.577156559</v>
      </c>
      <c r="W103" s="35">
        <f>Residential!W103*Residential!$B$101</f>
        <v>77840166.365934044</v>
      </c>
      <c r="X103" s="35">
        <f>Residential!X103*Residential!$B$101</f>
        <v>78164801.432147413</v>
      </c>
      <c r="Y103" s="35">
        <f>Residential!Y103*Residential!$B$101</f>
        <v>78489434.182291165</v>
      </c>
      <c r="Z103" s="35">
        <f>Residential!Z103*Residential!$B$101</f>
        <v>78719133.830968976</v>
      </c>
      <c r="AA103" s="35">
        <f>Residential!AA103*Residential!$B$101</f>
        <v>78948832.57957387</v>
      </c>
      <c r="AB103" s="35">
        <f>Residential!AB103*Residential!$B$101</f>
        <v>79178530.768900037</v>
      </c>
      <c r="AC103" s="35">
        <f>Residential!AC103*Residential!$B$101</f>
        <v>79408228.610710025</v>
      </c>
      <c r="AD103" s="35">
        <f>Residential!AD103*Residential!$B$101</f>
        <v>79637926.236587435</v>
      </c>
      <c r="AE103" s="35">
        <f>Residential!AE103*Residential!$B$101</f>
        <v>79637926.457786173</v>
      </c>
      <c r="AF103" s="35">
        <f>Residential!AF103*Residential!$B$101</f>
        <v>79637926.594827592</v>
      </c>
      <c r="AG103" s="35">
        <f>Residential!AG103*Residential!$B$101</f>
        <v>79637926.679730222</v>
      </c>
      <c r="AH103" s="35">
        <f>Residential!AH103*Residential!$B$101</f>
        <v>79637926.732330784</v>
      </c>
      <c r="AI103" s="35">
        <f>Residential!AI103*Residential!$B$101</f>
        <v>79637926.764918938</v>
      </c>
      <c r="AJ103" s="35">
        <f>Residential!AJ103*Residential!$B$101</f>
        <v>79637926.785108581</v>
      </c>
      <c r="AK103" s="35">
        <f>Residential!AK103*Residential!$B$101</f>
        <v>79637926.797616869</v>
      </c>
      <c r="AL103" s="35">
        <f>Residential!AL103*Residential!$B$101</f>
        <v>79637926.805366278</v>
      </c>
      <c r="AM103" s="35">
        <f>Residential!AM103*Residential!$B$101</f>
        <v>79637926.810167328</v>
      </c>
      <c r="AN103" s="35">
        <f>Residential!AN103*Residential!$B$101</f>
        <v>79637926.813141763</v>
      </c>
      <c r="AO103" s="49">
        <f>Residential!AO103*Residential!$B$101</f>
        <v>79637926.816116199</v>
      </c>
      <c r="AP103" s="49">
        <f>Residential!AP103*Residential!$B$101</f>
        <v>79637926.81909062</v>
      </c>
      <c r="AQ103" s="49">
        <f>Residential!AQ103*Residential!$B$101</f>
        <v>79637926.822065055</v>
      </c>
      <c r="AR103" s="49">
        <f>Residential!AR103*Residential!$B$101</f>
        <v>79637926.825039491</v>
      </c>
      <c r="AS103" s="49">
        <f>Residential!AS103*Residential!$B$101</f>
        <v>79637926.828013912</v>
      </c>
      <c r="AT103" s="49">
        <f>Residential!AT103*Residential!$B$101</f>
        <v>79637926.830988348</v>
      </c>
      <c r="AU103" s="49">
        <f>Residential!AU103*Residential!$B$101</f>
        <v>79637926.833962783</v>
      </c>
      <c r="AV103" s="49">
        <f>Residential!AV103*Residential!$B$101</f>
        <v>79637926.836937204</v>
      </c>
      <c r="AW103" s="49">
        <f>Residential!AW103*Residential!$B$101</f>
        <v>79637926.83991164</v>
      </c>
      <c r="AX103" s="49">
        <f>Residential!AX103*Residential!$B$101</f>
        <v>79637926.842886075</v>
      </c>
    </row>
    <row r="105" spans="1:50" x14ac:dyDescent="0.2">
      <c r="A105" s="5" t="s">
        <v>115</v>
      </c>
    </row>
    <row r="106" spans="1:50" x14ac:dyDescent="0.2">
      <c r="A106" s="5" t="s">
        <v>4</v>
      </c>
    </row>
    <row r="107" spans="1:50" x14ac:dyDescent="0.2">
      <c r="A107" s="5" t="s">
        <v>116</v>
      </c>
    </row>
    <row r="108" spans="1:50" x14ac:dyDescent="0.2">
      <c r="A108" s="5" t="s">
        <v>6</v>
      </c>
    </row>
    <row r="109" spans="1:50" x14ac:dyDescent="0.2">
      <c r="A109" s="5"/>
    </row>
    <row r="110" spans="1:50" x14ac:dyDescent="0.2">
      <c r="A110" s="6" t="s">
        <v>7</v>
      </c>
      <c r="B110" s="6">
        <v>2022</v>
      </c>
      <c r="C110" s="6">
        <v>2023</v>
      </c>
      <c r="D110" s="6">
        <v>2024</v>
      </c>
      <c r="E110" s="6">
        <v>2025</v>
      </c>
      <c r="F110" s="6">
        <v>2026</v>
      </c>
      <c r="G110" s="6">
        <v>2027</v>
      </c>
      <c r="H110" s="6">
        <v>2028</v>
      </c>
      <c r="I110" s="6">
        <v>2029</v>
      </c>
      <c r="J110" s="6">
        <v>2030</v>
      </c>
      <c r="K110" s="6">
        <v>2031</v>
      </c>
      <c r="L110" s="6">
        <v>2032</v>
      </c>
      <c r="M110" s="6">
        <v>2033</v>
      </c>
      <c r="N110" s="6">
        <v>2034</v>
      </c>
      <c r="O110" s="6">
        <v>2035</v>
      </c>
      <c r="P110" s="6">
        <v>2036</v>
      </c>
      <c r="Q110" s="6">
        <v>2037</v>
      </c>
      <c r="R110" s="6">
        <v>2038</v>
      </c>
      <c r="S110" s="6">
        <v>2039</v>
      </c>
      <c r="T110" s="6">
        <v>2040</v>
      </c>
      <c r="U110" s="6">
        <v>2041</v>
      </c>
      <c r="V110" s="6">
        <v>2042</v>
      </c>
      <c r="W110" s="6">
        <v>2043</v>
      </c>
      <c r="X110" s="6">
        <v>2044</v>
      </c>
      <c r="Y110" s="6">
        <v>2045</v>
      </c>
      <c r="Z110" s="6">
        <v>2046</v>
      </c>
      <c r="AA110" s="6">
        <v>2047</v>
      </c>
      <c r="AB110" s="6">
        <v>2048</v>
      </c>
      <c r="AC110" s="6">
        <v>2049</v>
      </c>
      <c r="AD110" s="6">
        <v>2050</v>
      </c>
      <c r="AE110" s="6">
        <v>2051</v>
      </c>
      <c r="AF110" s="6">
        <v>2052</v>
      </c>
      <c r="AG110" s="6">
        <v>2053</v>
      </c>
      <c r="AH110" s="6">
        <v>2054</v>
      </c>
      <c r="AI110" s="6">
        <v>2055</v>
      </c>
      <c r="AJ110" s="6">
        <v>2056</v>
      </c>
      <c r="AK110" s="6">
        <v>2057</v>
      </c>
      <c r="AL110" s="6">
        <v>2058</v>
      </c>
      <c r="AM110" s="6">
        <v>2059</v>
      </c>
      <c r="AN110" s="6">
        <v>2060</v>
      </c>
      <c r="AO110" s="46">
        <f>AN110+1</f>
        <v>2061</v>
      </c>
      <c r="AP110" s="46">
        <f t="shared" ref="AP110:AW110" si="13">AO110+1</f>
        <v>2062</v>
      </c>
      <c r="AQ110" s="46">
        <f t="shared" si="13"/>
        <v>2063</v>
      </c>
      <c r="AR110" s="46">
        <f t="shared" si="13"/>
        <v>2064</v>
      </c>
      <c r="AS110" s="46">
        <f t="shared" si="13"/>
        <v>2065</v>
      </c>
      <c r="AT110" s="46">
        <f t="shared" si="13"/>
        <v>2066</v>
      </c>
      <c r="AU110" s="46">
        <f>AT110+1</f>
        <v>2067</v>
      </c>
      <c r="AV110" s="46">
        <f t="shared" si="13"/>
        <v>2068</v>
      </c>
      <c r="AW110" s="46">
        <f t="shared" si="13"/>
        <v>2069</v>
      </c>
      <c r="AX110" s="46">
        <f>AW110+1</f>
        <v>2070</v>
      </c>
    </row>
    <row r="111" spans="1:50" x14ac:dyDescent="0.2">
      <c r="A111" s="6" t="s">
        <v>117</v>
      </c>
      <c r="B111" s="35">
        <f>Residential!B111*Residential!$B$109</f>
        <v>18487696.109852504</v>
      </c>
      <c r="C111" s="35">
        <f>Residential!C111*Residential!$B$109</f>
        <v>21617304.74043709</v>
      </c>
      <c r="D111" s="35">
        <f>Residential!D111*Residential!$B$109</f>
        <v>24759780.222418837</v>
      </c>
      <c r="E111" s="35">
        <f>Residential!E111*Residential!$B$109</f>
        <v>27915982.105704773</v>
      </c>
      <c r="F111" s="35">
        <f>Residential!F111*Residential!$B$109</f>
        <v>29234561.641407285</v>
      </c>
      <c r="G111" s="35">
        <f>Residential!G111*Residential!$B$109</f>
        <v>29494842.756102581</v>
      </c>
      <c r="H111" s="35">
        <f>Residential!H111*Residential!$B$109</f>
        <v>29752012.201528776</v>
      </c>
      <c r="I111" s="35">
        <f>Residential!I111*Residential!$B$109</f>
        <v>30007168.338882986</v>
      </c>
      <c r="J111" s="35">
        <f>Residential!J111*Residential!$B$109</f>
        <v>30260998.613687854</v>
      </c>
      <c r="K111" s="35">
        <f>Residential!K111*Residential!$B$109</f>
        <v>30472597.629859287</v>
      </c>
      <c r="L111" s="35">
        <f>Residential!L111*Residential!$B$109</f>
        <v>30683605.109713029</v>
      </c>
      <c r="M111" s="35">
        <f>Residential!M111*Residential!$B$109</f>
        <v>30894190.33260788</v>
      </c>
      <c r="N111" s="35">
        <f>Residential!N111*Residential!$B$109</f>
        <v>31104458.949457098</v>
      </c>
      <c r="O111" s="35">
        <f>Residential!O111*Residential!$B$109</f>
        <v>31314476.89122067</v>
      </c>
      <c r="P111" s="35">
        <f>Residential!P111*Residential!$B$109</f>
        <v>31492039.306692302</v>
      </c>
      <c r="Q111" s="35">
        <f>Residential!Q111*Residential!$B$109</f>
        <v>31669559.007040955</v>
      </c>
      <c r="R111" s="35">
        <f>Residential!R111*Residential!$B$109</f>
        <v>31847052.090631261</v>
      </c>
      <c r="S111" s="35">
        <f>Residential!S111*Residential!$B$109</f>
        <v>32024528.589325607</v>
      </c>
      <c r="T111" s="35">
        <f>Residential!T111*Residential!$B$109</f>
        <v>32201994.754335336</v>
      </c>
      <c r="U111" s="35">
        <f>Residential!U111*Residential!$B$109</f>
        <v>32338004.015015654</v>
      </c>
      <c r="V111" s="35">
        <f>Residential!V111*Residential!$B$109</f>
        <v>32474009.247165568</v>
      </c>
      <c r="W111" s="35">
        <f>Residential!W111*Residential!$B$109</f>
        <v>32610011.972790502</v>
      </c>
      <c r="X111" s="35">
        <f>Residential!X111*Residential!$B$109</f>
        <v>32746013.138901047</v>
      </c>
      <c r="Y111" s="35">
        <f>Residential!Y111*Residential!$B$109</f>
        <v>32882013.334727723</v>
      </c>
      <c r="Z111" s="35">
        <f>Residential!Z111*Residential!$B$109</f>
        <v>32978242.680619866</v>
      </c>
      <c r="AA111" s="35">
        <f>Residential!AA111*Residential!$B$109</f>
        <v>33074471.649439458</v>
      </c>
      <c r="AB111" s="35">
        <f>Residential!AB111*Residential!$B$109</f>
        <v>33170700.383957345</v>
      </c>
      <c r="AC111" s="35">
        <f>Residential!AC111*Residential!$B$109</f>
        <v>33266928.972888328</v>
      </c>
      <c r="AD111" s="35">
        <f>Residential!AD111*Residential!$B$109</f>
        <v>33363157.471357502</v>
      </c>
      <c r="AE111" s="35">
        <f>Residential!AE111*Residential!$B$109</f>
        <v>33363157.564025514</v>
      </c>
      <c r="AF111" s="35">
        <f>Residential!AF111*Residential!$B$109</f>
        <v>33363157.621437039</v>
      </c>
      <c r="AG111" s="35">
        <f>Residential!AG111*Residential!$B$109</f>
        <v>33363157.657005757</v>
      </c>
      <c r="AH111" s="35">
        <f>Residential!AH111*Residential!$B$109</f>
        <v>33363157.679042011</v>
      </c>
      <c r="AI111" s="35">
        <f>Residential!AI111*Residential!$B$109</f>
        <v>33363157.692694336</v>
      </c>
      <c r="AJ111" s="35">
        <f>Residential!AJ111*Residential!$B$109</f>
        <v>33363157.701152503</v>
      </c>
      <c r="AK111" s="35">
        <f>Residential!AK111*Residential!$B$109</f>
        <v>33363157.706392676</v>
      </c>
      <c r="AL111" s="35">
        <f>Residential!AL111*Residential!$B$109</f>
        <v>33363157.709639177</v>
      </c>
      <c r="AM111" s="35">
        <f>Residential!AM111*Residential!$B$109</f>
        <v>33363157.711650509</v>
      </c>
      <c r="AN111" s="35">
        <f>Residential!AN111*Residential!$B$109</f>
        <v>33363157.712896593</v>
      </c>
      <c r="AO111" s="49">
        <f>Residential!AO111*Residential!$B$109</f>
        <v>33363157.71414268</v>
      </c>
      <c r="AP111" s="49">
        <f>Residential!AP111*Residential!$B$109</f>
        <v>33363157.715388767</v>
      </c>
      <c r="AQ111" s="49">
        <f>Residential!AQ111*Residential!$B$109</f>
        <v>33363157.716634851</v>
      </c>
      <c r="AR111" s="49">
        <f>Residential!AR111*Residential!$B$109</f>
        <v>33363157.717880938</v>
      </c>
      <c r="AS111" s="49">
        <f>Residential!AS111*Residential!$B$109</f>
        <v>33363157.719127025</v>
      </c>
      <c r="AT111" s="49">
        <f>Residential!AT111*Residential!$B$109</f>
        <v>33363157.720373109</v>
      </c>
      <c r="AU111" s="49">
        <f>Residential!AU111*Residential!$B$109</f>
        <v>33363157.721619196</v>
      </c>
      <c r="AV111" s="49">
        <f>Residential!AV111*Residential!$B$109</f>
        <v>33363157.72286528</v>
      </c>
      <c r="AW111" s="49">
        <f>Residential!AW111*Residential!$B$109</f>
        <v>33363157.724111367</v>
      </c>
      <c r="AX111" s="49">
        <f>Residential!AX111*Residential!$B$109</f>
        <v>33363157.725357454</v>
      </c>
    </row>
    <row r="113" spans="1:50" x14ac:dyDescent="0.2">
      <c r="A113" s="5" t="s">
        <v>118</v>
      </c>
    </row>
    <row r="114" spans="1:50" x14ac:dyDescent="0.2">
      <c r="A114" s="5" t="s">
        <v>4</v>
      </c>
    </row>
    <row r="115" spans="1:50" x14ac:dyDescent="0.2">
      <c r="A115" s="5" t="s">
        <v>119</v>
      </c>
    </row>
    <row r="116" spans="1:50" x14ac:dyDescent="0.2">
      <c r="A116" s="5" t="s">
        <v>6</v>
      </c>
    </row>
    <row r="117" spans="1:50" x14ac:dyDescent="0.2">
      <c r="A117" s="5"/>
    </row>
    <row r="118" spans="1:50" x14ac:dyDescent="0.2">
      <c r="A118" s="6" t="s">
        <v>7</v>
      </c>
      <c r="B118" s="6">
        <v>2022</v>
      </c>
      <c r="C118" s="6">
        <v>2023</v>
      </c>
      <c r="D118" s="6">
        <v>2024</v>
      </c>
      <c r="E118" s="6">
        <v>2025</v>
      </c>
      <c r="F118" s="6">
        <v>2026</v>
      </c>
      <c r="G118" s="6">
        <v>2027</v>
      </c>
      <c r="H118" s="6">
        <v>2028</v>
      </c>
      <c r="I118" s="6">
        <v>2029</v>
      </c>
      <c r="J118" s="6">
        <v>2030</v>
      </c>
      <c r="K118" s="6">
        <v>2031</v>
      </c>
      <c r="L118" s="6">
        <v>2032</v>
      </c>
      <c r="M118" s="6">
        <v>2033</v>
      </c>
      <c r="N118" s="6">
        <v>2034</v>
      </c>
      <c r="O118" s="6">
        <v>2035</v>
      </c>
      <c r="P118" s="6">
        <v>2036</v>
      </c>
      <c r="Q118" s="6">
        <v>2037</v>
      </c>
      <c r="R118" s="6">
        <v>2038</v>
      </c>
      <c r="S118" s="6">
        <v>2039</v>
      </c>
      <c r="T118" s="6">
        <v>2040</v>
      </c>
      <c r="U118" s="6">
        <v>2041</v>
      </c>
      <c r="V118" s="6">
        <v>2042</v>
      </c>
      <c r="W118" s="6">
        <v>2043</v>
      </c>
      <c r="X118" s="6">
        <v>2044</v>
      </c>
      <c r="Y118" s="6">
        <v>2045</v>
      </c>
      <c r="Z118" s="6">
        <v>2046</v>
      </c>
      <c r="AA118" s="6">
        <v>2047</v>
      </c>
      <c r="AB118" s="6">
        <v>2048</v>
      </c>
      <c r="AC118" s="6">
        <v>2049</v>
      </c>
      <c r="AD118" s="6">
        <v>2050</v>
      </c>
      <c r="AE118" s="6">
        <v>2051</v>
      </c>
      <c r="AF118" s="6">
        <v>2052</v>
      </c>
      <c r="AG118" s="6">
        <v>2053</v>
      </c>
      <c r="AH118" s="6">
        <v>2054</v>
      </c>
      <c r="AI118" s="6">
        <v>2055</v>
      </c>
      <c r="AJ118" s="6">
        <v>2056</v>
      </c>
      <c r="AK118" s="6">
        <v>2057</v>
      </c>
      <c r="AL118" s="6">
        <v>2058</v>
      </c>
      <c r="AM118" s="6">
        <v>2059</v>
      </c>
      <c r="AN118" s="6">
        <v>2060</v>
      </c>
      <c r="AO118" s="46">
        <f>AN118+1</f>
        <v>2061</v>
      </c>
      <c r="AP118" s="46">
        <f t="shared" ref="AP118:AW118" si="14">AO118+1</f>
        <v>2062</v>
      </c>
      <c r="AQ118" s="46">
        <f t="shared" si="14"/>
        <v>2063</v>
      </c>
      <c r="AR118" s="46">
        <f t="shared" si="14"/>
        <v>2064</v>
      </c>
      <c r="AS118" s="46">
        <f t="shared" si="14"/>
        <v>2065</v>
      </c>
      <c r="AT118" s="46">
        <f t="shared" si="14"/>
        <v>2066</v>
      </c>
      <c r="AU118" s="46">
        <f>AT118+1</f>
        <v>2067</v>
      </c>
      <c r="AV118" s="46">
        <f t="shared" si="14"/>
        <v>2068</v>
      </c>
      <c r="AW118" s="46">
        <f t="shared" si="14"/>
        <v>2069</v>
      </c>
      <c r="AX118" s="46">
        <f>AW118+1</f>
        <v>2070</v>
      </c>
    </row>
    <row r="119" spans="1:50" x14ac:dyDescent="0.2">
      <c r="A119" s="6" t="s">
        <v>120</v>
      </c>
      <c r="B119" s="35">
        <f>Residential!B119*Residential!$B$117</f>
        <v>6196766.732884068</v>
      </c>
      <c r="C119" s="35">
        <f>Residential!C119*Residential!$B$117</f>
        <v>6311844.9059002483</v>
      </c>
      <c r="D119" s="35">
        <f>Residential!D119*Residential!$B$117</f>
        <v>6423353.0809967024</v>
      </c>
      <c r="E119" s="35">
        <f>Residential!E119*Residential!$B$117</f>
        <v>6532785.2340105725</v>
      </c>
      <c r="F119" s="35">
        <f>Residential!F119*Residential!$B$117</f>
        <v>6832389.7343601519</v>
      </c>
      <c r="G119" s="35">
        <f>Residential!G119*Residential!$B$117</f>
        <v>7135167.3105674963</v>
      </c>
      <c r="H119" s="35">
        <f>Residential!H119*Residential!$B$117</f>
        <v>7441436.8044824116</v>
      </c>
      <c r="I119" s="35">
        <f>Residential!I119*Residential!$B$117</f>
        <v>7751405.3676056508</v>
      </c>
      <c r="J119" s="35">
        <f>Residential!J119*Residential!$B$117</f>
        <v>8065206.6731917905</v>
      </c>
      <c r="K119" s="35">
        <f>Residential!K119*Residential!$B$117</f>
        <v>8337989.7677226178</v>
      </c>
      <c r="L119" s="35">
        <f>Residential!L119*Residential!$B$117</f>
        <v>8613611.9540004339</v>
      </c>
      <c r="M119" s="35">
        <f>Residential!M119*Residential!$B$117</f>
        <v>8892109.3532114569</v>
      </c>
      <c r="N119" s="35">
        <f>Residential!N119*Residential!$B$117</f>
        <v>9173504.1291225255</v>
      </c>
      <c r="O119" s="35">
        <f>Residential!O119*Residential!$B$117</f>
        <v>9457809.449941637</v>
      </c>
      <c r="P119" s="35">
        <f>Residential!P119*Residential!$B$117</f>
        <v>9539318.24960359</v>
      </c>
      <c r="Q119" s="35">
        <f>Residential!Q119*Residential!$B$117</f>
        <v>9621128.4679120556</v>
      </c>
      <c r="R119" s="35">
        <f>Residential!R119*Residential!$B$117</f>
        <v>9703244.8963114433</v>
      </c>
      <c r="S119" s="35">
        <f>Residential!S119*Residential!$B$117</f>
        <v>9785670.5295254923</v>
      </c>
      <c r="T119" s="35">
        <f>Residential!T119*Residential!$B$117</f>
        <v>9868407.2392101791</v>
      </c>
      <c r="U119" s="35">
        <f>Residential!U119*Residential!$B$117</f>
        <v>9910087.7246253379</v>
      </c>
      <c r="V119" s="35">
        <f>Residential!V119*Residential!$B$117</f>
        <v>9951766.9754841104</v>
      </c>
      <c r="W119" s="35">
        <f>Residential!W119*Residential!$B$117</f>
        <v>9993445.4582100511</v>
      </c>
      <c r="X119" s="35">
        <f>Residential!X119*Residential!$B$117</f>
        <v>10035123.463017676</v>
      </c>
      <c r="Y119" s="35">
        <f>Residential!Y119*Residential!$B$117</f>
        <v>10076801.170478616</v>
      </c>
      <c r="Z119" s="35">
        <f>Residential!Z119*Residential!$B$117</f>
        <v>10106290.970128331</v>
      </c>
      <c r="AA119" s="35">
        <f>Residential!AA119*Residential!$B$117</f>
        <v>10135780.654222921</v>
      </c>
      <c r="AB119" s="35">
        <f>Residential!AB119*Residential!$B$117</f>
        <v>10165270.266514983</v>
      </c>
      <c r="AC119" s="35">
        <f>Residential!AC119*Residential!$B$117</f>
        <v>10194759.834191456</v>
      </c>
      <c r="AD119" s="35">
        <f>Residential!AD119*Residential!$B$117</f>
        <v>10224249.374145618</v>
      </c>
      <c r="AE119" s="35">
        <f>Residential!AE119*Residential!$B$117</f>
        <v>10224249.402544033</v>
      </c>
      <c r="AF119" s="35">
        <f>Residential!AF119*Residential!$B$117</f>
        <v>10224249.420137985</v>
      </c>
      <c r="AG119" s="35">
        <f>Residential!AG119*Residential!$B$117</f>
        <v>10224249.431038138</v>
      </c>
      <c r="AH119" s="35">
        <f>Residential!AH119*Residential!$B$117</f>
        <v>10224249.437791217</v>
      </c>
      <c r="AI119" s="35">
        <f>Residential!AI119*Residential!$B$117</f>
        <v>10224249.441975018</v>
      </c>
      <c r="AJ119" s="35">
        <f>Residential!AJ119*Residential!$B$117</f>
        <v>10224249.444567051</v>
      </c>
      <c r="AK119" s="35">
        <f>Residential!AK119*Residential!$B$117</f>
        <v>10224249.446172919</v>
      </c>
      <c r="AL119" s="35">
        <f>Residential!AL119*Residential!$B$117</f>
        <v>10224249.447167818</v>
      </c>
      <c r="AM119" s="35">
        <f>Residential!AM119*Residential!$B$117</f>
        <v>10224249.447784197</v>
      </c>
      <c r="AN119" s="35">
        <f>Residential!AN119*Residential!$B$117</f>
        <v>10224249.448166067</v>
      </c>
      <c r="AO119" s="49">
        <f>Residential!AO119*Residential!$B$117</f>
        <v>10224249.448547937</v>
      </c>
      <c r="AP119" s="49">
        <f>Residential!AP119*Residential!$B$117</f>
        <v>10224249.448929807</v>
      </c>
      <c r="AQ119" s="49">
        <f>Residential!AQ119*Residential!$B$117</f>
        <v>10224249.449311677</v>
      </c>
      <c r="AR119" s="49">
        <f>Residential!AR119*Residential!$B$117</f>
        <v>10224249.449693549</v>
      </c>
      <c r="AS119" s="49">
        <f>Residential!AS119*Residential!$B$117</f>
        <v>10224249.45007542</v>
      </c>
      <c r="AT119" s="49">
        <f>Residential!AT119*Residential!$B$117</f>
        <v>10224249.45045729</v>
      </c>
      <c r="AU119" s="49">
        <f>Residential!AU119*Residential!$B$117</f>
        <v>10224249.45083916</v>
      </c>
      <c r="AV119" s="49">
        <f>Residential!AV119*Residential!$B$117</f>
        <v>10224249.45122103</v>
      </c>
      <c r="AW119" s="49">
        <f>Residential!AW119*Residential!$B$117</f>
        <v>10224249.4516029</v>
      </c>
      <c r="AX119" s="49">
        <f>Residential!AX119*Residential!$B$117</f>
        <v>10224249.451984772</v>
      </c>
    </row>
    <row r="121" spans="1:50" x14ac:dyDescent="0.2">
      <c r="A121" s="5" t="s">
        <v>121</v>
      </c>
    </row>
    <row r="122" spans="1:50" x14ac:dyDescent="0.2">
      <c r="A122" s="5" t="s">
        <v>4</v>
      </c>
    </row>
    <row r="123" spans="1:50" x14ac:dyDescent="0.2">
      <c r="A123" s="5" t="s">
        <v>122</v>
      </c>
    </row>
    <row r="124" spans="1:50" x14ac:dyDescent="0.2">
      <c r="A124" s="5" t="s">
        <v>6</v>
      </c>
    </row>
    <row r="125" spans="1:50" x14ac:dyDescent="0.2">
      <c r="A125" s="5"/>
    </row>
    <row r="126" spans="1:50" x14ac:dyDescent="0.2">
      <c r="A126" s="6" t="s">
        <v>7</v>
      </c>
      <c r="B126" s="6">
        <v>2022</v>
      </c>
      <c r="C126" s="6">
        <v>2023</v>
      </c>
      <c r="D126" s="6">
        <v>2024</v>
      </c>
      <c r="E126" s="6">
        <v>2025</v>
      </c>
      <c r="F126" s="6">
        <v>2026</v>
      </c>
      <c r="G126" s="6">
        <v>2027</v>
      </c>
      <c r="H126" s="6">
        <v>2028</v>
      </c>
      <c r="I126" s="6">
        <v>2029</v>
      </c>
      <c r="J126" s="6">
        <v>2030</v>
      </c>
      <c r="K126" s="6">
        <v>2031</v>
      </c>
      <c r="L126" s="6">
        <v>2032</v>
      </c>
      <c r="M126" s="6">
        <v>2033</v>
      </c>
      <c r="N126" s="6">
        <v>2034</v>
      </c>
      <c r="O126" s="6">
        <v>2035</v>
      </c>
      <c r="P126" s="6">
        <v>2036</v>
      </c>
      <c r="Q126" s="6">
        <v>2037</v>
      </c>
      <c r="R126" s="6">
        <v>2038</v>
      </c>
      <c r="S126" s="6">
        <v>2039</v>
      </c>
      <c r="T126" s="6">
        <v>2040</v>
      </c>
      <c r="U126" s="6">
        <v>2041</v>
      </c>
      <c r="V126" s="6">
        <v>2042</v>
      </c>
      <c r="W126" s="6">
        <v>2043</v>
      </c>
      <c r="X126" s="6">
        <v>2044</v>
      </c>
      <c r="Y126" s="6">
        <v>2045</v>
      </c>
      <c r="Z126" s="6">
        <v>2046</v>
      </c>
      <c r="AA126" s="6">
        <v>2047</v>
      </c>
      <c r="AB126" s="6">
        <v>2048</v>
      </c>
      <c r="AC126" s="6">
        <v>2049</v>
      </c>
      <c r="AD126" s="6">
        <v>2050</v>
      </c>
      <c r="AE126" s="6">
        <v>2051</v>
      </c>
      <c r="AF126" s="6">
        <v>2052</v>
      </c>
      <c r="AG126" s="6">
        <v>2053</v>
      </c>
      <c r="AH126" s="6">
        <v>2054</v>
      </c>
      <c r="AI126" s="6">
        <v>2055</v>
      </c>
      <c r="AJ126" s="6">
        <v>2056</v>
      </c>
      <c r="AK126" s="6">
        <v>2057</v>
      </c>
      <c r="AL126" s="6">
        <v>2058</v>
      </c>
      <c r="AM126" s="6">
        <v>2059</v>
      </c>
      <c r="AN126" s="6">
        <v>2060</v>
      </c>
      <c r="AO126" s="46">
        <f>AN126+1</f>
        <v>2061</v>
      </c>
      <c r="AP126" s="46">
        <f t="shared" ref="AP126:AW126" si="15">AO126+1</f>
        <v>2062</v>
      </c>
      <c r="AQ126" s="46">
        <f t="shared" si="15"/>
        <v>2063</v>
      </c>
      <c r="AR126" s="46">
        <f t="shared" si="15"/>
        <v>2064</v>
      </c>
      <c r="AS126" s="46">
        <f t="shared" si="15"/>
        <v>2065</v>
      </c>
      <c r="AT126" s="46">
        <f t="shared" si="15"/>
        <v>2066</v>
      </c>
      <c r="AU126" s="46">
        <f>AT126+1</f>
        <v>2067</v>
      </c>
      <c r="AV126" s="46">
        <f t="shared" si="15"/>
        <v>2068</v>
      </c>
      <c r="AW126" s="46">
        <f t="shared" si="15"/>
        <v>2069</v>
      </c>
      <c r="AX126" s="46">
        <f>AW126+1</f>
        <v>2070</v>
      </c>
    </row>
    <row r="127" spans="1:50" x14ac:dyDescent="0.2">
      <c r="A127" s="6" t="s">
        <v>123</v>
      </c>
      <c r="B127" s="35">
        <f>Residential!B127*Residential!$B$125</f>
        <v>6718388.0152800083</v>
      </c>
      <c r="C127" s="35">
        <f>Residential!C127*Residential!$B$125</f>
        <v>9254245.7594944146</v>
      </c>
      <c r="D127" s="35">
        <f>Residential!D127*Residential!$B$125</f>
        <v>11322630.902123639</v>
      </c>
      <c r="E127" s="35">
        <f>Residential!E127*Residential!$B$125</f>
        <v>13165327.365611186</v>
      </c>
      <c r="F127" s="35">
        <f>Residential!F127*Residential!$B$125</f>
        <v>14877281.769800423</v>
      </c>
      <c r="G127" s="35">
        <f>Residential!G127*Residential!$B$125</f>
        <v>16406058.466330461</v>
      </c>
      <c r="H127" s="35">
        <f>Residential!H127*Residential!$B$125</f>
        <v>17755629.881679688</v>
      </c>
      <c r="I127" s="35">
        <f>Residential!I127*Residential!$B$125</f>
        <v>18943436.264155019</v>
      </c>
      <c r="J127" s="35">
        <f>Residential!J127*Residential!$B$125</f>
        <v>20329373.325024575</v>
      </c>
      <c r="K127" s="35">
        <f>Residential!K127*Residential!$B$125</f>
        <v>21192336.773715898</v>
      </c>
      <c r="L127" s="35">
        <f>Residential!L127*Residential!$B$125</f>
        <v>21836829.324691061</v>
      </c>
      <c r="M127" s="35">
        <f>Residential!M127*Residential!$B$125</f>
        <v>22487860.39761553</v>
      </c>
      <c r="N127" s="35">
        <f>Residential!N127*Residential!$B$125</f>
        <v>23145488.060151611</v>
      </c>
      <c r="O127" s="35">
        <f>Residential!O127*Residential!$B$125</f>
        <v>23809747.034600656</v>
      </c>
      <c r="P127" s="35">
        <f>Residential!P127*Residential!$B$125</f>
        <v>24087617.775796499</v>
      </c>
      <c r="Q127" s="35">
        <f>Residential!Q127*Residential!$B$125</f>
        <v>24367066.660924323</v>
      </c>
      <c r="R127" s="35">
        <f>Residential!R127*Residential!$B$125</f>
        <v>24648105.56802728</v>
      </c>
      <c r="S127" s="35">
        <f>Residential!S127*Residential!$B$125</f>
        <v>24930741.94456191</v>
      </c>
      <c r="T127" s="35">
        <f>Residential!T127*Residential!$B$125</f>
        <v>25214980.459675472</v>
      </c>
      <c r="U127" s="35">
        <f>Residential!U127*Residential!$B$125</f>
        <v>25373872.048657615</v>
      </c>
      <c r="V127" s="35">
        <f>Residential!V127*Residential!$B$125</f>
        <v>25533201.184849184</v>
      </c>
      <c r="W127" s="35">
        <f>Residential!W127*Residential!$B$125</f>
        <v>25692969.04783614</v>
      </c>
      <c r="X127" s="35">
        <f>Residential!X127*Residential!$B$125</f>
        <v>25853176.373106178</v>
      </c>
      <c r="Y127" s="35">
        <f>Residential!Y127*Residential!$B$125</f>
        <v>26013823.619235005</v>
      </c>
      <c r="Z127" s="35">
        <f>Residential!Z127*Residential!$B$125</f>
        <v>26165930.88510742</v>
      </c>
      <c r="AA127" s="35">
        <f>Residential!AA127*Residential!$B$125</f>
        <v>26318481.251443829</v>
      </c>
      <c r="AB127" s="35">
        <f>Residential!AB127*Residential!$B$125</f>
        <v>26471474.829574589</v>
      </c>
      <c r="AC127" s="35">
        <f>Residential!AC127*Residential!$B$125</f>
        <v>26624911.688882455</v>
      </c>
      <c r="AD127" s="35">
        <f>Residential!AD127*Residential!$B$125</f>
        <v>26778791.87260709</v>
      </c>
      <c r="AE127" s="35">
        <f>Residential!AE127*Residential!$B$125</f>
        <v>26778791.94698666</v>
      </c>
      <c r="AF127" s="35">
        <f>Residential!AF127*Residential!$B$125</f>
        <v>26778791.993067771</v>
      </c>
      <c r="AG127" s="35">
        <f>Residential!AG127*Residential!$B$125</f>
        <v>26778792.021616846</v>
      </c>
      <c r="AH127" s="35">
        <f>Residential!AH127*Residential!$B$125</f>
        <v>26778792.039304156</v>
      </c>
      <c r="AI127" s="35">
        <f>Residential!AI127*Residential!$B$125</f>
        <v>26778792.050262131</v>
      </c>
      <c r="AJ127" s="35">
        <f>Residential!AJ127*Residential!$B$125</f>
        <v>26778792.057051044</v>
      </c>
      <c r="AK127" s="35">
        <f>Residential!AK127*Residential!$B$125</f>
        <v>26778792.061257031</v>
      </c>
      <c r="AL127" s="35">
        <f>Residential!AL127*Residential!$B$125</f>
        <v>26778792.063862823</v>
      </c>
      <c r="AM127" s="35">
        <f>Residential!AM127*Residential!$B$125</f>
        <v>26778792.065477215</v>
      </c>
      <c r="AN127" s="35">
        <f>Residential!AN127*Residential!$B$125</f>
        <v>26778792.066477377</v>
      </c>
      <c r="AO127" s="49">
        <f>Residential!AO127*Residential!$B$125</f>
        <v>26778792.067477535</v>
      </c>
      <c r="AP127" s="49">
        <f>Residential!AP127*Residential!$B$125</f>
        <v>26778792.068477694</v>
      </c>
      <c r="AQ127" s="49">
        <f>Residential!AQ127*Residential!$B$125</f>
        <v>26778792.069477856</v>
      </c>
      <c r="AR127" s="49">
        <f>Residential!AR127*Residential!$B$125</f>
        <v>26778792.070478015</v>
      </c>
      <c r="AS127" s="49">
        <f>Residential!AS127*Residential!$B$125</f>
        <v>26778792.071478177</v>
      </c>
      <c r="AT127" s="49">
        <f>Residential!AT127*Residential!$B$125</f>
        <v>26778792.072478335</v>
      </c>
      <c r="AU127" s="49">
        <f>Residential!AU127*Residential!$B$125</f>
        <v>26778792.073478494</v>
      </c>
      <c r="AV127" s="49">
        <f>Residential!AV127*Residential!$B$125</f>
        <v>26778792.074478656</v>
      </c>
      <c r="AW127" s="49">
        <f>Residential!AW127*Residential!$B$125</f>
        <v>26778792.075478815</v>
      </c>
      <c r="AX127" s="49">
        <f>Residential!AX127*Residential!$B$125</f>
        <v>26778792.076478977</v>
      </c>
    </row>
    <row r="129" spans="1:50" x14ac:dyDescent="0.2">
      <c r="A129" s="5" t="s">
        <v>124</v>
      </c>
    </row>
    <row r="130" spans="1:50" x14ac:dyDescent="0.2">
      <c r="A130" s="5" t="s">
        <v>4</v>
      </c>
    </row>
    <row r="131" spans="1:50" x14ac:dyDescent="0.2">
      <c r="A131" s="5" t="s">
        <v>125</v>
      </c>
    </row>
    <row r="132" spans="1:50" x14ac:dyDescent="0.2">
      <c r="A132" s="5" t="s">
        <v>6</v>
      </c>
    </row>
    <row r="133" spans="1:50" x14ac:dyDescent="0.2">
      <c r="A133" s="5"/>
    </row>
    <row r="134" spans="1:50" x14ac:dyDescent="0.2">
      <c r="A134" s="6" t="s">
        <v>7</v>
      </c>
      <c r="B134" s="6">
        <v>2022</v>
      </c>
      <c r="C134" s="6">
        <v>2023</v>
      </c>
      <c r="D134" s="6">
        <v>2024</v>
      </c>
      <c r="E134" s="6">
        <v>2025</v>
      </c>
      <c r="F134" s="6">
        <v>2026</v>
      </c>
      <c r="G134" s="6">
        <v>2027</v>
      </c>
      <c r="H134" s="6">
        <v>2028</v>
      </c>
      <c r="I134" s="6">
        <v>2029</v>
      </c>
      <c r="J134" s="6">
        <v>2030</v>
      </c>
      <c r="K134" s="6">
        <v>2031</v>
      </c>
      <c r="L134" s="6">
        <v>2032</v>
      </c>
      <c r="M134" s="6">
        <v>2033</v>
      </c>
      <c r="N134" s="6">
        <v>2034</v>
      </c>
      <c r="O134" s="6">
        <v>2035</v>
      </c>
      <c r="P134" s="6">
        <v>2036</v>
      </c>
      <c r="Q134" s="6">
        <v>2037</v>
      </c>
      <c r="R134" s="6">
        <v>2038</v>
      </c>
      <c r="S134" s="6">
        <v>2039</v>
      </c>
      <c r="T134" s="6">
        <v>2040</v>
      </c>
      <c r="U134" s="6">
        <v>2041</v>
      </c>
      <c r="V134" s="6">
        <v>2042</v>
      </c>
      <c r="W134" s="6">
        <v>2043</v>
      </c>
      <c r="X134" s="6">
        <v>2044</v>
      </c>
      <c r="Y134" s="6">
        <v>2045</v>
      </c>
      <c r="Z134" s="6">
        <v>2046</v>
      </c>
      <c r="AA134" s="6">
        <v>2047</v>
      </c>
      <c r="AB134" s="6">
        <v>2048</v>
      </c>
      <c r="AC134" s="6">
        <v>2049</v>
      </c>
      <c r="AD134" s="6">
        <v>2050</v>
      </c>
      <c r="AE134" s="6">
        <v>2051</v>
      </c>
      <c r="AF134" s="6">
        <v>2052</v>
      </c>
      <c r="AG134" s="6">
        <v>2053</v>
      </c>
      <c r="AH134" s="6">
        <v>2054</v>
      </c>
      <c r="AI134" s="6">
        <v>2055</v>
      </c>
      <c r="AJ134" s="6">
        <v>2056</v>
      </c>
      <c r="AK134" s="6">
        <v>2057</v>
      </c>
      <c r="AL134" s="6">
        <v>2058</v>
      </c>
      <c r="AM134" s="6">
        <v>2059</v>
      </c>
      <c r="AN134" s="6">
        <v>2060</v>
      </c>
      <c r="AO134" s="46">
        <f>AN134+1</f>
        <v>2061</v>
      </c>
      <c r="AP134" s="46">
        <f t="shared" ref="AP134:AW134" si="16">AO134+1</f>
        <v>2062</v>
      </c>
      <c r="AQ134" s="46">
        <f t="shared" si="16"/>
        <v>2063</v>
      </c>
      <c r="AR134" s="46">
        <f t="shared" si="16"/>
        <v>2064</v>
      </c>
      <c r="AS134" s="46">
        <f t="shared" si="16"/>
        <v>2065</v>
      </c>
      <c r="AT134" s="46">
        <f t="shared" si="16"/>
        <v>2066</v>
      </c>
      <c r="AU134" s="46">
        <f>AT134+1</f>
        <v>2067</v>
      </c>
      <c r="AV134" s="46">
        <f t="shared" si="16"/>
        <v>2068</v>
      </c>
      <c r="AW134" s="46">
        <f t="shared" si="16"/>
        <v>2069</v>
      </c>
      <c r="AX134" s="46">
        <f>AW134+1</f>
        <v>2070</v>
      </c>
    </row>
    <row r="135" spans="1:50" x14ac:dyDescent="0.2">
      <c r="A135" s="6" t="s">
        <v>126</v>
      </c>
      <c r="B135" s="35">
        <f>Residential!B135*Residential!$B$133</f>
        <v>121734930.93338235</v>
      </c>
      <c r="C135" s="35">
        <f>Residential!C135*Residential!$B$133</f>
        <v>124610685.32627521</v>
      </c>
      <c r="D135" s="35">
        <f>Residential!D135*Residential!$B$133</f>
        <v>127421498.82174811</v>
      </c>
      <c r="E135" s="35">
        <f>Residential!E135*Residential!$B$133</f>
        <v>130195926.28525421</v>
      </c>
      <c r="F135" s="35">
        <f>Residential!F135*Residential!$B$133</f>
        <v>136166930.08301681</v>
      </c>
      <c r="G135" s="35">
        <f>Residential!G135*Residential!$B$133</f>
        <v>142201172.07638457</v>
      </c>
      <c r="H135" s="35">
        <f>Residential!H135*Residential!$B$133</f>
        <v>148305006.66221684</v>
      </c>
      <c r="I135" s="35">
        <f>Residential!I135*Residential!$B$133</f>
        <v>154482562.29117543</v>
      </c>
      <c r="J135" s="35">
        <f>Residential!J135*Residential!$B$133</f>
        <v>160736503.02040824</v>
      </c>
      <c r="K135" s="35">
        <f>Residential!K135*Residential!$B$133</f>
        <v>166620385.51981682</v>
      </c>
      <c r="L135" s="35">
        <f>Residential!L135*Residential!$B$133</f>
        <v>172567046.34524879</v>
      </c>
      <c r="M135" s="35">
        <f>Residential!M135*Residential!$B$133</f>
        <v>178577186.77863422</v>
      </c>
      <c r="N135" s="35">
        <f>Residential!N135*Residential!$B$133</f>
        <v>184651236.14079133</v>
      </c>
      <c r="O135" s="35">
        <f>Residential!O135*Residential!$B$133</f>
        <v>190789447.76344508</v>
      </c>
      <c r="P135" s="35">
        <f>Residential!P135*Residential!$B$133</f>
        <v>191964535.35766855</v>
      </c>
      <c r="Q135" s="35">
        <f>Residential!Q135*Residential!$B$133</f>
        <v>193140414.04838371</v>
      </c>
      <c r="R135" s="35">
        <f>Residential!R135*Residential!$B$133</f>
        <v>194317181.68150654</v>
      </c>
      <c r="S135" s="35">
        <f>Residential!S135*Residential!$B$133</f>
        <v>195494899.26045239</v>
      </c>
      <c r="T135" s="35">
        <f>Residential!T135*Residential!$B$133</f>
        <v>196673604.81714529</v>
      </c>
      <c r="U135" s="35">
        <f>Residential!U135*Residential!$B$133</f>
        <v>197504281.04669502</v>
      </c>
      <c r="V135" s="35">
        <f>Residential!V135*Residential!$B$133</f>
        <v>198334932.67200515</v>
      </c>
      <c r="W135" s="35">
        <f>Residential!W135*Residential!$B$133</f>
        <v>199165568.98872003</v>
      </c>
      <c r="X135" s="35">
        <f>Residential!X135*Residential!$B$133</f>
        <v>199996195.78070459</v>
      </c>
      <c r="Y135" s="35">
        <f>Residential!Y135*Residential!$B$133</f>
        <v>200826816.64668271</v>
      </c>
      <c r="Z135" s="35">
        <f>Residential!Z135*Residential!$B$133</f>
        <v>201414537.14319807</v>
      </c>
      <c r="AA135" s="35">
        <f>Residential!AA135*Residential!$B$133</f>
        <v>202002255.3367438</v>
      </c>
      <c r="AB135" s="35">
        <f>Residential!AB135*Residential!$B$133</f>
        <v>202589972.09929237</v>
      </c>
      <c r="AC135" s="35">
        <f>Residential!AC135*Residential!$B$133</f>
        <v>203177687.97266933</v>
      </c>
      <c r="AD135" s="35">
        <f>Residential!AD135*Residential!$B$133</f>
        <v>203765403.293551</v>
      </c>
      <c r="AE135" s="35">
        <f>Residential!AE135*Residential!$B$133</f>
        <v>203765403.85952058</v>
      </c>
      <c r="AF135" s="35">
        <f>Residential!AF135*Residential!$B$133</f>
        <v>203765404.21016139</v>
      </c>
      <c r="AG135" s="35">
        <f>Residential!AG135*Residential!$B$133</f>
        <v>203765404.42739725</v>
      </c>
      <c r="AH135" s="35">
        <f>Residential!AH135*Residential!$B$133</f>
        <v>203765404.56198364</v>
      </c>
      <c r="AI135" s="35">
        <f>Residential!AI135*Residential!$B$133</f>
        <v>203765404.64536518</v>
      </c>
      <c r="AJ135" s="35">
        <f>Residential!AJ135*Residential!$B$133</f>
        <v>203765404.69702339</v>
      </c>
      <c r="AK135" s="35">
        <f>Residential!AK135*Residential!$B$133</f>
        <v>203765404.72902772</v>
      </c>
      <c r="AL135" s="35">
        <f>Residential!AL135*Residential!$B$133</f>
        <v>203765404.74885568</v>
      </c>
      <c r="AM135" s="35">
        <f>Residential!AM135*Residential!$B$133</f>
        <v>203765404.7611399</v>
      </c>
      <c r="AN135" s="35">
        <f>Residential!AN135*Residential!$B$133</f>
        <v>203765404.7687504</v>
      </c>
      <c r="AO135" s="49">
        <f>Residential!AO135*Residential!$B$133</f>
        <v>203765404.77636087</v>
      </c>
      <c r="AP135" s="49">
        <f>Residential!AP135*Residential!$B$133</f>
        <v>203765404.78397134</v>
      </c>
      <c r="AQ135" s="49">
        <f>Residential!AQ135*Residential!$B$133</f>
        <v>203765404.79158184</v>
      </c>
      <c r="AR135" s="49">
        <f>Residential!AR135*Residential!$B$133</f>
        <v>203765404.79919231</v>
      </c>
      <c r="AS135" s="49">
        <f>Residential!AS135*Residential!$B$133</f>
        <v>203765404.80680278</v>
      </c>
      <c r="AT135" s="49">
        <f>Residential!AT135*Residential!$B$133</f>
        <v>203765404.81441328</v>
      </c>
      <c r="AU135" s="49">
        <f>Residential!AU135*Residential!$B$133</f>
        <v>203765404.82202375</v>
      </c>
      <c r="AV135" s="49">
        <f>Residential!AV135*Residential!$B$133</f>
        <v>203765404.82963425</v>
      </c>
      <c r="AW135" s="49">
        <f>Residential!AW135*Residential!$B$133</f>
        <v>203765404.83724472</v>
      </c>
      <c r="AX135" s="49">
        <f>Residential!AX135*Residential!$B$133</f>
        <v>203765404.84485519</v>
      </c>
    </row>
    <row r="137" spans="1:50" x14ac:dyDescent="0.2">
      <c r="A137" s="5" t="s">
        <v>127</v>
      </c>
    </row>
    <row r="138" spans="1:50" x14ac:dyDescent="0.2">
      <c r="A138" s="5" t="s">
        <v>4</v>
      </c>
    </row>
    <row r="139" spans="1:50" x14ac:dyDescent="0.2">
      <c r="A139" s="5" t="s">
        <v>128</v>
      </c>
    </row>
    <row r="140" spans="1:50" x14ac:dyDescent="0.2">
      <c r="A140" s="5" t="s">
        <v>6</v>
      </c>
    </row>
    <row r="141" spans="1:50" x14ac:dyDescent="0.2">
      <c r="A141" s="5"/>
    </row>
    <row r="142" spans="1:50" x14ac:dyDescent="0.2">
      <c r="A142" s="6" t="s">
        <v>7</v>
      </c>
      <c r="B142" s="6">
        <v>2022</v>
      </c>
      <c r="C142" s="6">
        <v>2023</v>
      </c>
      <c r="D142" s="6">
        <v>2024</v>
      </c>
      <c r="E142" s="6">
        <v>2025</v>
      </c>
      <c r="F142" s="6">
        <v>2026</v>
      </c>
      <c r="G142" s="6">
        <v>2027</v>
      </c>
      <c r="H142" s="6">
        <v>2028</v>
      </c>
      <c r="I142" s="6">
        <v>2029</v>
      </c>
      <c r="J142" s="6">
        <v>2030</v>
      </c>
      <c r="K142" s="6">
        <v>2031</v>
      </c>
      <c r="L142" s="6">
        <v>2032</v>
      </c>
      <c r="M142" s="6">
        <v>2033</v>
      </c>
      <c r="N142" s="6">
        <v>2034</v>
      </c>
      <c r="O142" s="6">
        <v>2035</v>
      </c>
      <c r="P142" s="6">
        <v>2036</v>
      </c>
      <c r="Q142" s="6">
        <v>2037</v>
      </c>
      <c r="R142" s="6">
        <v>2038</v>
      </c>
      <c r="S142" s="6">
        <v>2039</v>
      </c>
      <c r="T142" s="6">
        <v>2040</v>
      </c>
      <c r="U142" s="6">
        <v>2041</v>
      </c>
      <c r="V142" s="6">
        <v>2042</v>
      </c>
      <c r="W142" s="6">
        <v>2043</v>
      </c>
      <c r="X142" s="6">
        <v>2044</v>
      </c>
      <c r="Y142" s="6">
        <v>2045</v>
      </c>
      <c r="Z142" s="6">
        <v>2046</v>
      </c>
      <c r="AA142" s="6">
        <v>2047</v>
      </c>
      <c r="AB142" s="6">
        <v>2048</v>
      </c>
      <c r="AC142" s="6">
        <v>2049</v>
      </c>
      <c r="AD142" s="6">
        <v>2050</v>
      </c>
      <c r="AE142" s="6">
        <v>2051</v>
      </c>
      <c r="AF142" s="6">
        <v>2052</v>
      </c>
      <c r="AG142" s="6">
        <v>2053</v>
      </c>
      <c r="AH142" s="6">
        <v>2054</v>
      </c>
      <c r="AI142" s="6">
        <v>2055</v>
      </c>
      <c r="AJ142" s="6">
        <v>2056</v>
      </c>
      <c r="AK142" s="6">
        <v>2057</v>
      </c>
      <c r="AL142" s="6">
        <v>2058</v>
      </c>
      <c r="AM142" s="6">
        <v>2059</v>
      </c>
      <c r="AN142" s="6">
        <v>2060</v>
      </c>
      <c r="AO142" s="46">
        <f>AN142+1</f>
        <v>2061</v>
      </c>
      <c r="AP142" s="46">
        <f t="shared" ref="AP142:AW142" si="17">AO142+1</f>
        <v>2062</v>
      </c>
      <c r="AQ142" s="46">
        <f t="shared" si="17"/>
        <v>2063</v>
      </c>
      <c r="AR142" s="46">
        <f t="shared" si="17"/>
        <v>2064</v>
      </c>
      <c r="AS142" s="46">
        <f t="shared" si="17"/>
        <v>2065</v>
      </c>
      <c r="AT142" s="46">
        <f t="shared" si="17"/>
        <v>2066</v>
      </c>
      <c r="AU142" s="46">
        <f>AT142+1</f>
        <v>2067</v>
      </c>
      <c r="AV142" s="46">
        <f t="shared" si="17"/>
        <v>2068</v>
      </c>
      <c r="AW142" s="46">
        <f t="shared" si="17"/>
        <v>2069</v>
      </c>
      <c r="AX142" s="46">
        <f>AW142+1</f>
        <v>2070</v>
      </c>
    </row>
    <row r="143" spans="1:50" x14ac:dyDescent="0.2">
      <c r="A143" s="6" t="s">
        <v>2</v>
      </c>
      <c r="B143" s="11">
        <f>Residential!B143*Residential!$B$141</f>
        <v>39395226.367037803</v>
      </c>
      <c r="C143" s="11">
        <f>Residential!C143*Residential!$B$141</f>
        <v>39589535.956283867</v>
      </c>
      <c r="D143" s="11">
        <f>Residential!D143*Residential!$B$141</f>
        <v>39756614.702927105</v>
      </c>
      <c r="E143" s="11">
        <f>Residential!E143*Residential!$B$141</f>
        <v>39906654.128983505</v>
      </c>
      <c r="F143" s="11">
        <f>Residential!F143*Residential!$B$141</f>
        <v>40271904.842428088</v>
      </c>
      <c r="G143" s="11">
        <f>Residential!G143*Residential!$B$141</f>
        <v>40630453.61808145</v>
      </c>
      <c r="H143" s="11">
        <f>Residential!H143*Residential!$B$141</f>
        <v>40984715.931353666</v>
      </c>
      <c r="I143" s="11">
        <f>Residential!I143*Residential!$B$141</f>
        <v>41336204.82349208</v>
      </c>
      <c r="J143" s="11">
        <f>Residential!J143*Residential!$B$141</f>
        <v>41685867.2811836</v>
      </c>
      <c r="K143" s="11">
        <f>Residential!K143*Residential!$B$141</f>
        <v>41977354.307687797</v>
      </c>
      <c r="L143" s="11">
        <f>Residential!L143*Residential!$B$141</f>
        <v>42268026.466687262</v>
      </c>
      <c r="M143" s="11">
        <f>Residential!M143*Residential!$B$141</f>
        <v>42558116.948004097</v>
      </c>
      <c r="N143" s="11">
        <f>Residential!N143*Residential!$B$141</f>
        <v>42847771.290455639</v>
      </c>
      <c r="O143" s="11">
        <f>Residential!O143*Residential!$B$141</f>
        <v>43137080.316862434</v>
      </c>
      <c r="P143" s="11">
        <f>Residential!P143*Residential!$B$141</f>
        <v>43381680.416811846</v>
      </c>
      <c r="Q143" s="11">
        <f>Residential!Q143*Residential!$B$141</f>
        <v>43626221.674785472</v>
      </c>
      <c r="R143" s="11">
        <f>Residential!R143*Residential!$B$141</f>
        <v>43870726.26699435</v>
      </c>
      <c r="S143" s="11">
        <f>Residential!S143*Residential!$B$141</f>
        <v>44115208.012773722</v>
      </c>
      <c r="T143" s="11">
        <f>Residential!T143*Residential!$B$141</f>
        <v>44359675.523444399</v>
      </c>
      <c r="U143" s="11">
        <f>Residential!U143*Residential!$B$141</f>
        <v>44547034.310314253</v>
      </c>
      <c r="V143" s="11">
        <f>Residential!V143*Residential!$B$141</f>
        <v>44734387.547704905</v>
      </c>
      <c r="W143" s="11">
        <f>Residential!W143*Residential!$B$141</f>
        <v>44921737.332246229</v>
      </c>
      <c r="X143" s="11">
        <f>Residential!X143*Residential!$B$141</f>
        <v>45109084.96848736</v>
      </c>
      <c r="Y143" s="11">
        <f>Residential!Y143*Residential!$B$141</f>
        <v>45296431.268119425</v>
      </c>
      <c r="Z143" s="11">
        <f>Residential!Z143*Residential!$B$141</f>
        <v>45428991.458634779</v>
      </c>
      <c r="AA143" s="11">
        <f>Residential!AA143*Residential!$B$141</f>
        <v>45561551.129715972</v>
      </c>
      <c r="AB143" s="11">
        <f>Residential!AB143*Residential!$B$141</f>
        <v>45694110.47803615</v>
      </c>
      <c r="AC143" s="11">
        <f>Residential!AC143*Residential!$B$141</f>
        <v>45826669.62580394</v>
      </c>
      <c r="AD143" s="11">
        <f>Residential!AD143*Residential!$B$141</f>
        <v>45959228.648956582</v>
      </c>
      <c r="AE143" s="11">
        <f>Residential!AE143*Residential!$B$141</f>
        <v>45959228.776610866</v>
      </c>
      <c r="AF143" s="11">
        <f>Residential!AF143*Residential!$B$141</f>
        <v>45959228.855697796</v>
      </c>
      <c r="AG143" s="11">
        <f>Residential!AG143*Residential!$B$141</f>
        <v>45959228.904695295</v>
      </c>
      <c r="AH143" s="11">
        <f>Residential!AH143*Residential!$B$141</f>
        <v>45959228.935051203</v>
      </c>
      <c r="AI143" s="11">
        <f>Residential!AI143*Residential!$B$141</f>
        <v>45959228.953857899</v>
      </c>
      <c r="AJ143" s="11">
        <f>Residential!AJ143*Residential!$B$141</f>
        <v>45959228.965509385</v>
      </c>
      <c r="AK143" s="11">
        <f>Residential!AK143*Residential!$B$141</f>
        <v>45959228.972727932</v>
      </c>
      <c r="AL143" s="11">
        <f>Residential!AL143*Residential!$B$141</f>
        <v>45959228.977200143</v>
      </c>
      <c r="AM143" s="11">
        <f>Residential!AM143*Residential!$B$141</f>
        <v>45959228.979970835</v>
      </c>
      <c r="AN143" s="11">
        <f>Residential!AN143*Residential!$B$141</f>
        <v>45959228.981687389</v>
      </c>
      <c r="AO143" s="40">
        <f>Residential!AO143*Residential!$B$141</f>
        <v>45959228.983403936</v>
      </c>
      <c r="AP143" s="40">
        <f>Residential!AP143*Residential!$B$141</f>
        <v>45959228.98512049</v>
      </c>
      <c r="AQ143" s="40">
        <f>Residential!AQ143*Residential!$B$141</f>
        <v>45959228.986837037</v>
      </c>
      <c r="AR143" s="40">
        <f>Residential!AR143*Residential!$B$141</f>
        <v>45959228.988553591</v>
      </c>
      <c r="AS143" s="40">
        <f>Residential!AS143*Residential!$B$141</f>
        <v>45959228.990270138</v>
      </c>
      <c r="AT143" s="40">
        <f>Residential!AT143*Residential!$B$141</f>
        <v>45959228.991986692</v>
      </c>
      <c r="AU143" s="40">
        <f>Residential!AU143*Residential!$B$141</f>
        <v>45959228.993703239</v>
      </c>
      <c r="AV143" s="40">
        <f>Residential!AV143*Residential!$B$141</f>
        <v>45959228.995419793</v>
      </c>
      <c r="AW143" s="40">
        <f>Residential!AW143*Residential!$B$141</f>
        <v>45959228.99713634</v>
      </c>
      <c r="AX143" s="40">
        <f>Residential!AX143*Residential!$B$141</f>
        <v>45959228.998852894</v>
      </c>
    </row>
    <row r="146" spans="1:40"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row>
    <row r="147" spans="1:40"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x14ac:dyDescent="0.2">
      <c r="A148" s="25"/>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row>
    <row r="149" spans="1:40" x14ac:dyDescent="0.2">
      <c r="A149" s="25"/>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row>
    <row r="150" spans="1:40" x14ac:dyDescent="0.2">
      <c r="A150" s="25"/>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row>
    <row r="151" spans="1:40" x14ac:dyDescent="0.2">
      <c r="A151" s="25"/>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row>
    <row r="152" spans="1:40" x14ac:dyDescent="0.2">
      <c r="A152" s="25"/>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row>
    <row r="153" spans="1:40" x14ac:dyDescent="0.2">
      <c r="A153" s="25"/>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row>
    <row r="154" spans="1:40" x14ac:dyDescent="0.2">
      <c r="A154" s="25"/>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row>
    <row r="155" spans="1:40" x14ac:dyDescent="0.2">
      <c r="A155" s="25"/>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row>
    <row r="156" spans="1:40"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row>
    <row r="157" spans="1:40"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013C-630C-4B4D-B424-20E8B5432639}">
  <dimension ref="A1:BA66"/>
  <sheetViews>
    <sheetView topLeftCell="AE1" workbookViewId="0">
      <selection activeCell="BC39" sqref="BC39"/>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22</v>
      </c>
      <c r="B2" s="15">
        <v>0</v>
      </c>
      <c r="C2" s="15">
        <v>0</v>
      </c>
      <c r="D2" s="15">
        <v>0</v>
      </c>
      <c r="E2" s="15">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28</v>
      </c>
      <c r="B8" s="15">
        <v>0</v>
      </c>
      <c r="C8" s="15">
        <v>0</v>
      </c>
      <c r="D8" s="15">
        <v>0</v>
      </c>
      <c r="E8" s="15">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30</v>
      </c>
      <c r="B10" s="15">
        <f>C15</f>
        <v>1145.396430155437</v>
      </c>
      <c r="C10" s="15">
        <f>C16</f>
        <v>1164.0478779751065</v>
      </c>
      <c r="D10" s="15">
        <f>C17</f>
        <v>1182.6993257947761</v>
      </c>
      <c r="E10" s="15">
        <f>'Residential-Conversion'!B23</f>
        <v>1197.8871068211181</v>
      </c>
      <c r="F10" s="15">
        <f>'Residential-Conversion'!C23</f>
        <v>1221.885697312382</v>
      </c>
      <c r="G10" s="15">
        <f>'Residential-Conversion'!D23</f>
        <v>1242.0141202944874</v>
      </c>
      <c r="H10" s="15">
        <f>'Residential-Conversion'!E23</f>
        <v>1258.7884545304748</v>
      </c>
      <c r="I10" s="15">
        <f>'Residential-Conversion'!F23</f>
        <v>1272.6929673104089</v>
      </c>
      <c r="J10" s="15">
        <f>'Residential-Conversion'!G23</f>
        <v>1284.1675816830541</v>
      </c>
      <c r="K10" s="15">
        <f>'Residential-Conversion'!H23</f>
        <v>1293.602292731709</v>
      </c>
      <c r="L10" s="15">
        <f>'Residential-Conversion'!I23</f>
        <v>1301.3363939185695</v>
      </c>
      <c r="M10" s="15">
        <f>'Residential-Conversion'!J23</f>
        <v>1307.6607678488117</v>
      </c>
      <c r="N10" s="15">
        <f>'Residential-Conversion'!K23</f>
        <v>1312.8219258894007</v>
      </c>
      <c r="O10" s="15">
        <f>'Residential-Conversion'!L23</f>
        <v>1317.026868481061</v>
      </c>
      <c r="P10" s="15">
        <f>'Residential-Conversion'!M23</f>
        <v>1320.4481512866635</v>
      </c>
      <c r="Q10" s="15">
        <f>'Residential-Conversion'!N23</f>
        <v>1323.2287777360821</v>
      </c>
      <c r="R10" s="15">
        <f>'Residential-Conversion'!O23</f>
        <v>1325.486705506976</v>
      </c>
      <c r="S10" s="15">
        <f>'Residential-Conversion'!P23</f>
        <v>1327.3188669852152</v>
      </c>
      <c r="T10" s="15">
        <f>'Residential-Conversion'!Q23</f>
        <v>1328.8046756664974</v>
      </c>
      <c r="U10" s="15">
        <f>'Residential-Conversion'!R23</f>
        <v>1330.009033625417</v>
      </c>
      <c r="V10" s="15">
        <f>'Residential-Conversion'!S23</f>
        <v>1330.984878832212</v>
      </c>
      <c r="W10" s="15">
        <f>'Residential-Conversion'!T23</f>
        <v>1331.7753220509373</v>
      </c>
      <c r="X10" s="15">
        <f>'Residential-Conversion'!U23</f>
        <v>1332.4154261095914</v>
      </c>
      <c r="Y10" s="15">
        <f>'Residential-Conversion'!V23</f>
        <v>1332.9336787595273</v>
      </c>
      <c r="Z10" s="15">
        <f>'Residential-Conversion'!W23</f>
        <v>1333.3532062857764</v>
      </c>
      <c r="AA10" s="15">
        <f>'Residential-Conversion'!X23</f>
        <v>1333.6927698544107</v>
      </c>
      <c r="AB10" s="15">
        <f>'Residential-Conversion'!Y23</f>
        <v>1333.9675811167979</v>
      </c>
      <c r="AC10" s="15">
        <f>'Residential-Conversion'!Z23</f>
        <v>1334.1899683100096</v>
      </c>
      <c r="AD10" s="15">
        <f>'Residential-Conversion'!AA23</f>
        <v>1334.3699192476029</v>
      </c>
      <c r="AE10" s="15">
        <f>'Residential-Conversion'!AB23</f>
        <v>1334.5155232942716</v>
      </c>
      <c r="AF10" s="15">
        <f>'Residential-Conversion'!AC23</f>
        <v>1334.633330686072</v>
      </c>
      <c r="AG10" s="15">
        <f>'Residential-Conversion'!AD23</f>
        <v>1334.7286443719149</v>
      </c>
      <c r="AH10" s="15">
        <f>'Residential-Conversion'!AE23</f>
        <v>1334.8057568644397</v>
      </c>
      <c r="AI10" s="15">
        <f>'Residential-Conversion'!AF23</f>
        <v>1334.8681423415808</v>
      </c>
      <c r="AJ10" s="15">
        <f>'Residential-Conversion'!AG23</f>
        <v>1334.9186123748109</v>
      </c>
      <c r="AK10" s="15">
        <f>'Residential-Conversion'!AH23</f>
        <v>1334.95944211967</v>
      </c>
      <c r="AL10" s="15">
        <f>'Residential-Conversion'!AI23</f>
        <v>1334.9924725374619</v>
      </c>
      <c r="AM10" s="15">
        <f>'Residential-Conversion'!AJ23</f>
        <v>1335.0191931787804</v>
      </c>
      <c r="AN10" s="15">
        <f>'Residential-Conversion'!AK23</f>
        <v>1335.0408092107564</v>
      </c>
      <c r="AO10" s="15">
        <f>'Residential-Conversion'!AL23</f>
        <v>1335.0582956775181</v>
      </c>
      <c r="AP10" s="15">
        <f>'Residential-Conversion'!AM23</f>
        <v>1335.072441419394</v>
      </c>
      <c r="AQ10" s="15">
        <f>'Residential-Conversion'!AN23</f>
        <v>1335.0838846177326</v>
      </c>
      <c r="AR10" s="45">
        <f>'Residential-Conversion'!AO23</f>
        <v>1335.0953279141534</v>
      </c>
      <c r="AS10" s="45">
        <f>'Residential-Conversion'!AP23</f>
        <v>1335.106771308657</v>
      </c>
      <c r="AT10" s="45">
        <f>'Residential-Conversion'!AQ23</f>
        <v>1335.1182148012447</v>
      </c>
      <c r="AU10" s="45">
        <f>'Residential-Conversion'!AR23</f>
        <v>1335.129658391917</v>
      </c>
      <c r="AV10" s="45">
        <f>'Residential-Conversion'!AS23</f>
        <v>1335.1411020806747</v>
      </c>
      <c r="AW10" s="45">
        <f>'Residential-Conversion'!AT23</f>
        <v>1335.1525458675189</v>
      </c>
      <c r="AX10" s="45">
        <f>'Residential-Conversion'!AU23</f>
        <v>1335.1639897524503</v>
      </c>
      <c r="AY10" s="45">
        <f>'Residential-Conversion'!AV23</f>
        <v>1335.1754337354698</v>
      </c>
      <c r="AZ10" s="45">
        <f>'Residential-Conversion'!AW23</f>
        <v>1335.1868778165781</v>
      </c>
      <c r="BA10" s="45">
        <f>'Residential-Conversion'!AX23</f>
        <v>1335.198321995776</v>
      </c>
    </row>
    <row r="11" spans="1:5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1</v>
      </c>
      <c r="AS11" s="42">
        <v>2</v>
      </c>
      <c r="AT11" s="42">
        <v>3</v>
      </c>
      <c r="AU11" s="42">
        <v>4</v>
      </c>
      <c r="AV11" s="42">
        <v>5</v>
      </c>
      <c r="AW11" s="42">
        <v>6</v>
      </c>
      <c r="AX11" s="42">
        <v>7</v>
      </c>
      <c r="AY11" s="42">
        <v>8</v>
      </c>
      <c r="AZ11" s="42">
        <v>9</v>
      </c>
      <c r="BA11" s="42">
        <v>10</v>
      </c>
    </row>
    <row r="12" spans="1:53" x14ac:dyDescent="0.2">
      <c r="A12" s="1"/>
      <c r="B12" s="15"/>
      <c r="C12" s="15"/>
      <c r="D12" s="15"/>
      <c r="E12" s="1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3" spans="1:53" x14ac:dyDescent="0.2">
      <c r="N13" s="1"/>
    </row>
    <row r="14" spans="1:53" x14ac:dyDescent="0.2">
      <c r="A14" s="1" t="s">
        <v>11</v>
      </c>
      <c r="B14" s="1" t="s">
        <v>30</v>
      </c>
      <c r="C14" s="1" t="s">
        <v>129</v>
      </c>
      <c r="M14" s="1"/>
      <c r="N14" s="1"/>
    </row>
    <row r="15" spans="1:53" x14ac:dyDescent="0.2">
      <c r="A15" s="20">
        <v>2019</v>
      </c>
      <c r="C15" s="14">
        <f>_xlfn.FORECAST.LINEAR(A15,B$16:B$22,A$16:A$22)</f>
        <v>1145.396430155437</v>
      </c>
      <c r="M15" s="9"/>
      <c r="N15" s="18"/>
    </row>
    <row r="16" spans="1:53" x14ac:dyDescent="0.2">
      <c r="A16" s="20">
        <v>2020</v>
      </c>
      <c r="C16" s="14">
        <f t="shared" ref="C16:C17" si="1">_xlfn.FORECAST.LINEAR(A16,B$16:B$22,A$16:A$22)</f>
        <v>1164.0478779751065</v>
      </c>
      <c r="M16" s="9"/>
      <c r="N16" s="18"/>
    </row>
    <row r="17" spans="1:14" x14ac:dyDescent="0.2">
      <c r="A17" s="20">
        <v>2021</v>
      </c>
      <c r="C17" s="14">
        <f t="shared" si="1"/>
        <v>1182.6993257947761</v>
      </c>
      <c r="F17" s="9"/>
      <c r="M17" s="9"/>
      <c r="N17" s="18"/>
    </row>
    <row r="18" spans="1:14" x14ac:dyDescent="0.2">
      <c r="A18" s="8">
        <v>2022</v>
      </c>
      <c r="B18" s="4" cm="1">
        <f t="array" ref="B18:B56">TRANSPOSE(E10:AQ10)</f>
        <v>1197.8871068211181</v>
      </c>
      <c r="C18" s="4"/>
      <c r="F18" s="9"/>
      <c r="M18" s="9"/>
      <c r="N18" s="18"/>
    </row>
    <row r="19" spans="1:14" x14ac:dyDescent="0.2">
      <c r="A19" s="8">
        <v>2023</v>
      </c>
      <c r="B19" s="4">
        <v>1221.885697312382</v>
      </c>
      <c r="C19" s="4"/>
      <c r="F19" s="9"/>
      <c r="M19" s="9"/>
      <c r="N19" s="18"/>
    </row>
    <row r="20" spans="1:14" x14ac:dyDescent="0.2">
      <c r="A20" s="8">
        <v>2024</v>
      </c>
      <c r="B20" s="4">
        <v>1242.0141202944874</v>
      </c>
      <c r="C20" s="4"/>
      <c r="F20" s="9"/>
      <c r="M20" s="9"/>
      <c r="N20" s="18"/>
    </row>
    <row r="21" spans="1:14" x14ac:dyDescent="0.2">
      <c r="A21" s="8">
        <v>2025</v>
      </c>
      <c r="B21" s="4">
        <v>1258.7884545304748</v>
      </c>
      <c r="C21" s="4"/>
      <c r="F21" s="9"/>
      <c r="M21" s="9"/>
      <c r="N21" s="18"/>
    </row>
    <row r="22" spans="1:14" x14ac:dyDescent="0.2">
      <c r="A22" s="8">
        <v>2026</v>
      </c>
      <c r="B22" s="4">
        <v>1272.6929673104089</v>
      </c>
      <c r="C22" s="4"/>
      <c r="F22" s="9"/>
      <c r="M22" s="9"/>
      <c r="N22" s="18"/>
    </row>
    <row r="23" spans="1:14" x14ac:dyDescent="0.2">
      <c r="A23" s="8">
        <v>2027</v>
      </c>
      <c r="B23" s="4">
        <v>1284.1675816830541</v>
      </c>
      <c r="C23" s="4"/>
      <c r="F23" s="9"/>
      <c r="M23" s="9"/>
      <c r="N23" s="18"/>
    </row>
    <row r="24" spans="1:14" x14ac:dyDescent="0.2">
      <c r="A24" s="8">
        <v>2028</v>
      </c>
      <c r="B24" s="4">
        <v>1293.602292731709</v>
      </c>
      <c r="C24" s="4"/>
      <c r="F24" s="9"/>
      <c r="M24" s="9"/>
      <c r="N24" s="18"/>
    </row>
    <row r="25" spans="1:14" x14ac:dyDescent="0.2">
      <c r="A25" s="8">
        <v>2029</v>
      </c>
      <c r="B25" s="4">
        <v>1301.3363939185695</v>
      </c>
      <c r="C25" s="4"/>
      <c r="F25" s="9"/>
      <c r="M25" s="9"/>
      <c r="N25" s="18"/>
    </row>
    <row r="26" spans="1:14" x14ac:dyDescent="0.2">
      <c r="A26" s="8">
        <v>2030</v>
      </c>
      <c r="B26" s="4">
        <v>1307.6607678488117</v>
      </c>
      <c r="C26" s="4"/>
      <c r="F26" s="9"/>
      <c r="M26" s="9"/>
      <c r="N26" s="18"/>
    </row>
    <row r="27" spans="1:14" x14ac:dyDescent="0.2">
      <c r="A27" s="8">
        <v>2031</v>
      </c>
      <c r="B27" s="4">
        <v>1312.8219258894007</v>
      </c>
      <c r="C27" s="4"/>
      <c r="F27" s="9"/>
      <c r="M27" s="9"/>
      <c r="N27" s="18"/>
    </row>
    <row r="28" spans="1:14" x14ac:dyDescent="0.2">
      <c r="A28" s="8">
        <v>2032</v>
      </c>
      <c r="B28" s="4">
        <v>1317.026868481061</v>
      </c>
      <c r="C28" s="4"/>
      <c r="F28" s="9"/>
      <c r="M28" s="9"/>
      <c r="N28" s="18"/>
    </row>
    <row r="29" spans="1:14" x14ac:dyDescent="0.2">
      <c r="A29" s="8">
        <v>2033</v>
      </c>
      <c r="B29" s="4">
        <v>1320.4481512866635</v>
      </c>
      <c r="C29" s="4"/>
      <c r="F29" s="9"/>
      <c r="M29" s="9"/>
      <c r="N29" s="18"/>
    </row>
    <row r="30" spans="1:14" x14ac:dyDescent="0.2">
      <c r="A30" s="8">
        <v>2034</v>
      </c>
      <c r="B30" s="4">
        <v>1323.2287777360821</v>
      </c>
      <c r="C30" s="4"/>
      <c r="F30" s="9"/>
      <c r="M30" s="9"/>
      <c r="N30" s="18"/>
    </row>
    <row r="31" spans="1:14" x14ac:dyDescent="0.2">
      <c r="A31" s="8">
        <v>2035</v>
      </c>
      <c r="B31" s="4">
        <v>1325.486705506976</v>
      </c>
      <c r="C31" s="4"/>
      <c r="F31" s="9"/>
      <c r="M31" s="9"/>
      <c r="N31" s="18"/>
    </row>
    <row r="32" spans="1:14" x14ac:dyDescent="0.2">
      <c r="A32" s="8">
        <v>2036</v>
      </c>
      <c r="B32" s="4">
        <v>1327.3188669852152</v>
      </c>
      <c r="C32" s="4"/>
      <c r="F32" s="9"/>
      <c r="M32" s="9"/>
      <c r="N32" s="18"/>
    </row>
    <row r="33" spans="1:14" x14ac:dyDescent="0.2">
      <c r="A33" s="8">
        <v>2037</v>
      </c>
      <c r="B33" s="4">
        <v>1328.8046756664974</v>
      </c>
      <c r="C33" s="4"/>
      <c r="F33" s="9"/>
      <c r="M33" s="9"/>
      <c r="N33" s="18"/>
    </row>
    <row r="34" spans="1:14" x14ac:dyDescent="0.2">
      <c r="A34" s="8">
        <v>2038</v>
      </c>
      <c r="B34" s="4">
        <v>1330.009033625417</v>
      </c>
      <c r="C34" s="4"/>
      <c r="F34" s="9"/>
      <c r="M34" s="9"/>
      <c r="N34" s="18"/>
    </row>
    <row r="35" spans="1:14" x14ac:dyDescent="0.2">
      <c r="A35" s="8">
        <v>2039</v>
      </c>
      <c r="B35" s="4">
        <v>1330.984878832212</v>
      </c>
      <c r="C35" s="4"/>
      <c r="F35" s="9"/>
      <c r="M35" s="9"/>
      <c r="N35" s="18"/>
    </row>
    <row r="36" spans="1:14" x14ac:dyDescent="0.2">
      <c r="A36" s="8">
        <v>2040</v>
      </c>
      <c r="B36" s="4">
        <v>1331.7753220509373</v>
      </c>
      <c r="C36" s="4"/>
      <c r="F36" s="9"/>
      <c r="M36" s="9"/>
      <c r="N36" s="18"/>
    </row>
    <row r="37" spans="1:14" x14ac:dyDescent="0.2">
      <c r="A37" s="8">
        <v>2041</v>
      </c>
      <c r="B37" s="4">
        <v>1332.4154261095914</v>
      </c>
      <c r="C37" s="4"/>
      <c r="F37" s="9"/>
      <c r="M37" s="9"/>
      <c r="N37" s="18"/>
    </row>
    <row r="38" spans="1:14" x14ac:dyDescent="0.2">
      <c r="A38" s="8">
        <v>2042</v>
      </c>
      <c r="B38" s="4">
        <v>1332.9336787595273</v>
      </c>
      <c r="C38" s="4"/>
      <c r="F38" s="9"/>
      <c r="M38" s="9"/>
      <c r="N38" s="18"/>
    </row>
    <row r="39" spans="1:14" x14ac:dyDescent="0.2">
      <c r="A39" s="8">
        <v>2043</v>
      </c>
      <c r="B39" s="4">
        <v>1333.3532062857764</v>
      </c>
      <c r="C39" s="4"/>
      <c r="F39" s="9"/>
      <c r="M39" s="9"/>
      <c r="N39" s="18"/>
    </row>
    <row r="40" spans="1:14" x14ac:dyDescent="0.2">
      <c r="A40" s="8">
        <v>2044</v>
      </c>
      <c r="B40" s="4">
        <v>1333.6927698544107</v>
      </c>
      <c r="C40" s="4"/>
      <c r="F40" s="9"/>
      <c r="M40" s="9"/>
      <c r="N40" s="18"/>
    </row>
    <row r="41" spans="1:14" x14ac:dyDescent="0.2">
      <c r="A41" s="8">
        <v>2045</v>
      </c>
      <c r="B41" s="4">
        <v>1333.9675811167979</v>
      </c>
      <c r="C41" s="4"/>
      <c r="F41" s="9"/>
      <c r="M41" s="9"/>
      <c r="N41" s="18"/>
    </row>
    <row r="42" spans="1:14" x14ac:dyDescent="0.2">
      <c r="A42" s="8">
        <v>2046</v>
      </c>
      <c r="B42" s="4">
        <v>1334.1899683100096</v>
      </c>
      <c r="C42" s="4"/>
      <c r="F42" s="9"/>
      <c r="M42" s="9"/>
      <c r="N42" s="18"/>
    </row>
    <row r="43" spans="1:14" x14ac:dyDescent="0.2">
      <c r="A43" s="8">
        <v>2047</v>
      </c>
      <c r="B43" s="4">
        <v>1334.3699192476029</v>
      </c>
      <c r="C43" s="4"/>
      <c r="F43" s="9"/>
      <c r="M43" s="9"/>
      <c r="N43" s="18"/>
    </row>
    <row r="44" spans="1:14" x14ac:dyDescent="0.2">
      <c r="A44" s="8">
        <v>2048</v>
      </c>
      <c r="B44" s="4">
        <v>1334.5155232942716</v>
      </c>
      <c r="C44" s="4"/>
      <c r="F44" s="9"/>
      <c r="M44" s="9"/>
      <c r="N44" s="18"/>
    </row>
    <row r="45" spans="1:14" x14ac:dyDescent="0.2">
      <c r="A45" s="8">
        <v>2049</v>
      </c>
      <c r="B45" s="4">
        <v>1334.633330686072</v>
      </c>
      <c r="C45" s="4"/>
      <c r="F45" s="9"/>
      <c r="M45" s="9"/>
      <c r="N45" s="18"/>
    </row>
    <row r="46" spans="1:14" x14ac:dyDescent="0.2">
      <c r="A46" s="8">
        <v>2050</v>
      </c>
      <c r="B46" s="4">
        <v>1334.7286443719149</v>
      </c>
      <c r="C46" s="4"/>
      <c r="F46" s="9"/>
      <c r="M46" s="9"/>
      <c r="N46" s="18"/>
    </row>
    <row r="47" spans="1:14" x14ac:dyDescent="0.2">
      <c r="A47" s="8">
        <v>2051</v>
      </c>
      <c r="B47" s="4">
        <v>1334.8057568644397</v>
      </c>
      <c r="C47" s="4"/>
      <c r="F47" s="9"/>
      <c r="M47" s="9"/>
      <c r="N47" s="18"/>
    </row>
    <row r="48" spans="1:14" x14ac:dyDescent="0.2">
      <c r="A48" s="8">
        <v>2052</v>
      </c>
      <c r="B48" s="4">
        <v>1334.8681423415808</v>
      </c>
      <c r="C48" s="4"/>
      <c r="F48" s="9"/>
      <c r="M48" s="9"/>
      <c r="N48" s="18"/>
    </row>
    <row r="49" spans="1:14" x14ac:dyDescent="0.2">
      <c r="A49" s="8">
        <v>2053</v>
      </c>
      <c r="B49" s="4">
        <v>1334.9186123748109</v>
      </c>
      <c r="C49" s="4"/>
      <c r="F49" s="9"/>
      <c r="M49" s="9"/>
      <c r="N49" s="18"/>
    </row>
    <row r="50" spans="1:14" x14ac:dyDescent="0.2">
      <c r="A50" s="8">
        <v>2054</v>
      </c>
      <c r="B50" s="4">
        <v>1334.95944211967</v>
      </c>
      <c r="C50" s="4"/>
      <c r="F50" s="9"/>
      <c r="M50" s="9"/>
      <c r="N50" s="18"/>
    </row>
    <row r="51" spans="1:14" x14ac:dyDescent="0.2">
      <c r="A51" s="8">
        <v>2055</v>
      </c>
      <c r="B51" s="4">
        <v>1334.9924725374619</v>
      </c>
      <c r="C51" s="4"/>
      <c r="F51" s="9"/>
      <c r="M51" s="9"/>
      <c r="N51" s="18"/>
    </row>
    <row r="52" spans="1:14" x14ac:dyDescent="0.2">
      <c r="A52" s="8">
        <v>2056</v>
      </c>
      <c r="B52" s="4">
        <v>1335.0191931787804</v>
      </c>
      <c r="C52" s="4"/>
      <c r="F52" s="9"/>
      <c r="M52" s="9"/>
      <c r="N52" s="18"/>
    </row>
    <row r="53" spans="1:14" x14ac:dyDescent="0.2">
      <c r="A53" s="8">
        <v>2057</v>
      </c>
      <c r="B53" s="4">
        <v>1335.0408092107564</v>
      </c>
      <c r="C53" s="4"/>
      <c r="F53" s="9"/>
      <c r="M53" s="9"/>
      <c r="N53" s="18"/>
    </row>
    <row r="54" spans="1:14" x14ac:dyDescent="0.2">
      <c r="A54" s="8">
        <v>2058</v>
      </c>
      <c r="B54" s="4">
        <v>1335.0582956775181</v>
      </c>
      <c r="C54" s="4"/>
      <c r="F54" s="9"/>
      <c r="M54" s="9"/>
      <c r="N54" s="18"/>
    </row>
    <row r="55" spans="1:14" x14ac:dyDescent="0.2">
      <c r="A55" s="8">
        <v>2059</v>
      </c>
      <c r="B55" s="4">
        <v>1335.072441419394</v>
      </c>
      <c r="C55" s="4"/>
      <c r="F55" s="9"/>
      <c r="M55" s="9"/>
      <c r="N55" s="18"/>
    </row>
    <row r="56" spans="1:14" x14ac:dyDescent="0.2">
      <c r="A56" s="8">
        <v>2060</v>
      </c>
      <c r="B56" s="4">
        <v>1335.0838846177326</v>
      </c>
      <c r="C56" s="4"/>
      <c r="N56" s="19"/>
    </row>
    <row r="57" spans="1:14" x14ac:dyDescent="0.2">
      <c r="A57" s="44">
        <v>2061</v>
      </c>
      <c r="B57" s="42" cm="1">
        <f t="array" ref="B57:B66">TRANSPOSE(AR10:BA10)</f>
        <v>1335.0953279141534</v>
      </c>
    </row>
    <row r="58" spans="1:14" x14ac:dyDescent="0.2">
      <c r="A58" s="44">
        <v>2062</v>
      </c>
      <c r="B58" s="42">
        <v>1335.106771308657</v>
      </c>
    </row>
    <row r="59" spans="1:14" x14ac:dyDescent="0.2">
      <c r="A59" s="44">
        <v>2063</v>
      </c>
      <c r="B59" s="42">
        <v>1335.1182148012447</v>
      </c>
    </row>
    <row r="60" spans="1:14" x14ac:dyDescent="0.2">
      <c r="A60" s="44">
        <v>2064</v>
      </c>
      <c r="B60" s="42">
        <v>1335.129658391917</v>
      </c>
    </row>
    <row r="61" spans="1:14" x14ac:dyDescent="0.2">
      <c r="A61" s="44">
        <v>2065</v>
      </c>
      <c r="B61" s="42">
        <v>1335.1411020806747</v>
      </c>
    </row>
    <row r="62" spans="1:14" x14ac:dyDescent="0.2">
      <c r="A62" s="44">
        <v>2066</v>
      </c>
      <c r="B62" s="42">
        <v>1335.1525458675189</v>
      </c>
    </row>
    <row r="63" spans="1:14" x14ac:dyDescent="0.2">
      <c r="A63" s="44">
        <v>2067</v>
      </c>
      <c r="B63" s="42">
        <v>1335.1639897524503</v>
      </c>
    </row>
    <row r="64" spans="1:14" x14ac:dyDescent="0.2">
      <c r="A64" s="44">
        <v>2068</v>
      </c>
      <c r="B64" s="42">
        <v>1335.1754337354698</v>
      </c>
    </row>
    <row r="65" spans="1:2" x14ac:dyDescent="0.2">
      <c r="A65" s="44">
        <v>2069</v>
      </c>
      <c r="B65" s="42">
        <v>1335.1868778165781</v>
      </c>
    </row>
    <row r="66" spans="1:2" x14ac:dyDescent="0.2">
      <c r="A66" s="44">
        <v>2070</v>
      </c>
      <c r="B66" s="42">
        <v>1335.198321995776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AA44-5153-AE4E-B9D0-56FCCC1E1B27}">
  <dimension ref="A1:BA66"/>
  <sheetViews>
    <sheetView topLeftCell="AF1" workbookViewId="0">
      <selection activeCell="K53" sqref="K53"/>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22</v>
      </c>
      <c r="B2" s="32">
        <f>C15</f>
        <v>36885006.407585144</v>
      </c>
      <c r="C2" s="32">
        <f>C16</f>
        <v>40600036.611982346</v>
      </c>
      <c r="D2" s="32">
        <f>C17</f>
        <v>44315066.816379547</v>
      </c>
      <c r="E2" s="4">
        <f>'Residential-Conversion'!B87+'Residential-Conversion'!B111</f>
        <v>48095101.367116034</v>
      </c>
      <c r="F2" s="4">
        <f>'Residential-Conversion'!C87+'Residential-Conversion'!C111</f>
        <v>51336330.538734496</v>
      </c>
      <c r="G2" s="4">
        <f>'Residential-Conversion'!D87+'Residential-Conversion'!D111</f>
        <v>55605006.682010174</v>
      </c>
      <c r="H2" s="4">
        <f>'Residential-Conversion'!E87+'Residential-Conversion'!E111</f>
        <v>59851861.803062633</v>
      </c>
      <c r="I2" s="4">
        <f>'Residential-Conversion'!F87+'Residential-Conversion'!F111</f>
        <v>62412486.756940186</v>
      </c>
      <c r="J2" s="4">
        <f>'Residential-Conversion'!G87+'Residential-Conversion'!G111</f>
        <v>63890279.961924314</v>
      </c>
      <c r="K2" s="4">
        <f>'Residential-Conversion'!H87+'Residential-Conversion'!H111</f>
        <v>65339211.868786588</v>
      </c>
      <c r="L2" s="4">
        <f>'Residential-Conversion'!I87+'Residential-Conversion'!I111</f>
        <v>66759019.617600948</v>
      </c>
      <c r="M2" s="4">
        <f>'Residential-Conversion'!J87+'Residential-Conversion'!J111</f>
        <v>68149081.03909944</v>
      </c>
      <c r="N2" s="4">
        <f>'Residential-Conversion'!K87+'Residential-Conversion'!K111</f>
        <v>80352152.689680666</v>
      </c>
      <c r="O2" s="4">
        <f>'Residential-Conversion'!L87+'Residential-Conversion'!L111</f>
        <v>82005830.083625391</v>
      </c>
      <c r="P2" s="4">
        <f>'Residential-Conversion'!M87+'Residential-Conversion'!M111</f>
        <v>83536594.637659281</v>
      </c>
      <c r="Q2" s="4">
        <f>'Residential-Conversion'!N87+'Residential-Conversion'!N111</f>
        <v>84954094.799392343</v>
      </c>
      <c r="R2" s="4">
        <f>'Residential-Conversion'!O87+'Residential-Conversion'!O111</f>
        <v>86268531.594296783</v>
      </c>
      <c r="S2" s="4">
        <f>'Residential-Conversion'!P87+'Residential-Conversion'!P111</f>
        <v>91362905.280564278</v>
      </c>
      <c r="T2" s="4">
        <f>'Residential-Conversion'!Q87+'Residential-Conversion'!Q111</f>
        <v>92901645.561414063</v>
      </c>
      <c r="U2" s="4">
        <f>'Residential-Conversion'!R87+'Residential-Conversion'!R111</f>
        <v>94347571.703288198</v>
      </c>
      <c r="V2" s="4">
        <f>'Residential-Conversion'!S87+'Residential-Conversion'!S111</f>
        <v>95706496.247862324</v>
      </c>
      <c r="W2" s="4">
        <f>'Residential-Conversion'!T87+'Residential-Conversion'!T111</f>
        <v>96984568.31684415</v>
      </c>
      <c r="X2" s="4">
        <f>'Residential-Conversion'!U87+'Residential-Conversion'!U111</f>
        <v>105093067.79899257</v>
      </c>
      <c r="Y2" s="4">
        <f>'Residential-Conversion'!V87+'Residential-Conversion'!V111</f>
        <v>107180379.35019809</v>
      </c>
      <c r="Z2" s="4">
        <f>'Residential-Conversion'!W87+'Residential-Conversion'!W111</f>
        <v>109207558.29417774</v>
      </c>
      <c r="AA2" s="4">
        <f>'Residential-Conversion'!X87+'Residential-Conversion'!X111</f>
        <v>111172720.4659414</v>
      </c>
      <c r="AB2" s="4">
        <f>'Residential-Conversion'!Y87+'Residential-Conversion'!Y111</f>
        <v>113074620.61105995</v>
      </c>
      <c r="AC2" s="4">
        <f>'Residential-Conversion'!Z87+'Residential-Conversion'!Z111</f>
        <v>114774195.39376865</v>
      </c>
      <c r="AD2" s="4">
        <f>'Residential-Conversion'!AA87+'Residential-Conversion'!AA111</f>
        <v>116406629.23631948</v>
      </c>
      <c r="AE2" s="4">
        <f>'Residential-Conversion'!AB87+'Residential-Conversion'!AB111</f>
        <v>117972569.12994844</v>
      </c>
      <c r="AF2" s="4">
        <f>'Residential-Conversion'!AC87+'Residential-Conversion'!AC111</f>
        <v>119473084.83071116</v>
      </c>
      <c r="AG2" s="4">
        <f>'Residential-Conversion'!AD87+'Residential-Conversion'!AD111</f>
        <v>120909609.15442929</v>
      </c>
      <c r="AH2" s="4">
        <f>'Residential-Conversion'!AE87+'Residential-Conversion'!AE111</f>
        <v>132340670.72440353</v>
      </c>
      <c r="AI2" s="4">
        <f>'Residential-Conversion'!AF87+'Residential-Conversion'!AF111</f>
        <v>133969298.60249478</v>
      </c>
      <c r="AJ2" s="4">
        <f>'Residential-Conversion'!AG87+'Residential-Conversion'!AG111</f>
        <v>135523156.524517</v>
      </c>
      <c r="AK2" s="4">
        <f>'Residential-Conversion'!AH87+'Residential-Conversion'!AH111</f>
        <v>137002802.57534319</v>
      </c>
      <c r="AL2" s="4">
        <f>'Residential-Conversion'!AI87+'Residential-Conversion'!AI111</f>
        <v>138409179.3365308</v>
      </c>
      <c r="AM2" s="4">
        <f>'Residential-Conversion'!AJ87+'Residential-Conversion'!AJ111</f>
        <v>139743568.6167416</v>
      </c>
      <c r="AN2" s="4">
        <f>'Residential-Conversion'!AK87+'Residential-Conversion'!AK111</f>
        <v>141007546.42397076</v>
      </c>
      <c r="AO2" s="4">
        <f>'Residential-Conversion'!AL87+'Residential-Conversion'!AL111</f>
        <v>142202939.02870393</v>
      </c>
      <c r="AP2" s="4">
        <f>'Residential-Conversion'!AM87+'Residential-Conversion'!AM111</f>
        <v>143331780.81208563</v>
      </c>
      <c r="AQ2" s="4">
        <f>'Residential-Conversion'!AN87+'Residential-Conversion'!AN111</f>
        <v>144396274.44209304</v>
      </c>
      <c r="AR2" s="42">
        <f>'Residential-Conversion'!AO87+'Residential-Conversion'!AO111</f>
        <v>145471072.34484413</v>
      </c>
      <c r="AS2" s="42">
        <f>'Residential-Conversion'!AP87+'Residential-Conversion'!AP111</f>
        <v>146556274.26545143</v>
      </c>
      <c r="AT2" s="42">
        <f>'Residential-Conversion'!AQ87+'Residential-Conversion'!AQ111</f>
        <v>147651980.9145577</v>
      </c>
      <c r="AU2" s="42">
        <f>'Residential-Conversion'!AR87+'Residential-Conversion'!AR111</f>
        <v>148758293.97768241</v>
      </c>
      <c r="AV2" s="42">
        <f>'Residential-Conversion'!AS87+'Residential-Conversion'!AS111</f>
        <v>149875316.12465832</v>
      </c>
      <c r="AW2" s="42">
        <f>'Residential-Conversion'!AT87+'Residential-Conversion'!AT111</f>
        <v>151003151.01915979</v>
      </c>
      <c r="AX2" s="42">
        <f>'Residential-Conversion'!AU87+'Residential-Conversion'!AU111</f>
        <v>152141903.32832295</v>
      </c>
      <c r="AY2" s="42">
        <f>'Residential-Conversion'!AV87+'Residential-Conversion'!AV111</f>
        <v>153291678.73245937</v>
      </c>
      <c r="AZ2" s="42">
        <f>'Residential-Conversion'!AW87+'Residential-Conversion'!AW111</f>
        <v>154452583.93486351</v>
      </c>
      <c r="BA2" s="42">
        <f>'Residential-Conversion'!AX87+'Residential-Conversion'!AX111</f>
        <v>155624726.67171502</v>
      </c>
    </row>
    <row r="3" spans="1:53" x14ac:dyDescent="0.2">
      <c r="A3" s="1" t="s">
        <v>23</v>
      </c>
      <c r="B3" s="32">
        <v>0</v>
      </c>
      <c r="C3" s="32">
        <v>0</v>
      </c>
      <c r="D3" s="32">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24</v>
      </c>
      <c r="B4" s="32">
        <v>0</v>
      </c>
      <c r="C4" s="32">
        <v>0</v>
      </c>
      <c r="D4" s="32">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25</v>
      </c>
      <c r="B5" s="32">
        <v>0</v>
      </c>
      <c r="C5" s="32">
        <v>0</v>
      </c>
      <c r="D5" s="32">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26</v>
      </c>
      <c r="B6" s="32">
        <v>0</v>
      </c>
      <c r="C6" s="32">
        <v>0</v>
      </c>
      <c r="D6" s="32">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27</v>
      </c>
      <c r="B7" s="32">
        <v>0</v>
      </c>
      <c r="C7" s="32">
        <v>0</v>
      </c>
      <c r="D7" s="32">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28</v>
      </c>
      <c r="B8" s="32">
        <v>0</v>
      </c>
      <c r="C8" s="32">
        <v>0</v>
      </c>
      <c r="D8" s="32">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29</v>
      </c>
      <c r="B9" s="32">
        <v>0</v>
      </c>
      <c r="C9" s="32">
        <v>0</v>
      </c>
      <c r="D9" s="32">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30</v>
      </c>
      <c r="B10" s="32">
        <v>0</v>
      </c>
      <c r="C10" s="32">
        <v>0</v>
      </c>
      <c r="D10" s="32">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31</v>
      </c>
      <c r="B11" s="32">
        <v>0</v>
      </c>
      <c r="C11" s="32">
        <v>0</v>
      </c>
      <c r="D11" s="32">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row r="12" spans="1:53" x14ac:dyDescent="0.2">
      <c r="A12" s="1"/>
      <c r="B12" s="1"/>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4" spans="1:53" x14ac:dyDescent="0.2">
      <c r="A14" s="1" t="s">
        <v>11</v>
      </c>
      <c r="B14" s="1" t="s">
        <v>22</v>
      </c>
      <c r="C14" s="1" t="s">
        <v>144</v>
      </c>
    </row>
    <row r="15" spans="1:53" x14ac:dyDescent="0.2">
      <c r="A15" s="21">
        <v>2019</v>
      </c>
      <c r="C15" s="14">
        <f>_xlfn.FORECAST.LINEAR(A15,B$17:B$22,A$17:A$22)</f>
        <v>36885006.407585144</v>
      </c>
      <c r="L15" s="4"/>
      <c r="M15" s="22"/>
    </row>
    <row r="16" spans="1:53" x14ac:dyDescent="0.2">
      <c r="A16" s="20">
        <v>2020</v>
      </c>
      <c r="C16" s="14">
        <f t="shared" ref="C16:C17" si="1">_xlfn.FORECAST.LINEAR(A16,B$17:B$22,A$17:A$22)</f>
        <v>40600036.611982346</v>
      </c>
      <c r="L16" s="4"/>
      <c r="M16" s="22"/>
    </row>
    <row r="17" spans="1:13" x14ac:dyDescent="0.2">
      <c r="A17" s="20">
        <v>2021</v>
      </c>
      <c r="C17" s="14">
        <f t="shared" si="1"/>
        <v>44315066.816379547</v>
      </c>
      <c r="L17" s="4"/>
      <c r="M17" s="22"/>
    </row>
    <row r="18" spans="1:13" x14ac:dyDescent="0.2">
      <c r="A18" s="8">
        <v>2022</v>
      </c>
      <c r="B18" s="4" cm="1">
        <f t="array" ref="B18:B56">TRANSPOSE(E2:AQ2)</f>
        <v>48095101.367116034</v>
      </c>
      <c r="C18" s="4"/>
      <c r="L18" s="4"/>
      <c r="M18" s="22"/>
    </row>
    <row r="19" spans="1:13" x14ac:dyDescent="0.2">
      <c r="A19" s="8">
        <v>2023</v>
      </c>
      <c r="B19" s="4">
        <v>51336330.538734496</v>
      </c>
      <c r="C19" s="4"/>
      <c r="L19" s="4"/>
      <c r="M19" s="22"/>
    </row>
    <row r="20" spans="1:13" x14ac:dyDescent="0.2">
      <c r="A20" s="8">
        <v>2024</v>
      </c>
      <c r="B20" s="4">
        <v>55605006.682010174</v>
      </c>
      <c r="C20" s="4"/>
      <c r="L20" s="4"/>
      <c r="M20" s="22"/>
    </row>
    <row r="21" spans="1:13" x14ac:dyDescent="0.2">
      <c r="A21" s="8">
        <v>2025</v>
      </c>
      <c r="B21" s="4">
        <v>59851861.803062633</v>
      </c>
      <c r="C21" s="4"/>
      <c r="L21" s="4"/>
      <c r="M21" s="22"/>
    </row>
    <row r="22" spans="1:13" x14ac:dyDescent="0.2">
      <c r="A22" s="8">
        <v>2026</v>
      </c>
      <c r="B22" s="4">
        <v>62412486.756940186</v>
      </c>
      <c r="C22" s="4"/>
      <c r="L22" s="4"/>
      <c r="M22" s="22"/>
    </row>
    <row r="23" spans="1:13" x14ac:dyDescent="0.2">
      <c r="A23" s="8">
        <v>2027</v>
      </c>
      <c r="B23" s="4">
        <v>63890279.961924314</v>
      </c>
      <c r="C23" s="4"/>
      <c r="L23" s="4"/>
      <c r="M23" s="22"/>
    </row>
    <row r="24" spans="1:13" x14ac:dyDescent="0.2">
      <c r="A24" s="8">
        <v>2028</v>
      </c>
      <c r="B24" s="4">
        <v>65339211.868786588</v>
      </c>
      <c r="C24" s="4"/>
      <c r="L24" s="4"/>
      <c r="M24" s="22"/>
    </row>
    <row r="25" spans="1:13" x14ac:dyDescent="0.2">
      <c r="A25" s="8">
        <v>2029</v>
      </c>
      <c r="B25" s="4">
        <v>66759019.617600948</v>
      </c>
      <c r="C25" s="4"/>
      <c r="L25" s="4"/>
      <c r="M25" s="22"/>
    </row>
    <row r="26" spans="1:13" x14ac:dyDescent="0.2">
      <c r="A26" s="8">
        <v>2030</v>
      </c>
      <c r="B26" s="4">
        <v>68149081.03909944</v>
      </c>
      <c r="C26" s="4"/>
      <c r="L26" s="4"/>
      <c r="M26" s="22"/>
    </row>
    <row r="27" spans="1:13" x14ac:dyDescent="0.2">
      <c r="A27" s="8">
        <v>2031</v>
      </c>
      <c r="B27" s="4">
        <v>80352152.689680666</v>
      </c>
      <c r="C27" s="4"/>
      <c r="L27" s="4"/>
      <c r="M27" s="22"/>
    </row>
    <row r="28" spans="1:13" x14ac:dyDescent="0.2">
      <c r="A28" s="8">
        <v>2032</v>
      </c>
      <c r="B28" s="4">
        <v>82005830.083625391</v>
      </c>
      <c r="C28" s="4"/>
      <c r="L28" s="4"/>
      <c r="M28" s="22"/>
    </row>
    <row r="29" spans="1:13" x14ac:dyDescent="0.2">
      <c r="A29" s="8">
        <v>2033</v>
      </c>
      <c r="B29" s="4">
        <v>83536594.637659281</v>
      </c>
      <c r="C29" s="4"/>
      <c r="L29" s="4"/>
      <c r="M29" s="22"/>
    </row>
    <row r="30" spans="1:13" x14ac:dyDescent="0.2">
      <c r="A30" s="8">
        <v>2034</v>
      </c>
      <c r="B30" s="4">
        <v>84954094.799392343</v>
      </c>
      <c r="C30" s="4"/>
      <c r="L30" s="4"/>
      <c r="M30" s="22"/>
    </row>
    <row r="31" spans="1:13" x14ac:dyDescent="0.2">
      <c r="A31" s="8">
        <v>2035</v>
      </c>
      <c r="B31" s="4">
        <v>86268531.594296783</v>
      </c>
      <c r="C31" s="4"/>
      <c r="L31" s="4"/>
      <c r="M31" s="22"/>
    </row>
    <row r="32" spans="1:13" x14ac:dyDescent="0.2">
      <c r="A32" s="8">
        <v>2036</v>
      </c>
      <c r="B32" s="4">
        <v>91362905.280564278</v>
      </c>
      <c r="C32" s="4"/>
      <c r="L32" s="4"/>
      <c r="M32" s="22"/>
    </row>
    <row r="33" spans="1:13" x14ac:dyDescent="0.2">
      <c r="A33" s="8">
        <v>2037</v>
      </c>
      <c r="B33" s="4">
        <v>92901645.561414063</v>
      </c>
      <c r="C33" s="4"/>
      <c r="L33" s="4"/>
      <c r="M33" s="22"/>
    </row>
    <row r="34" spans="1:13" x14ac:dyDescent="0.2">
      <c r="A34" s="8">
        <v>2038</v>
      </c>
      <c r="B34" s="4">
        <v>94347571.703288198</v>
      </c>
      <c r="C34" s="4"/>
      <c r="L34" s="4"/>
      <c r="M34" s="22"/>
    </row>
    <row r="35" spans="1:13" x14ac:dyDescent="0.2">
      <c r="A35" s="8">
        <v>2039</v>
      </c>
      <c r="B35" s="4">
        <v>95706496.247862324</v>
      </c>
      <c r="C35" s="4"/>
      <c r="L35" s="4"/>
      <c r="M35" s="22"/>
    </row>
    <row r="36" spans="1:13" x14ac:dyDescent="0.2">
      <c r="A36" s="8">
        <v>2040</v>
      </c>
      <c r="B36" s="4">
        <v>96984568.31684415</v>
      </c>
      <c r="C36" s="4"/>
      <c r="L36" s="4"/>
      <c r="M36" s="22"/>
    </row>
    <row r="37" spans="1:13" x14ac:dyDescent="0.2">
      <c r="A37" s="8">
        <v>2041</v>
      </c>
      <c r="B37" s="4">
        <v>105093067.79899257</v>
      </c>
      <c r="C37" s="4"/>
      <c r="L37" s="4"/>
      <c r="M37" s="22"/>
    </row>
    <row r="38" spans="1:13" x14ac:dyDescent="0.2">
      <c r="A38" s="8">
        <v>2042</v>
      </c>
      <c r="B38" s="4">
        <v>107180379.35019809</v>
      </c>
      <c r="C38" s="4"/>
      <c r="L38" s="4"/>
      <c r="M38" s="22"/>
    </row>
    <row r="39" spans="1:13" x14ac:dyDescent="0.2">
      <c r="A39" s="8">
        <v>2043</v>
      </c>
      <c r="B39" s="4">
        <v>109207558.29417774</v>
      </c>
      <c r="C39" s="4"/>
      <c r="L39" s="4"/>
      <c r="M39" s="22"/>
    </row>
    <row r="40" spans="1:13" x14ac:dyDescent="0.2">
      <c r="A40" s="8">
        <v>2044</v>
      </c>
      <c r="B40" s="4">
        <v>111172720.4659414</v>
      </c>
      <c r="C40" s="4"/>
      <c r="L40" s="4"/>
      <c r="M40" s="22"/>
    </row>
    <row r="41" spans="1:13" x14ac:dyDescent="0.2">
      <c r="A41" s="8">
        <v>2045</v>
      </c>
      <c r="B41" s="4">
        <v>113074620.61105995</v>
      </c>
      <c r="C41" s="4"/>
      <c r="L41" s="4"/>
      <c r="M41" s="22"/>
    </row>
    <row r="42" spans="1:13" x14ac:dyDescent="0.2">
      <c r="A42" s="8">
        <v>2046</v>
      </c>
      <c r="B42" s="4">
        <v>114774195.39376865</v>
      </c>
      <c r="C42" s="4"/>
      <c r="L42" s="4"/>
      <c r="M42" s="22"/>
    </row>
    <row r="43" spans="1:13" x14ac:dyDescent="0.2">
      <c r="A43" s="8">
        <v>2047</v>
      </c>
      <c r="B43" s="4">
        <v>116406629.23631948</v>
      </c>
      <c r="C43" s="4"/>
      <c r="L43" s="4"/>
      <c r="M43" s="22"/>
    </row>
    <row r="44" spans="1:13" x14ac:dyDescent="0.2">
      <c r="A44" s="8">
        <v>2048</v>
      </c>
      <c r="B44" s="4">
        <v>117972569.12994844</v>
      </c>
      <c r="C44" s="4"/>
      <c r="L44" s="4"/>
      <c r="M44" s="22"/>
    </row>
    <row r="45" spans="1:13" x14ac:dyDescent="0.2">
      <c r="A45" s="8">
        <v>2049</v>
      </c>
      <c r="B45" s="4">
        <v>119473084.83071116</v>
      </c>
      <c r="C45" s="4"/>
      <c r="L45" s="4"/>
      <c r="M45" s="22"/>
    </row>
    <row r="46" spans="1:13" x14ac:dyDescent="0.2">
      <c r="A46" s="8">
        <v>2050</v>
      </c>
      <c r="B46" s="4">
        <v>120909609.15442929</v>
      </c>
      <c r="C46" s="4"/>
      <c r="L46" s="4"/>
      <c r="M46" s="22"/>
    </row>
    <row r="47" spans="1:13" x14ac:dyDescent="0.2">
      <c r="A47" s="8">
        <v>2051</v>
      </c>
      <c r="B47" s="4">
        <v>132340670.72440353</v>
      </c>
      <c r="C47" s="4"/>
      <c r="L47" s="4"/>
      <c r="M47" s="22"/>
    </row>
    <row r="48" spans="1:13" x14ac:dyDescent="0.2">
      <c r="A48" s="8">
        <v>2052</v>
      </c>
      <c r="B48" s="4">
        <v>133969298.60249478</v>
      </c>
      <c r="C48" s="4"/>
      <c r="L48" s="4"/>
      <c r="M48" s="22"/>
    </row>
    <row r="49" spans="1:13" x14ac:dyDescent="0.2">
      <c r="A49" s="8">
        <v>2053</v>
      </c>
      <c r="B49" s="4">
        <v>135523156.524517</v>
      </c>
      <c r="C49" s="4"/>
      <c r="L49" s="4"/>
      <c r="M49" s="22"/>
    </row>
    <row r="50" spans="1:13" x14ac:dyDescent="0.2">
      <c r="A50" s="8">
        <v>2054</v>
      </c>
      <c r="B50" s="4">
        <v>137002802.57534319</v>
      </c>
      <c r="C50" s="4"/>
      <c r="L50" s="4"/>
      <c r="M50" s="22"/>
    </row>
    <row r="51" spans="1:13" x14ac:dyDescent="0.2">
      <c r="A51" s="8">
        <v>2055</v>
      </c>
      <c r="B51" s="4">
        <v>138409179.3365308</v>
      </c>
      <c r="C51" s="4"/>
      <c r="L51" s="4"/>
      <c r="M51" s="22"/>
    </row>
    <row r="52" spans="1:13" x14ac:dyDescent="0.2">
      <c r="A52" s="8">
        <v>2056</v>
      </c>
      <c r="B52" s="4">
        <v>139743568.6167416</v>
      </c>
      <c r="C52" s="4"/>
      <c r="L52" s="4"/>
      <c r="M52" s="22"/>
    </row>
    <row r="53" spans="1:13" x14ac:dyDescent="0.2">
      <c r="A53" s="8">
        <v>2057</v>
      </c>
      <c r="B53" s="4">
        <v>141007546.42397076</v>
      </c>
      <c r="C53" s="4"/>
      <c r="L53" s="4"/>
      <c r="M53" s="22"/>
    </row>
    <row r="54" spans="1:13" x14ac:dyDescent="0.2">
      <c r="A54" s="8">
        <v>2058</v>
      </c>
      <c r="B54" s="4">
        <v>142202939.02870393</v>
      </c>
      <c r="C54" s="4"/>
      <c r="L54" s="4"/>
      <c r="M54" s="22"/>
    </row>
    <row r="55" spans="1:13" x14ac:dyDescent="0.2">
      <c r="A55" s="8">
        <v>2059</v>
      </c>
      <c r="B55" s="4">
        <v>143331780.81208563</v>
      </c>
      <c r="C55" s="4"/>
      <c r="L55" s="4"/>
      <c r="M55" s="22"/>
    </row>
    <row r="56" spans="1:13" x14ac:dyDescent="0.2">
      <c r="A56" s="8">
        <v>2060</v>
      </c>
      <c r="B56" s="4">
        <v>144396274.44209304</v>
      </c>
      <c r="C56" s="4"/>
    </row>
    <row r="57" spans="1:13" x14ac:dyDescent="0.2">
      <c r="A57" s="44">
        <v>2061</v>
      </c>
      <c r="B57" s="42" cm="1">
        <f t="array" ref="B57:B66">TRANSPOSE(AR2:BA2)</f>
        <v>145471072.34484413</v>
      </c>
    </row>
    <row r="58" spans="1:13" x14ac:dyDescent="0.2">
      <c r="A58" s="44">
        <v>2062</v>
      </c>
      <c r="B58" s="42">
        <v>146556274.26545143</v>
      </c>
    </row>
    <row r="59" spans="1:13" x14ac:dyDescent="0.2">
      <c r="A59" s="44">
        <v>2063</v>
      </c>
      <c r="B59" s="42">
        <v>147651980.9145577</v>
      </c>
    </row>
    <row r="60" spans="1:13" x14ac:dyDescent="0.2">
      <c r="A60" s="44">
        <v>2064</v>
      </c>
      <c r="B60" s="42">
        <v>148758293.97768241</v>
      </c>
    </row>
    <row r="61" spans="1:13" x14ac:dyDescent="0.2">
      <c r="A61" s="44">
        <v>2065</v>
      </c>
      <c r="B61" s="42">
        <v>149875316.12465832</v>
      </c>
    </row>
    <row r="62" spans="1:13" x14ac:dyDescent="0.2">
      <c r="A62" s="44">
        <v>2066</v>
      </c>
      <c r="B62" s="42">
        <v>151003151.01915979</v>
      </c>
    </row>
    <row r="63" spans="1:13" x14ac:dyDescent="0.2">
      <c r="A63" s="44">
        <v>2067</v>
      </c>
      <c r="B63" s="42">
        <v>152141903.32832295</v>
      </c>
    </row>
    <row r="64" spans="1:13" x14ac:dyDescent="0.2">
      <c r="A64" s="44">
        <v>2068</v>
      </c>
      <c r="B64" s="42">
        <v>153291678.73245937</v>
      </c>
    </row>
    <row r="65" spans="1:2" x14ac:dyDescent="0.2">
      <c r="A65" s="44">
        <v>2069</v>
      </c>
      <c r="B65" s="42">
        <v>154452583.93486351</v>
      </c>
    </row>
    <row r="66" spans="1:2" x14ac:dyDescent="0.2">
      <c r="A66" s="44">
        <v>2070</v>
      </c>
      <c r="B66" s="42">
        <v>155624726.67171502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998CD-8FEC-184F-8599-F09B7B27A514}">
  <dimension ref="A1:BA66"/>
  <sheetViews>
    <sheetView topLeftCell="AK1" workbookViewId="0">
      <selection activeCell="AR1" sqref="AR1:BA11"/>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22</v>
      </c>
      <c r="B2" s="17">
        <f>C15</f>
        <v>38529383.99899739</v>
      </c>
      <c r="C2" s="15">
        <f>C16</f>
        <v>38805270.492966592</v>
      </c>
      <c r="D2" s="15">
        <f>C17</f>
        <v>39081156.986935794</v>
      </c>
      <c r="E2" s="15">
        <f>'Residential-Conversion'!B143</f>
        <v>39395226.367037803</v>
      </c>
      <c r="F2" s="4">
        <f>'Residential-Conversion'!C143</f>
        <v>39589535.956283867</v>
      </c>
      <c r="G2" s="4">
        <f>'Residential-Conversion'!D143</f>
        <v>39756614.702927105</v>
      </c>
      <c r="H2" s="4">
        <f>'Residential-Conversion'!E143</f>
        <v>39906654.128983505</v>
      </c>
      <c r="I2" s="4">
        <f>'Residential-Conversion'!F143</f>
        <v>40271904.842428088</v>
      </c>
      <c r="J2" s="4">
        <f>'Residential-Conversion'!G143</f>
        <v>40630453.61808145</v>
      </c>
      <c r="K2" s="4">
        <f>'Residential-Conversion'!H143</f>
        <v>40984715.931353666</v>
      </c>
      <c r="L2" s="4">
        <f>'Residential-Conversion'!I143</f>
        <v>41336204.82349208</v>
      </c>
      <c r="M2" s="4">
        <f>'Residential-Conversion'!J143</f>
        <v>41685867.2811836</v>
      </c>
      <c r="N2" s="4">
        <f>'Residential-Conversion'!K143</f>
        <v>41977354.307687797</v>
      </c>
      <c r="O2" s="4">
        <f>'Residential-Conversion'!L143</f>
        <v>42268026.466687262</v>
      </c>
      <c r="P2" s="4">
        <f>'Residential-Conversion'!M143</f>
        <v>42558116.948004097</v>
      </c>
      <c r="Q2" s="4">
        <f>'Residential-Conversion'!N143</f>
        <v>42847771.290455639</v>
      </c>
      <c r="R2" s="4">
        <f>'Residential-Conversion'!O143</f>
        <v>43137080.316862434</v>
      </c>
      <c r="S2" s="4">
        <f>'Residential-Conversion'!P143</f>
        <v>43381680.416811846</v>
      </c>
      <c r="T2" s="4">
        <f>'Residential-Conversion'!Q143</f>
        <v>43626221.674785472</v>
      </c>
      <c r="U2" s="4">
        <f>'Residential-Conversion'!R143</f>
        <v>43870726.26699435</v>
      </c>
      <c r="V2" s="4">
        <f>'Residential-Conversion'!S143</f>
        <v>44115208.012773722</v>
      </c>
      <c r="W2" s="4">
        <f>'Residential-Conversion'!T143</f>
        <v>44359675.523444399</v>
      </c>
      <c r="X2" s="4">
        <f>'Residential-Conversion'!U143</f>
        <v>44547034.310314253</v>
      </c>
      <c r="Y2" s="4">
        <f>'Residential-Conversion'!V143</f>
        <v>44734387.547704905</v>
      </c>
      <c r="Z2" s="4">
        <f>'Residential-Conversion'!W143</f>
        <v>44921737.332246229</v>
      </c>
      <c r="AA2" s="4">
        <f>'Residential-Conversion'!X143</f>
        <v>45109084.96848736</v>
      </c>
      <c r="AB2" s="4">
        <f>'Residential-Conversion'!Y143</f>
        <v>45296431.268119425</v>
      </c>
      <c r="AC2" s="4">
        <f>'Residential-Conversion'!Z143</f>
        <v>45428991.458634779</v>
      </c>
      <c r="AD2" s="4">
        <f>'Residential-Conversion'!AA143</f>
        <v>45561551.129715972</v>
      </c>
      <c r="AE2" s="4">
        <f>'Residential-Conversion'!AB143</f>
        <v>45694110.47803615</v>
      </c>
      <c r="AF2" s="4">
        <f>'Residential-Conversion'!AC143</f>
        <v>45826669.62580394</v>
      </c>
      <c r="AG2" s="4">
        <f>'Residential-Conversion'!AD143</f>
        <v>45959228.648956582</v>
      </c>
      <c r="AH2" s="4">
        <f>'Residential-Conversion'!AE143</f>
        <v>45959228.776610866</v>
      </c>
      <c r="AI2" s="4">
        <f>'Residential-Conversion'!AF143</f>
        <v>45959228.855697796</v>
      </c>
      <c r="AJ2" s="4">
        <f>'Residential-Conversion'!AG143</f>
        <v>45959228.904695295</v>
      </c>
      <c r="AK2" s="4">
        <f>'Residential-Conversion'!AH143</f>
        <v>45959228.935051203</v>
      </c>
      <c r="AL2" s="4">
        <f>'Residential-Conversion'!AI143</f>
        <v>45959228.953857899</v>
      </c>
      <c r="AM2" s="4">
        <f>'Residential-Conversion'!AJ143</f>
        <v>45959228.965509385</v>
      </c>
      <c r="AN2" s="4">
        <f>'Residential-Conversion'!AK143</f>
        <v>45959228.972727932</v>
      </c>
      <c r="AO2" s="4">
        <f>'Residential-Conversion'!AL143</f>
        <v>45959228.977200143</v>
      </c>
      <c r="AP2" s="4">
        <f>'Residential-Conversion'!AM143</f>
        <v>45959228.979970835</v>
      </c>
      <c r="AQ2" s="4">
        <f>'Residential-Conversion'!AN143</f>
        <v>45959228.981687389</v>
      </c>
      <c r="AR2" s="42">
        <f>'Residential-Conversion'!AO143</f>
        <v>45959228.983403936</v>
      </c>
      <c r="AS2" s="42">
        <f>'Residential-Conversion'!AP143</f>
        <v>45959228.98512049</v>
      </c>
      <c r="AT2" s="42">
        <f>'Residential-Conversion'!AQ143</f>
        <v>45959228.986837037</v>
      </c>
      <c r="AU2" s="42">
        <f>'Residential-Conversion'!AR143</f>
        <v>45959228.988553591</v>
      </c>
      <c r="AV2" s="42">
        <f>'Residential-Conversion'!AS143</f>
        <v>45959228.990270138</v>
      </c>
      <c r="AW2" s="42">
        <f>'Residential-Conversion'!AT143</f>
        <v>45959228.991986692</v>
      </c>
      <c r="AX2" s="42">
        <f>'Residential-Conversion'!AU143</f>
        <v>45959228.993703239</v>
      </c>
      <c r="AY2" s="42">
        <f>'Residential-Conversion'!AV143</f>
        <v>45959228.995419793</v>
      </c>
      <c r="AZ2" s="42">
        <f>'Residential-Conversion'!AW143</f>
        <v>45959228.99713634</v>
      </c>
      <c r="BA2" s="42">
        <f>'Residential-Conversion'!AX143</f>
        <v>45959228.998852894</v>
      </c>
    </row>
    <row r="3" spans="1:5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28</v>
      </c>
      <c r="B8" s="15">
        <f>H15</f>
        <v>4898268.4035431743</v>
      </c>
      <c r="C8" s="15">
        <f>H16</f>
        <v>4688686.7520976067</v>
      </c>
      <c r="D8" s="15">
        <f>H17</f>
        <v>4479105.1006520987</v>
      </c>
      <c r="E8" s="15">
        <f>'Residential-Conversion'!B15</f>
        <v>4440999.088122475</v>
      </c>
      <c r="F8" s="4">
        <f>'Residential-Conversion'!C15</f>
        <v>3987683.8264512462</v>
      </c>
      <c r="G8" s="4">
        <f>'Residential-Conversion'!D15</f>
        <v>3776307.4399760817</v>
      </c>
      <c r="H8" s="4">
        <f>'Residential-Conversion'!E15</f>
        <v>3576135.5468117767</v>
      </c>
      <c r="I8" s="4">
        <f>'Residential-Conversion'!F15</f>
        <v>3386574.2269257</v>
      </c>
      <c r="J8" s="4">
        <f>'Residential-Conversion'!G15</f>
        <v>3207061.0423875637</v>
      </c>
      <c r="K8" s="4">
        <f>'Residential-Conversion'!H15</f>
        <v>3037063.3685879256</v>
      </c>
      <c r="L8" s="4">
        <f>'Residential-Conversion'!I15</f>
        <v>2876076.813914279</v>
      </c>
      <c r="M8" s="4">
        <f>'Residential-Conversion'!J15</f>
        <v>2723623.7231958951</v>
      </c>
      <c r="N8" s="4">
        <f>'Residential-Conversion'!K15</f>
        <v>2579251.7604769934</v>
      </c>
      <c r="O8" s="4">
        <f>'Residential-Conversion'!L15</f>
        <v>2442532.566913316</v>
      </c>
      <c r="P8" s="4">
        <f>'Residential-Conversion'!M15</f>
        <v>2313060.4898099736</v>
      </c>
      <c r="Q8" s="4">
        <f>'Residential-Conversion'!N15</f>
        <v>2190451.3790295906</v>
      </c>
      <c r="R8" s="4">
        <f>'Residential-Conversion'!O15</f>
        <v>2074341.4471995984</v>
      </c>
      <c r="S8" s="4">
        <f>'Residential-Conversion'!P15</f>
        <v>1964386.1903368894</v>
      </c>
      <c r="T8" s="4">
        <f>'Residential-Conversion'!Q15</f>
        <v>1860259.3656872418</v>
      </c>
      <c r="U8" s="4">
        <f>'Residential-Conversion'!R15</f>
        <v>1761652.0237467242</v>
      </c>
      <c r="V8" s="4">
        <f>'Residential-Conversion'!S15</f>
        <v>1668271.5915930469</v>
      </c>
      <c r="W8" s="4">
        <f>'Residential-Conversion'!T15</f>
        <v>1579841.0048070501</v>
      </c>
      <c r="X8" s="4">
        <f>'Residential-Conversion'!U15</f>
        <v>1496097.8854086928</v>
      </c>
      <c r="Y8" s="4">
        <f>'Residential-Conversion'!V15</f>
        <v>1416793.7633684415</v>
      </c>
      <c r="Z8" s="4">
        <f>'Residential-Conversion'!W15</f>
        <v>1341693.339384255</v>
      </c>
      <c r="AA8" s="4">
        <f>'Residential-Conversion'!X15</f>
        <v>1270573.7867367661</v>
      </c>
      <c r="AB8" s="4">
        <f>'Residential-Conversion'!Y15</f>
        <v>1203224.0901512445</v>
      </c>
      <c r="AC8" s="4">
        <f>'Residential-Conversion'!Z15</f>
        <v>1139444.419704709</v>
      </c>
      <c r="AD8" s="4">
        <f>'Residential-Conversion'!AA15</f>
        <v>1079045.53792054</v>
      </c>
      <c r="AE8" s="4">
        <f>'Residential-Conversion'!AB15</f>
        <v>1021848.2382914032</v>
      </c>
      <c r="AF8" s="4">
        <f>'Residential-Conversion'!AC15</f>
        <v>967682.81356457144</v>
      </c>
      <c r="AG8" s="4">
        <f>'Residential-Conversion'!AD15</f>
        <v>916388.55221200315</v>
      </c>
      <c r="AH8" s="4">
        <f>'Residential-Conversion'!AE15</f>
        <v>867813.26159119105</v>
      </c>
      <c r="AI8" s="4">
        <f>'Residential-Conversion'!AF15</f>
        <v>821812.81638196879</v>
      </c>
      <c r="AJ8" s="4">
        <f>'Residential-Conversion'!AG15</f>
        <v>778250.73095946666</v>
      </c>
      <c r="AK8" s="4">
        <f>'Residential-Conversion'!AH15</f>
        <v>736997.75443442853</v>
      </c>
      <c r="AL8" s="4">
        <f>'Residential-Conversion'!AI15</f>
        <v>697931.48715934798</v>
      </c>
      <c r="AM8" s="4">
        <f>'Residential-Conversion'!AJ15</f>
        <v>660936.01756258484</v>
      </c>
      <c r="AN8" s="4">
        <f>'Residential-Conversion'!AK15</f>
        <v>625901.57823292667</v>
      </c>
      <c r="AO8" s="4">
        <f>'Residential-Conversion'!AL15</f>
        <v>592724.22023418162</v>
      </c>
      <c r="AP8" s="4">
        <f>'Residential-Conversion'!AM15</f>
        <v>561305.50468347862</v>
      </c>
      <c r="AQ8" s="4">
        <f>'Residential-Conversion'!AN15</f>
        <v>531552.21067817137</v>
      </c>
      <c r="AR8" s="42">
        <f>'Residential-Conversion'!AO15</f>
        <v>503376.05870475189</v>
      </c>
      <c r="AS8" s="42">
        <f>'Residential-Conversion'!AP15</f>
        <v>476693.44870911166</v>
      </c>
      <c r="AT8" s="42">
        <f>'Residential-Conversion'!AQ15</f>
        <v>451425.21205099445</v>
      </c>
      <c r="AU8" s="42">
        <f>'Residential-Conversion'!AR15</f>
        <v>427496.37660667545</v>
      </c>
      <c r="AV8" s="42">
        <f>'Residential-Conversion'!AS15</f>
        <v>404835.94432291499</v>
      </c>
      <c r="AW8" s="42">
        <f>'Residential-Conversion'!AT15</f>
        <v>383376.6805621789</v>
      </c>
      <c r="AX8" s="42">
        <f>'Residential-Conversion'!AU15</f>
        <v>363054.91461410123</v>
      </c>
      <c r="AY8" s="42">
        <f>'Residential-Conversion'!AV15</f>
        <v>343810.35078129795</v>
      </c>
      <c r="AZ8" s="42">
        <f>'Residential-Conversion'!AW15</f>
        <v>325585.88947901264</v>
      </c>
      <c r="BA8" s="42">
        <f>'Residential-Conversion'!AX15</f>
        <v>308327.45781778888</v>
      </c>
    </row>
    <row r="9" spans="1:5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30</v>
      </c>
      <c r="B10" s="15">
        <v>0</v>
      </c>
      <c r="C10" s="15">
        <v>0</v>
      </c>
      <c r="D10" s="15">
        <v>0</v>
      </c>
      <c r="E10" s="15">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row r="12" spans="1:53" x14ac:dyDescent="0.2">
      <c r="A12" s="1"/>
      <c r="B12" s="1"/>
      <c r="C12" s="15"/>
      <c r="D12" s="15"/>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4" spans="1:53" x14ac:dyDescent="0.2">
      <c r="A14" s="1" t="s">
        <v>11</v>
      </c>
      <c r="B14" s="1" t="s">
        <v>22</v>
      </c>
      <c r="C14" s="1" t="s">
        <v>144</v>
      </c>
      <c r="F14" s="1" t="s">
        <v>11</v>
      </c>
      <c r="G14" s="1" t="s">
        <v>28</v>
      </c>
      <c r="H14" s="1" t="s">
        <v>147</v>
      </c>
      <c r="M14" s="24"/>
      <c r="N14" s="24"/>
      <c r="O14" s="24"/>
      <c r="P14" s="25"/>
      <c r="Q14" s="25"/>
      <c r="R14" s="24"/>
      <c r="S14" s="24"/>
      <c r="T14" s="24"/>
    </row>
    <row r="15" spans="1:53" x14ac:dyDescent="0.2">
      <c r="A15" s="21">
        <v>2019</v>
      </c>
      <c r="B15" s="23"/>
      <c r="C15" s="14">
        <f>_xlfn.FORECAST.LINEAR(A15,B$17:B$40,A$17:A$40)</f>
        <v>38529383.99899739</v>
      </c>
      <c r="D15" s="23"/>
      <c r="E15" s="23"/>
      <c r="F15" s="21">
        <v>2019</v>
      </c>
      <c r="H15" s="14">
        <f>_xlfn.FORECAST.LINEAR(F15,G$17:G$25,F$17:F$25)</f>
        <v>4898268.4035431743</v>
      </c>
      <c r="M15" s="26"/>
      <c r="N15" s="25"/>
      <c r="O15" s="22"/>
      <c r="P15" s="25"/>
      <c r="Q15" s="25"/>
      <c r="R15" s="26"/>
      <c r="S15" s="25"/>
      <c r="T15" s="22"/>
    </row>
    <row r="16" spans="1:53" x14ac:dyDescent="0.2">
      <c r="A16" s="20">
        <v>2020</v>
      </c>
      <c r="C16" s="14">
        <f t="shared" ref="C16:C17" si="1">_xlfn.FORECAST.LINEAR(A16,B$17:B$40,A$17:A$40)</f>
        <v>38805270.492966592</v>
      </c>
      <c r="F16" s="20">
        <v>2020</v>
      </c>
      <c r="H16" s="14">
        <f t="shared" ref="H16:H17" si="2">_xlfn.FORECAST.LINEAR(F16,G$17:G$25,F$17:F$25)</f>
        <v>4688686.7520976067</v>
      </c>
      <c r="M16" s="26"/>
      <c r="N16" s="25"/>
      <c r="O16" s="22"/>
      <c r="P16" s="25"/>
      <c r="Q16" s="25"/>
      <c r="R16" s="26"/>
      <c r="S16" s="25"/>
      <c r="T16" s="22"/>
    </row>
    <row r="17" spans="1:20" x14ac:dyDescent="0.2">
      <c r="A17" s="20">
        <v>2021</v>
      </c>
      <c r="C17" s="14">
        <f t="shared" si="1"/>
        <v>39081156.986935794</v>
      </c>
      <c r="F17" s="20">
        <v>2021</v>
      </c>
      <c r="H17" s="14">
        <f t="shared" si="2"/>
        <v>4479105.1006520987</v>
      </c>
      <c r="M17" s="27"/>
      <c r="N17" s="22"/>
      <c r="O17" s="22"/>
      <c r="P17" s="25"/>
      <c r="Q17" s="25"/>
      <c r="R17" s="27"/>
      <c r="S17" s="22"/>
      <c r="T17" s="22"/>
    </row>
    <row r="18" spans="1:20" x14ac:dyDescent="0.2">
      <c r="A18" s="8">
        <v>2022</v>
      </c>
      <c r="B18" s="4" cm="1">
        <f t="array" ref="B18:B56">TRANSPOSE(E2:AQ2)</f>
        <v>39395226.367037803</v>
      </c>
      <c r="C18" s="4"/>
      <c r="F18" s="8">
        <v>2022</v>
      </c>
      <c r="G18" s="4" cm="1">
        <f t="array" ref="G18:G56">TRANSPOSE(E8:AQ8)</f>
        <v>4440999.088122475</v>
      </c>
      <c r="H18" s="4"/>
      <c r="M18" s="27"/>
      <c r="N18" s="22"/>
      <c r="O18" s="22"/>
      <c r="P18" s="25"/>
      <c r="Q18" s="25"/>
      <c r="R18" s="27"/>
      <c r="S18" s="22"/>
      <c r="T18" s="22"/>
    </row>
    <row r="19" spans="1:20" x14ac:dyDescent="0.2">
      <c r="A19" s="8">
        <v>2023</v>
      </c>
      <c r="B19" s="4">
        <v>39589535.956283867</v>
      </c>
      <c r="C19" s="4"/>
      <c r="F19" s="8">
        <v>2023</v>
      </c>
      <c r="G19" s="4">
        <v>3987683.8264512462</v>
      </c>
      <c r="H19" s="4"/>
      <c r="M19" s="27"/>
      <c r="N19" s="22"/>
      <c r="O19" s="22"/>
      <c r="P19" s="25"/>
      <c r="Q19" s="25"/>
      <c r="R19" s="27"/>
      <c r="S19" s="22"/>
      <c r="T19" s="22"/>
    </row>
    <row r="20" spans="1:20" x14ac:dyDescent="0.2">
      <c r="A20" s="8">
        <v>2024</v>
      </c>
      <c r="B20" s="4">
        <v>39756614.702927105</v>
      </c>
      <c r="C20" s="4"/>
      <c r="F20" s="8">
        <v>2024</v>
      </c>
      <c r="G20" s="4">
        <v>3776307.4399760817</v>
      </c>
      <c r="H20" s="4"/>
      <c r="M20" s="27"/>
      <c r="N20" s="22"/>
      <c r="O20" s="22"/>
      <c r="P20" s="25"/>
      <c r="Q20" s="25"/>
      <c r="R20" s="27"/>
      <c r="S20" s="22"/>
      <c r="T20" s="22"/>
    </row>
    <row r="21" spans="1:20" x14ac:dyDescent="0.2">
      <c r="A21" s="8">
        <v>2025</v>
      </c>
      <c r="B21" s="4">
        <v>39906654.128983505</v>
      </c>
      <c r="C21" s="4"/>
      <c r="F21" s="8">
        <v>2025</v>
      </c>
      <c r="G21" s="4">
        <v>3576135.5468117767</v>
      </c>
      <c r="H21" s="4"/>
      <c r="M21" s="27"/>
      <c r="N21" s="22"/>
      <c r="O21" s="22"/>
      <c r="P21" s="25"/>
      <c r="Q21" s="25"/>
      <c r="R21" s="27"/>
      <c r="S21" s="22"/>
      <c r="T21" s="22"/>
    </row>
    <row r="22" spans="1:20" x14ac:dyDescent="0.2">
      <c r="A22" s="8">
        <v>2026</v>
      </c>
      <c r="B22" s="4">
        <v>40271904.842428088</v>
      </c>
      <c r="C22" s="4"/>
      <c r="F22" s="8">
        <v>2026</v>
      </c>
      <c r="G22" s="4">
        <v>3386574.2269257</v>
      </c>
      <c r="H22" s="4"/>
      <c r="M22" s="27"/>
      <c r="N22" s="22"/>
      <c r="O22" s="22"/>
      <c r="P22" s="25"/>
      <c r="Q22" s="25"/>
      <c r="R22" s="27"/>
      <c r="S22" s="22"/>
      <c r="T22" s="22"/>
    </row>
    <row r="23" spans="1:20" x14ac:dyDescent="0.2">
      <c r="A23" s="8">
        <v>2027</v>
      </c>
      <c r="B23" s="4">
        <v>40630453.61808145</v>
      </c>
      <c r="C23" s="4"/>
      <c r="F23" s="8">
        <v>2027</v>
      </c>
      <c r="G23" s="4">
        <v>3207061.0423875637</v>
      </c>
      <c r="H23" s="4"/>
      <c r="M23" s="27"/>
      <c r="N23" s="22"/>
      <c r="O23" s="22"/>
      <c r="P23" s="25"/>
      <c r="Q23" s="25"/>
      <c r="R23" s="27"/>
      <c r="S23" s="22"/>
      <c r="T23" s="22"/>
    </row>
    <row r="24" spans="1:20" x14ac:dyDescent="0.2">
      <c r="A24" s="8">
        <v>2028</v>
      </c>
      <c r="B24" s="4">
        <v>40984715.931353666</v>
      </c>
      <c r="C24" s="4"/>
      <c r="F24" s="8">
        <v>2028</v>
      </c>
      <c r="G24" s="4">
        <v>3037063.3685879256</v>
      </c>
      <c r="H24" s="4"/>
      <c r="M24" s="27"/>
      <c r="N24" s="22"/>
      <c r="O24" s="22"/>
      <c r="P24" s="25"/>
      <c r="Q24" s="25"/>
      <c r="R24" s="27"/>
      <c r="S24" s="22"/>
      <c r="T24" s="22"/>
    </row>
    <row r="25" spans="1:20" x14ac:dyDescent="0.2">
      <c r="A25" s="8">
        <v>2029</v>
      </c>
      <c r="B25" s="4">
        <v>41336204.82349208</v>
      </c>
      <c r="C25" s="4"/>
      <c r="F25" s="8">
        <v>2029</v>
      </c>
      <c r="G25" s="4">
        <v>2876076.813914279</v>
      </c>
      <c r="H25" s="4"/>
      <c r="M25" s="27"/>
      <c r="N25" s="22"/>
      <c r="O25" s="22"/>
      <c r="P25" s="25"/>
      <c r="Q25" s="25"/>
      <c r="R25" s="27"/>
      <c r="S25" s="22"/>
      <c r="T25" s="22"/>
    </row>
    <row r="26" spans="1:20" x14ac:dyDescent="0.2">
      <c r="A26" s="8">
        <v>2030</v>
      </c>
      <c r="B26" s="4">
        <v>41685867.2811836</v>
      </c>
      <c r="C26" s="4"/>
      <c r="F26" s="8">
        <v>2030</v>
      </c>
      <c r="G26" s="4">
        <v>2723623.7231958951</v>
      </c>
      <c r="H26" s="4"/>
      <c r="M26" s="27"/>
      <c r="N26" s="22"/>
      <c r="O26" s="22"/>
      <c r="P26" s="25"/>
      <c r="Q26" s="25"/>
      <c r="R26" s="27"/>
      <c r="S26" s="22"/>
      <c r="T26" s="22"/>
    </row>
    <row r="27" spans="1:20" x14ac:dyDescent="0.2">
      <c r="A27" s="8">
        <v>2031</v>
      </c>
      <c r="B27" s="4">
        <v>41977354.307687797</v>
      </c>
      <c r="C27" s="4"/>
      <c r="F27" s="8">
        <v>2031</v>
      </c>
      <c r="G27" s="4">
        <v>2579251.7604769934</v>
      </c>
      <c r="H27" s="4"/>
      <c r="M27" s="27"/>
      <c r="N27" s="22"/>
      <c r="O27" s="22"/>
      <c r="P27" s="25"/>
      <c r="Q27" s="25"/>
      <c r="R27" s="27"/>
      <c r="S27" s="22"/>
      <c r="T27" s="22"/>
    </row>
    <row r="28" spans="1:20" x14ac:dyDescent="0.2">
      <c r="A28" s="8">
        <v>2032</v>
      </c>
      <c r="B28" s="4">
        <v>42268026.466687262</v>
      </c>
      <c r="C28" s="4"/>
      <c r="F28" s="8">
        <v>2032</v>
      </c>
      <c r="G28" s="4">
        <v>2442532.566913316</v>
      </c>
      <c r="H28" s="4"/>
      <c r="M28" s="27"/>
      <c r="N28" s="22"/>
      <c r="O28" s="22"/>
      <c r="P28" s="25"/>
      <c r="Q28" s="25"/>
      <c r="R28" s="27"/>
      <c r="S28" s="22"/>
      <c r="T28" s="22"/>
    </row>
    <row r="29" spans="1:20" x14ac:dyDescent="0.2">
      <c r="A29" s="8">
        <v>2033</v>
      </c>
      <c r="B29" s="4">
        <v>42558116.948004097</v>
      </c>
      <c r="C29" s="4"/>
      <c r="F29" s="8">
        <v>2033</v>
      </c>
      <c r="G29" s="4">
        <v>2313060.4898099736</v>
      </c>
      <c r="H29" s="4"/>
      <c r="M29" s="27"/>
      <c r="N29" s="22"/>
      <c r="O29" s="22"/>
      <c r="P29" s="25"/>
      <c r="Q29" s="25"/>
      <c r="R29" s="27"/>
      <c r="S29" s="22"/>
      <c r="T29" s="22"/>
    </row>
    <row r="30" spans="1:20" x14ac:dyDescent="0.2">
      <c r="A30" s="8">
        <v>2034</v>
      </c>
      <c r="B30" s="4">
        <v>42847771.290455639</v>
      </c>
      <c r="C30" s="4"/>
      <c r="F30" s="8">
        <v>2034</v>
      </c>
      <c r="G30" s="4">
        <v>2190451.3790295906</v>
      </c>
      <c r="H30" s="4"/>
      <c r="M30" s="27"/>
      <c r="N30" s="22"/>
      <c r="O30" s="22"/>
      <c r="P30" s="25"/>
      <c r="Q30" s="25"/>
      <c r="R30" s="27"/>
      <c r="S30" s="22"/>
      <c r="T30" s="22"/>
    </row>
    <row r="31" spans="1:20" x14ac:dyDescent="0.2">
      <c r="A31" s="8">
        <v>2035</v>
      </c>
      <c r="B31" s="4">
        <v>43137080.316862434</v>
      </c>
      <c r="C31" s="4"/>
      <c r="F31" s="8">
        <v>2035</v>
      </c>
      <c r="G31" s="4">
        <v>2074341.4471995984</v>
      </c>
      <c r="H31" s="4"/>
      <c r="M31" s="27"/>
      <c r="N31" s="22"/>
      <c r="O31" s="22"/>
      <c r="P31" s="25"/>
      <c r="Q31" s="25"/>
      <c r="R31" s="27"/>
      <c r="S31" s="22"/>
      <c r="T31" s="22"/>
    </row>
    <row r="32" spans="1:20" x14ac:dyDescent="0.2">
      <c r="A32" s="8">
        <v>2036</v>
      </c>
      <c r="B32" s="4">
        <v>43381680.416811846</v>
      </c>
      <c r="C32" s="4"/>
      <c r="F32" s="8">
        <v>2036</v>
      </c>
      <c r="G32" s="4">
        <v>1964386.1903368894</v>
      </c>
      <c r="H32" s="4"/>
      <c r="M32" s="27"/>
      <c r="N32" s="22"/>
      <c r="O32" s="22"/>
      <c r="P32" s="25"/>
      <c r="Q32" s="25"/>
      <c r="R32" s="27"/>
      <c r="S32" s="22"/>
      <c r="T32" s="22"/>
    </row>
    <row r="33" spans="1:20" x14ac:dyDescent="0.2">
      <c r="A33" s="8">
        <v>2037</v>
      </c>
      <c r="B33" s="4">
        <v>43626221.674785472</v>
      </c>
      <c r="C33" s="4"/>
      <c r="F33" s="8">
        <v>2037</v>
      </c>
      <c r="G33" s="4">
        <v>1860259.3656872418</v>
      </c>
      <c r="H33" s="4"/>
      <c r="M33" s="27"/>
      <c r="N33" s="22"/>
      <c r="O33" s="22"/>
      <c r="P33" s="25"/>
      <c r="Q33" s="25"/>
      <c r="R33" s="27"/>
      <c r="S33" s="22"/>
      <c r="T33" s="22"/>
    </row>
    <row r="34" spans="1:20" x14ac:dyDescent="0.2">
      <c r="A34" s="8">
        <v>2038</v>
      </c>
      <c r="B34" s="4">
        <v>43870726.26699435</v>
      </c>
      <c r="C34" s="4"/>
      <c r="F34" s="8">
        <v>2038</v>
      </c>
      <c r="G34" s="4">
        <v>1761652.0237467242</v>
      </c>
      <c r="H34" s="4"/>
      <c r="M34" s="27"/>
      <c r="N34" s="22"/>
      <c r="O34" s="22"/>
      <c r="P34" s="25"/>
      <c r="Q34" s="25"/>
      <c r="R34" s="27"/>
      <c r="S34" s="22"/>
      <c r="T34" s="22"/>
    </row>
    <row r="35" spans="1:20" x14ac:dyDescent="0.2">
      <c r="A35" s="8">
        <v>2039</v>
      </c>
      <c r="B35" s="4">
        <v>44115208.012773722</v>
      </c>
      <c r="C35" s="4"/>
      <c r="F35" s="8">
        <v>2039</v>
      </c>
      <c r="G35" s="4">
        <v>1668271.5915930469</v>
      </c>
      <c r="H35" s="4"/>
      <c r="M35" s="27"/>
      <c r="N35" s="22"/>
      <c r="O35" s="22"/>
      <c r="P35" s="25"/>
      <c r="Q35" s="25"/>
      <c r="R35" s="27"/>
      <c r="S35" s="22"/>
      <c r="T35" s="22"/>
    </row>
    <row r="36" spans="1:20" x14ac:dyDescent="0.2">
      <c r="A36" s="8">
        <v>2040</v>
      </c>
      <c r="B36" s="4">
        <v>44359675.523444399</v>
      </c>
      <c r="C36" s="4"/>
      <c r="F36" s="8">
        <v>2040</v>
      </c>
      <c r="G36" s="4">
        <v>1579841.0048070501</v>
      </c>
      <c r="H36" s="4"/>
      <c r="M36" s="27"/>
      <c r="N36" s="22"/>
      <c r="O36" s="22"/>
      <c r="P36" s="25"/>
      <c r="Q36" s="25"/>
      <c r="R36" s="27"/>
      <c r="S36" s="22"/>
      <c r="T36" s="22"/>
    </row>
    <row r="37" spans="1:20" x14ac:dyDescent="0.2">
      <c r="A37" s="8">
        <v>2041</v>
      </c>
      <c r="B37" s="4">
        <v>44547034.310314253</v>
      </c>
      <c r="C37" s="4"/>
      <c r="F37" s="8">
        <v>2041</v>
      </c>
      <c r="G37" s="4">
        <v>1496097.8854086928</v>
      </c>
      <c r="H37" s="4"/>
      <c r="M37" s="27"/>
      <c r="N37" s="22"/>
      <c r="O37" s="22"/>
      <c r="P37" s="25"/>
      <c r="Q37" s="25"/>
      <c r="R37" s="27"/>
      <c r="S37" s="22"/>
      <c r="T37" s="22"/>
    </row>
    <row r="38" spans="1:20" x14ac:dyDescent="0.2">
      <c r="A38" s="8">
        <v>2042</v>
      </c>
      <c r="B38" s="4">
        <v>44734387.547704905</v>
      </c>
      <c r="C38" s="4"/>
      <c r="F38" s="8">
        <v>2042</v>
      </c>
      <c r="G38" s="4">
        <v>1416793.7633684415</v>
      </c>
      <c r="H38" s="4"/>
      <c r="M38" s="27"/>
      <c r="N38" s="22"/>
      <c r="O38" s="22"/>
      <c r="P38" s="25"/>
      <c r="Q38" s="25"/>
      <c r="R38" s="27"/>
      <c r="S38" s="22"/>
      <c r="T38" s="22"/>
    </row>
    <row r="39" spans="1:20" x14ac:dyDescent="0.2">
      <c r="A39" s="8">
        <v>2043</v>
      </c>
      <c r="B39" s="4">
        <v>44921737.332246229</v>
      </c>
      <c r="C39" s="4"/>
      <c r="F39" s="8">
        <v>2043</v>
      </c>
      <c r="G39" s="4">
        <v>1341693.339384255</v>
      </c>
      <c r="H39" s="4"/>
      <c r="M39" s="27"/>
      <c r="N39" s="22"/>
      <c r="O39" s="22"/>
      <c r="P39" s="25"/>
      <c r="Q39" s="25"/>
      <c r="R39" s="27"/>
      <c r="S39" s="22"/>
      <c r="T39" s="22"/>
    </row>
    <row r="40" spans="1:20" x14ac:dyDescent="0.2">
      <c r="A40" s="8">
        <v>2044</v>
      </c>
      <c r="B40" s="4">
        <v>45109084.96848736</v>
      </c>
      <c r="C40" s="4"/>
      <c r="F40" s="8">
        <v>2044</v>
      </c>
      <c r="G40" s="4">
        <v>1270573.7867367661</v>
      </c>
      <c r="H40" s="4"/>
      <c r="M40" s="27"/>
      <c r="N40" s="22"/>
      <c r="O40" s="22"/>
      <c r="P40" s="25"/>
      <c r="Q40" s="25"/>
      <c r="R40" s="27"/>
      <c r="S40" s="22"/>
      <c r="T40" s="22"/>
    </row>
    <row r="41" spans="1:20" x14ac:dyDescent="0.2">
      <c r="A41" s="8">
        <v>2045</v>
      </c>
      <c r="B41" s="4">
        <v>45296431.268119425</v>
      </c>
      <c r="C41" s="4"/>
      <c r="F41" s="8">
        <v>2045</v>
      </c>
      <c r="G41" s="4">
        <v>1203224.0901512445</v>
      </c>
      <c r="H41" s="4"/>
      <c r="M41" s="27"/>
      <c r="N41" s="22"/>
      <c r="O41" s="22"/>
      <c r="P41" s="25"/>
      <c r="Q41" s="25"/>
      <c r="R41" s="27"/>
      <c r="S41" s="22"/>
      <c r="T41" s="22"/>
    </row>
    <row r="42" spans="1:20" x14ac:dyDescent="0.2">
      <c r="A42" s="8">
        <v>2046</v>
      </c>
      <c r="B42" s="4">
        <v>45428991.458634779</v>
      </c>
      <c r="C42" s="4"/>
      <c r="F42" s="8">
        <v>2046</v>
      </c>
      <c r="G42" s="4">
        <v>1139444.419704709</v>
      </c>
      <c r="H42" s="4"/>
      <c r="M42" s="27"/>
      <c r="N42" s="22"/>
      <c r="O42" s="22"/>
      <c r="P42" s="25"/>
      <c r="Q42" s="25"/>
      <c r="R42" s="27"/>
      <c r="S42" s="22"/>
      <c r="T42" s="22"/>
    </row>
    <row r="43" spans="1:20" x14ac:dyDescent="0.2">
      <c r="A43" s="8">
        <v>2047</v>
      </c>
      <c r="B43" s="4">
        <v>45561551.129715972</v>
      </c>
      <c r="C43" s="4"/>
      <c r="F43" s="8">
        <v>2047</v>
      </c>
      <c r="G43" s="4">
        <v>1079045.53792054</v>
      </c>
      <c r="H43" s="4"/>
      <c r="M43" s="27"/>
      <c r="N43" s="22"/>
      <c r="O43" s="22"/>
      <c r="P43" s="25"/>
      <c r="Q43" s="25"/>
      <c r="R43" s="27"/>
      <c r="S43" s="22"/>
      <c r="T43" s="22"/>
    </row>
    <row r="44" spans="1:20" x14ac:dyDescent="0.2">
      <c r="A44" s="8">
        <v>2048</v>
      </c>
      <c r="B44" s="4">
        <v>45694110.47803615</v>
      </c>
      <c r="C44" s="4"/>
      <c r="F44" s="8">
        <v>2048</v>
      </c>
      <c r="G44" s="4">
        <v>1021848.2382914032</v>
      </c>
      <c r="H44" s="4"/>
      <c r="M44" s="27"/>
      <c r="N44" s="22"/>
      <c r="O44" s="22"/>
      <c r="P44" s="25"/>
      <c r="Q44" s="25"/>
      <c r="R44" s="27"/>
      <c r="S44" s="22"/>
      <c r="T44" s="22"/>
    </row>
    <row r="45" spans="1:20" x14ac:dyDescent="0.2">
      <c r="A45" s="8">
        <v>2049</v>
      </c>
      <c r="B45" s="4">
        <v>45826669.62580394</v>
      </c>
      <c r="C45" s="4"/>
      <c r="F45" s="8">
        <v>2049</v>
      </c>
      <c r="G45" s="4">
        <v>967682.81356457144</v>
      </c>
      <c r="H45" s="4"/>
      <c r="M45" s="27"/>
      <c r="N45" s="22"/>
      <c r="O45" s="22"/>
      <c r="P45" s="25"/>
      <c r="Q45" s="25"/>
      <c r="R45" s="27"/>
      <c r="S45" s="22"/>
      <c r="T45" s="22"/>
    </row>
    <row r="46" spans="1:20" x14ac:dyDescent="0.2">
      <c r="A46" s="8">
        <v>2050</v>
      </c>
      <c r="B46" s="4">
        <v>45959228.648956582</v>
      </c>
      <c r="C46" s="4"/>
      <c r="F46" s="8">
        <v>2050</v>
      </c>
      <c r="G46" s="4">
        <v>916388.55221200315</v>
      </c>
      <c r="H46" s="4"/>
      <c r="M46" s="27"/>
      <c r="N46" s="22"/>
      <c r="O46" s="22"/>
      <c r="P46" s="25"/>
      <c r="Q46" s="25"/>
      <c r="R46" s="27"/>
      <c r="S46" s="22"/>
      <c r="T46" s="22"/>
    </row>
    <row r="47" spans="1:20" x14ac:dyDescent="0.2">
      <c r="A47" s="8">
        <v>2051</v>
      </c>
      <c r="B47" s="4">
        <v>45959228.776610866</v>
      </c>
      <c r="C47" s="4"/>
      <c r="F47" s="8">
        <v>2051</v>
      </c>
      <c r="G47" s="4">
        <v>867813.26159119105</v>
      </c>
      <c r="H47" s="4"/>
      <c r="M47" s="27"/>
      <c r="N47" s="22"/>
      <c r="O47" s="22"/>
      <c r="P47" s="25"/>
      <c r="Q47" s="25"/>
      <c r="R47" s="27"/>
      <c r="S47" s="22"/>
      <c r="T47" s="22"/>
    </row>
    <row r="48" spans="1:20" x14ac:dyDescent="0.2">
      <c r="A48" s="8">
        <v>2052</v>
      </c>
      <c r="B48" s="4">
        <v>45959228.855697796</v>
      </c>
      <c r="C48" s="4"/>
      <c r="F48" s="8">
        <v>2052</v>
      </c>
      <c r="G48" s="4">
        <v>821812.81638196879</v>
      </c>
      <c r="H48" s="4"/>
      <c r="M48" s="27"/>
      <c r="N48" s="22"/>
      <c r="O48" s="22"/>
      <c r="P48" s="25"/>
      <c r="Q48" s="25"/>
      <c r="R48" s="27"/>
      <c r="S48" s="22"/>
      <c r="T48" s="22"/>
    </row>
    <row r="49" spans="1:20" x14ac:dyDescent="0.2">
      <c r="A49" s="8">
        <v>2053</v>
      </c>
      <c r="B49" s="4">
        <v>45959228.904695295</v>
      </c>
      <c r="C49" s="4"/>
      <c r="F49" s="8">
        <v>2053</v>
      </c>
      <c r="G49" s="4">
        <v>778250.73095946666</v>
      </c>
      <c r="H49" s="4"/>
      <c r="M49" s="27"/>
      <c r="N49" s="22"/>
      <c r="O49" s="22"/>
      <c r="P49" s="25"/>
      <c r="Q49" s="25"/>
      <c r="R49" s="27"/>
      <c r="S49" s="22"/>
      <c r="T49" s="22"/>
    </row>
    <row r="50" spans="1:20" x14ac:dyDescent="0.2">
      <c r="A50" s="8">
        <v>2054</v>
      </c>
      <c r="B50" s="4">
        <v>45959228.935051203</v>
      </c>
      <c r="C50" s="4"/>
      <c r="F50" s="8">
        <v>2054</v>
      </c>
      <c r="G50" s="4">
        <v>736997.75443442853</v>
      </c>
      <c r="H50" s="4"/>
      <c r="M50" s="27"/>
      <c r="N50" s="22"/>
      <c r="O50" s="22"/>
      <c r="P50" s="25"/>
      <c r="Q50" s="25"/>
      <c r="R50" s="27"/>
      <c r="S50" s="22"/>
      <c r="T50" s="22"/>
    </row>
    <row r="51" spans="1:20" x14ac:dyDescent="0.2">
      <c r="A51" s="8">
        <v>2055</v>
      </c>
      <c r="B51" s="4">
        <v>45959228.953857899</v>
      </c>
      <c r="C51" s="4"/>
      <c r="F51" s="8">
        <v>2055</v>
      </c>
      <c r="G51" s="4">
        <v>697931.48715934798</v>
      </c>
      <c r="H51" s="4"/>
      <c r="M51" s="27"/>
      <c r="N51" s="22"/>
      <c r="O51" s="22"/>
      <c r="P51" s="25"/>
      <c r="Q51" s="25"/>
      <c r="R51" s="27"/>
      <c r="S51" s="22"/>
      <c r="T51" s="22"/>
    </row>
    <row r="52" spans="1:20" x14ac:dyDescent="0.2">
      <c r="A52" s="8">
        <v>2056</v>
      </c>
      <c r="B52" s="4">
        <v>45959228.965509385</v>
      </c>
      <c r="C52" s="4"/>
      <c r="F52" s="8">
        <v>2056</v>
      </c>
      <c r="G52" s="4">
        <v>660936.01756258484</v>
      </c>
      <c r="H52" s="4"/>
      <c r="M52" s="27"/>
      <c r="N52" s="22"/>
      <c r="O52" s="22"/>
      <c r="P52" s="25"/>
      <c r="Q52" s="25"/>
      <c r="R52" s="27"/>
      <c r="S52" s="22"/>
      <c r="T52" s="22"/>
    </row>
    <row r="53" spans="1:20" x14ac:dyDescent="0.2">
      <c r="A53" s="8">
        <v>2057</v>
      </c>
      <c r="B53" s="4">
        <v>45959228.972727932</v>
      </c>
      <c r="C53" s="4"/>
      <c r="F53" s="8">
        <v>2057</v>
      </c>
      <c r="G53" s="4">
        <v>625901.57823292667</v>
      </c>
      <c r="H53" s="4"/>
      <c r="M53" s="27"/>
      <c r="N53" s="22"/>
      <c r="O53" s="22"/>
      <c r="P53" s="25"/>
      <c r="Q53" s="25"/>
      <c r="R53" s="27"/>
      <c r="S53" s="22"/>
      <c r="T53" s="22"/>
    </row>
    <row r="54" spans="1:20" x14ac:dyDescent="0.2">
      <c r="A54" s="8">
        <v>2058</v>
      </c>
      <c r="B54" s="4">
        <v>45959228.977200143</v>
      </c>
      <c r="C54" s="4"/>
      <c r="F54" s="8">
        <v>2058</v>
      </c>
      <c r="G54" s="4">
        <v>592724.22023418162</v>
      </c>
      <c r="H54" s="4"/>
      <c r="M54" s="27"/>
      <c r="N54" s="22"/>
      <c r="O54" s="22"/>
      <c r="P54" s="25"/>
      <c r="Q54" s="25"/>
      <c r="R54" s="27"/>
      <c r="S54" s="22"/>
      <c r="T54" s="22"/>
    </row>
    <row r="55" spans="1:20" x14ac:dyDescent="0.2">
      <c r="A55" s="8">
        <v>2059</v>
      </c>
      <c r="B55" s="4">
        <v>45959228.979970835</v>
      </c>
      <c r="C55" s="4"/>
      <c r="F55" s="8">
        <v>2059</v>
      </c>
      <c r="G55" s="4">
        <v>561305.50468347862</v>
      </c>
      <c r="H55" s="4"/>
      <c r="M55" s="27"/>
      <c r="N55" s="22"/>
      <c r="O55" s="22"/>
      <c r="P55" s="25"/>
      <c r="Q55" s="25"/>
      <c r="R55" s="27"/>
      <c r="S55" s="22"/>
      <c r="T55" s="22"/>
    </row>
    <row r="56" spans="1:20" x14ac:dyDescent="0.2">
      <c r="A56" s="8">
        <v>2060</v>
      </c>
      <c r="B56" s="4">
        <v>45959228.981687389</v>
      </c>
      <c r="C56" s="4"/>
      <c r="F56" s="8">
        <v>2060</v>
      </c>
      <c r="G56" s="4">
        <v>531552.21067817137</v>
      </c>
      <c r="H56" s="4"/>
    </row>
    <row r="57" spans="1:20" x14ac:dyDescent="0.2">
      <c r="A57" s="44">
        <v>2061</v>
      </c>
      <c r="B57" s="42" cm="1">
        <f t="array" ref="B57:B66">TRANSPOSE(AR2:BA2)</f>
        <v>45959228.983403936</v>
      </c>
      <c r="C57" s="38"/>
      <c r="D57" s="38"/>
      <c r="E57" s="38"/>
      <c r="F57" s="44">
        <v>2061</v>
      </c>
      <c r="G57" s="42" cm="1">
        <f t="array" ref="G57:G66">TRANSPOSE(AR8:BA8)</f>
        <v>503376.05870475189</v>
      </c>
    </row>
    <row r="58" spans="1:20" x14ac:dyDescent="0.2">
      <c r="A58" s="44">
        <v>2062</v>
      </c>
      <c r="B58" s="42">
        <v>45959228.98512049</v>
      </c>
      <c r="C58" s="38"/>
      <c r="D58" s="38"/>
      <c r="E58" s="38"/>
      <c r="F58" s="44">
        <v>2062</v>
      </c>
      <c r="G58" s="42">
        <v>476693.44870911166</v>
      </c>
    </row>
    <row r="59" spans="1:20" x14ac:dyDescent="0.2">
      <c r="A59" s="44">
        <v>2063</v>
      </c>
      <c r="B59" s="42">
        <v>45959228.986837037</v>
      </c>
      <c r="C59" s="38"/>
      <c r="D59" s="38"/>
      <c r="E59" s="38"/>
      <c r="F59" s="44">
        <v>2063</v>
      </c>
      <c r="G59" s="42">
        <v>451425.21205099445</v>
      </c>
    </row>
    <row r="60" spans="1:20" x14ac:dyDescent="0.2">
      <c r="A60" s="44">
        <v>2064</v>
      </c>
      <c r="B60" s="42">
        <v>45959228.988553591</v>
      </c>
      <c r="C60" s="38"/>
      <c r="D60" s="38"/>
      <c r="E60" s="38"/>
      <c r="F60" s="44">
        <v>2064</v>
      </c>
      <c r="G60" s="42">
        <v>427496.37660667545</v>
      </c>
    </row>
    <row r="61" spans="1:20" x14ac:dyDescent="0.2">
      <c r="A61" s="44">
        <v>2065</v>
      </c>
      <c r="B61" s="42">
        <v>45959228.990270138</v>
      </c>
      <c r="C61" s="38"/>
      <c r="D61" s="38"/>
      <c r="E61" s="38"/>
      <c r="F61" s="44">
        <v>2065</v>
      </c>
      <c r="G61" s="42">
        <v>404835.94432291499</v>
      </c>
    </row>
    <row r="62" spans="1:20" x14ac:dyDescent="0.2">
      <c r="A62" s="44">
        <v>2066</v>
      </c>
      <c r="B62" s="42">
        <v>45959228.991986692</v>
      </c>
      <c r="C62" s="38"/>
      <c r="D62" s="38"/>
      <c r="E62" s="38"/>
      <c r="F62" s="44">
        <v>2066</v>
      </c>
      <c r="G62" s="42">
        <v>383376.6805621789</v>
      </c>
    </row>
    <row r="63" spans="1:20" x14ac:dyDescent="0.2">
      <c r="A63" s="44">
        <v>2067</v>
      </c>
      <c r="B63" s="42">
        <v>45959228.993703239</v>
      </c>
      <c r="C63" s="38"/>
      <c r="D63" s="38"/>
      <c r="E63" s="38"/>
      <c r="F63" s="44">
        <v>2067</v>
      </c>
      <c r="G63" s="42">
        <v>363054.91461410123</v>
      </c>
    </row>
    <row r="64" spans="1:20" x14ac:dyDescent="0.2">
      <c r="A64" s="44">
        <v>2068</v>
      </c>
      <c r="B64" s="42">
        <v>45959228.995419793</v>
      </c>
      <c r="C64" s="38"/>
      <c r="D64" s="38"/>
      <c r="E64" s="38"/>
      <c r="F64" s="44">
        <v>2068</v>
      </c>
      <c r="G64" s="42">
        <v>343810.35078129795</v>
      </c>
    </row>
    <row r="65" spans="1:7" x14ac:dyDescent="0.2">
      <c r="A65" s="44">
        <v>2069</v>
      </c>
      <c r="B65" s="42">
        <v>45959228.99713634</v>
      </c>
      <c r="C65" s="38"/>
      <c r="D65" s="38"/>
      <c r="E65" s="38"/>
      <c r="F65" s="44">
        <v>2069</v>
      </c>
      <c r="G65" s="42">
        <v>325585.88947901264</v>
      </c>
    </row>
    <row r="66" spans="1:7" x14ac:dyDescent="0.2">
      <c r="A66" s="44">
        <v>2070</v>
      </c>
      <c r="B66" s="42">
        <v>45959228.998852894</v>
      </c>
      <c r="C66" s="38"/>
      <c r="D66" s="38"/>
      <c r="E66" s="38"/>
      <c r="F66" s="44">
        <v>2070</v>
      </c>
      <c r="G66" s="42">
        <v>308327.45781778888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2AD4-9FE4-2342-8513-00D75DD88EE3}">
  <dimension ref="A1:BA66"/>
  <sheetViews>
    <sheetView topLeftCell="U1" workbookViewId="0">
      <selection activeCell="E65" sqref="E65"/>
    </sheetView>
  </sheetViews>
  <sheetFormatPr baseColWidth="10" defaultRowHeight="16" x14ac:dyDescent="0.2"/>
  <sheetData>
    <row r="1" spans="1:5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22</v>
      </c>
      <c r="B2" s="15">
        <f>C15</f>
        <v>216583169.46221161</v>
      </c>
      <c r="C2" s="15">
        <f>C16</f>
        <v>234886898.66718292</v>
      </c>
      <c r="D2" s="15">
        <f>C17</f>
        <v>253190627.87215424</v>
      </c>
      <c r="E2" s="15">
        <f>'Residential-Conversion'!B71+'Residential-Conversion'!B79+'Residential-Conversion'!B95+'Residential-Conversion'!B103+'Residential-Conversion'!B119+'Residential-Conversion'!B127+'Residential-Conversion'!B135</f>
        <v>262244660.10460132</v>
      </c>
      <c r="F2" s="15">
        <f>'Residential-Conversion'!C71+'Residential-Conversion'!C79+'Residential-Conversion'!C95+'Residential-Conversion'!C103+'Residential-Conversion'!C119+'Residential-Conversion'!C127+'Residential-Conversion'!C135</f>
        <v>290934456.72347873</v>
      </c>
      <c r="G2" s="15">
        <f>'Residential-Conversion'!D71+'Residential-Conversion'!D79+'Residential-Conversion'!D95+'Residential-Conversion'!D103+'Residential-Conversion'!D119+'Residential-Conversion'!D127+'Residential-Conversion'!D135</f>
        <v>313720081.1412946</v>
      </c>
      <c r="H2" s="15">
        <f>'Residential-Conversion'!E71+'Residential-Conversion'!E79+'Residential-Conversion'!E95+'Residential-Conversion'!E103+'Residential-Conversion'!E119+'Residential-Conversion'!E127+'Residential-Conversion'!E135</f>
        <v>329622841.88815725</v>
      </c>
      <c r="I2" s="15">
        <f>'Residential-Conversion'!F71+'Residential-Conversion'!F79+'Residential-Conversion'!F95+'Residential-Conversion'!F103+'Residential-Conversion'!F119+'Residential-Conversion'!F127+'Residential-Conversion'!F135</f>
        <v>347995678.37737298</v>
      </c>
      <c r="J2" s="15">
        <f>'Residential-Conversion'!G71+'Residential-Conversion'!G79+'Residential-Conversion'!G95+'Residential-Conversion'!G103+'Residential-Conversion'!G119+'Residential-Conversion'!G127+'Residential-Conversion'!G135</f>
        <v>365279079.98042798</v>
      </c>
      <c r="K2" s="15">
        <f>'Residential-Conversion'!H71+'Residential-Conversion'!H79+'Residential-Conversion'!H95+'Residential-Conversion'!H103+'Residential-Conversion'!H119+'Residential-Conversion'!H127+'Residential-Conversion'!H135</f>
        <v>381877195.39342856</v>
      </c>
      <c r="L2" s="15">
        <f>'Residential-Conversion'!I71+'Residential-Conversion'!I79+'Residential-Conversion'!I95+'Residential-Conversion'!I103+'Residential-Conversion'!I119+'Residential-Conversion'!I127+'Residential-Conversion'!I135</f>
        <v>396914996.64052296</v>
      </c>
      <c r="M2" s="15">
        <f>'Residential-Conversion'!J71+'Residential-Conversion'!J79+'Residential-Conversion'!J95+'Residential-Conversion'!J103+'Residential-Conversion'!J119+'Residential-Conversion'!J127+'Residential-Conversion'!J135</f>
        <v>411682067.74957246</v>
      </c>
      <c r="N2" s="15">
        <f>'Residential-Conversion'!K71+'Residential-Conversion'!K79+'Residential-Conversion'!K95+'Residential-Conversion'!K103+'Residential-Conversion'!K119+'Residential-Conversion'!K127+'Residential-Conversion'!K135</f>
        <v>438340326.99595708</v>
      </c>
      <c r="O2" s="15">
        <f>'Residential-Conversion'!L71+'Residential-Conversion'!L79+'Residential-Conversion'!L95+'Residential-Conversion'!L103+'Residential-Conversion'!L119+'Residential-Conversion'!L127+'Residential-Conversion'!L135</f>
        <v>450588229.52234483</v>
      </c>
      <c r="P2" s="15">
        <f>'Residential-Conversion'!M71+'Residential-Conversion'!M79+'Residential-Conversion'!M95+'Residential-Conversion'!M103+'Residential-Conversion'!M119+'Residential-Conversion'!M127+'Residential-Conversion'!M135</f>
        <v>462475644.21479535</v>
      </c>
      <c r="Q2" s="15">
        <f>'Residential-Conversion'!N71+'Residential-Conversion'!N79+'Residential-Conversion'!N95+'Residential-Conversion'!N103+'Residential-Conversion'!N119+'Residential-Conversion'!N127+'Residential-Conversion'!N135</f>
        <v>474199423.55576897</v>
      </c>
      <c r="R2" s="15">
        <f>'Residential-Conversion'!O71+'Residential-Conversion'!O79+'Residential-Conversion'!O95+'Residential-Conversion'!O103+'Residential-Conversion'!O119+'Residential-Conversion'!O127+'Residential-Conversion'!O135</f>
        <v>485825662.75255102</v>
      </c>
      <c r="S2" s="15">
        <f>'Residential-Conversion'!P71+'Residential-Conversion'!P79+'Residential-Conversion'!P95+'Residential-Conversion'!P103+'Residential-Conversion'!P119+'Residential-Conversion'!P127+'Residential-Conversion'!P135</f>
        <v>495965457.74283457</v>
      </c>
      <c r="T2" s="15">
        <f>'Residential-Conversion'!Q71+'Residential-Conversion'!Q79+'Residential-Conversion'!Q95+'Residential-Conversion'!Q103+'Residential-Conversion'!Q119+'Residential-Conversion'!Q127+'Residential-Conversion'!Q135</f>
        <v>501755909.75574809</v>
      </c>
      <c r="U2" s="15">
        <f>'Residential-Conversion'!R71+'Residential-Conversion'!R79+'Residential-Conversion'!R95+'Residential-Conversion'!R103+'Residential-Conversion'!R119+'Residential-Conversion'!R127+'Residential-Conversion'!R135</f>
        <v>507412553.1943301</v>
      </c>
      <c r="V2" s="15">
        <f>'Residential-Conversion'!S71+'Residential-Conversion'!S79+'Residential-Conversion'!S95+'Residential-Conversion'!S103+'Residential-Conversion'!S119+'Residential-Conversion'!S127+'Residential-Conversion'!S135</f>
        <v>512965378.02253073</v>
      </c>
      <c r="W2" s="15">
        <f>'Residential-Conversion'!T71+'Residential-Conversion'!T79+'Residential-Conversion'!T95+'Residential-Conversion'!T103+'Residential-Conversion'!T119+'Residential-Conversion'!T127+'Residential-Conversion'!T135</f>
        <v>518440320.39159817</v>
      </c>
      <c r="X2" s="15">
        <f>'Residential-Conversion'!U71+'Residential-Conversion'!U79+'Residential-Conversion'!U95+'Residential-Conversion'!U103+'Residential-Conversion'!U119+'Residential-Conversion'!U127+'Residential-Conversion'!U135</f>
        <v>527092763.67112541</v>
      </c>
      <c r="Y2" s="15">
        <f>'Residential-Conversion'!V71+'Residential-Conversion'!V79+'Residential-Conversion'!V95+'Residential-Conversion'!V103+'Residential-Conversion'!V119+'Residential-Conversion'!V127+'Residential-Conversion'!V135</f>
        <v>531377871.4452678</v>
      </c>
      <c r="Z2" s="15">
        <f>'Residential-Conversion'!W71+'Residential-Conversion'!W79+'Residential-Conversion'!W95+'Residential-Conversion'!W103+'Residential-Conversion'!W119+'Residential-Conversion'!W127+'Residential-Conversion'!W135</f>
        <v>535594688.64670324</v>
      </c>
      <c r="AA2" s="15">
        <f>'Residential-Conversion'!X71+'Residential-Conversion'!X79+'Residential-Conversion'!X95+'Residential-Conversion'!X103+'Residential-Conversion'!X119+'Residential-Conversion'!X127+'Residential-Conversion'!X135</f>
        <v>539763320.33756661</v>
      </c>
      <c r="AB2" s="15">
        <f>'Residential-Conversion'!Y71+'Residential-Conversion'!Y79+'Residential-Conversion'!Y95+'Residential-Conversion'!Y103+'Residential-Conversion'!Y119+'Residential-Conversion'!Y127+'Residential-Conversion'!Y135</f>
        <v>543913813.42868233</v>
      </c>
      <c r="AC2" s="15">
        <f>'Residential-Conversion'!Z71+'Residential-Conversion'!Z79+'Residential-Conversion'!Z95+'Residential-Conversion'!Z103+'Residential-Conversion'!Z119+'Residential-Conversion'!Z127+'Residential-Conversion'!Z135</f>
        <v>547410419.46464074</v>
      </c>
      <c r="AD2" s="15">
        <f>'Residential-Conversion'!AA71+'Residential-Conversion'!AA79+'Residential-Conversion'!AA95+'Residential-Conversion'!AA103+'Residential-Conversion'!AA119+'Residential-Conversion'!AA127+'Residential-Conversion'!AA135</f>
        <v>550917773.58923447</v>
      </c>
      <c r="AE2" s="15">
        <f>'Residential-Conversion'!AB71+'Residential-Conversion'!AB79+'Residential-Conversion'!AB95+'Residential-Conversion'!AB103+'Residential-Conversion'!AB119+'Residential-Conversion'!AB127+'Residential-Conversion'!AB135</f>
        <v>554452819.83208847</v>
      </c>
      <c r="AF2" s="15">
        <f>'Residential-Conversion'!AC71+'Residential-Conversion'!AC79+'Residential-Conversion'!AC95+'Residential-Conversion'!AC103+'Residential-Conversion'!AC119+'Residential-Conversion'!AC127+'Residential-Conversion'!AC135</f>
        <v>558032816.0162071</v>
      </c>
      <c r="AG2" s="15">
        <f>'Residential-Conversion'!AD71+'Residential-Conversion'!AD79+'Residential-Conversion'!AD95+'Residential-Conversion'!AD103+'Residential-Conversion'!AD119+'Residential-Conversion'!AD127+'Residential-Conversion'!AD135</f>
        <v>561675511.59079397</v>
      </c>
      <c r="AH2" s="15">
        <f>'Residential-Conversion'!AE71+'Residential-Conversion'!AE79+'Residential-Conversion'!AE95+'Residential-Conversion'!AE103+'Residential-Conversion'!AE119+'Residential-Conversion'!AE127+'Residential-Conversion'!AE135</f>
        <v>565910946.68505359</v>
      </c>
      <c r="AI2" s="15">
        <f>'Residential-Conversion'!AF71+'Residential-Conversion'!AF79+'Residential-Conversion'!AF95+'Residential-Conversion'!AF103+'Residential-Conversion'!AF119+'Residential-Conversion'!AF127+'Residential-Conversion'!AF135</f>
        <v>568020386.73224449</v>
      </c>
      <c r="AJ2" s="15">
        <f>'Residential-Conversion'!AG71+'Residential-Conversion'!AG79+'Residential-Conversion'!AG95+'Residential-Conversion'!AG103+'Residential-Conversion'!AG119+'Residential-Conversion'!AG127+'Residential-Conversion'!AG135</f>
        <v>570231330.30124331</v>
      </c>
      <c r="AK2" s="15">
        <f>'Residential-Conversion'!AH71+'Residential-Conversion'!AH79+'Residential-Conversion'!AH95+'Residential-Conversion'!AH103+'Residential-Conversion'!AH119+'Residential-Conversion'!AH127+'Residential-Conversion'!AH135</f>
        <v>572564820.79557848</v>
      </c>
      <c r="AL2" s="15">
        <f>'Residential-Conversion'!AI71+'Residential-Conversion'!AI79+'Residential-Conversion'!AI95+'Residential-Conversion'!AI103+'Residential-Conversion'!AI119+'Residential-Conversion'!AI127+'Residential-Conversion'!AI135</f>
        <v>575043320.47694802</v>
      </c>
      <c r="AM2" s="15">
        <f>'Residential-Conversion'!AJ71+'Residential-Conversion'!AJ79+'Residential-Conversion'!AJ95+'Residential-Conversion'!AJ103+'Residential-Conversion'!AJ119+'Residential-Conversion'!AJ127+'Residential-Conversion'!AJ135</f>
        <v>577750643.85923791</v>
      </c>
      <c r="AN2" s="15">
        <f>'Residential-Conversion'!AK71+'Residential-Conversion'!AK79+'Residential-Conversion'!AK95+'Residential-Conversion'!AK103+'Residential-Conversion'!AK119+'Residential-Conversion'!AK127+'Residential-Conversion'!AK135</f>
        <v>580653256.36030495</v>
      </c>
      <c r="AO2" s="15">
        <f>'Residential-Conversion'!AL71+'Residential-Conversion'!AL79+'Residential-Conversion'!AL95+'Residential-Conversion'!AL103+'Residential-Conversion'!AL119+'Residential-Conversion'!AL127+'Residential-Conversion'!AL135</f>
        <v>583779583.6435324</v>
      </c>
      <c r="AP2" s="15">
        <f>'Residential-Conversion'!AM71+'Residential-Conversion'!AM79+'Residential-Conversion'!AM95+'Residential-Conversion'!AM103+'Residential-Conversion'!AM119+'Residential-Conversion'!AM127+'Residential-Conversion'!AM135</f>
        <v>587160692.1395154</v>
      </c>
      <c r="AQ2" s="15">
        <f>'Residential-Conversion'!AN71+'Residential-Conversion'!AN79+'Residential-Conversion'!AN95+'Residential-Conversion'!AN103+'Residential-Conversion'!AN119+'Residential-Conversion'!AN127+'Residential-Conversion'!AN135</f>
        <v>590830665.85023308</v>
      </c>
      <c r="AR2" s="45">
        <f>'Residential-Conversion'!AO71+'Residential-Conversion'!AO79+'Residential-Conversion'!AO95+'Residential-Conversion'!AO103+'Residential-Conversion'!AO119+'Residential-Conversion'!AO127+'Residential-Conversion'!AO135</f>
        <v>594592875.66790986</v>
      </c>
      <c r="AS2" s="45">
        <f>'Residential-Conversion'!AP71+'Residential-Conversion'!AP79+'Residential-Conversion'!AP95+'Residential-Conversion'!AP103+'Residential-Conversion'!AP119+'Residential-Conversion'!AP127+'Residential-Conversion'!AP135</f>
        <v>598449716.21076739</v>
      </c>
      <c r="AT2" s="45">
        <f>'Residential-Conversion'!AQ71+'Residential-Conversion'!AQ79+'Residential-Conversion'!AQ95+'Residential-Conversion'!AQ103+'Residential-Conversion'!AQ119+'Residential-Conversion'!AQ127+'Residential-Conversion'!AQ135</f>
        <v>602403644.34305084</v>
      </c>
      <c r="AU2" s="45">
        <f>'Residential-Conversion'!AR71+'Residential-Conversion'!AR79+'Residential-Conversion'!AR95+'Residential-Conversion'!AR103+'Residential-Conversion'!AR119+'Residential-Conversion'!AR127+'Residential-Conversion'!AR135</f>
        <v>606457180.7931354</v>
      </c>
      <c r="AV2" s="45">
        <f>'Residential-Conversion'!AS71+'Residential-Conversion'!AS79+'Residential-Conversion'!AS95+'Residential-Conversion'!AS103+'Residential-Conversion'!AS119+'Residential-Conversion'!AS127+'Residential-Conversion'!AS135</f>
        <v>610612911.81369781</v>
      </c>
      <c r="AW2" s="45">
        <f>'Residential-Conversion'!AT71+'Residential-Conversion'!AT79+'Residential-Conversion'!AT95+'Residential-Conversion'!AT103+'Residential-Conversion'!AT119+'Residential-Conversion'!AT127+'Residential-Conversion'!AT135</f>
        <v>614873490.88504469</v>
      </c>
      <c r="AX2" s="45">
        <f>'Residential-Conversion'!AU71+'Residential-Conversion'!AU79+'Residential-Conversion'!AU95+'Residential-Conversion'!AU103+'Residential-Conversion'!AU119+'Residential-Conversion'!AU127+'Residential-Conversion'!AU135</f>
        <v>619241640.46271777</v>
      </c>
      <c r="AY2" s="45">
        <f>'Residential-Conversion'!AV71+'Residential-Conversion'!AV79+'Residential-Conversion'!AV95+'Residential-Conversion'!AV103+'Residential-Conversion'!AV119+'Residential-Conversion'!AV127+'Residential-Conversion'!AV135</f>
        <v>623720153.77053142</v>
      </c>
      <c r="AZ2" s="45">
        <f>'Residential-Conversion'!AW71+'Residential-Conversion'!AW79+'Residential-Conversion'!AW95+'Residential-Conversion'!AW103+'Residential-Conversion'!AW119+'Residential-Conversion'!AW127+'Residential-Conversion'!AW135</f>
        <v>628311896.64021814</v>
      </c>
      <c r="BA2" s="45">
        <f>'Residential-Conversion'!AX71+'Residential-Conversion'!AX79+'Residential-Conversion'!AX95+'Residential-Conversion'!AX103+'Residential-Conversion'!AX119+'Residential-Conversion'!AX127+'Residential-Conversion'!AX135</f>
        <v>633019809.3988992</v>
      </c>
    </row>
    <row r="3" spans="1:5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24</v>
      </c>
      <c r="B4" s="15">
        <f>H15</f>
        <v>828571.42857146263</v>
      </c>
      <c r="C4" s="15">
        <f>H16</f>
        <v>1210714.2857142687</v>
      </c>
      <c r="D4" s="15">
        <f>H17</f>
        <v>1592857.1428570747</v>
      </c>
      <c r="E4" s="15">
        <f>'Residential-Conversion'!B47</f>
        <v>2100000</v>
      </c>
      <c r="F4" s="4">
        <f>'Residential-Conversion'!C47</f>
        <v>2400000</v>
      </c>
      <c r="G4" s="4">
        <f>'Residential-Conversion'!D47</f>
        <v>2700000</v>
      </c>
      <c r="H4" s="4">
        <f>'Residential-Conversion'!E47</f>
        <v>3000000</v>
      </c>
      <c r="I4" s="4">
        <f>'Residential-Conversion'!F47</f>
        <v>3400000</v>
      </c>
      <c r="J4" s="4">
        <f>'Residential-Conversion'!G47</f>
        <v>3800000</v>
      </c>
      <c r="K4" s="4">
        <f>'Residential-Conversion'!H47</f>
        <v>4300000</v>
      </c>
      <c r="L4" s="4">
        <f>'Residential-Conversion'!I47</f>
        <v>4800000</v>
      </c>
      <c r="M4" s="4">
        <f>'Residential-Conversion'!J47</f>
        <v>5400000</v>
      </c>
      <c r="N4" s="4">
        <f>'Residential-Conversion'!K47</f>
        <v>6100000</v>
      </c>
      <c r="O4" s="4">
        <f>'Residential-Conversion'!L47</f>
        <v>6900000</v>
      </c>
      <c r="P4" s="4">
        <f>'Residential-Conversion'!M47</f>
        <v>7700000</v>
      </c>
      <c r="Q4" s="4">
        <f>'Residential-Conversion'!N47</f>
        <v>8700000</v>
      </c>
      <c r="R4" s="4">
        <f>'Residential-Conversion'!O47</f>
        <v>9800000</v>
      </c>
      <c r="S4" s="4">
        <f>'Residential-Conversion'!P47</f>
        <v>11000000</v>
      </c>
      <c r="T4" s="4">
        <f>'Residential-Conversion'!Q47</f>
        <v>12400000</v>
      </c>
      <c r="U4" s="4">
        <f>'Residential-Conversion'!R47</f>
        <v>14000000</v>
      </c>
      <c r="V4" s="4">
        <f>'Residential-Conversion'!S47</f>
        <v>15800000</v>
      </c>
      <c r="W4" s="4">
        <f>'Residential-Conversion'!T47</f>
        <v>16590000</v>
      </c>
      <c r="X4" s="4">
        <f>'Residential-Conversion'!U47</f>
        <v>17390000</v>
      </c>
      <c r="Y4" s="4">
        <f>'Residential-Conversion'!V47</f>
        <v>18190000</v>
      </c>
      <c r="Z4" s="4">
        <f>'Residential-Conversion'!W47</f>
        <v>18990000</v>
      </c>
      <c r="AA4" s="4">
        <f>'Residential-Conversion'!X47</f>
        <v>19780000</v>
      </c>
      <c r="AB4" s="4">
        <f>'Residential-Conversion'!Y47</f>
        <v>20580000</v>
      </c>
      <c r="AC4" s="4">
        <f>'Residential-Conversion'!Z47</f>
        <v>21360000</v>
      </c>
      <c r="AD4" s="4">
        <f>'Residential-Conversion'!AA47</f>
        <v>22130000</v>
      </c>
      <c r="AE4" s="4">
        <f>'Residential-Conversion'!AB47</f>
        <v>22880000</v>
      </c>
      <c r="AF4" s="4">
        <f>'Residential-Conversion'!AC47</f>
        <v>23610000</v>
      </c>
      <c r="AG4" s="4">
        <f>'Residential-Conversion'!AD47</f>
        <v>24320000</v>
      </c>
      <c r="AH4" s="4">
        <f>'Residential-Conversion'!AE47</f>
        <v>25000000</v>
      </c>
      <c r="AI4" s="4">
        <f>'Residential-Conversion'!AF47</f>
        <v>25650000</v>
      </c>
      <c r="AJ4" s="4">
        <f>'Residential-Conversion'!AG47</f>
        <v>26260000</v>
      </c>
      <c r="AK4" s="4">
        <f>'Residential-Conversion'!AH47</f>
        <v>26840000</v>
      </c>
      <c r="AL4" s="4">
        <f>'Residential-Conversion'!AI47</f>
        <v>27380000</v>
      </c>
      <c r="AM4" s="4">
        <f>'Residential-Conversion'!AJ47</f>
        <v>27870000</v>
      </c>
      <c r="AN4" s="4">
        <f>'Residential-Conversion'!AK47</f>
        <v>28320000</v>
      </c>
      <c r="AO4" s="4">
        <f>'Residential-Conversion'!AL47</f>
        <v>28710000</v>
      </c>
      <c r="AP4" s="4">
        <f>'Residential-Conversion'!AM47</f>
        <v>29060000</v>
      </c>
      <c r="AQ4" s="4">
        <f>'Residential-Conversion'!AN47</f>
        <v>29350000</v>
      </c>
      <c r="AR4" s="42">
        <f>'Residential-Conversion'!AO47</f>
        <v>29642894.012388166</v>
      </c>
      <c r="AS4" s="42">
        <f>'Residential-Conversion'!AP47</f>
        <v>29938710.917535882</v>
      </c>
      <c r="AT4" s="42">
        <f>'Residential-Conversion'!AQ47</f>
        <v>30237479.88402196</v>
      </c>
      <c r="AU4" s="42">
        <f>'Residential-Conversion'!AR47</f>
        <v>30539230.371508766</v>
      </c>
      <c r="AV4" s="42">
        <f>'Residential-Conversion'!AS47</f>
        <v>30843992.133647017</v>
      </c>
      <c r="AW4" s="42">
        <f>'Residential-Conversion'!AT47</f>
        <v>31151795.221009634</v>
      </c>
      <c r="AX4" s="42">
        <f>'Residential-Conversion'!AU47</f>
        <v>31462669.984054811</v>
      </c>
      <c r="AY4" s="42">
        <f>'Residential-Conversion'!AV47</f>
        <v>31776647.076118682</v>
      </c>
      <c r="AZ4" s="42">
        <f>'Residential-Conversion'!AW47</f>
        <v>32093757.456437834</v>
      </c>
      <c r="BA4" s="42">
        <f>'Residential-Conversion'!AX47</f>
        <v>32414032.393202014</v>
      </c>
    </row>
    <row r="5" spans="1:5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27</v>
      </c>
      <c r="B7" s="15">
        <f>M15</f>
        <v>130609878.23324203</v>
      </c>
      <c r="C7" s="15">
        <f>M16</f>
        <v>119971258.92325974</v>
      </c>
      <c r="D7" s="15">
        <f>M17</f>
        <v>109332639.61327744</v>
      </c>
      <c r="E7" s="15">
        <f>'Residential-Conversion'!B23+'Residential-Conversion'!B39</f>
        <v>98908506.359138176</v>
      </c>
      <c r="F7" s="4">
        <f>'Residential-Conversion'!C23+'Residential-Conversion'!C39</f>
        <v>87626428.881627128</v>
      </c>
      <c r="G7" s="4">
        <f>'Residential-Conversion'!D23+'Residential-Conversion'!D39</f>
        <v>77631267.739173323</v>
      </c>
      <c r="H7" s="4">
        <f>'Residential-Conversion'!E23+'Residential-Conversion'!E39</f>
        <v>68776227.780565679</v>
      </c>
      <c r="I7" s="4">
        <f>'Residential-Conversion'!F23+'Residential-Conversion'!F39</f>
        <v>60931258.425786309</v>
      </c>
      <c r="J7" s="4">
        <f>'Residential-Conversion'!G23+'Residential-Conversion'!G39</f>
        <v>53981143.639817335</v>
      </c>
      <c r="K7" s="4">
        <f>'Residential-Conversion'!H23+'Residential-Conversion'!H39</f>
        <v>47823809.783727244</v>
      </c>
      <c r="L7" s="4">
        <f>'Residential-Conversion'!I23+'Residential-Conversion'!I39</f>
        <v>42368826.488990344</v>
      </c>
      <c r="M7" s="4">
        <f>'Residential-Conversion'!J23+'Residential-Conversion'!J39</f>
        <v>37536078.536181211</v>
      </c>
      <c r="N7" s="4">
        <f>'Residential-Conversion'!K23+'Residential-Conversion'!K39</f>
        <v>33254589.231049299</v>
      </c>
      <c r="O7" s="4">
        <f>'Residential-Conversion'!L23+'Residential-Conversion'!L39</f>
        <v>29461477.996330809</v>
      </c>
      <c r="P7" s="4">
        <f>'Residential-Conversion'!M23+'Residential-Conversion'!M39</f>
        <v>26101036.86913269</v>
      </c>
      <c r="Q7" s="4">
        <f>'Residential-Conversion'!N23+'Residential-Conversion'!N39</f>
        <v>23123912.340281788</v>
      </c>
      <c r="R7" s="4">
        <f>'Residential-Conversion'!O23+'Residential-Conversion'!O39</f>
        <v>20486380.519320365</v>
      </c>
      <c r="S7" s="4">
        <f>'Residential-Conversion'!P23+'Residential-Conversion'!P39</f>
        <v>18149704.979588356</v>
      </c>
      <c r="T7" s="4">
        <f>'Residential-Conversion'!Q23+'Residential-Conversion'!Q39</f>
        <v>16079567.852204759</v>
      </c>
      <c r="U7" s="4">
        <f>'Residential-Conversion'!R23+'Residential-Conversion'!R39</f>
        <v>14245565.813591685</v>
      </c>
      <c r="V7" s="4">
        <f>'Residential-Conversion'!S23+'Residential-Conversion'!S39</f>
        <v>12620763.564284062</v>
      </c>
      <c r="W7" s="4">
        <f>'Residential-Conversion'!T23+'Residential-Conversion'!T39</f>
        <v>11181298.241139412</v>
      </c>
      <c r="X7" s="4">
        <f>'Residential-Conversion'!U23+'Residential-Conversion'!U39</f>
        <v>9906028.9531124178</v>
      </c>
      <c r="Y7" s="4">
        <f>'Residential-Conversion'!V23+'Residential-Conversion'!V39</f>
        <v>8776226.2934758663</v>
      </c>
      <c r="Z7" s="4">
        <f>'Residential-Conversion'!W23+'Residential-Conversion'!W39</f>
        <v>7775297.2684902512</v>
      </c>
      <c r="AA7" s="4">
        <f>'Residential-Conversion'!X23+'Residential-Conversion'!X39</f>
        <v>6888541.6026714006</v>
      </c>
      <c r="AB7" s="4">
        <f>'Residential-Conversion'!Y23+'Residential-Conversion'!Y39</f>
        <v>6102935.8416204052</v>
      </c>
      <c r="AC7" s="4">
        <f>'Residential-Conversion'!Z23+'Residential-Conversion'!Z39</f>
        <v>5406942.0816301638</v>
      </c>
      <c r="AD7" s="4">
        <f>'Residential-Conversion'!AA23+'Residential-Conversion'!AA39</f>
        <v>4790338.5169651024</v>
      </c>
      <c r="AE7" s="4">
        <f>'Residential-Conversion'!AB23+'Residential-Conversion'!AB39</f>
        <v>4244069.3161363658</v>
      </c>
      <c r="AF7" s="4">
        <f>'Residential-Conversion'!AC23+'Residential-Conversion'!AC39</f>
        <v>3760111.6223707162</v>
      </c>
      <c r="AG7" s="4">
        <f>'Residential-Conversion'!AD23+'Residential-Conversion'!AD39</f>
        <v>3331357.7249662941</v>
      </c>
      <c r="AH7" s="4">
        <f>'Residential-Conversion'!AE23+'Residential-Conversion'!AE39</f>
        <v>2951510.6710360954</v>
      </c>
      <c r="AI7" s="4">
        <f>'Residential-Conversion'!AF23+'Residential-Conversion'!AF39</f>
        <v>2614991.7845327975</v>
      </c>
      <c r="AJ7" s="4">
        <f>'Residential-Conversion'!AG23+'Residential-Conversion'!AG39</f>
        <v>2316858.7343253405</v>
      </c>
      <c r="AK7" s="4">
        <f>'Residential-Conversion'!AH23+'Residential-Conversion'!AH39</f>
        <v>2052732.9480268427</v>
      </c>
      <c r="AL7" s="4">
        <f>'Residential-Conversion'!AI23+'Residential-Conversion'!AI39</f>
        <v>1818735.3055303001</v>
      </c>
      <c r="AM7" s="4">
        <f>'Residential-Conversion'!AJ23+'Residential-Conversion'!AJ39</f>
        <v>1611429.1678089635</v>
      </c>
      <c r="AN7" s="4">
        <f>'Residential-Conversion'!AK23+'Residential-Conversion'!AK39</f>
        <v>1427769.9042681537</v>
      </c>
      <c r="AO7" s="4">
        <f>'Residential-Conversion'!AL23+'Residential-Conversion'!AL39</f>
        <v>1265060.177376695</v>
      </c>
      <c r="AP7" s="4">
        <f>'Residential-Conversion'!AM23+'Residential-Conversion'!AM39</f>
        <v>1120910.3278609244</v>
      </c>
      <c r="AQ7" s="4">
        <f>'Residential-Conversion'!AN23+'Residential-Conversion'!AN39</f>
        <v>993203.27865403006</v>
      </c>
      <c r="AR7" s="42">
        <f>'Residential-Conversion'!AO23+'Residential-Conversion'!AO39</f>
        <v>880063.44434497214</v>
      </c>
      <c r="AS7" s="42">
        <f>'Residential-Conversion'!AP23+'Residential-Conversion'!AP39</f>
        <v>779829.18031679187</v>
      </c>
      <c r="AT7" s="42">
        <f>'Residential-Conversion'!AQ23+'Residential-Conversion'!AQ39</f>
        <v>691028.38146659988</v>
      </c>
      <c r="AU7" s="42">
        <f>'Residential-Conversion'!AR23+'Residential-Conversion'!AR39</f>
        <v>612356.86192225816</v>
      </c>
      <c r="AV7" s="42">
        <f>'Residential-Conversion'!AS23+'Residential-Conversion'!AS39</f>
        <v>542659.20092899422</v>
      </c>
      <c r="AW7" s="42">
        <f>'Residential-Conversion'!AT23+'Residential-Conversion'!AT39</f>
        <v>480911.77359630802</v>
      </c>
      <c r="AX7" s="42">
        <f>'Residential-Conversion'!AU23+'Residential-Conversion'!AU39</f>
        <v>426207.71728379495</v>
      </c>
      <c r="AY7" s="42">
        <f>'Residential-Conversion'!AV23+'Residential-Conversion'!AV39</f>
        <v>377743.61283254845</v>
      </c>
      <c r="AZ7" s="42">
        <f>'Residential-Conversion'!AW23+'Residential-Conversion'!AW39</f>
        <v>334807.68503413076</v>
      </c>
      <c r="BA7" s="42">
        <f>'Residential-Conversion'!AX23+'Residential-Conversion'!AX39</f>
        <v>296769.34904160362</v>
      </c>
    </row>
    <row r="8" spans="1:53" x14ac:dyDescent="0.2">
      <c r="A8" s="1" t="s">
        <v>28</v>
      </c>
      <c r="B8" s="15">
        <f>R15</f>
        <v>12680771.01443696</v>
      </c>
      <c r="C8" s="15">
        <f>R16</f>
        <v>11899995.717739344</v>
      </c>
      <c r="D8" s="15">
        <f>R17</f>
        <v>11119220.421041727</v>
      </c>
      <c r="E8" s="15">
        <f>'Residential-Conversion'!B31</f>
        <v>10433175.714882016</v>
      </c>
      <c r="F8" s="4">
        <f>'Residential-Conversion'!C31</f>
        <v>9368208.6465701088</v>
      </c>
      <c r="G8" s="4">
        <f>'Residential-Conversion'!D31</f>
        <v>8871625.1214866657</v>
      </c>
      <c r="H8" s="4">
        <f>'Residential-Conversion'!E31</f>
        <v>8401364.1524742413</v>
      </c>
      <c r="I8" s="4">
        <f>'Residential-Conversion'!F31</f>
        <v>7956030.4516847357</v>
      </c>
      <c r="J8" s="4">
        <f>'Residential-Conversion'!G31</f>
        <v>7534302.691723356</v>
      </c>
      <c r="K8" s="4">
        <f>'Residential-Conversion'!H31</f>
        <v>7134929.5852040621</v>
      </c>
      <c r="L8" s="4">
        <f>'Residential-Conversion'!I31</f>
        <v>6756726.1721171876</v>
      </c>
      <c r="M8" s="4">
        <f>'Residential-Conversion'!J31</f>
        <v>6398570.3039937858</v>
      </c>
      <c r="N8" s="4">
        <f>'Residential-Conversion'!K31</f>
        <v>6059399.3144348795</v>
      </c>
      <c r="O8" s="4">
        <f>'Residential-Conversion'!L31</f>
        <v>5738206.8661270691</v>
      </c>
      <c r="P8" s="4">
        <f>'Residential-Conversion'!M31</f>
        <v>5434039.9649892878</v>
      </c>
      <c r="Q8" s="4">
        <f>'Residential-Conversion'!N31</f>
        <v>5145996.1325916601</v>
      </c>
      <c r="R8" s="4">
        <f>'Residential-Conversion'!O31</f>
        <v>4873220.7284567701</v>
      </c>
      <c r="S8" s="4">
        <f>'Residential-Conversion'!P31</f>
        <v>4614904.4142985921</v>
      </c>
      <c r="T8" s="4">
        <f>'Residential-Conversion'!Q31</f>
        <v>4370280.7526752418</v>
      </c>
      <c r="U8" s="4">
        <f>'Residential-Conversion'!R31</f>
        <v>4138623.9329306963</v>
      </c>
      <c r="V8" s="4">
        <f>'Residential-Conversion'!S31</f>
        <v>3919246.6176782371</v>
      </c>
      <c r="W8" s="4">
        <f>'Residential-Conversion'!T31</f>
        <v>3711497.9034359907</v>
      </c>
      <c r="X8" s="4">
        <f>'Residential-Conversion'!U31</f>
        <v>3514761.3893637084</v>
      </c>
      <c r="Y8" s="4">
        <f>'Residential-Conversion'!V31</f>
        <v>3328453.3483705744</v>
      </c>
      <c r="Z8" s="4">
        <f>'Residential-Conversion'!W31</f>
        <v>3152020.9951677257</v>
      </c>
      <c r="AA8" s="4">
        <f>'Residential-Conversion'!X31</f>
        <v>2984940.8461265885</v>
      </c>
      <c r="AB8" s="4">
        <f>'Residential-Conversion'!Y31</f>
        <v>2826717.1660767458</v>
      </c>
      <c r="AC8" s="4">
        <f>'Residential-Conversion'!Z31</f>
        <v>2676880.4974348485</v>
      </c>
      <c r="AD8" s="4">
        <f>'Residential-Conversion'!AA31</f>
        <v>2534986.2673004679</v>
      </c>
      <c r="AE8" s="4">
        <f>'Residential-Conversion'!AB31</f>
        <v>2400613.4683860177</v>
      </c>
      <c r="AF8" s="4">
        <f>'Residential-Conversion'!AC31</f>
        <v>2273363.4098670539</v>
      </c>
      <c r="AG8" s="4">
        <f>'Residential-Conversion'!AD31</f>
        <v>2152858.5344466278</v>
      </c>
      <c r="AH8" s="4">
        <f>'Residential-Conversion'!AE31</f>
        <v>2038741.2981238766</v>
      </c>
      <c r="AI8" s="4">
        <f>'Residential-Conversion'!AF31</f>
        <v>1930673.109343068</v>
      </c>
      <c r="AJ8" s="4">
        <f>'Residential-Conversion'!AG31</f>
        <v>1828333.3243754904</v>
      </c>
      <c r="AK8" s="4">
        <f>'Residential-Conversion'!AH31</f>
        <v>1731418.295953454</v>
      </c>
      <c r="AL8" s="4">
        <f>'Residential-Conversion'!AI31</f>
        <v>1639640.4723336399</v>
      </c>
      <c r="AM8" s="4">
        <f>'Residential-Conversion'!AJ31</f>
        <v>1552727.5441166726</v>
      </c>
      <c r="AN8" s="4">
        <f>'Residential-Conversion'!AK31</f>
        <v>1470421.6362914974</v>
      </c>
      <c r="AO8" s="4">
        <f>'Residential-Conversion'!AL31</f>
        <v>1392478.5431073022</v>
      </c>
      <c r="AP8" s="4">
        <f>'Residential-Conversion'!AM31</f>
        <v>1318667.0035028292</v>
      </c>
      <c r="AQ8" s="4">
        <f>'Residential-Conversion'!AN31</f>
        <v>1248768.0149432186</v>
      </c>
      <c r="AR8" s="42">
        <f>'Residential-Conversion'!AO31</f>
        <v>1182574.1836285212</v>
      </c>
      <c r="AS8" s="42">
        <f>'Residential-Conversion'!AP31</f>
        <v>1119889.1091459068</v>
      </c>
      <c r="AT8" s="42">
        <f>'Residential-Conversion'!AQ31</f>
        <v>1060526.8017398017</v>
      </c>
      <c r="AU8" s="42">
        <f>'Residential-Conversion'!AR31</f>
        <v>1004311.1304709697</v>
      </c>
      <c r="AV8" s="42">
        <f>'Residential-Conversion'!AS31</f>
        <v>951075.30062719272</v>
      </c>
      <c r="AW8" s="42">
        <f>'Residential-Conversion'!AT31</f>
        <v>900661.35883500637</v>
      </c>
      <c r="AX8" s="42">
        <f>'Residential-Conversion'!AU31</f>
        <v>852919.7244041299</v>
      </c>
      <c r="AY8" s="42">
        <f>'Residential-Conversion'!AV31</f>
        <v>807708.74551406584</v>
      </c>
      <c r="AZ8" s="42">
        <f>'Residential-Conversion'!AW31</f>
        <v>764894.27892605437</v>
      </c>
      <c r="BA8" s="42">
        <f>'Residential-Conversion'!AX31</f>
        <v>724349.29197336512</v>
      </c>
    </row>
    <row r="9" spans="1:5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30</v>
      </c>
      <c r="B10" s="15">
        <f>W15</f>
        <v>2300000</v>
      </c>
      <c r="C10" s="15">
        <f>W16</f>
        <v>3000000</v>
      </c>
      <c r="D10" s="15">
        <f>W17</f>
        <v>3700000</v>
      </c>
      <c r="E10" s="15">
        <f>'Residential-Conversion'!B7</f>
        <v>4400000</v>
      </c>
      <c r="F10" s="15">
        <f>'Residential-Conversion'!C7</f>
        <v>5100000</v>
      </c>
      <c r="G10" s="15">
        <f>'Residential-Conversion'!D7</f>
        <v>5800000</v>
      </c>
      <c r="H10" s="15">
        <f>'Residential-Conversion'!E7</f>
        <v>6500000</v>
      </c>
      <c r="I10" s="15">
        <f>'Residential-Conversion'!F7</f>
        <v>7200000</v>
      </c>
      <c r="J10" s="15">
        <f>'Residential-Conversion'!G7</f>
        <v>7900000</v>
      </c>
      <c r="K10" s="15">
        <f>'Residential-Conversion'!H7</f>
        <v>8600000</v>
      </c>
      <c r="L10" s="15">
        <f>'Residential-Conversion'!I7</f>
        <v>9300000</v>
      </c>
      <c r="M10" s="15">
        <f>'Residential-Conversion'!J7</f>
        <v>10000000</v>
      </c>
      <c r="N10" s="15">
        <f>'Residential-Conversion'!K7</f>
        <v>10700000</v>
      </c>
      <c r="O10" s="15">
        <f>'Residential-Conversion'!L7</f>
        <v>11400000</v>
      </c>
      <c r="P10" s="15">
        <f>'Residential-Conversion'!M7</f>
        <v>12100000</v>
      </c>
      <c r="Q10" s="15">
        <f>'Residential-Conversion'!N7</f>
        <v>12800000</v>
      </c>
      <c r="R10" s="15">
        <f>'Residential-Conversion'!O7</f>
        <v>13500000</v>
      </c>
      <c r="S10" s="15">
        <f>'Residential-Conversion'!P7</f>
        <v>14200000</v>
      </c>
      <c r="T10" s="15">
        <f>'Residential-Conversion'!Q7</f>
        <v>14900000</v>
      </c>
      <c r="U10" s="15">
        <f>'Residential-Conversion'!R7</f>
        <v>15600000</v>
      </c>
      <c r="V10" s="15">
        <f>'Residential-Conversion'!S7</f>
        <v>16300000</v>
      </c>
      <c r="W10" s="15">
        <f>'Residential-Conversion'!T7</f>
        <v>17000000</v>
      </c>
      <c r="X10" s="15">
        <f>'Residential-Conversion'!U7</f>
        <v>17700000</v>
      </c>
      <c r="Y10" s="15">
        <f>'Residential-Conversion'!V7</f>
        <v>18400000</v>
      </c>
      <c r="Z10" s="15">
        <f>'Residential-Conversion'!W7</f>
        <v>19100000</v>
      </c>
      <c r="AA10" s="15">
        <f>'Residential-Conversion'!X7</f>
        <v>19800000</v>
      </c>
      <c r="AB10" s="15">
        <f>'Residential-Conversion'!Y7</f>
        <v>20500000</v>
      </c>
      <c r="AC10" s="15">
        <f>'Residential-Conversion'!Z7</f>
        <v>21200000</v>
      </c>
      <c r="AD10" s="15">
        <f>'Residential-Conversion'!AA7</f>
        <v>21900000</v>
      </c>
      <c r="AE10" s="15">
        <f>'Residential-Conversion'!AB7</f>
        <v>22600000</v>
      </c>
      <c r="AF10" s="15">
        <f>'Residential-Conversion'!AC7</f>
        <v>23300000</v>
      </c>
      <c r="AG10" s="15">
        <f>'Residential-Conversion'!AD7</f>
        <v>24000000</v>
      </c>
      <c r="AH10" s="15">
        <f>'Residential-Conversion'!AE7</f>
        <v>24700000</v>
      </c>
      <c r="AI10" s="15">
        <f>'Residential-Conversion'!AF7</f>
        <v>25400000</v>
      </c>
      <c r="AJ10" s="15">
        <f>'Residential-Conversion'!AG7</f>
        <v>26100000</v>
      </c>
      <c r="AK10" s="15">
        <f>'Residential-Conversion'!AH7</f>
        <v>26800000</v>
      </c>
      <c r="AL10" s="15">
        <f>'Residential-Conversion'!AI7</f>
        <v>27500000</v>
      </c>
      <c r="AM10" s="15">
        <f>'Residential-Conversion'!AJ7</f>
        <v>28200000</v>
      </c>
      <c r="AN10" s="15">
        <f>'Residential-Conversion'!AK7</f>
        <v>28900000</v>
      </c>
      <c r="AO10" s="15">
        <f>'Residential-Conversion'!AL7</f>
        <v>29600000</v>
      </c>
      <c r="AP10" s="15">
        <f>'Residential-Conversion'!AM7</f>
        <v>30300000</v>
      </c>
      <c r="AQ10" s="15">
        <f>'Residential-Conversion'!AN7</f>
        <v>31000000</v>
      </c>
      <c r="AR10" s="45">
        <f>'Residential-Conversion'!AO7</f>
        <v>31716171.617161717</v>
      </c>
      <c r="AS10" s="45">
        <f>'Residential-Conversion'!AP7</f>
        <v>32448888.453201752</v>
      </c>
      <c r="AT10" s="45">
        <f>'Residential-Conversion'!AQ7</f>
        <v>33198532.740899481</v>
      </c>
      <c r="AU10" s="45">
        <f>'Residential-Conversion'!AR7</f>
        <v>33965495.543494523</v>
      </c>
      <c r="AV10" s="45">
        <f>'Residential-Conversion'!AS7</f>
        <v>34750176.958690755</v>
      </c>
      <c r="AW10" s="45">
        <f>'Residential-Conversion'!AT7</f>
        <v>35552986.327373385</v>
      </c>
      <c r="AX10" s="45">
        <f>'Residential-Conversion'!AU7</f>
        <v>36374342.447147682</v>
      </c>
      <c r="AY10" s="45">
        <f>'Residential-Conversion'!AV7</f>
        <v>37214673.790811159</v>
      </c>
      <c r="AZ10" s="45">
        <f>'Residential-Conversion'!AW7</f>
        <v>38074418.7298728</v>
      </c>
      <c r="BA10" s="45">
        <f>'Residential-Conversion'!AX7</f>
        <v>38954025.763236202</v>
      </c>
    </row>
    <row r="11" spans="1:5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row r="12" spans="1:53" x14ac:dyDescent="0.2">
      <c r="A12" s="1"/>
      <c r="B12" s="28"/>
      <c r="C12" s="15"/>
      <c r="D12" s="15"/>
      <c r="E12" s="1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38"/>
      <c r="AS12" s="38"/>
      <c r="AT12" s="38"/>
      <c r="AU12" s="38"/>
      <c r="AV12" s="38"/>
      <c r="AW12" s="38"/>
      <c r="AX12" s="38"/>
      <c r="AY12" s="38"/>
      <c r="AZ12" s="38"/>
      <c r="BA12" s="38"/>
    </row>
    <row r="14" spans="1:53" x14ac:dyDescent="0.2">
      <c r="A14" s="1" t="s">
        <v>11</v>
      </c>
      <c r="B14" s="1" t="s">
        <v>22</v>
      </c>
      <c r="C14" s="1" t="s">
        <v>144</v>
      </c>
      <c r="F14" s="1" t="s">
        <v>11</v>
      </c>
      <c r="G14" s="1" t="s">
        <v>24</v>
      </c>
      <c r="H14" s="1" t="s">
        <v>145</v>
      </c>
      <c r="K14" s="1" t="s">
        <v>11</v>
      </c>
      <c r="L14" s="1" t="s">
        <v>27</v>
      </c>
      <c r="M14" s="1" t="s">
        <v>146</v>
      </c>
      <c r="P14" s="1" t="s">
        <v>11</v>
      </c>
      <c r="Q14" s="1" t="s">
        <v>28</v>
      </c>
      <c r="R14" s="1" t="s">
        <v>147</v>
      </c>
      <c r="U14" s="1" t="s">
        <v>11</v>
      </c>
      <c r="V14" s="1" t="s">
        <v>30</v>
      </c>
      <c r="W14" s="1" t="s">
        <v>129</v>
      </c>
      <c r="X14" s="25"/>
      <c r="AB14" s="25"/>
      <c r="AC14" s="25"/>
    </row>
    <row r="15" spans="1:53" x14ac:dyDescent="0.2">
      <c r="A15" s="21">
        <v>2019</v>
      </c>
      <c r="B15" s="1"/>
      <c r="C15" s="14">
        <f>_xlfn.FORECAST.LINEAR(A15,B$17:B$27,A$17:A$27)</f>
        <v>216583169.46221161</v>
      </c>
      <c r="F15" s="21">
        <v>2019</v>
      </c>
      <c r="G15" s="1"/>
      <c r="H15" s="14">
        <f>_xlfn.FORECAST.LINEAR(F15,G$17:G$25,F$17:F$25)</f>
        <v>828571.42857146263</v>
      </c>
      <c r="K15" s="21">
        <v>2019</v>
      </c>
      <c r="L15" s="1"/>
      <c r="M15" s="14">
        <f>_xlfn.FORECAST.LINEAR(K15,L$17:L$20,K$17:K$20)</f>
        <v>130609878.23324203</v>
      </c>
      <c r="P15" s="21">
        <v>2019</v>
      </c>
      <c r="Q15" s="1"/>
      <c r="R15" s="14">
        <f>_xlfn.FORECAST.LINEAR(P15,Q$17:Q$20,P$17:P$20)</f>
        <v>12680771.01443696</v>
      </c>
      <c r="U15" s="21">
        <v>2019</v>
      </c>
      <c r="V15" s="1"/>
      <c r="W15" s="14">
        <f>_xlfn.FORECAST.LINEAR(U15,V$16:V$21,U$16:U$21)</f>
        <v>2300000</v>
      </c>
      <c r="X15" s="25"/>
      <c r="AB15" s="25"/>
      <c r="AC15" s="25"/>
    </row>
    <row r="16" spans="1:53" x14ac:dyDescent="0.2">
      <c r="A16" s="20">
        <v>2020</v>
      </c>
      <c r="C16" s="14">
        <f t="shared" ref="C16:C17" si="1">_xlfn.FORECAST.LINEAR(A16,B$17:B$27,A$17:A$27)</f>
        <v>234886898.66718292</v>
      </c>
      <c r="F16" s="20">
        <v>2020</v>
      </c>
      <c r="H16" s="14">
        <f t="shared" ref="H16:H17" si="2">_xlfn.FORECAST.LINEAR(F16,G$17:G$25,F$17:F$25)</f>
        <v>1210714.2857142687</v>
      </c>
      <c r="I16" s="22"/>
      <c r="J16" s="25"/>
      <c r="K16" s="20">
        <v>2020</v>
      </c>
      <c r="L16" s="25"/>
      <c r="M16" s="14">
        <f t="shared" ref="M16:M17" si="3">_xlfn.FORECAST.LINEAR(K16,L$17:L$20,K$17:K$20)</f>
        <v>119971258.92325974</v>
      </c>
      <c r="N16" s="22"/>
      <c r="O16" s="25"/>
      <c r="P16" s="20">
        <v>2020</v>
      </c>
      <c r="R16" s="14">
        <f t="shared" ref="R16:R17" si="4">_xlfn.FORECAST.LINEAR(P16,Q$17:Q$20,P$17:P$20)</f>
        <v>11899995.717739344</v>
      </c>
      <c r="S16" s="22"/>
      <c r="T16" s="25"/>
      <c r="U16" s="20">
        <v>2020</v>
      </c>
      <c r="W16" s="14">
        <f t="shared" ref="W16:W17" si="5">_xlfn.FORECAST.LINEAR(U16,V$16:V$21,U$16:U$21)</f>
        <v>3000000</v>
      </c>
      <c r="X16" s="22"/>
      <c r="AB16" s="22"/>
      <c r="AC16" s="22"/>
    </row>
    <row r="17" spans="1:29" x14ac:dyDescent="0.2">
      <c r="A17" s="20">
        <v>2021</v>
      </c>
      <c r="C17" s="14">
        <f t="shared" si="1"/>
        <v>253190627.87215424</v>
      </c>
      <c r="F17" s="20">
        <v>2021</v>
      </c>
      <c r="H17" s="14">
        <f t="shared" si="2"/>
        <v>1592857.1428570747</v>
      </c>
      <c r="I17" s="22"/>
      <c r="J17" s="25"/>
      <c r="K17" s="20">
        <v>2021</v>
      </c>
      <c r="L17" s="25"/>
      <c r="M17" s="14">
        <f t="shared" si="3"/>
        <v>109332639.61327744</v>
      </c>
      <c r="N17" s="22"/>
      <c r="O17" s="25"/>
      <c r="P17" s="20">
        <v>2021</v>
      </c>
      <c r="R17" s="14">
        <f t="shared" si="4"/>
        <v>11119220.421041727</v>
      </c>
      <c r="S17" s="22"/>
      <c r="T17" s="25"/>
      <c r="U17" s="20">
        <v>2021</v>
      </c>
      <c r="W17" s="14">
        <f t="shared" si="5"/>
        <v>3700000</v>
      </c>
      <c r="X17" s="22"/>
      <c r="AB17" s="22"/>
      <c r="AC17" s="22"/>
    </row>
    <row r="18" spans="1:29" x14ac:dyDescent="0.2">
      <c r="A18" s="8">
        <v>2022</v>
      </c>
      <c r="B18" s="4" cm="1">
        <f t="array" ref="B18:B56">TRANSPOSE(E2:AQ2)</f>
        <v>262244660.10460132</v>
      </c>
      <c r="C18" s="4"/>
      <c r="F18" s="8">
        <v>2022</v>
      </c>
      <c r="G18" s="4" cm="1">
        <f t="array" ref="G18:G56">TRANSPOSE(E4:AQ4)</f>
        <v>2100000</v>
      </c>
      <c r="H18" s="22"/>
      <c r="I18" s="22"/>
      <c r="J18" s="25"/>
      <c r="K18" s="8">
        <v>2022</v>
      </c>
      <c r="L18" s="22" cm="1">
        <f t="array" ref="L18:L56">TRANSPOSE(E7:AQ7)</f>
        <v>98908506.359138176</v>
      </c>
      <c r="M18" s="4"/>
      <c r="N18" s="22"/>
      <c r="O18" s="25"/>
      <c r="P18" s="8">
        <v>2022</v>
      </c>
      <c r="Q18" s="4" cm="1">
        <f t="array" ref="Q18:Q56">TRANSPOSE(E8:AQ8)</f>
        <v>10433175.714882016</v>
      </c>
      <c r="R18" s="4"/>
      <c r="S18" s="22"/>
      <c r="T18" s="25"/>
      <c r="U18" s="8">
        <v>2022</v>
      </c>
      <c r="V18" s="4" cm="1">
        <f t="array" ref="V18:V56">TRANSPOSE(E10:AQ10)</f>
        <v>4400000</v>
      </c>
      <c r="W18" s="22"/>
      <c r="X18" s="22"/>
      <c r="AB18" s="22"/>
      <c r="AC18" s="22"/>
    </row>
    <row r="19" spans="1:29" x14ac:dyDescent="0.2">
      <c r="A19" s="8">
        <v>2023</v>
      </c>
      <c r="B19" s="4">
        <v>290934456.72347873</v>
      </c>
      <c r="C19" s="4"/>
      <c r="F19" s="8">
        <v>2023</v>
      </c>
      <c r="G19" s="4">
        <v>2400000</v>
      </c>
      <c r="H19" s="22"/>
      <c r="I19" s="22"/>
      <c r="J19" s="25"/>
      <c r="K19" s="8">
        <v>2023</v>
      </c>
      <c r="L19" s="22">
        <v>87626428.881627128</v>
      </c>
      <c r="M19" s="4"/>
      <c r="N19" s="22"/>
      <c r="O19" s="25"/>
      <c r="P19" s="8">
        <v>2023</v>
      </c>
      <c r="Q19" s="4">
        <v>9368208.6465701088</v>
      </c>
      <c r="R19" s="4"/>
      <c r="S19" s="22"/>
      <c r="T19" s="25"/>
      <c r="U19" s="8">
        <v>2023</v>
      </c>
      <c r="V19" s="4">
        <v>5100000</v>
      </c>
      <c r="W19" s="22"/>
      <c r="X19" s="22"/>
      <c r="AB19" s="22"/>
      <c r="AC19" s="22"/>
    </row>
    <row r="20" spans="1:29" x14ac:dyDescent="0.2">
      <c r="A20" s="8">
        <v>2024</v>
      </c>
      <c r="B20" s="4">
        <v>313720081.1412946</v>
      </c>
      <c r="C20" s="4"/>
      <c r="F20" s="8">
        <v>2024</v>
      </c>
      <c r="G20" s="4">
        <v>2700000</v>
      </c>
      <c r="H20" s="22"/>
      <c r="I20" s="22"/>
      <c r="J20" s="25"/>
      <c r="K20" s="8">
        <v>2024</v>
      </c>
      <c r="L20" s="22">
        <v>77631267.739173323</v>
      </c>
      <c r="M20" s="4"/>
      <c r="N20" s="22"/>
      <c r="O20" s="25"/>
      <c r="P20" s="8">
        <v>2024</v>
      </c>
      <c r="Q20" s="4">
        <v>8871625.1214866657</v>
      </c>
      <c r="R20" s="4"/>
      <c r="S20" s="22"/>
      <c r="T20" s="25"/>
      <c r="U20" s="8">
        <v>2024</v>
      </c>
      <c r="V20" s="4">
        <v>5800000</v>
      </c>
      <c r="W20" s="22"/>
      <c r="X20" s="22"/>
      <c r="AB20" s="22"/>
      <c r="AC20" s="22"/>
    </row>
    <row r="21" spans="1:29" x14ac:dyDescent="0.2">
      <c r="A21" s="8">
        <v>2025</v>
      </c>
      <c r="B21" s="4">
        <v>329622841.88815725</v>
      </c>
      <c r="C21" s="4"/>
      <c r="F21" s="8">
        <v>2025</v>
      </c>
      <c r="G21" s="4">
        <v>3000000</v>
      </c>
      <c r="H21" s="22"/>
      <c r="I21" s="22"/>
      <c r="J21" s="25"/>
      <c r="K21" s="8">
        <v>2025</v>
      </c>
      <c r="L21" s="22">
        <v>68776227.780565679</v>
      </c>
      <c r="M21" s="4"/>
      <c r="N21" s="22"/>
      <c r="O21" s="25"/>
      <c r="P21" s="8">
        <v>2025</v>
      </c>
      <c r="Q21" s="4">
        <v>8401364.1524742413</v>
      </c>
      <c r="R21" s="4"/>
      <c r="S21" s="22"/>
      <c r="T21" s="25"/>
      <c r="U21" s="8">
        <v>2025</v>
      </c>
      <c r="V21" s="4">
        <v>6500000</v>
      </c>
      <c r="W21" s="22"/>
      <c r="X21" s="22"/>
      <c r="AB21" s="22"/>
      <c r="AC21" s="22"/>
    </row>
    <row r="22" spans="1:29" x14ac:dyDescent="0.2">
      <c r="A22" s="8">
        <v>2026</v>
      </c>
      <c r="B22" s="4">
        <v>347995678.37737298</v>
      </c>
      <c r="C22" s="4"/>
      <c r="F22" s="8">
        <v>2026</v>
      </c>
      <c r="G22" s="4">
        <v>3400000</v>
      </c>
      <c r="H22" s="22"/>
      <c r="I22" s="22"/>
      <c r="J22" s="25"/>
      <c r="K22" s="8">
        <v>2026</v>
      </c>
      <c r="L22" s="22">
        <v>60931258.425786309</v>
      </c>
      <c r="M22" s="4"/>
      <c r="N22" s="22"/>
      <c r="O22" s="25"/>
      <c r="P22" s="8">
        <v>2026</v>
      </c>
      <c r="Q22" s="4">
        <v>7956030.4516847357</v>
      </c>
      <c r="R22" s="4"/>
      <c r="S22" s="22"/>
      <c r="T22" s="25"/>
      <c r="U22" s="8">
        <v>2026</v>
      </c>
      <c r="V22" s="4">
        <v>7200000</v>
      </c>
      <c r="W22" s="22"/>
      <c r="X22" s="22"/>
      <c r="AB22" s="22"/>
      <c r="AC22" s="22"/>
    </row>
    <row r="23" spans="1:29" x14ac:dyDescent="0.2">
      <c r="A23" s="8">
        <v>2027</v>
      </c>
      <c r="B23" s="4">
        <v>365279079.98042798</v>
      </c>
      <c r="C23" s="4"/>
      <c r="F23" s="8">
        <v>2027</v>
      </c>
      <c r="G23" s="4">
        <v>3800000</v>
      </c>
      <c r="H23" s="22"/>
      <c r="I23" s="22"/>
      <c r="J23" s="25"/>
      <c r="K23" s="8">
        <v>2027</v>
      </c>
      <c r="L23" s="22">
        <v>53981143.639817335</v>
      </c>
      <c r="M23" s="4"/>
      <c r="N23" s="22"/>
      <c r="O23" s="25"/>
      <c r="P23" s="8">
        <v>2027</v>
      </c>
      <c r="Q23" s="4">
        <v>7534302.691723356</v>
      </c>
      <c r="R23" s="4"/>
      <c r="S23" s="22"/>
      <c r="T23" s="25"/>
      <c r="U23" s="8">
        <v>2027</v>
      </c>
      <c r="V23" s="4">
        <v>7900000</v>
      </c>
      <c r="W23" s="22"/>
      <c r="X23" s="22"/>
      <c r="AB23" s="22"/>
      <c r="AC23" s="22"/>
    </row>
    <row r="24" spans="1:29" x14ac:dyDescent="0.2">
      <c r="A24" s="8">
        <v>2028</v>
      </c>
      <c r="B24" s="4">
        <v>381877195.39342856</v>
      </c>
      <c r="C24" s="4"/>
      <c r="F24" s="8">
        <v>2028</v>
      </c>
      <c r="G24" s="4">
        <v>4300000</v>
      </c>
      <c r="H24" s="22"/>
      <c r="I24" s="22"/>
      <c r="J24" s="25"/>
      <c r="K24" s="8">
        <v>2028</v>
      </c>
      <c r="L24" s="22">
        <v>47823809.783727244</v>
      </c>
      <c r="M24" s="4"/>
      <c r="N24" s="22"/>
      <c r="O24" s="25"/>
      <c r="P24" s="8">
        <v>2028</v>
      </c>
      <c r="Q24" s="4">
        <v>7134929.5852040621</v>
      </c>
      <c r="R24" s="4"/>
      <c r="S24" s="22"/>
      <c r="T24" s="25"/>
      <c r="U24" s="8">
        <v>2028</v>
      </c>
      <c r="V24" s="4">
        <v>8600000</v>
      </c>
      <c r="W24" s="22"/>
      <c r="X24" s="22"/>
      <c r="AB24" s="22"/>
      <c r="AC24" s="22"/>
    </row>
    <row r="25" spans="1:29" x14ac:dyDescent="0.2">
      <c r="A25" s="8">
        <v>2029</v>
      </c>
      <c r="B25" s="4">
        <v>396914996.64052296</v>
      </c>
      <c r="C25" s="4"/>
      <c r="F25" s="8">
        <v>2029</v>
      </c>
      <c r="G25" s="4">
        <v>4800000</v>
      </c>
      <c r="H25" s="22"/>
      <c r="I25" s="22"/>
      <c r="J25" s="25"/>
      <c r="K25" s="8">
        <v>2029</v>
      </c>
      <c r="L25" s="22">
        <v>42368826.488990344</v>
      </c>
      <c r="M25" s="4"/>
      <c r="N25" s="22"/>
      <c r="O25" s="25"/>
      <c r="P25" s="8">
        <v>2029</v>
      </c>
      <c r="Q25" s="4">
        <v>6756726.1721171876</v>
      </c>
      <c r="R25" s="4"/>
      <c r="S25" s="22"/>
      <c r="T25" s="25"/>
      <c r="U25" s="8">
        <v>2029</v>
      </c>
      <c r="V25" s="4">
        <v>9300000</v>
      </c>
      <c r="W25" s="22"/>
      <c r="X25" s="22"/>
      <c r="AB25" s="22"/>
      <c r="AC25" s="22"/>
    </row>
    <row r="26" spans="1:29" x14ac:dyDescent="0.2">
      <c r="A26" s="8">
        <v>2030</v>
      </c>
      <c r="B26" s="4">
        <v>411682067.74957246</v>
      </c>
      <c r="C26" s="4"/>
      <c r="F26" s="8">
        <v>2030</v>
      </c>
      <c r="G26" s="4">
        <v>5400000</v>
      </c>
      <c r="H26" s="4"/>
      <c r="I26" s="22"/>
      <c r="J26" s="25"/>
      <c r="K26" s="8">
        <v>2030</v>
      </c>
      <c r="L26" s="22">
        <v>37536078.536181211</v>
      </c>
      <c r="M26" s="4"/>
      <c r="N26" s="22"/>
      <c r="O26" s="25"/>
      <c r="P26" s="8">
        <v>2030</v>
      </c>
      <c r="Q26" s="4">
        <v>6398570.3039937858</v>
      </c>
      <c r="R26" s="4"/>
      <c r="S26" s="22"/>
      <c r="T26" s="25"/>
      <c r="U26" s="8">
        <v>2030</v>
      </c>
      <c r="V26" s="4">
        <v>10000000</v>
      </c>
      <c r="W26" s="4"/>
      <c r="X26" s="22"/>
      <c r="AB26" s="22"/>
      <c r="AC26" s="22"/>
    </row>
    <row r="27" spans="1:29" x14ac:dyDescent="0.2">
      <c r="A27" s="8">
        <v>2031</v>
      </c>
      <c r="B27" s="4">
        <v>438340326.99595708</v>
      </c>
      <c r="C27" s="4"/>
      <c r="F27" s="8">
        <v>2031</v>
      </c>
      <c r="G27" s="4">
        <v>6100000</v>
      </c>
      <c r="H27" s="4"/>
      <c r="I27" s="22"/>
      <c r="J27" s="25"/>
      <c r="K27" s="8">
        <v>2031</v>
      </c>
      <c r="L27" s="22">
        <v>33254589.231049299</v>
      </c>
      <c r="M27" s="4"/>
      <c r="N27" s="22"/>
      <c r="O27" s="25"/>
      <c r="P27" s="8">
        <v>2031</v>
      </c>
      <c r="Q27" s="4">
        <v>6059399.3144348795</v>
      </c>
      <c r="R27" s="4"/>
      <c r="S27" s="22"/>
      <c r="T27" s="25"/>
      <c r="U27" s="8">
        <v>2031</v>
      </c>
      <c r="V27" s="4">
        <v>10700000</v>
      </c>
      <c r="W27" s="4"/>
      <c r="X27" s="22"/>
      <c r="AB27" s="22"/>
      <c r="AC27" s="22"/>
    </row>
    <row r="28" spans="1:29" x14ac:dyDescent="0.2">
      <c r="A28" s="8">
        <v>2032</v>
      </c>
      <c r="B28" s="4">
        <v>450588229.52234483</v>
      </c>
      <c r="C28" s="4"/>
      <c r="F28" s="8">
        <v>2032</v>
      </c>
      <c r="G28" s="4">
        <v>6900000</v>
      </c>
      <c r="H28" s="4"/>
      <c r="I28" s="22"/>
      <c r="J28" s="25"/>
      <c r="K28" s="8">
        <v>2032</v>
      </c>
      <c r="L28" s="22">
        <v>29461477.996330809</v>
      </c>
      <c r="M28" s="4"/>
      <c r="N28" s="22"/>
      <c r="O28" s="25"/>
      <c r="P28" s="8">
        <v>2032</v>
      </c>
      <c r="Q28" s="4">
        <v>5738206.8661270691</v>
      </c>
      <c r="R28" s="4"/>
      <c r="S28" s="22"/>
      <c r="T28" s="25"/>
      <c r="U28" s="8">
        <v>2032</v>
      </c>
      <c r="V28" s="4">
        <v>11400000</v>
      </c>
      <c r="W28" s="4"/>
      <c r="X28" s="22"/>
      <c r="AB28" s="22"/>
      <c r="AC28" s="22"/>
    </row>
    <row r="29" spans="1:29" x14ac:dyDescent="0.2">
      <c r="A29" s="8">
        <v>2033</v>
      </c>
      <c r="B29" s="4">
        <v>462475644.21479535</v>
      </c>
      <c r="C29" s="4"/>
      <c r="F29" s="8">
        <v>2033</v>
      </c>
      <c r="G29" s="4">
        <v>7700000</v>
      </c>
      <c r="H29" s="4"/>
      <c r="I29" s="22"/>
      <c r="J29" s="25"/>
      <c r="K29" s="8">
        <v>2033</v>
      </c>
      <c r="L29" s="22">
        <v>26101036.86913269</v>
      </c>
      <c r="M29" s="4"/>
      <c r="N29" s="22"/>
      <c r="O29" s="25"/>
      <c r="P29" s="8">
        <v>2033</v>
      </c>
      <c r="Q29" s="4">
        <v>5434039.9649892878</v>
      </c>
      <c r="R29" s="4"/>
      <c r="S29" s="22"/>
      <c r="T29" s="25"/>
      <c r="U29" s="8">
        <v>2033</v>
      </c>
      <c r="V29" s="4">
        <v>12100000</v>
      </c>
      <c r="W29" s="4"/>
      <c r="X29" s="22"/>
      <c r="AB29" s="22"/>
      <c r="AC29" s="22"/>
    </row>
    <row r="30" spans="1:29" x14ac:dyDescent="0.2">
      <c r="A30" s="8">
        <v>2034</v>
      </c>
      <c r="B30" s="4">
        <v>474199423.55576897</v>
      </c>
      <c r="C30" s="4"/>
      <c r="F30" s="8">
        <v>2034</v>
      </c>
      <c r="G30" s="4">
        <v>8700000</v>
      </c>
      <c r="H30" s="4"/>
      <c r="I30" s="22"/>
      <c r="J30" s="25"/>
      <c r="K30" s="8">
        <v>2034</v>
      </c>
      <c r="L30" s="22">
        <v>23123912.340281788</v>
      </c>
      <c r="M30" s="4"/>
      <c r="N30" s="22"/>
      <c r="O30" s="25"/>
      <c r="P30" s="8">
        <v>2034</v>
      </c>
      <c r="Q30" s="4">
        <v>5145996.1325916601</v>
      </c>
      <c r="R30" s="4"/>
      <c r="S30" s="22"/>
      <c r="T30" s="25"/>
      <c r="U30" s="8">
        <v>2034</v>
      </c>
      <c r="V30" s="4">
        <v>12800000</v>
      </c>
      <c r="W30" s="4"/>
      <c r="X30" s="22"/>
      <c r="AB30" s="22"/>
      <c r="AC30" s="22"/>
    </row>
    <row r="31" spans="1:29" x14ac:dyDescent="0.2">
      <c r="A31" s="8">
        <v>2035</v>
      </c>
      <c r="B31" s="4">
        <v>485825662.75255102</v>
      </c>
      <c r="C31" s="4"/>
      <c r="F31" s="8">
        <v>2035</v>
      </c>
      <c r="G31" s="4">
        <v>9800000</v>
      </c>
      <c r="H31" s="4"/>
      <c r="I31" s="22"/>
      <c r="J31" s="25"/>
      <c r="K31" s="8">
        <v>2035</v>
      </c>
      <c r="L31" s="22">
        <v>20486380.519320365</v>
      </c>
      <c r="M31" s="4"/>
      <c r="N31" s="22"/>
      <c r="O31" s="25"/>
      <c r="P31" s="8">
        <v>2035</v>
      </c>
      <c r="Q31" s="4">
        <v>4873220.7284567701</v>
      </c>
      <c r="R31" s="4"/>
      <c r="S31" s="22"/>
      <c r="T31" s="25"/>
      <c r="U31" s="8">
        <v>2035</v>
      </c>
      <c r="V31" s="4">
        <v>13500000</v>
      </c>
      <c r="W31" s="4"/>
      <c r="X31" s="22"/>
      <c r="AB31" s="22"/>
      <c r="AC31" s="22"/>
    </row>
    <row r="32" spans="1:29" x14ac:dyDescent="0.2">
      <c r="A32" s="8">
        <v>2036</v>
      </c>
      <c r="B32" s="4">
        <v>495965457.74283457</v>
      </c>
      <c r="C32" s="4"/>
      <c r="F32" s="8">
        <v>2036</v>
      </c>
      <c r="G32" s="4">
        <v>11000000</v>
      </c>
      <c r="H32" s="4"/>
      <c r="I32" s="22"/>
      <c r="J32" s="25"/>
      <c r="K32" s="8">
        <v>2036</v>
      </c>
      <c r="L32" s="22">
        <v>18149704.979588356</v>
      </c>
      <c r="M32" s="4"/>
      <c r="N32" s="22"/>
      <c r="O32" s="25"/>
      <c r="P32" s="8">
        <v>2036</v>
      </c>
      <c r="Q32" s="4">
        <v>4614904.4142985921</v>
      </c>
      <c r="R32" s="4"/>
      <c r="S32" s="22"/>
      <c r="T32" s="25"/>
      <c r="U32" s="8">
        <v>2036</v>
      </c>
      <c r="V32" s="4">
        <v>14200000</v>
      </c>
      <c r="W32" s="4"/>
      <c r="X32" s="22"/>
      <c r="AB32" s="22"/>
      <c r="AC32" s="22"/>
    </row>
    <row r="33" spans="1:29" x14ac:dyDescent="0.2">
      <c r="A33" s="8">
        <v>2037</v>
      </c>
      <c r="B33" s="4">
        <v>501755909.75574809</v>
      </c>
      <c r="C33" s="4"/>
      <c r="F33" s="8">
        <v>2037</v>
      </c>
      <c r="G33" s="4">
        <v>12400000</v>
      </c>
      <c r="H33" s="4"/>
      <c r="I33" s="22"/>
      <c r="J33" s="25"/>
      <c r="K33" s="8">
        <v>2037</v>
      </c>
      <c r="L33" s="22">
        <v>16079567.852204759</v>
      </c>
      <c r="M33" s="4"/>
      <c r="N33" s="22"/>
      <c r="O33" s="25"/>
      <c r="P33" s="8">
        <v>2037</v>
      </c>
      <c r="Q33" s="4">
        <v>4370280.7526752418</v>
      </c>
      <c r="R33" s="4"/>
      <c r="S33" s="22"/>
      <c r="T33" s="25"/>
      <c r="U33" s="8">
        <v>2037</v>
      </c>
      <c r="V33" s="4">
        <v>14900000</v>
      </c>
      <c r="W33" s="4"/>
      <c r="X33" s="22"/>
      <c r="AB33" s="22"/>
      <c r="AC33" s="22"/>
    </row>
    <row r="34" spans="1:29" x14ac:dyDescent="0.2">
      <c r="A34" s="8">
        <v>2038</v>
      </c>
      <c r="B34" s="4">
        <v>507412553.1943301</v>
      </c>
      <c r="C34" s="4"/>
      <c r="F34" s="8">
        <v>2038</v>
      </c>
      <c r="G34" s="4">
        <v>14000000</v>
      </c>
      <c r="H34" s="4"/>
      <c r="I34" s="22"/>
      <c r="J34" s="25"/>
      <c r="K34" s="8">
        <v>2038</v>
      </c>
      <c r="L34" s="22">
        <v>14245565.813591685</v>
      </c>
      <c r="M34" s="4"/>
      <c r="N34" s="22"/>
      <c r="O34" s="25"/>
      <c r="P34" s="8">
        <v>2038</v>
      </c>
      <c r="Q34" s="4">
        <v>4138623.9329306963</v>
      </c>
      <c r="R34" s="4"/>
      <c r="S34" s="22"/>
      <c r="T34" s="25"/>
      <c r="U34" s="8">
        <v>2038</v>
      </c>
      <c r="V34" s="4">
        <v>15600000</v>
      </c>
      <c r="W34" s="4"/>
      <c r="X34" s="22"/>
      <c r="AB34" s="22"/>
      <c r="AC34" s="22"/>
    </row>
    <row r="35" spans="1:29" x14ac:dyDescent="0.2">
      <c r="A35" s="8">
        <v>2039</v>
      </c>
      <c r="B35" s="4">
        <v>512965378.02253073</v>
      </c>
      <c r="C35" s="4"/>
      <c r="F35" s="8">
        <v>2039</v>
      </c>
      <c r="G35" s="4">
        <v>15800000</v>
      </c>
      <c r="H35" s="4"/>
      <c r="I35" s="22"/>
      <c r="J35" s="25"/>
      <c r="K35" s="8">
        <v>2039</v>
      </c>
      <c r="L35" s="22">
        <v>12620763.564284062</v>
      </c>
      <c r="M35" s="4"/>
      <c r="N35" s="22"/>
      <c r="O35" s="25"/>
      <c r="P35" s="8">
        <v>2039</v>
      </c>
      <c r="Q35" s="4">
        <v>3919246.6176782371</v>
      </c>
      <c r="R35" s="4"/>
      <c r="S35" s="22"/>
      <c r="T35" s="25"/>
      <c r="U35" s="8">
        <v>2039</v>
      </c>
      <c r="V35" s="4">
        <v>16300000</v>
      </c>
      <c r="W35" s="4"/>
      <c r="X35" s="22"/>
      <c r="AB35" s="22"/>
      <c r="AC35" s="22"/>
    </row>
    <row r="36" spans="1:29" x14ac:dyDescent="0.2">
      <c r="A36" s="8">
        <v>2040</v>
      </c>
      <c r="B36" s="4">
        <v>518440320.39159817</v>
      </c>
      <c r="C36" s="4"/>
      <c r="F36" s="8">
        <v>2040</v>
      </c>
      <c r="G36" s="4">
        <v>16590000</v>
      </c>
      <c r="H36" s="4"/>
      <c r="I36" s="22"/>
      <c r="J36" s="25"/>
      <c r="K36" s="8">
        <v>2040</v>
      </c>
      <c r="L36" s="22">
        <v>11181298.241139412</v>
      </c>
      <c r="M36" s="4"/>
      <c r="N36" s="22"/>
      <c r="O36" s="25"/>
      <c r="P36" s="8">
        <v>2040</v>
      </c>
      <c r="Q36" s="4">
        <v>3711497.9034359907</v>
      </c>
      <c r="R36" s="4"/>
      <c r="S36" s="22"/>
      <c r="T36" s="25"/>
      <c r="U36" s="8">
        <v>2040</v>
      </c>
      <c r="V36" s="4">
        <v>17000000</v>
      </c>
      <c r="W36" s="4"/>
      <c r="X36" s="22"/>
      <c r="AB36" s="22"/>
      <c r="AC36" s="22"/>
    </row>
    <row r="37" spans="1:29" x14ac:dyDescent="0.2">
      <c r="A37" s="8">
        <v>2041</v>
      </c>
      <c r="B37" s="4">
        <v>527092763.67112541</v>
      </c>
      <c r="C37" s="4"/>
      <c r="F37" s="8">
        <v>2041</v>
      </c>
      <c r="G37" s="4">
        <v>17390000</v>
      </c>
      <c r="H37" s="4"/>
      <c r="I37" s="22"/>
      <c r="J37" s="25"/>
      <c r="K37" s="8">
        <v>2041</v>
      </c>
      <c r="L37" s="22">
        <v>9906028.9531124178</v>
      </c>
      <c r="M37" s="4"/>
      <c r="N37" s="22"/>
      <c r="O37" s="25"/>
      <c r="P37" s="8">
        <v>2041</v>
      </c>
      <c r="Q37" s="4">
        <v>3514761.3893637084</v>
      </c>
      <c r="R37" s="4"/>
      <c r="S37" s="22"/>
      <c r="T37" s="25"/>
      <c r="U37" s="8">
        <v>2041</v>
      </c>
      <c r="V37" s="4">
        <v>17700000</v>
      </c>
      <c r="W37" s="4"/>
      <c r="X37" s="22"/>
      <c r="AB37" s="22"/>
      <c r="AC37" s="22"/>
    </row>
    <row r="38" spans="1:29" x14ac:dyDescent="0.2">
      <c r="A38" s="8">
        <v>2042</v>
      </c>
      <c r="B38" s="4">
        <v>531377871.4452678</v>
      </c>
      <c r="C38" s="4"/>
      <c r="F38" s="8">
        <v>2042</v>
      </c>
      <c r="G38" s="4">
        <v>18190000</v>
      </c>
      <c r="H38" s="4"/>
      <c r="I38" s="22"/>
      <c r="J38" s="25"/>
      <c r="K38" s="8">
        <v>2042</v>
      </c>
      <c r="L38" s="22">
        <v>8776226.2934758663</v>
      </c>
      <c r="M38" s="4"/>
      <c r="N38" s="22"/>
      <c r="O38" s="25"/>
      <c r="P38" s="8">
        <v>2042</v>
      </c>
      <c r="Q38" s="4">
        <v>3328453.3483705744</v>
      </c>
      <c r="R38" s="4"/>
      <c r="S38" s="22"/>
      <c r="T38" s="25"/>
      <c r="U38" s="8">
        <v>2042</v>
      </c>
      <c r="V38" s="4">
        <v>18400000</v>
      </c>
      <c r="W38" s="4"/>
      <c r="X38" s="22"/>
      <c r="AB38" s="22"/>
      <c r="AC38" s="22"/>
    </row>
    <row r="39" spans="1:29" x14ac:dyDescent="0.2">
      <c r="A39" s="8">
        <v>2043</v>
      </c>
      <c r="B39" s="4">
        <v>535594688.64670324</v>
      </c>
      <c r="C39" s="4"/>
      <c r="F39" s="8">
        <v>2043</v>
      </c>
      <c r="G39" s="4">
        <v>18990000</v>
      </c>
      <c r="H39" s="4"/>
      <c r="I39" s="22"/>
      <c r="J39" s="25"/>
      <c r="K39" s="8">
        <v>2043</v>
      </c>
      <c r="L39" s="22">
        <v>7775297.2684902512</v>
      </c>
      <c r="M39" s="4"/>
      <c r="N39" s="22"/>
      <c r="O39" s="25"/>
      <c r="P39" s="8">
        <v>2043</v>
      </c>
      <c r="Q39" s="4">
        <v>3152020.9951677257</v>
      </c>
      <c r="R39" s="4"/>
      <c r="S39" s="22"/>
      <c r="T39" s="25"/>
      <c r="U39" s="8">
        <v>2043</v>
      </c>
      <c r="V39" s="4">
        <v>19100000</v>
      </c>
      <c r="W39" s="4"/>
      <c r="X39" s="22"/>
      <c r="AB39" s="22"/>
      <c r="AC39" s="22"/>
    </row>
    <row r="40" spans="1:29" x14ac:dyDescent="0.2">
      <c r="A40" s="8">
        <v>2044</v>
      </c>
      <c r="B40" s="4">
        <v>539763320.33756661</v>
      </c>
      <c r="C40" s="4"/>
      <c r="F40" s="8">
        <v>2044</v>
      </c>
      <c r="G40" s="4">
        <v>19780000</v>
      </c>
      <c r="H40" s="4"/>
      <c r="I40" s="22"/>
      <c r="J40" s="25"/>
      <c r="K40" s="8">
        <v>2044</v>
      </c>
      <c r="L40" s="22">
        <v>6888541.6026714006</v>
      </c>
      <c r="M40" s="4"/>
      <c r="N40" s="22"/>
      <c r="O40" s="25"/>
      <c r="P40" s="8">
        <v>2044</v>
      </c>
      <c r="Q40" s="4">
        <v>2984940.8461265885</v>
      </c>
      <c r="R40" s="4"/>
      <c r="S40" s="22"/>
      <c r="T40" s="25"/>
      <c r="U40" s="8">
        <v>2044</v>
      </c>
      <c r="V40" s="4">
        <v>19800000</v>
      </c>
      <c r="W40" s="4"/>
      <c r="X40" s="22"/>
      <c r="AB40" s="22"/>
      <c r="AC40" s="22"/>
    </row>
    <row r="41" spans="1:29" x14ac:dyDescent="0.2">
      <c r="A41" s="8">
        <v>2045</v>
      </c>
      <c r="B41" s="4">
        <v>543913813.42868233</v>
      </c>
      <c r="C41" s="4"/>
      <c r="F41" s="8">
        <v>2045</v>
      </c>
      <c r="G41" s="4">
        <v>20580000</v>
      </c>
      <c r="H41" s="4"/>
      <c r="I41" s="22"/>
      <c r="J41" s="25"/>
      <c r="K41" s="8">
        <v>2045</v>
      </c>
      <c r="L41" s="22">
        <v>6102935.8416204052</v>
      </c>
      <c r="M41" s="4"/>
      <c r="N41" s="22"/>
      <c r="O41" s="25"/>
      <c r="P41" s="8">
        <v>2045</v>
      </c>
      <c r="Q41" s="4">
        <v>2826717.1660767458</v>
      </c>
      <c r="R41" s="4"/>
      <c r="S41" s="22"/>
      <c r="T41" s="25"/>
      <c r="U41" s="8">
        <v>2045</v>
      </c>
      <c r="V41" s="4">
        <v>20500000</v>
      </c>
      <c r="W41" s="4"/>
      <c r="X41" s="22"/>
      <c r="AB41" s="22"/>
      <c r="AC41" s="22"/>
    </row>
    <row r="42" spans="1:29" x14ac:dyDescent="0.2">
      <c r="A42" s="8">
        <v>2046</v>
      </c>
      <c r="B42" s="4">
        <v>547410419.46464074</v>
      </c>
      <c r="C42" s="4"/>
      <c r="F42" s="8">
        <v>2046</v>
      </c>
      <c r="G42" s="4">
        <v>21360000</v>
      </c>
      <c r="H42" s="4"/>
      <c r="I42" s="22"/>
      <c r="J42" s="25"/>
      <c r="K42" s="8">
        <v>2046</v>
      </c>
      <c r="L42" s="22">
        <v>5406942.0816301638</v>
      </c>
      <c r="M42" s="4"/>
      <c r="N42" s="22"/>
      <c r="O42" s="25"/>
      <c r="P42" s="8">
        <v>2046</v>
      </c>
      <c r="Q42" s="4">
        <v>2676880.4974348485</v>
      </c>
      <c r="R42" s="4"/>
      <c r="S42" s="22"/>
      <c r="T42" s="25"/>
      <c r="U42" s="8">
        <v>2046</v>
      </c>
      <c r="V42" s="4">
        <v>21200000</v>
      </c>
      <c r="W42" s="4"/>
      <c r="X42" s="22"/>
      <c r="AB42" s="22"/>
      <c r="AC42" s="22"/>
    </row>
    <row r="43" spans="1:29" x14ac:dyDescent="0.2">
      <c r="A43" s="8">
        <v>2047</v>
      </c>
      <c r="B43" s="4">
        <v>550917773.58923447</v>
      </c>
      <c r="C43" s="4"/>
      <c r="F43" s="8">
        <v>2047</v>
      </c>
      <c r="G43" s="4">
        <v>22130000</v>
      </c>
      <c r="H43" s="4"/>
      <c r="I43" s="22"/>
      <c r="J43" s="25"/>
      <c r="K43" s="8">
        <v>2047</v>
      </c>
      <c r="L43" s="22">
        <v>4790338.5169651024</v>
      </c>
      <c r="M43" s="4"/>
      <c r="N43" s="22"/>
      <c r="O43" s="25"/>
      <c r="P43" s="8">
        <v>2047</v>
      </c>
      <c r="Q43" s="4">
        <v>2534986.2673004679</v>
      </c>
      <c r="R43" s="4"/>
      <c r="S43" s="22"/>
      <c r="T43" s="25"/>
      <c r="U43" s="8">
        <v>2047</v>
      </c>
      <c r="V43" s="4">
        <v>21900000</v>
      </c>
      <c r="W43" s="4"/>
      <c r="X43" s="22"/>
      <c r="AB43" s="22"/>
      <c r="AC43" s="22"/>
    </row>
    <row r="44" spans="1:29" x14ac:dyDescent="0.2">
      <c r="A44" s="8">
        <v>2048</v>
      </c>
      <c r="B44" s="4">
        <v>554452819.83208847</v>
      </c>
      <c r="C44" s="4"/>
      <c r="F44" s="8">
        <v>2048</v>
      </c>
      <c r="G44" s="4">
        <v>22880000</v>
      </c>
      <c r="H44" s="4"/>
      <c r="I44" s="22"/>
      <c r="J44" s="25"/>
      <c r="K44" s="8">
        <v>2048</v>
      </c>
      <c r="L44" s="22">
        <v>4244069.3161363658</v>
      </c>
      <c r="M44" s="4"/>
      <c r="N44" s="22"/>
      <c r="O44" s="25"/>
      <c r="P44" s="8">
        <v>2048</v>
      </c>
      <c r="Q44" s="4">
        <v>2400613.4683860177</v>
      </c>
      <c r="R44" s="4"/>
      <c r="S44" s="22"/>
      <c r="T44" s="25"/>
      <c r="U44" s="8">
        <v>2048</v>
      </c>
      <c r="V44" s="4">
        <v>22600000</v>
      </c>
      <c r="W44" s="4"/>
      <c r="X44" s="22"/>
      <c r="AB44" s="22"/>
      <c r="AC44" s="22"/>
    </row>
    <row r="45" spans="1:29" x14ac:dyDescent="0.2">
      <c r="A45" s="8">
        <v>2049</v>
      </c>
      <c r="B45" s="4">
        <v>558032816.0162071</v>
      </c>
      <c r="C45" s="4"/>
      <c r="F45" s="8">
        <v>2049</v>
      </c>
      <c r="G45" s="4">
        <v>23610000</v>
      </c>
      <c r="H45" s="4"/>
      <c r="I45" s="22"/>
      <c r="J45" s="25"/>
      <c r="K45" s="8">
        <v>2049</v>
      </c>
      <c r="L45" s="22">
        <v>3760111.6223707162</v>
      </c>
      <c r="M45" s="4"/>
      <c r="N45" s="22"/>
      <c r="O45" s="25"/>
      <c r="P45" s="8">
        <v>2049</v>
      </c>
      <c r="Q45" s="4">
        <v>2273363.4098670539</v>
      </c>
      <c r="R45" s="4"/>
      <c r="S45" s="22"/>
      <c r="T45" s="25"/>
      <c r="U45" s="8">
        <v>2049</v>
      </c>
      <c r="V45" s="4">
        <v>23300000</v>
      </c>
      <c r="W45" s="4"/>
      <c r="X45" s="22"/>
      <c r="AB45" s="22"/>
      <c r="AC45" s="22"/>
    </row>
    <row r="46" spans="1:29" x14ac:dyDescent="0.2">
      <c r="A46" s="8">
        <v>2050</v>
      </c>
      <c r="B46" s="4">
        <v>561675511.59079397</v>
      </c>
      <c r="C46" s="4"/>
      <c r="F46" s="8">
        <v>2050</v>
      </c>
      <c r="G46" s="4">
        <v>24320000</v>
      </c>
      <c r="H46" s="4"/>
      <c r="I46" s="22"/>
      <c r="J46" s="25"/>
      <c r="K46" s="8">
        <v>2050</v>
      </c>
      <c r="L46" s="22">
        <v>3331357.7249662941</v>
      </c>
      <c r="M46" s="4"/>
      <c r="N46" s="22"/>
      <c r="O46" s="25"/>
      <c r="P46" s="8">
        <v>2050</v>
      </c>
      <c r="Q46" s="4">
        <v>2152858.5344466278</v>
      </c>
      <c r="R46" s="4"/>
      <c r="S46" s="22"/>
      <c r="T46" s="25"/>
      <c r="U46" s="8">
        <v>2050</v>
      </c>
      <c r="V46" s="4">
        <v>24000000</v>
      </c>
      <c r="W46" s="4"/>
      <c r="X46" s="22"/>
      <c r="AB46" s="22"/>
      <c r="AC46" s="22"/>
    </row>
    <row r="47" spans="1:29" x14ac:dyDescent="0.2">
      <c r="A47" s="8">
        <v>2051</v>
      </c>
      <c r="B47" s="4">
        <v>565910946.68505359</v>
      </c>
      <c r="C47" s="4"/>
      <c r="F47" s="8">
        <v>2051</v>
      </c>
      <c r="G47" s="4">
        <v>25000000</v>
      </c>
      <c r="H47" s="4"/>
      <c r="I47" s="22"/>
      <c r="J47" s="25"/>
      <c r="K47" s="8">
        <v>2051</v>
      </c>
      <c r="L47" s="22">
        <v>2951510.6710360954</v>
      </c>
      <c r="M47" s="4"/>
      <c r="N47" s="22"/>
      <c r="O47" s="25"/>
      <c r="P47" s="8">
        <v>2051</v>
      </c>
      <c r="Q47" s="4">
        <v>2038741.2981238766</v>
      </c>
      <c r="R47" s="4"/>
      <c r="S47" s="22"/>
      <c r="T47" s="25"/>
      <c r="U47" s="8">
        <v>2051</v>
      </c>
      <c r="V47" s="4">
        <v>24700000</v>
      </c>
      <c r="W47" s="4"/>
      <c r="X47" s="22"/>
      <c r="AB47" s="22"/>
      <c r="AC47" s="22"/>
    </row>
    <row r="48" spans="1:29" x14ac:dyDescent="0.2">
      <c r="A48" s="8">
        <v>2052</v>
      </c>
      <c r="B48" s="4">
        <v>568020386.73224449</v>
      </c>
      <c r="C48" s="4"/>
      <c r="F48" s="8">
        <v>2052</v>
      </c>
      <c r="G48" s="4">
        <v>25650000</v>
      </c>
      <c r="H48" s="4"/>
      <c r="I48" s="22"/>
      <c r="J48" s="25"/>
      <c r="K48" s="8">
        <v>2052</v>
      </c>
      <c r="L48" s="22">
        <v>2614991.7845327975</v>
      </c>
      <c r="M48" s="4"/>
      <c r="N48" s="22"/>
      <c r="O48" s="25"/>
      <c r="P48" s="8">
        <v>2052</v>
      </c>
      <c r="Q48" s="4">
        <v>1930673.109343068</v>
      </c>
      <c r="R48" s="4"/>
      <c r="S48" s="22"/>
      <c r="T48" s="25"/>
      <c r="U48" s="8">
        <v>2052</v>
      </c>
      <c r="V48" s="4">
        <v>25400000</v>
      </c>
      <c r="W48" s="4"/>
      <c r="X48" s="22"/>
      <c r="AB48" s="22"/>
      <c r="AC48" s="22"/>
    </row>
    <row r="49" spans="1:29" x14ac:dyDescent="0.2">
      <c r="A49" s="8">
        <v>2053</v>
      </c>
      <c r="B49" s="4">
        <v>570231330.30124331</v>
      </c>
      <c r="C49" s="4"/>
      <c r="F49" s="8">
        <v>2053</v>
      </c>
      <c r="G49" s="4">
        <v>26260000</v>
      </c>
      <c r="H49" s="4"/>
      <c r="I49" s="22"/>
      <c r="J49" s="25"/>
      <c r="K49" s="8">
        <v>2053</v>
      </c>
      <c r="L49" s="22">
        <v>2316858.7343253405</v>
      </c>
      <c r="M49" s="4"/>
      <c r="N49" s="22"/>
      <c r="O49" s="25"/>
      <c r="P49" s="8">
        <v>2053</v>
      </c>
      <c r="Q49" s="4">
        <v>1828333.3243754904</v>
      </c>
      <c r="R49" s="4"/>
      <c r="S49" s="22"/>
      <c r="T49" s="25"/>
      <c r="U49" s="8">
        <v>2053</v>
      </c>
      <c r="V49" s="4">
        <v>26100000</v>
      </c>
      <c r="W49" s="4"/>
      <c r="X49" s="22"/>
      <c r="AB49" s="22"/>
      <c r="AC49" s="22"/>
    </row>
    <row r="50" spans="1:29" x14ac:dyDescent="0.2">
      <c r="A50" s="8">
        <v>2054</v>
      </c>
      <c r="B50" s="4">
        <v>572564820.79557848</v>
      </c>
      <c r="C50" s="4"/>
      <c r="F50" s="8">
        <v>2054</v>
      </c>
      <c r="G50" s="4">
        <v>26840000</v>
      </c>
      <c r="H50" s="4"/>
      <c r="I50" s="22"/>
      <c r="J50" s="25"/>
      <c r="K50" s="8">
        <v>2054</v>
      </c>
      <c r="L50" s="22">
        <v>2052732.9480268427</v>
      </c>
      <c r="M50" s="4"/>
      <c r="N50" s="22"/>
      <c r="O50" s="25"/>
      <c r="P50" s="8">
        <v>2054</v>
      </c>
      <c r="Q50" s="4">
        <v>1731418.295953454</v>
      </c>
      <c r="R50" s="4"/>
      <c r="S50" s="22"/>
      <c r="T50" s="25"/>
      <c r="U50" s="8">
        <v>2054</v>
      </c>
      <c r="V50" s="4">
        <v>26800000</v>
      </c>
      <c r="W50" s="4"/>
      <c r="X50" s="22"/>
      <c r="AB50" s="22"/>
      <c r="AC50" s="22"/>
    </row>
    <row r="51" spans="1:29" x14ac:dyDescent="0.2">
      <c r="A51" s="8">
        <v>2055</v>
      </c>
      <c r="B51" s="4">
        <v>575043320.47694802</v>
      </c>
      <c r="C51" s="4"/>
      <c r="F51" s="8">
        <v>2055</v>
      </c>
      <c r="G51" s="4">
        <v>27380000</v>
      </c>
      <c r="H51" s="4"/>
      <c r="I51" s="22"/>
      <c r="J51" s="25"/>
      <c r="K51" s="8">
        <v>2055</v>
      </c>
      <c r="L51" s="22">
        <v>1818735.3055303001</v>
      </c>
      <c r="M51" s="4"/>
      <c r="N51" s="22"/>
      <c r="O51" s="25"/>
      <c r="P51" s="8">
        <v>2055</v>
      </c>
      <c r="Q51" s="4">
        <v>1639640.4723336399</v>
      </c>
      <c r="R51" s="4"/>
      <c r="S51" s="22"/>
      <c r="T51" s="25"/>
      <c r="U51" s="8">
        <v>2055</v>
      </c>
      <c r="V51" s="4">
        <v>27500000</v>
      </c>
      <c r="W51" s="4"/>
      <c r="X51" s="22"/>
      <c r="AB51" s="22"/>
      <c r="AC51" s="22"/>
    </row>
    <row r="52" spans="1:29" x14ac:dyDescent="0.2">
      <c r="A52" s="8">
        <v>2056</v>
      </c>
      <c r="B52" s="4">
        <v>577750643.85923791</v>
      </c>
      <c r="C52" s="4"/>
      <c r="F52" s="8">
        <v>2056</v>
      </c>
      <c r="G52" s="4">
        <v>27870000</v>
      </c>
      <c r="H52" s="4"/>
      <c r="I52" s="22"/>
      <c r="J52" s="25"/>
      <c r="K52" s="8">
        <v>2056</v>
      </c>
      <c r="L52" s="22">
        <v>1611429.1678089635</v>
      </c>
      <c r="M52" s="4"/>
      <c r="N52" s="22"/>
      <c r="O52" s="25"/>
      <c r="P52" s="8">
        <v>2056</v>
      </c>
      <c r="Q52" s="4">
        <v>1552727.5441166726</v>
      </c>
      <c r="R52" s="4"/>
      <c r="S52" s="22"/>
      <c r="T52" s="25"/>
      <c r="U52" s="8">
        <v>2056</v>
      </c>
      <c r="V52" s="4">
        <v>28200000</v>
      </c>
      <c r="W52" s="4"/>
      <c r="X52" s="22"/>
      <c r="AB52" s="22"/>
      <c r="AC52" s="22"/>
    </row>
    <row r="53" spans="1:29" x14ac:dyDescent="0.2">
      <c r="A53" s="8">
        <v>2057</v>
      </c>
      <c r="B53" s="4">
        <v>580653256.36030495</v>
      </c>
      <c r="C53" s="4"/>
      <c r="F53" s="8">
        <v>2057</v>
      </c>
      <c r="G53" s="4">
        <v>28320000</v>
      </c>
      <c r="H53" s="4"/>
      <c r="I53" s="22"/>
      <c r="J53" s="25"/>
      <c r="K53" s="8">
        <v>2057</v>
      </c>
      <c r="L53" s="22">
        <v>1427769.9042681537</v>
      </c>
      <c r="M53" s="4"/>
      <c r="N53" s="22"/>
      <c r="O53" s="25"/>
      <c r="P53" s="8">
        <v>2057</v>
      </c>
      <c r="Q53" s="4">
        <v>1470421.6362914974</v>
      </c>
      <c r="R53" s="4"/>
      <c r="S53" s="22"/>
      <c r="T53" s="25"/>
      <c r="U53" s="8">
        <v>2057</v>
      </c>
      <c r="V53" s="4">
        <v>28900000</v>
      </c>
      <c r="W53" s="4"/>
      <c r="X53" s="22"/>
      <c r="AB53" s="22"/>
      <c r="AC53" s="22"/>
    </row>
    <row r="54" spans="1:29" x14ac:dyDescent="0.2">
      <c r="A54" s="8">
        <v>2058</v>
      </c>
      <c r="B54" s="4">
        <v>583779583.6435324</v>
      </c>
      <c r="C54" s="4"/>
      <c r="F54" s="8">
        <v>2058</v>
      </c>
      <c r="G54" s="4">
        <v>28710000</v>
      </c>
      <c r="H54" s="4"/>
      <c r="I54" s="22"/>
      <c r="J54" s="25"/>
      <c r="K54" s="8">
        <v>2058</v>
      </c>
      <c r="L54" s="22">
        <v>1265060.177376695</v>
      </c>
      <c r="M54" s="4"/>
      <c r="N54" s="22"/>
      <c r="O54" s="25"/>
      <c r="P54" s="8">
        <v>2058</v>
      </c>
      <c r="Q54" s="4">
        <v>1392478.5431073022</v>
      </c>
      <c r="R54" s="4"/>
      <c r="S54" s="22"/>
      <c r="T54" s="25"/>
      <c r="U54" s="8">
        <v>2058</v>
      </c>
      <c r="V54" s="4">
        <v>29600000</v>
      </c>
      <c r="W54" s="4"/>
      <c r="X54" s="22"/>
      <c r="AB54" s="22"/>
      <c r="AC54" s="22"/>
    </row>
    <row r="55" spans="1:29" x14ac:dyDescent="0.2">
      <c r="A55" s="8">
        <v>2059</v>
      </c>
      <c r="B55" s="4">
        <v>587160692.1395154</v>
      </c>
      <c r="C55" s="4"/>
      <c r="F55" s="8">
        <v>2059</v>
      </c>
      <c r="G55" s="4">
        <v>29060000</v>
      </c>
      <c r="H55" s="4"/>
      <c r="I55" s="22"/>
      <c r="J55" s="25"/>
      <c r="K55" s="8">
        <v>2059</v>
      </c>
      <c r="L55" s="22">
        <v>1120910.3278609244</v>
      </c>
      <c r="M55" s="4"/>
      <c r="N55" s="22"/>
      <c r="O55" s="25"/>
      <c r="P55" s="8">
        <v>2059</v>
      </c>
      <c r="Q55" s="4">
        <v>1318667.0035028292</v>
      </c>
      <c r="R55" s="4"/>
      <c r="S55" s="22"/>
      <c r="T55" s="25"/>
      <c r="U55" s="8">
        <v>2059</v>
      </c>
      <c r="V55" s="4">
        <v>30300000</v>
      </c>
      <c r="W55" s="4"/>
      <c r="X55" s="22"/>
      <c r="AB55" s="22"/>
      <c r="AC55" s="22"/>
    </row>
    <row r="56" spans="1:29" x14ac:dyDescent="0.2">
      <c r="A56" s="8">
        <v>2060</v>
      </c>
      <c r="B56" s="4">
        <v>590830665.85023308</v>
      </c>
      <c r="C56" s="4"/>
      <c r="F56" s="8">
        <v>2060</v>
      </c>
      <c r="G56" s="4">
        <v>29350000</v>
      </c>
      <c r="H56" s="4"/>
      <c r="I56" s="22"/>
      <c r="J56" s="25"/>
      <c r="K56" s="8">
        <v>2060</v>
      </c>
      <c r="L56" s="22">
        <v>993203.27865403006</v>
      </c>
      <c r="M56" s="4"/>
      <c r="N56" s="22"/>
      <c r="O56" s="25"/>
      <c r="P56" s="8">
        <v>2060</v>
      </c>
      <c r="Q56" s="4">
        <v>1248768.0149432186</v>
      </c>
      <c r="R56" s="4"/>
      <c r="S56" s="22"/>
      <c r="T56" s="25"/>
      <c r="U56" s="8">
        <v>2060</v>
      </c>
      <c r="V56" s="4">
        <v>31000000</v>
      </c>
      <c r="W56" s="4"/>
      <c r="X56" s="22"/>
      <c r="AB56" s="22"/>
      <c r="AC56" s="22"/>
    </row>
    <row r="57" spans="1:29" x14ac:dyDescent="0.2">
      <c r="A57" s="44">
        <v>2061</v>
      </c>
      <c r="B57" s="42" cm="1">
        <f t="array" ref="B57:B66">TRANSPOSE(AR2:BA2)</f>
        <v>594592875.66790986</v>
      </c>
      <c r="F57" s="44">
        <v>2061</v>
      </c>
      <c r="G57" s="42" cm="1">
        <f t="array" ref="G57:G66">TRANSPOSE(AR4:BA4)</f>
        <v>29642894.012388166</v>
      </c>
      <c r="K57" s="44">
        <v>2061</v>
      </c>
      <c r="L57" s="42" cm="1">
        <f t="array" ref="L57:L66">TRANSPOSE(AR7:BA7)</f>
        <v>880063.44434497214</v>
      </c>
      <c r="P57" s="44">
        <v>2061</v>
      </c>
      <c r="Q57" s="42" cm="1">
        <f t="array" ref="Q57:Q66">TRANSPOSE(AR8:BA8)</f>
        <v>1182574.1836285212</v>
      </c>
      <c r="R57" s="25"/>
      <c r="S57" s="25"/>
      <c r="T57" s="25"/>
      <c r="U57" s="44">
        <v>2061</v>
      </c>
      <c r="V57" s="42" cm="1">
        <f t="array" ref="V57:V66">TRANSPOSE(AR10:BA10)</f>
        <v>31716171.617161717</v>
      </c>
      <c r="W57" s="25"/>
      <c r="X57" s="25"/>
    </row>
    <row r="58" spans="1:29" x14ac:dyDescent="0.2">
      <c r="A58" s="44">
        <v>2062</v>
      </c>
      <c r="B58" s="42">
        <v>598449716.21076739</v>
      </c>
      <c r="F58" s="44">
        <v>2062</v>
      </c>
      <c r="G58" s="42">
        <v>29938710.917535882</v>
      </c>
      <c r="K58" s="44">
        <v>2062</v>
      </c>
      <c r="L58" s="42">
        <v>779829.18031679187</v>
      </c>
      <c r="P58" s="44">
        <v>2062</v>
      </c>
      <c r="Q58" s="42">
        <v>1119889.1091459068</v>
      </c>
      <c r="U58" s="44">
        <v>2062</v>
      </c>
      <c r="V58" s="42">
        <v>32448888.453201752</v>
      </c>
    </row>
    <row r="59" spans="1:29" x14ac:dyDescent="0.2">
      <c r="A59" s="44">
        <v>2063</v>
      </c>
      <c r="B59" s="42">
        <v>602403644.34305084</v>
      </c>
      <c r="F59" s="44">
        <v>2063</v>
      </c>
      <c r="G59" s="42">
        <v>30237479.88402196</v>
      </c>
      <c r="K59" s="44">
        <v>2063</v>
      </c>
      <c r="L59" s="42">
        <v>691028.38146659988</v>
      </c>
      <c r="P59" s="44">
        <v>2063</v>
      </c>
      <c r="Q59" s="42">
        <v>1060526.8017398017</v>
      </c>
      <c r="U59" s="44">
        <v>2063</v>
      </c>
      <c r="V59" s="42">
        <v>33198532.740899481</v>
      </c>
    </row>
    <row r="60" spans="1:29" x14ac:dyDescent="0.2">
      <c r="A60" s="44">
        <v>2064</v>
      </c>
      <c r="B60" s="42">
        <v>606457180.7931354</v>
      </c>
      <c r="F60" s="44">
        <v>2064</v>
      </c>
      <c r="G60" s="42">
        <v>30539230.371508766</v>
      </c>
      <c r="K60" s="44">
        <v>2064</v>
      </c>
      <c r="L60" s="42">
        <v>612356.86192225816</v>
      </c>
      <c r="P60" s="44">
        <v>2064</v>
      </c>
      <c r="Q60" s="42">
        <v>1004311.1304709697</v>
      </c>
      <c r="U60" s="44">
        <v>2064</v>
      </c>
      <c r="V60" s="42">
        <v>33965495.543494523</v>
      </c>
    </row>
    <row r="61" spans="1:29" x14ac:dyDescent="0.2">
      <c r="A61" s="44">
        <v>2065</v>
      </c>
      <c r="B61" s="42">
        <v>610612911.81369781</v>
      </c>
      <c r="F61" s="44">
        <v>2065</v>
      </c>
      <c r="G61" s="42">
        <v>30843992.133647017</v>
      </c>
      <c r="K61" s="44">
        <v>2065</v>
      </c>
      <c r="L61" s="42">
        <v>542659.20092899422</v>
      </c>
      <c r="P61" s="44">
        <v>2065</v>
      </c>
      <c r="Q61" s="42">
        <v>951075.30062719272</v>
      </c>
      <c r="U61" s="44">
        <v>2065</v>
      </c>
      <c r="V61" s="42">
        <v>34750176.958690755</v>
      </c>
    </row>
    <row r="62" spans="1:29" x14ac:dyDescent="0.2">
      <c r="A62" s="44">
        <v>2066</v>
      </c>
      <c r="B62" s="42">
        <v>614873490.88504469</v>
      </c>
      <c r="F62" s="44">
        <v>2066</v>
      </c>
      <c r="G62" s="42">
        <v>31151795.221009634</v>
      </c>
      <c r="K62" s="44">
        <v>2066</v>
      </c>
      <c r="L62" s="42">
        <v>480911.77359630802</v>
      </c>
      <c r="P62" s="44">
        <v>2066</v>
      </c>
      <c r="Q62" s="42">
        <v>900661.35883500637</v>
      </c>
      <c r="U62" s="44">
        <v>2066</v>
      </c>
      <c r="V62" s="42">
        <v>35552986.327373385</v>
      </c>
    </row>
    <row r="63" spans="1:29" x14ac:dyDescent="0.2">
      <c r="A63" s="44">
        <v>2067</v>
      </c>
      <c r="B63" s="42">
        <v>619241640.46271777</v>
      </c>
      <c r="F63" s="44">
        <v>2067</v>
      </c>
      <c r="G63" s="42">
        <v>31462669.984054811</v>
      </c>
      <c r="K63" s="44">
        <v>2067</v>
      </c>
      <c r="L63" s="42">
        <v>426207.71728379495</v>
      </c>
      <c r="P63" s="44">
        <v>2067</v>
      </c>
      <c r="Q63" s="42">
        <v>852919.7244041299</v>
      </c>
      <c r="U63" s="44">
        <v>2067</v>
      </c>
      <c r="V63" s="42">
        <v>36374342.447147682</v>
      </c>
    </row>
    <row r="64" spans="1:29" x14ac:dyDescent="0.2">
      <c r="A64" s="44">
        <v>2068</v>
      </c>
      <c r="B64" s="42">
        <v>623720153.77053142</v>
      </c>
      <c r="F64" s="44">
        <v>2068</v>
      </c>
      <c r="G64" s="42">
        <v>31776647.076118682</v>
      </c>
      <c r="K64" s="44">
        <v>2068</v>
      </c>
      <c r="L64" s="42">
        <v>377743.61283254845</v>
      </c>
      <c r="P64" s="44">
        <v>2068</v>
      </c>
      <c r="Q64" s="42">
        <v>807708.74551406584</v>
      </c>
      <c r="U64" s="44">
        <v>2068</v>
      </c>
      <c r="V64" s="42">
        <v>37214673.790811159</v>
      </c>
    </row>
    <row r="65" spans="1:22" x14ac:dyDescent="0.2">
      <c r="A65" s="44">
        <v>2069</v>
      </c>
      <c r="B65" s="42">
        <v>628311896.64021814</v>
      </c>
      <c r="F65" s="44">
        <v>2069</v>
      </c>
      <c r="G65" s="42">
        <v>32093757.456437834</v>
      </c>
      <c r="K65" s="44">
        <v>2069</v>
      </c>
      <c r="L65" s="42">
        <v>334807.68503413076</v>
      </c>
      <c r="P65" s="44">
        <v>2069</v>
      </c>
      <c r="Q65" s="42">
        <v>764894.27892605437</v>
      </c>
      <c r="U65" s="44">
        <v>2069</v>
      </c>
      <c r="V65" s="42">
        <v>38074418.7298728</v>
      </c>
    </row>
    <row r="66" spans="1:22" x14ac:dyDescent="0.2">
      <c r="A66" s="44">
        <v>2070</v>
      </c>
      <c r="B66" s="42">
        <v>633019809.3988992</v>
      </c>
      <c r="F66" s="44">
        <v>2070</v>
      </c>
      <c r="G66" s="42">
        <v>32414032.393202014</v>
      </c>
      <c r="K66" s="44">
        <v>2070</v>
      </c>
      <c r="L66" s="42">
        <v>296769.34904160362</v>
      </c>
      <c r="P66" s="44">
        <v>2070</v>
      </c>
      <c r="Q66" s="42">
        <v>724349.29197336512</v>
      </c>
      <c r="U66" s="44">
        <v>2070</v>
      </c>
      <c r="V66" s="42">
        <v>38954025.763236202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DDCD-B4F0-8943-8F07-B2710950C2C2}">
  <dimension ref="A1:AZ11"/>
  <sheetViews>
    <sheetView topLeftCell="AC1" workbookViewId="0">
      <selection activeCell="AL24" sqref="AL24"/>
    </sheetView>
  </sheetViews>
  <sheetFormatPr baseColWidth="10" defaultRowHeight="16" x14ac:dyDescent="0.2"/>
  <sheetData>
    <row r="1" spans="1:52" x14ac:dyDescent="0.2">
      <c r="A1" s="1" t="s">
        <v>11</v>
      </c>
      <c r="B1" s="8">
        <v>2020</v>
      </c>
      <c r="C1" s="8">
        <v>2021</v>
      </c>
      <c r="D1" s="8">
        <v>2022</v>
      </c>
      <c r="E1" s="8">
        <v>2023</v>
      </c>
      <c r="F1" s="8">
        <v>2024</v>
      </c>
      <c r="G1" s="8">
        <v>2025</v>
      </c>
      <c r="H1" s="8">
        <v>2026</v>
      </c>
      <c r="I1" s="8">
        <v>2027</v>
      </c>
      <c r="J1" s="8">
        <v>2028</v>
      </c>
      <c r="K1" s="8">
        <v>2029</v>
      </c>
      <c r="L1" s="8">
        <v>2030</v>
      </c>
      <c r="M1" s="8">
        <v>2031</v>
      </c>
      <c r="N1" s="8">
        <v>2032</v>
      </c>
      <c r="O1" s="8">
        <v>2033</v>
      </c>
      <c r="P1" s="8">
        <v>2034</v>
      </c>
      <c r="Q1" s="8">
        <v>2035</v>
      </c>
      <c r="R1" s="8">
        <v>2036</v>
      </c>
      <c r="S1" s="8">
        <v>2037</v>
      </c>
      <c r="T1" s="8">
        <v>2038</v>
      </c>
      <c r="U1" s="8">
        <v>2039</v>
      </c>
      <c r="V1" s="8">
        <v>2040</v>
      </c>
      <c r="W1" s="8">
        <v>2041</v>
      </c>
      <c r="X1" s="8">
        <v>2042</v>
      </c>
      <c r="Y1" s="8">
        <v>2043</v>
      </c>
      <c r="Z1" s="8">
        <v>2044</v>
      </c>
      <c r="AA1" s="8">
        <v>2045</v>
      </c>
      <c r="AB1" s="8">
        <v>2046</v>
      </c>
      <c r="AC1" s="8">
        <v>2047</v>
      </c>
      <c r="AD1" s="8">
        <v>2048</v>
      </c>
      <c r="AE1" s="8">
        <v>2049</v>
      </c>
      <c r="AF1" s="8">
        <v>2050</v>
      </c>
      <c r="AG1" s="8">
        <v>2051</v>
      </c>
      <c r="AH1" s="8">
        <v>2052</v>
      </c>
      <c r="AI1" s="8">
        <v>2053</v>
      </c>
      <c r="AJ1" s="8">
        <v>2054</v>
      </c>
      <c r="AK1" s="8">
        <v>2055</v>
      </c>
      <c r="AL1" s="8">
        <v>2056</v>
      </c>
      <c r="AM1" s="8">
        <v>2057</v>
      </c>
      <c r="AN1" s="8">
        <v>2058</v>
      </c>
      <c r="AO1" s="8">
        <v>2059</v>
      </c>
      <c r="AP1" s="8">
        <v>2060</v>
      </c>
      <c r="AQ1" s="44">
        <f>AP1+1</f>
        <v>2061</v>
      </c>
      <c r="AR1" s="44">
        <f t="shared" ref="AR1:AY1" si="0">AQ1+1</f>
        <v>2062</v>
      </c>
      <c r="AS1" s="44">
        <f t="shared" si="0"/>
        <v>2063</v>
      </c>
      <c r="AT1" s="44">
        <f t="shared" si="0"/>
        <v>2064</v>
      </c>
      <c r="AU1" s="44">
        <f t="shared" si="0"/>
        <v>2065</v>
      </c>
      <c r="AV1" s="44">
        <f t="shared" si="0"/>
        <v>2066</v>
      </c>
      <c r="AW1" s="44">
        <f>AV1+1</f>
        <v>2067</v>
      </c>
      <c r="AX1" s="44">
        <f t="shared" si="0"/>
        <v>2068</v>
      </c>
      <c r="AY1" s="44">
        <f t="shared" si="0"/>
        <v>2069</v>
      </c>
      <c r="AZ1" s="44">
        <f>AY1+1</f>
        <v>2070</v>
      </c>
    </row>
    <row r="2" spans="1:52" x14ac:dyDescent="0.2">
      <c r="A2" s="1" t="s">
        <v>22</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2">
        <v>0</v>
      </c>
      <c r="AR2" s="42">
        <v>0</v>
      </c>
      <c r="AS2" s="42">
        <v>0</v>
      </c>
      <c r="AT2" s="42">
        <v>0</v>
      </c>
      <c r="AU2" s="42">
        <v>0</v>
      </c>
      <c r="AV2" s="42">
        <v>0</v>
      </c>
      <c r="AW2" s="42">
        <v>0</v>
      </c>
      <c r="AX2" s="42">
        <v>0</v>
      </c>
      <c r="AY2" s="42">
        <v>0</v>
      </c>
      <c r="AZ2" s="42">
        <v>0</v>
      </c>
    </row>
    <row r="3" spans="1:52" x14ac:dyDescent="0.2">
      <c r="A3" s="1" t="s">
        <v>23</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2">
        <v>0</v>
      </c>
      <c r="AR3" s="42">
        <v>0</v>
      </c>
      <c r="AS3" s="42">
        <v>0</v>
      </c>
      <c r="AT3" s="42">
        <v>0</v>
      </c>
      <c r="AU3" s="42">
        <v>0</v>
      </c>
      <c r="AV3" s="42">
        <v>0</v>
      </c>
      <c r="AW3" s="42">
        <v>0</v>
      </c>
      <c r="AX3" s="42">
        <v>0</v>
      </c>
      <c r="AY3" s="42">
        <v>0</v>
      </c>
      <c r="AZ3" s="42">
        <v>0</v>
      </c>
    </row>
    <row r="4" spans="1:52" x14ac:dyDescent="0.2">
      <c r="A4" s="1" t="s">
        <v>24</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2">
        <v>0</v>
      </c>
      <c r="AR4" s="42">
        <v>0</v>
      </c>
      <c r="AS4" s="42">
        <v>0</v>
      </c>
      <c r="AT4" s="42">
        <v>0</v>
      </c>
      <c r="AU4" s="42">
        <v>0</v>
      </c>
      <c r="AV4" s="42">
        <v>0</v>
      </c>
      <c r="AW4" s="42">
        <v>0</v>
      </c>
      <c r="AX4" s="42">
        <v>0</v>
      </c>
      <c r="AY4" s="42">
        <v>0</v>
      </c>
      <c r="AZ4" s="42">
        <v>0</v>
      </c>
    </row>
    <row r="5" spans="1:52" x14ac:dyDescent="0.2">
      <c r="A5" s="1" t="s">
        <v>25</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2">
        <v>0</v>
      </c>
      <c r="AR5" s="42">
        <v>0</v>
      </c>
      <c r="AS5" s="42">
        <v>0</v>
      </c>
      <c r="AT5" s="42">
        <v>0</v>
      </c>
      <c r="AU5" s="42">
        <v>0</v>
      </c>
      <c r="AV5" s="42">
        <v>0</v>
      </c>
      <c r="AW5" s="42">
        <v>0</v>
      </c>
      <c r="AX5" s="42">
        <v>0</v>
      </c>
      <c r="AY5" s="42">
        <v>0</v>
      </c>
      <c r="AZ5" s="42">
        <v>0</v>
      </c>
    </row>
    <row r="6" spans="1:52" x14ac:dyDescent="0.2">
      <c r="A6" s="1" t="s">
        <v>26</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2">
        <v>0</v>
      </c>
      <c r="AR6" s="42">
        <v>0</v>
      </c>
      <c r="AS6" s="42">
        <v>0</v>
      </c>
      <c r="AT6" s="42">
        <v>0</v>
      </c>
      <c r="AU6" s="42">
        <v>0</v>
      </c>
      <c r="AV6" s="42">
        <v>0</v>
      </c>
      <c r="AW6" s="42">
        <v>0</v>
      </c>
      <c r="AX6" s="42">
        <v>0</v>
      </c>
      <c r="AY6" s="42">
        <v>0</v>
      </c>
      <c r="AZ6" s="42">
        <v>0</v>
      </c>
    </row>
    <row r="7" spans="1:52" x14ac:dyDescent="0.2">
      <c r="A7" s="1" t="s">
        <v>27</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2">
        <v>0</v>
      </c>
      <c r="AR7" s="42">
        <v>0</v>
      </c>
      <c r="AS7" s="42">
        <v>0</v>
      </c>
      <c r="AT7" s="42">
        <v>0</v>
      </c>
      <c r="AU7" s="42">
        <v>0</v>
      </c>
      <c r="AV7" s="42">
        <v>0</v>
      </c>
      <c r="AW7" s="42">
        <v>0</v>
      </c>
      <c r="AX7" s="42">
        <v>0</v>
      </c>
      <c r="AY7" s="42">
        <v>0</v>
      </c>
      <c r="AZ7" s="42">
        <v>0</v>
      </c>
    </row>
    <row r="8" spans="1:52" x14ac:dyDescent="0.2">
      <c r="A8" s="1" t="s">
        <v>28</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2">
        <v>0</v>
      </c>
      <c r="AR8" s="42">
        <v>0</v>
      </c>
      <c r="AS8" s="42">
        <v>0</v>
      </c>
      <c r="AT8" s="42">
        <v>0</v>
      </c>
      <c r="AU8" s="42">
        <v>0</v>
      </c>
      <c r="AV8" s="42">
        <v>0</v>
      </c>
      <c r="AW8" s="42">
        <v>0</v>
      </c>
      <c r="AX8" s="42">
        <v>0</v>
      </c>
      <c r="AY8" s="42">
        <v>0</v>
      </c>
      <c r="AZ8" s="42">
        <v>0</v>
      </c>
    </row>
    <row r="9" spans="1:52" x14ac:dyDescent="0.2">
      <c r="A9" s="1" t="s">
        <v>29</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2">
        <v>0</v>
      </c>
      <c r="AR9" s="42">
        <v>0</v>
      </c>
      <c r="AS9" s="42">
        <v>0</v>
      </c>
      <c r="AT9" s="42">
        <v>0</v>
      </c>
      <c r="AU9" s="42">
        <v>0</v>
      </c>
      <c r="AV9" s="42">
        <v>0</v>
      </c>
      <c r="AW9" s="42">
        <v>0</v>
      </c>
      <c r="AX9" s="42">
        <v>0</v>
      </c>
      <c r="AY9" s="42">
        <v>0</v>
      </c>
      <c r="AZ9" s="42">
        <v>0</v>
      </c>
    </row>
    <row r="10" spans="1:52" x14ac:dyDescent="0.2">
      <c r="A10" s="1" t="s">
        <v>30</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2">
        <v>0</v>
      </c>
      <c r="AR10" s="42">
        <v>0</v>
      </c>
      <c r="AS10" s="42">
        <v>0</v>
      </c>
      <c r="AT10" s="42">
        <v>0</v>
      </c>
      <c r="AU10" s="42">
        <v>0</v>
      </c>
      <c r="AV10" s="42">
        <v>0</v>
      </c>
      <c r="AW10" s="42">
        <v>0</v>
      </c>
      <c r="AX10" s="42">
        <v>0</v>
      </c>
      <c r="AY10" s="42">
        <v>0</v>
      </c>
      <c r="AZ10" s="42">
        <v>0</v>
      </c>
    </row>
    <row r="11" spans="1:52" x14ac:dyDescent="0.2">
      <c r="A11" s="1" t="s">
        <v>31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2">
        <v>0</v>
      </c>
      <c r="AR11" s="42">
        <v>0</v>
      </c>
      <c r="AS11" s="42">
        <v>0</v>
      </c>
      <c r="AT11" s="42">
        <v>0</v>
      </c>
      <c r="AU11" s="42">
        <v>0</v>
      </c>
      <c r="AV11" s="42">
        <v>0</v>
      </c>
      <c r="AW11" s="42">
        <v>0</v>
      </c>
      <c r="AX11" s="42">
        <v>0</v>
      </c>
      <c r="AY11" s="42">
        <v>0</v>
      </c>
      <c r="AZ11" s="42">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45D7-D38E-AC45-8D58-BEED0E1E35E0}">
  <sheetPr>
    <tabColor theme="4" tint="0.79998168889431442"/>
  </sheetPr>
  <dimension ref="A1:B3"/>
  <sheetViews>
    <sheetView workbookViewId="0">
      <selection activeCell="A12" sqref="A12:XFD12"/>
    </sheetView>
  </sheetViews>
  <sheetFormatPr baseColWidth="10" defaultRowHeight="16" x14ac:dyDescent="0.2"/>
  <sheetData>
    <row r="1" spans="1:2" x14ac:dyDescent="0.2">
      <c r="A1" s="3" t="s">
        <v>148</v>
      </c>
    </row>
    <row r="2" spans="1:2" x14ac:dyDescent="0.2">
      <c r="A2" s="13" t="s">
        <v>150</v>
      </c>
      <c r="B2" s="14">
        <v>1</v>
      </c>
    </row>
    <row r="3" spans="1:2" x14ac:dyDescent="0.2">
      <c r="A3" s="13" t="s">
        <v>149</v>
      </c>
      <c r="B3" s="14">
        <v>950000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EEE9-372A-5544-8904-8D367EDDD7F0}">
  <sheetPr>
    <tabColor theme="3" tint="0.249977111117893"/>
  </sheetPr>
  <dimension ref="A1:BA11"/>
  <sheetViews>
    <sheetView topLeftCell="AF1" workbookViewId="0">
      <selection activeCell="AR21" sqref="AR2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'Residentail-Heating'!B2*Conversion!$B$3</f>
        <v>0</v>
      </c>
      <c r="C2" s="15">
        <f>'Residentail-Heating'!C2*Conversion!$B$3</f>
        <v>0</v>
      </c>
      <c r="D2" s="15">
        <f>'Residentail-Heating'!D2*Conversion!$B$3</f>
        <v>0</v>
      </c>
      <c r="E2" s="15">
        <f>'Residentail-Heating'!E2*Conversion!$B$3</f>
        <v>0</v>
      </c>
      <c r="F2" s="4">
        <f>'Residentail-Heating'!F2*Conversion!$B$3</f>
        <v>0</v>
      </c>
      <c r="G2" s="4">
        <f>'Residentail-Heating'!G2*Conversion!$B$3</f>
        <v>0</v>
      </c>
      <c r="H2" s="4">
        <f>'Residentail-Heating'!H2*Conversion!$B$3</f>
        <v>0</v>
      </c>
      <c r="I2" s="4">
        <f>'Residentail-Heating'!I2*Conversion!$B$3</f>
        <v>0</v>
      </c>
      <c r="J2" s="4">
        <f>'Residentail-Heating'!J2*Conversion!$B$3</f>
        <v>0</v>
      </c>
      <c r="K2" s="4">
        <f>'Residentail-Heating'!K2*Conversion!$B$3</f>
        <v>0</v>
      </c>
      <c r="L2" s="4">
        <f>'Residentail-Heating'!L2*Conversion!$B$3</f>
        <v>0</v>
      </c>
      <c r="M2" s="4">
        <f>'Residentail-Heating'!M2*Conversion!$B$3</f>
        <v>0</v>
      </c>
      <c r="N2" s="4">
        <f>'Residentail-Heating'!N2*Conversion!$B$3</f>
        <v>0</v>
      </c>
      <c r="O2" s="4">
        <f>'Residentail-Heating'!O2*Conversion!$B$3</f>
        <v>0</v>
      </c>
      <c r="P2" s="4">
        <f>'Residentail-Heating'!P2*Conversion!$B$3</f>
        <v>0</v>
      </c>
      <c r="Q2" s="4">
        <f>'Residentail-Heating'!Q2*Conversion!$B$3</f>
        <v>0</v>
      </c>
      <c r="R2" s="4">
        <f>'Residentail-Heating'!R2*Conversion!$B$3</f>
        <v>0</v>
      </c>
      <c r="S2" s="4">
        <f>'Residentail-Heating'!S2*Conversion!$B$3</f>
        <v>0</v>
      </c>
      <c r="T2" s="4">
        <f>'Residentail-Heating'!T2*Conversion!$B$3</f>
        <v>0</v>
      </c>
      <c r="U2" s="4">
        <f>'Residentail-Heating'!U2*Conversion!$B$3</f>
        <v>0</v>
      </c>
      <c r="V2" s="4">
        <f>'Residentail-Heating'!V2*Conversion!$B$3</f>
        <v>0</v>
      </c>
      <c r="W2" s="4">
        <f>'Residentail-Heating'!W2*Conversion!$B$3</f>
        <v>0</v>
      </c>
      <c r="X2" s="4">
        <f>'Residentail-Heating'!X2*Conversion!$B$3</f>
        <v>0</v>
      </c>
      <c r="Y2" s="4">
        <f>'Residentail-Heating'!Y2*Conversion!$B$3</f>
        <v>0</v>
      </c>
      <c r="Z2" s="4">
        <f>'Residentail-Heating'!Z2*Conversion!$B$3</f>
        <v>0</v>
      </c>
      <c r="AA2" s="4">
        <f>'Residentail-Heating'!AA2*Conversion!$B$3</f>
        <v>0</v>
      </c>
      <c r="AB2" s="4">
        <f>'Residentail-Heating'!AB2*Conversion!$B$3</f>
        <v>0</v>
      </c>
      <c r="AC2" s="4">
        <f>'Residentail-Heating'!AC2*Conversion!$B$3</f>
        <v>0</v>
      </c>
      <c r="AD2" s="4">
        <f>'Residentail-Heating'!AD2*Conversion!$B$3</f>
        <v>0</v>
      </c>
      <c r="AE2" s="4">
        <f>'Residentail-Heating'!AE2*Conversion!$B$3</f>
        <v>0</v>
      </c>
      <c r="AF2" s="4">
        <f>'Residentail-Heating'!AF2*Conversion!$B$3</f>
        <v>0</v>
      </c>
      <c r="AG2" s="4">
        <f>'Residentail-Heating'!AG2*Conversion!$B$3</f>
        <v>0</v>
      </c>
      <c r="AH2" s="4">
        <f>'Residentail-Heating'!AH2*Conversion!$B$3</f>
        <v>0</v>
      </c>
      <c r="AI2" s="4">
        <f>'Residentail-Heating'!AI2*Conversion!$B$3</f>
        <v>0</v>
      </c>
      <c r="AJ2" s="4">
        <f>'Residentail-Heating'!AJ2*Conversion!$B$3</f>
        <v>0</v>
      </c>
      <c r="AK2" s="4">
        <f>'Residentail-Heating'!AK2*Conversion!$B$3</f>
        <v>0</v>
      </c>
      <c r="AL2" s="4">
        <f>'Residentail-Heating'!AL2*Conversion!$B$3</f>
        <v>0</v>
      </c>
      <c r="AM2" s="4">
        <f>'Residentail-Heating'!AM2*Conversion!$B$3</f>
        <v>0</v>
      </c>
      <c r="AN2" s="4">
        <f>'Residentail-Heating'!AN2*Conversion!$B$3</f>
        <v>0</v>
      </c>
      <c r="AO2" s="4">
        <f>'Residentail-Heating'!AO2*Conversion!$B$3</f>
        <v>0</v>
      </c>
      <c r="AP2" s="4">
        <f>'Residentail-Heating'!AP2*Conversion!$B$3</f>
        <v>0</v>
      </c>
      <c r="AQ2" s="4">
        <f>'Residentail-Heating'!AQ2*Conversion!$B$3</f>
        <v>0</v>
      </c>
      <c r="AR2" s="42">
        <f>'Residentail-Heating'!AR2*Conversion!$B$3</f>
        <v>0</v>
      </c>
      <c r="AS2" s="42">
        <f>'Residentail-Heating'!AS2*Conversion!$B$3</f>
        <v>0</v>
      </c>
      <c r="AT2" s="42">
        <f>'Residentail-Heating'!AT2*Conversion!$B$3</f>
        <v>0</v>
      </c>
      <c r="AU2" s="42">
        <f>'Residentail-Heating'!AU2*Conversion!$B$3</f>
        <v>0</v>
      </c>
      <c r="AV2" s="42">
        <f>'Residentail-Heating'!AV2*Conversion!$B$3</f>
        <v>0</v>
      </c>
      <c r="AW2" s="42">
        <f>'Residentail-Heating'!AW2*Conversion!$B$3</f>
        <v>0</v>
      </c>
      <c r="AX2" s="42">
        <f>'Residentail-Heating'!AX2*Conversion!$B$3</f>
        <v>0</v>
      </c>
      <c r="AY2" s="42">
        <f>'Residentail-Heating'!AY2*Conversion!$B$3</f>
        <v>0</v>
      </c>
      <c r="AZ2" s="42">
        <f>'Residentail-Heating'!AZ2*Conversion!$B$3</f>
        <v>0</v>
      </c>
      <c r="BA2" s="42">
        <f>'Residentail-Heating'!BA2*Conversion!$B$3</f>
        <v>0</v>
      </c>
    </row>
    <row r="3" spans="1:53" x14ac:dyDescent="0.2">
      <c r="A3" s="1" t="s">
        <v>13</v>
      </c>
      <c r="B3" s="15">
        <f>'Residentail-Heating'!B3*Conversion!$B$3</f>
        <v>0</v>
      </c>
      <c r="C3" s="15">
        <f>'Residentail-Heating'!C3*Conversion!$B$3</f>
        <v>0</v>
      </c>
      <c r="D3" s="15">
        <f>'Residentail-Heating'!D3*Conversion!$B$3</f>
        <v>0</v>
      </c>
      <c r="E3" s="15">
        <f>'Residentail-Heating'!E3*Conversion!$B$3</f>
        <v>0</v>
      </c>
      <c r="F3" s="4">
        <f>'Residentail-Heating'!F3*Conversion!$B$3</f>
        <v>0</v>
      </c>
      <c r="G3" s="4">
        <f>'Residentail-Heating'!G3*Conversion!$B$3</f>
        <v>0</v>
      </c>
      <c r="H3" s="4">
        <f>'Residentail-Heating'!H3*Conversion!$B$3</f>
        <v>0</v>
      </c>
      <c r="I3" s="4">
        <f>'Residentail-Heating'!I3*Conversion!$B$3</f>
        <v>0</v>
      </c>
      <c r="J3" s="4">
        <f>'Residentail-Heating'!J3*Conversion!$B$3</f>
        <v>0</v>
      </c>
      <c r="K3" s="4">
        <f>'Residentail-Heating'!K3*Conversion!$B$3</f>
        <v>0</v>
      </c>
      <c r="L3" s="4">
        <f>'Residentail-Heating'!L3*Conversion!$B$3</f>
        <v>0</v>
      </c>
      <c r="M3" s="4">
        <f>'Residentail-Heating'!M3*Conversion!$B$3</f>
        <v>0</v>
      </c>
      <c r="N3" s="4">
        <f>'Residentail-Heating'!N3*Conversion!$B$3</f>
        <v>0</v>
      </c>
      <c r="O3" s="4">
        <f>'Residentail-Heating'!O3*Conversion!$B$3</f>
        <v>0</v>
      </c>
      <c r="P3" s="4">
        <f>'Residentail-Heating'!P3*Conversion!$B$3</f>
        <v>0</v>
      </c>
      <c r="Q3" s="4">
        <f>'Residentail-Heating'!Q3*Conversion!$B$3</f>
        <v>0</v>
      </c>
      <c r="R3" s="4">
        <f>'Residentail-Heating'!R3*Conversion!$B$3</f>
        <v>0</v>
      </c>
      <c r="S3" s="4">
        <f>'Residentail-Heating'!S3*Conversion!$B$3</f>
        <v>0</v>
      </c>
      <c r="T3" s="4">
        <f>'Residentail-Heating'!T3*Conversion!$B$3</f>
        <v>0</v>
      </c>
      <c r="U3" s="4">
        <f>'Residentail-Heating'!U3*Conversion!$B$3</f>
        <v>0</v>
      </c>
      <c r="V3" s="4">
        <f>'Residentail-Heating'!V3*Conversion!$B$3</f>
        <v>0</v>
      </c>
      <c r="W3" s="4">
        <f>'Residentail-Heating'!W3*Conversion!$B$3</f>
        <v>0</v>
      </c>
      <c r="X3" s="4">
        <f>'Residentail-Heating'!X3*Conversion!$B$3</f>
        <v>0</v>
      </c>
      <c r="Y3" s="4">
        <f>'Residentail-Heating'!Y3*Conversion!$B$3</f>
        <v>0</v>
      </c>
      <c r="Z3" s="4">
        <f>'Residentail-Heating'!Z3*Conversion!$B$3</f>
        <v>0</v>
      </c>
      <c r="AA3" s="4">
        <f>'Residentail-Heating'!AA3*Conversion!$B$3</f>
        <v>0</v>
      </c>
      <c r="AB3" s="4">
        <f>'Residentail-Heating'!AB3*Conversion!$B$3</f>
        <v>0</v>
      </c>
      <c r="AC3" s="4">
        <f>'Residentail-Heating'!AC3*Conversion!$B$3</f>
        <v>0</v>
      </c>
      <c r="AD3" s="4">
        <f>'Residentail-Heating'!AD3*Conversion!$B$3</f>
        <v>0</v>
      </c>
      <c r="AE3" s="4">
        <f>'Residentail-Heating'!AE3*Conversion!$B$3</f>
        <v>0</v>
      </c>
      <c r="AF3" s="4">
        <f>'Residentail-Heating'!AF3*Conversion!$B$3</f>
        <v>0</v>
      </c>
      <c r="AG3" s="4">
        <f>'Residentail-Heating'!AG3*Conversion!$B$3</f>
        <v>0</v>
      </c>
      <c r="AH3" s="4">
        <f>'Residentail-Heating'!AH3*Conversion!$B$3</f>
        <v>0</v>
      </c>
      <c r="AI3" s="4">
        <f>'Residentail-Heating'!AI3*Conversion!$B$3</f>
        <v>0</v>
      </c>
      <c r="AJ3" s="4">
        <f>'Residentail-Heating'!AJ3*Conversion!$B$3</f>
        <v>0</v>
      </c>
      <c r="AK3" s="4">
        <f>'Residentail-Heating'!AK3*Conversion!$B$3</f>
        <v>0</v>
      </c>
      <c r="AL3" s="4">
        <f>'Residentail-Heating'!AL3*Conversion!$B$3</f>
        <v>0</v>
      </c>
      <c r="AM3" s="4">
        <f>'Residentail-Heating'!AM3*Conversion!$B$3</f>
        <v>0</v>
      </c>
      <c r="AN3" s="4">
        <f>'Residentail-Heating'!AN3*Conversion!$B$3</f>
        <v>0</v>
      </c>
      <c r="AO3" s="4">
        <f>'Residentail-Heating'!AO3*Conversion!$B$3</f>
        <v>0</v>
      </c>
      <c r="AP3" s="4">
        <f>'Residentail-Heating'!AP3*Conversion!$B$3</f>
        <v>0</v>
      </c>
      <c r="AQ3" s="4">
        <f>'Residentail-Heating'!AQ3*Conversion!$B$3</f>
        <v>0</v>
      </c>
      <c r="AR3" s="42">
        <f>'Residentail-Heating'!AR3*Conversion!$B$3</f>
        <v>0</v>
      </c>
      <c r="AS3" s="42">
        <f>'Residentail-Heating'!AS3*Conversion!$B$3</f>
        <v>0</v>
      </c>
      <c r="AT3" s="42">
        <f>'Residentail-Heating'!AT3*Conversion!$B$3</f>
        <v>0</v>
      </c>
      <c r="AU3" s="42">
        <f>'Residentail-Heating'!AU3*Conversion!$B$3</f>
        <v>0</v>
      </c>
      <c r="AV3" s="42">
        <f>'Residentail-Heating'!AV3*Conversion!$B$3</f>
        <v>0</v>
      </c>
      <c r="AW3" s="42">
        <f>'Residentail-Heating'!AW3*Conversion!$B$3</f>
        <v>0</v>
      </c>
      <c r="AX3" s="42">
        <f>'Residentail-Heating'!AX3*Conversion!$B$3</f>
        <v>0</v>
      </c>
      <c r="AY3" s="42">
        <f>'Residentail-Heating'!AY3*Conversion!$B$3</f>
        <v>0</v>
      </c>
      <c r="AZ3" s="42">
        <f>'Residentail-Heating'!AZ3*Conversion!$B$3</f>
        <v>0</v>
      </c>
      <c r="BA3" s="42">
        <f>'Residentail-Heating'!BA3*Conversion!$B$3</f>
        <v>0</v>
      </c>
    </row>
    <row r="4" spans="1:53" x14ac:dyDescent="0.2">
      <c r="A4" s="1" t="s">
        <v>14</v>
      </c>
      <c r="B4" s="15">
        <f>'Residentail-Heating'!B4*Conversion!$B$3</f>
        <v>0</v>
      </c>
      <c r="C4" s="15">
        <f>'Residentail-Heating'!C4*Conversion!$B$3</f>
        <v>0</v>
      </c>
      <c r="D4" s="15">
        <f>'Residentail-Heating'!D4*Conversion!$B$3</f>
        <v>0</v>
      </c>
      <c r="E4" s="15">
        <f>'Residentail-Heating'!E4*Conversion!$B$3</f>
        <v>0</v>
      </c>
      <c r="F4" s="4">
        <f>'Residentail-Heating'!F4*Conversion!$B$3</f>
        <v>0</v>
      </c>
      <c r="G4" s="4">
        <f>'Residentail-Heating'!G4*Conversion!$B$3</f>
        <v>0</v>
      </c>
      <c r="H4" s="4">
        <f>'Residentail-Heating'!H4*Conversion!$B$3</f>
        <v>0</v>
      </c>
      <c r="I4" s="4">
        <f>'Residentail-Heating'!I4*Conversion!$B$3</f>
        <v>0</v>
      </c>
      <c r="J4" s="4">
        <f>'Residentail-Heating'!J4*Conversion!$B$3</f>
        <v>0</v>
      </c>
      <c r="K4" s="4">
        <f>'Residentail-Heating'!K4*Conversion!$B$3</f>
        <v>0</v>
      </c>
      <c r="L4" s="4">
        <f>'Residentail-Heating'!L4*Conversion!$B$3</f>
        <v>0</v>
      </c>
      <c r="M4" s="4">
        <f>'Residentail-Heating'!M4*Conversion!$B$3</f>
        <v>0</v>
      </c>
      <c r="N4" s="4">
        <f>'Residentail-Heating'!N4*Conversion!$B$3</f>
        <v>0</v>
      </c>
      <c r="O4" s="4">
        <f>'Residentail-Heating'!O4*Conversion!$B$3</f>
        <v>0</v>
      </c>
      <c r="P4" s="4">
        <f>'Residentail-Heating'!P4*Conversion!$B$3</f>
        <v>0</v>
      </c>
      <c r="Q4" s="4">
        <f>'Residentail-Heating'!Q4*Conversion!$B$3</f>
        <v>0</v>
      </c>
      <c r="R4" s="4">
        <f>'Residentail-Heating'!R4*Conversion!$B$3</f>
        <v>0</v>
      </c>
      <c r="S4" s="4">
        <f>'Residentail-Heating'!S4*Conversion!$B$3</f>
        <v>0</v>
      </c>
      <c r="T4" s="4">
        <f>'Residentail-Heating'!T4*Conversion!$B$3</f>
        <v>0</v>
      </c>
      <c r="U4" s="4">
        <f>'Residentail-Heating'!U4*Conversion!$B$3</f>
        <v>0</v>
      </c>
      <c r="V4" s="4">
        <f>'Residentail-Heating'!V4*Conversion!$B$3</f>
        <v>0</v>
      </c>
      <c r="W4" s="4">
        <f>'Residentail-Heating'!W4*Conversion!$B$3</f>
        <v>0</v>
      </c>
      <c r="X4" s="4">
        <f>'Residentail-Heating'!X4*Conversion!$B$3</f>
        <v>0</v>
      </c>
      <c r="Y4" s="4">
        <f>'Residentail-Heating'!Y4*Conversion!$B$3</f>
        <v>0</v>
      </c>
      <c r="Z4" s="4">
        <f>'Residentail-Heating'!Z4*Conversion!$B$3</f>
        <v>0</v>
      </c>
      <c r="AA4" s="4">
        <f>'Residentail-Heating'!AA4*Conversion!$B$3</f>
        <v>0</v>
      </c>
      <c r="AB4" s="4">
        <f>'Residentail-Heating'!AB4*Conversion!$B$3</f>
        <v>0</v>
      </c>
      <c r="AC4" s="4">
        <f>'Residentail-Heating'!AC4*Conversion!$B$3</f>
        <v>0</v>
      </c>
      <c r="AD4" s="4">
        <f>'Residentail-Heating'!AD4*Conversion!$B$3</f>
        <v>0</v>
      </c>
      <c r="AE4" s="4">
        <f>'Residentail-Heating'!AE4*Conversion!$B$3</f>
        <v>0</v>
      </c>
      <c r="AF4" s="4">
        <f>'Residentail-Heating'!AF4*Conversion!$B$3</f>
        <v>0</v>
      </c>
      <c r="AG4" s="4">
        <f>'Residentail-Heating'!AG4*Conversion!$B$3</f>
        <v>0</v>
      </c>
      <c r="AH4" s="4">
        <f>'Residentail-Heating'!AH4*Conversion!$B$3</f>
        <v>0</v>
      </c>
      <c r="AI4" s="4">
        <f>'Residentail-Heating'!AI4*Conversion!$B$3</f>
        <v>0</v>
      </c>
      <c r="AJ4" s="4">
        <f>'Residentail-Heating'!AJ4*Conversion!$B$3</f>
        <v>0</v>
      </c>
      <c r="AK4" s="4">
        <f>'Residentail-Heating'!AK4*Conversion!$B$3</f>
        <v>0</v>
      </c>
      <c r="AL4" s="4">
        <f>'Residentail-Heating'!AL4*Conversion!$B$3</f>
        <v>0</v>
      </c>
      <c r="AM4" s="4">
        <f>'Residentail-Heating'!AM4*Conversion!$B$3</f>
        <v>0</v>
      </c>
      <c r="AN4" s="4">
        <f>'Residentail-Heating'!AN4*Conversion!$B$3</f>
        <v>0</v>
      </c>
      <c r="AO4" s="4">
        <f>'Residentail-Heating'!AO4*Conversion!$B$3</f>
        <v>0</v>
      </c>
      <c r="AP4" s="4">
        <f>'Residentail-Heating'!AP4*Conversion!$B$3</f>
        <v>0</v>
      </c>
      <c r="AQ4" s="4">
        <f>'Residentail-Heating'!AQ4*Conversion!$B$3</f>
        <v>0</v>
      </c>
      <c r="AR4" s="42">
        <f>'Residentail-Heating'!AR4*Conversion!$B$3</f>
        <v>0</v>
      </c>
      <c r="AS4" s="42">
        <f>'Residentail-Heating'!AS4*Conversion!$B$3</f>
        <v>0</v>
      </c>
      <c r="AT4" s="42">
        <f>'Residentail-Heating'!AT4*Conversion!$B$3</f>
        <v>0</v>
      </c>
      <c r="AU4" s="42">
        <f>'Residentail-Heating'!AU4*Conversion!$B$3</f>
        <v>0</v>
      </c>
      <c r="AV4" s="42">
        <f>'Residentail-Heating'!AV4*Conversion!$B$3</f>
        <v>0</v>
      </c>
      <c r="AW4" s="42">
        <f>'Residentail-Heating'!AW4*Conversion!$B$3</f>
        <v>0</v>
      </c>
      <c r="AX4" s="42">
        <f>'Residentail-Heating'!AX4*Conversion!$B$3</f>
        <v>0</v>
      </c>
      <c r="AY4" s="42">
        <f>'Residentail-Heating'!AY4*Conversion!$B$3</f>
        <v>0</v>
      </c>
      <c r="AZ4" s="42">
        <f>'Residentail-Heating'!AZ4*Conversion!$B$3</f>
        <v>0</v>
      </c>
      <c r="BA4" s="42">
        <f>'Residentail-Heating'!BA4*Conversion!$B$3</f>
        <v>0</v>
      </c>
    </row>
    <row r="5" spans="1:53" x14ac:dyDescent="0.2">
      <c r="A5" s="1" t="s">
        <v>15</v>
      </c>
      <c r="B5" s="15">
        <f>'Residentail-Heating'!B5*Conversion!$B$3</f>
        <v>0</v>
      </c>
      <c r="C5" s="15">
        <f>'Residentail-Heating'!C5*Conversion!$B$3</f>
        <v>0</v>
      </c>
      <c r="D5" s="15">
        <f>'Residentail-Heating'!D5*Conversion!$B$3</f>
        <v>0</v>
      </c>
      <c r="E5" s="15">
        <f>'Residentail-Heating'!E5*Conversion!$B$3</f>
        <v>0</v>
      </c>
      <c r="F5" s="4">
        <f>'Residentail-Heating'!F5*Conversion!$B$3</f>
        <v>0</v>
      </c>
      <c r="G5" s="4">
        <f>'Residentail-Heating'!G5*Conversion!$B$3</f>
        <v>0</v>
      </c>
      <c r="H5" s="4">
        <f>'Residentail-Heating'!H5*Conversion!$B$3</f>
        <v>0</v>
      </c>
      <c r="I5" s="4">
        <f>'Residentail-Heating'!I5*Conversion!$B$3</f>
        <v>0</v>
      </c>
      <c r="J5" s="4">
        <f>'Residentail-Heating'!J5*Conversion!$B$3</f>
        <v>0</v>
      </c>
      <c r="K5" s="4">
        <f>'Residentail-Heating'!K5*Conversion!$B$3</f>
        <v>0</v>
      </c>
      <c r="L5" s="4">
        <f>'Residentail-Heating'!L5*Conversion!$B$3</f>
        <v>0</v>
      </c>
      <c r="M5" s="4">
        <f>'Residentail-Heating'!M5*Conversion!$B$3</f>
        <v>0</v>
      </c>
      <c r="N5" s="4">
        <f>'Residentail-Heating'!N5*Conversion!$B$3</f>
        <v>0</v>
      </c>
      <c r="O5" s="4">
        <f>'Residentail-Heating'!O5*Conversion!$B$3</f>
        <v>0</v>
      </c>
      <c r="P5" s="4">
        <f>'Residentail-Heating'!P5*Conversion!$B$3</f>
        <v>0</v>
      </c>
      <c r="Q5" s="4">
        <f>'Residentail-Heating'!Q5*Conversion!$B$3</f>
        <v>0</v>
      </c>
      <c r="R5" s="4">
        <f>'Residentail-Heating'!R5*Conversion!$B$3</f>
        <v>0</v>
      </c>
      <c r="S5" s="4">
        <f>'Residentail-Heating'!S5*Conversion!$B$3</f>
        <v>0</v>
      </c>
      <c r="T5" s="4">
        <f>'Residentail-Heating'!T5*Conversion!$B$3</f>
        <v>0</v>
      </c>
      <c r="U5" s="4">
        <f>'Residentail-Heating'!U5*Conversion!$B$3</f>
        <v>0</v>
      </c>
      <c r="V5" s="4">
        <f>'Residentail-Heating'!V5*Conversion!$B$3</f>
        <v>0</v>
      </c>
      <c r="W5" s="4">
        <f>'Residentail-Heating'!W5*Conversion!$B$3</f>
        <v>0</v>
      </c>
      <c r="X5" s="4">
        <f>'Residentail-Heating'!X5*Conversion!$B$3</f>
        <v>0</v>
      </c>
      <c r="Y5" s="4">
        <f>'Residentail-Heating'!Y5*Conversion!$B$3</f>
        <v>0</v>
      </c>
      <c r="Z5" s="4">
        <f>'Residentail-Heating'!Z5*Conversion!$B$3</f>
        <v>0</v>
      </c>
      <c r="AA5" s="4">
        <f>'Residentail-Heating'!AA5*Conversion!$B$3</f>
        <v>0</v>
      </c>
      <c r="AB5" s="4">
        <f>'Residentail-Heating'!AB5*Conversion!$B$3</f>
        <v>0</v>
      </c>
      <c r="AC5" s="4">
        <f>'Residentail-Heating'!AC5*Conversion!$B$3</f>
        <v>0</v>
      </c>
      <c r="AD5" s="4">
        <f>'Residentail-Heating'!AD5*Conversion!$B$3</f>
        <v>0</v>
      </c>
      <c r="AE5" s="4">
        <f>'Residentail-Heating'!AE5*Conversion!$B$3</f>
        <v>0</v>
      </c>
      <c r="AF5" s="4">
        <f>'Residentail-Heating'!AF5*Conversion!$B$3</f>
        <v>0</v>
      </c>
      <c r="AG5" s="4">
        <f>'Residentail-Heating'!AG5*Conversion!$B$3</f>
        <v>0</v>
      </c>
      <c r="AH5" s="4">
        <f>'Residentail-Heating'!AH5*Conversion!$B$3</f>
        <v>0</v>
      </c>
      <c r="AI5" s="4">
        <f>'Residentail-Heating'!AI5*Conversion!$B$3</f>
        <v>0</v>
      </c>
      <c r="AJ5" s="4">
        <f>'Residentail-Heating'!AJ5*Conversion!$B$3</f>
        <v>0</v>
      </c>
      <c r="AK5" s="4">
        <f>'Residentail-Heating'!AK5*Conversion!$B$3</f>
        <v>0</v>
      </c>
      <c r="AL5" s="4">
        <f>'Residentail-Heating'!AL5*Conversion!$B$3</f>
        <v>0</v>
      </c>
      <c r="AM5" s="4">
        <f>'Residentail-Heating'!AM5*Conversion!$B$3</f>
        <v>0</v>
      </c>
      <c r="AN5" s="4">
        <f>'Residentail-Heating'!AN5*Conversion!$B$3</f>
        <v>0</v>
      </c>
      <c r="AO5" s="4">
        <f>'Residentail-Heating'!AO5*Conversion!$B$3</f>
        <v>0</v>
      </c>
      <c r="AP5" s="4">
        <f>'Residentail-Heating'!AP5*Conversion!$B$3</f>
        <v>0</v>
      </c>
      <c r="AQ5" s="4">
        <f>'Residentail-Heating'!AQ5*Conversion!$B$3</f>
        <v>0</v>
      </c>
      <c r="AR5" s="42">
        <f>'Residentail-Heating'!AR5*Conversion!$B$3</f>
        <v>0</v>
      </c>
      <c r="AS5" s="42">
        <f>'Residentail-Heating'!AS5*Conversion!$B$3</f>
        <v>0</v>
      </c>
      <c r="AT5" s="42">
        <f>'Residentail-Heating'!AT5*Conversion!$B$3</f>
        <v>0</v>
      </c>
      <c r="AU5" s="42">
        <f>'Residentail-Heating'!AU5*Conversion!$B$3</f>
        <v>0</v>
      </c>
      <c r="AV5" s="42">
        <f>'Residentail-Heating'!AV5*Conversion!$B$3</f>
        <v>0</v>
      </c>
      <c r="AW5" s="42">
        <f>'Residentail-Heating'!AW5*Conversion!$B$3</f>
        <v>0</v>
      </c>
      <c r="AX5" s="42">
        <f>'Residentail-Heating'!AX5*Conversion!$B$3</f>
        <v>0</v>
      </c>
      <c r="AY5" s="42">
        <f>'Residentail-Heating'!AY5*Conversion!$B$3</f>
        <v>0</v>
      </c>
      <c r="AZ5" s="42">
        <f>'Residentail-Heating'!AZ5*Conversion!$B$3</f>
        <v>0</v>
      </c>
      <c r="BA5" s="42">
        <f>'Residentail-Heating'!BA5*Conversion!$B$3</f>
        <v>0</v>
      </c>
    </row>
    <row r="6" spans="1:53" x14ac:dyDescent="0.2">
      <c r="A6" s="1" t="s">
        <v>16</v>
      </c>
      <c r="B6" s="15">
        <f>'Residentail-Heating'!B6*Conversion!$B$3</f>
        <v>0</v>
      </c>
      <c r="C6" s="15">
        <f>'Residentail-Heating'!C6*Conversion!$B$3</f>
        <v>0</v>
      </c>
      <c r="D6" s="15">
        <f>'Residentail-Heating'!D6*Conversion!$B$3</f>
        <v>0</v>
      </c>
      <c r="E6" s="15">
        <f>'Residentail-Heating'!E6*Conversion!$B$3</f>
        <v>0</v>
      </c>
      <c r="F6" s="4">
        <f>'Residentail-Heating'!F6*Conversion!$B$3</f>
        <v>0</v>
      </c>
      <c r="G6" s="4">
        <f>'Residentail-Heating'!G6*Conversion!$B$3</f>
        <v>0</v>
      </c>
      <c r="H6" s="4">
        <f>'Residentail-Heating'!H6*Conversion!$B$3</f>
        <v>0</v>
      </c>
      <c r="I6" s="4">
        <f>'Residentail-Heating'!I6*Conversion!$B$3</f>
        <v>0</v>
      </c>
      <c r="J6" s="4">
        <f>'Residentail-Heating'!J6*Conversion!$B$3</f>
        <v>0</v>
      </c>
      <c r="K6" s="4">
        <f>'Residentail-Heating'!K6*Conversion!$B$3</f>
        <v>0</v>
      </c>
      <c r="L6" s="4">
        <f>'Residentail-Heating'!L6*Conversion!$B$3</f>
        <v>0</v>
      </c>
      <c r="M6" s="4">
        <f>'Residentail-Heating'!M6*Conversion!$B$3</f>
        <v>0</v>
      </c>
      <c r="N6" s="4">
        <f>'Residentail-Heating'!N6*Conversion!$B$3</f>
        <v>0</v>
      </c>
      <c r="O6" s="4">
        <f>'Residentail-Heating'!O6*Conversion!$B$3</f>
        <v>0</v>
      </c>
      <c r="P6" s="4">
        <f>'Residentail-Heating'!P6*Conversion!$B$3</f>
        <v>0</v>
      </c>
      <c r="Q6" s="4">
        <f>'Residentail-Heating'!Q6*Conversion!$B$3</f>
        <v>0</v>
      </c>
      <c r="R6" s="4">
        <f>'Residentail-Heating'!R6*Conversion!$B$3</f>
        <v>0</v>
      </c>
      <c r="S6" s="4">
        <f>'Residentail-Heating'!S6*Conversion!$B$3</f>
        <v>0</v>
      </c>
      <c r="T6" s="4">
        <f>'Residentail-Heating'!T6*Conversion!$B$3</f>
        <v>0</v>
      </c>
      <c r="U6" s="4">
        <f>'Residentail-Heating'!U6*Conversion!$B$3</f>
        <v>0</v>
      </c>
      <c r="V6" s="4">
        <f>'Residentail-Heating'!V6*Conversion!$B$3</f>
        <v>0</v>
      </c>
      <c r="W6" s="4">
        <f>'Residentail-Heating'!W6*Conversion!$B$3</f>
        <v>0</v>
      </c>
      <c r="X6" s="4">
        <f>'Residentail-Heating'!X6*Conversion!$B$3</f>
        <v>0</v>
      </c>
      <c r="Y6" s="4">
        <f>'Residentail-Heating'!Y6*Conversion!$B$3</f>
        <v>0</v>
      </c>
      <c r="Z6" s="4">
        <f>'Residentail-Heating'!Z6*Conversion!$B$3</f>
        <v>0</v>
      </c>
      <c r="AA6" s="4">
        <f>'Residentail-Heating'!AA6*Conversion!$B$3</f>
        <v>0</v>
      </c>
      <c r="AB6" s="4">
        <f>'Residentail-Heating'!AB6*Conversion!$B$3</f>
        <v>0</v>
      </c>
      <c r="AC6" s="4">
        <f>'Residentail-Heating'!AC6*Conversion!$B$3</f>
        <v>0</v>
      </c>
      <c r="AD6" s="4">
        <f>'Residentail-Heating'!AD6*Conversion!$B$3</f>
        <v>0</v>
      </c>
      <c r="AE6" s="4">
        <f>'Residentail-Heating'!AE6*Conversion!$B$3</f>
        <v>0</v>
      </c>
      <c r="AF6" s="4">
        <f>'Residentail-Heating'!AF6*Conversion!$B$3</f>
        <v>0</v>
      </c>
      <c r="AG6" s="4">
        <f>'Residentail-Heating'!AG6*Conversion!$B$3</f>
        <v>0</v>
      </c>
      <c r="AH6" s="4">
        <f>'Residentail-Heating'!AH6*Conversion!$B$3</f>
        <v>0</v>
      </c>
      <c r="AI6" s="4">
        <f>'Residentail-Heating'!AI6*Conversion!$B$3</f>
        <v>0</v>
      </c>
      <c r="AJ6" s="4">
        <f>'Residentail-Heating'!AJ6*Conversion!$B$3</f>
        <v>0</v>
      </c>
      <c r="AK6" s="4">
        <f>'Residentail-Heating'!AK6*Conversion!$B$3</f>
        <v>0</v>
      </c>
      <c r="AL6" s="4">
        <f>'Residentail-Heating'!AL6*Conversion!$B$3</f>
        <v>0</v>
      </c>
      <c r="AM6" s="4">
        <f>'Residentail-Heating'!AM6*Conversion!$B$3</f>
        <v>0</v>
      </c>
      <c r="AN6" s="4">
        <f>'Residentail-Heating'!AN6*Conversion!$B$3</f>
        <v>0</v>
      </c>
      <c r="AO6" s="4">
        <f>'Residentail-Heating'!AO6*Conversion!$B$3</f>
        <v>0</v>
      </c>
      <c r="AP6" s="4">
        <f>'Residentail-Heating'!AP6*Conversion!$B$3</f>
        <v>0</v>
      </c>
      <c r="AQ6" s="4">
        <f>'Residentail-Heating'!AQ6*Conversion!$B$3</f>
        <v>0</v>
      </c>
      <c r="AR6" s="42">
        <f>'Residentail-Heating'!AR6*Conversion!$B$3</f>
        <v>0</v>
      </c>
      <c r="AS6" s="42">
        <f>'Residentail-Heating'!AS6*Conversion!$B$3</f>
        <v>0</v>
      </c>
      <c r="AT6" s="42">
        <f>'Residentail-Heating'!AT6*Conversion!$B$3</f>
        <v>0</v>
      </c>
      <c r="AU6" s="42">
        <f>'Residentail-Heating'!AU6*Conversion!$B$3</f>
        <v>0</v>
      </c>
      <c r="AV6" s="42">
        <f>'Residentail-Heating'!AV6*Conversion!$B$3</f>
        <v>0</v>
      </c>
      <c r="AW6" s="42">
        <f>'Residentail-Heating'!AW6*Conversion!$B$3</f>
        <v>0</v>
      </c>
      <c r="AX6" s="42">
        <f>'Residentail-Heating'!AX6*Conversion!$B$3</f>
        <v>0</v>
      </c>
      <c r="AY6" s="42">
        <f>'Residentail-Heating'!AY6*Conversion!$B$3</f>
        <v>0</v>
      </c>
      <c r="AZ6" s="42">
        <f>'Residentail-Heating'!AZ6*Conversion!$B$3</f>
        <v>0</v>
      </c>
      <c r="BA6" s="42">
        <f>'Residentail-Heating'!BA6*Conversion!$B$3</f>
        <v>0</v>
      </c>
    </row>
    <row r="7" spans="1:53" x14ac:dyDescent="0.2">
      <c r="A7" s="1" t="s">
        <v>17</v>
      </c>
      <c r="B7" s="15">
        <f>'Residentail-Heating'!B7*Conversion!$B$3</f>
        <v>0</v>
      </c>
      <c r="C7" s="15">
        <f>'Residentail-Heating'!C7*Conversion!$B$3</f>
        <v>0</v>
      </c>
      <c r="D7" s="15">
        <f>'Residentail-Heating'!D7*Conversion!$B$3</f>
        <v>0</v>
      </c>
      <c r="E7" s="15">
        <f>'Residentail-Heating'!E7*Conversion!$B$3</f>
        <v>0</v>
      </c>
      <c r="F7" s="4">
        <f>'Residentail-Heating'!F7*Conversion!$B$3</f>
        <v>0</v>
      </c>
      <c r="G7" s="4">
        <f>'Residentail-Heating'!G7*Conversion!$B$3</f>
        <v>0</v>
      </c>
      <c r="H7" s="4">
        <f>'Residentail-Heating'!H7*Conversion!$B$3</f>
        <v>0</v>
      </c>
      <c r="I7" s="4">
        <f>'Residentail-Heating'!I7*Conversion!$B$3</f>
        <v>0</v>
      </c>
      <c r="J7" s="4">
        <f>'Residentail-Heating'!J7*Conversion!$B$3</f>
        <v>0</v>
      </c>
      <c r="K7" s="4">
        <f>'Residentail-Heating'!K7*Conversion!$B$3</f>
        <v>0</v>
      </c>
      <c r="L7" s="4">
        <f>'Residentail-Heating'!L7*Conversion!$B$3</f>
        <v>0</v>
      </c>
      <c r="M7" s="4">
        <f>'Residentail-Heating'!M7*Conversion!$B$3</f>
        <v>0</v>
      </c>
      <c r="N7" s="4">
        <f>'Residentail-Heating'!N7*Conversion!$B$3</f>
        <v>0</v>
      </c>
      <c r="O7" s="4">
        <f>'Residentail-Heating'!O7*Conversion!$B$3</f>
        <v>0</v>
      </c>
      <c r="P7" s="4">
        <f>'Residentail-Heating'!P7*Conversion!$B$3</f>
        <v>0</v>
      </c>
      <c r="Q7" s="4">
        <f>'Residentail-Heating'!Q7*Conversion!$B$3</f>
        <v>0</v>
      </c>
      <c r="R7" s="4">
        <f>'Residentail-Heating'!R7*Conversion!$B$3</f>
        <v>0</v>
      </c>
      <c r="S7" s="4">
        <f>'Residentail-Heating'!S7*Conversion!$B$3</f>
        <v>0</v>
      </c>
      <c r="T7" s="4">
        <f>'Residentail-Heating'!T7*Conversion!$B$3</f>
        <v>0</v>
      </c>
      <c r="U7" s="4">
        <f>'Residentail-Heating'!U7*Conversion!$B$3</f>
        <v>0</v>
      </c>
      <c r="V7" s="4">
        <f>'Residentail-Heating'!V7*Conversion!$B$3</f>
        <v>0</v>
      </c>
      <c r="W7" s="4">
        <f>'Residentail-Heating'!W7*Conversion!$B$3</f>
        <v>0</v>
      </c>
      <c r="X7" s="4">
        <f>'Residentail-Heating'!X7*Conversion!$B$3</f>
        <v>0</v>
      </c>
      <c r="Y7" s="4">
        <f>'Residentail-Heating'!Y7*Conversion!$B$3</f>
        <v>0</v>
      </c>
      <c r="Z7" s="4">
        <f>'Residentail-Heating'!Z7*Conversion!$B$3</f>
        <v>0</v>
      </c>
      <c r="AA7" s="4">
        <f>'Residentail-Heating'!AA7*Conversion!$B$3</f>
        <v>0</v>
      </c>
      <c r="AB7" s="4">
        <f>'Residentail-Heating'!AB7*Conversion!$B$3</f>
        <v>0</v>
      </c>
      <c r="AC7" s="4">
        <f>'Residentail-Heating'!AC7*Conversion!$B$3</f>
        <v>0</v>
      </c>
      <c r="AD7" s="4">
        <f>'Residentail-Heating'!AD7*Conversion!$B$3</f>
        <v>0</v>
      </c>
      <c r="AE7" s="4">
        <f>'Residentail-Heating'!AE7*Conversion!$B$3</f>
        <v>0</v>
      </c>
      <c r="AF7" s="4">
        <f>'Residentail-Heating'!AF7*Conversion!$B$3</f>
        <v>0</v>
      </c>
      <c r="AG7" s="4">
        <f>'Residentail-Heating'!AG7*Conversion!$B$3</f>
        <v>0</v>
      </c>
      <c r="AH7" s="4">
        <f>'Residentail-Heating'!AH7*Conversion!$B$3</f>
        <v>0</v>
      </c>
      <c r="AI7" s="4">
        <f>'Residentail-Heating'!AI7*Conversion!$B$3</f>
        <v>0</v>
      </c>
      <c r="AJ7" s="4">
        <f>'Residentail-Heating'!AJ7*Conversion!$B$3</f>
        <v>0</v>
      </c>
      <c r="AK7" s="4">
        <f>'Residentail-Heating'!AK7*Conversion!$B$3</f>
        <v>0</v>
      </c>
      <c r="AL7" s="4">
        <f>'Residentail-Heating'!AL7*Conversion!$B$3</f>
        <v>0</v>
      </c>
      <c r="AM7" s="4">
        <f>'Residentail-Heating'!AM7*Conversion!$B$3</f>
        <v>0</v>
      </c>
      <c r="AN7" s="4">
        <f>'Residentail-Heating'!AN7*Conversion!$B$3</f>
        <v>0</v>
      </c>
      <c r="AO7" s="4">
        <f>'Residentail-Heating'!AO7*Conversion!$B$3</f>
        <v>0</v>
      </c>
      <c r="AP7" s="4">
        <f>'Residentail-Heating'!AP7*Conversion!$B$3</f>
        <v>0</v>
      </c>
      <c r="AQ7" s="4">
        <f>'Residentail-Heating'!AQ7*Conversion!$B$3</f>
        <v>0</v>
      </c>
      <c r="AR7" s="42">
        <f>'Residentail-Heating'!AR7*Conversion!$B$3</f>
        <v>0</v>
      </c>
      <c r="AS7" s="42">
        <f>'Residentail-Heating'!AS7*Conversion!$B$3</f>
        <v>0</v>
      </c>
      <c r="AT7" s="42">
        <f>'Residentail-Heating'!AT7*Conversion!$B$3</f>
        <v>0</v>
      </c>
      <c r="AU7" s="42">
        <f>'Residentail-Heating'!AU7*Conversion!$B$3</f>
        <v>0</v>
      </c>
      <c r="AV7" s="42">
        <f>'Residentail-Heating'!AV7*Conversion!$B$3</f>
        <v>0</v>
      </c>
      <c r="AW7" s="42">
        <f>'Residentail-Heating'!AW7*Conversion!$B$3</f>
        <v>0</v>
      </c>
      <c r="AX7" s="42">
        <f>'Residentail-Heating'!AX7*Conversion!$B$3</f>
        <v>0</v>
      </c>
      <c r="AY7" s="42">
        <f>'Residentail-Heating'!AY7*Conversion!$B$3</f>
        <v>0</v>
      </c>
      <c r="AZ7" s="42">
        <f>'Residentail-Heating'!AZ7*Conversion!$B$3</f>
        <v>0</v>
      </c>
      <c r="BA7" s="42">
        <f>'Residentail-Heating'!BA7*Conversion!$B$3</f>
        <v>0</v>
      </c>
    </row>
    <row r="8" spans="1:53" x14ac:dyDescent="0.2">
      <c r="A8" s="1" t="s">
        <v>18</v>
      </c>
      <c r="B8" s="15">
        <f>'Residentail-Heating'!B8*Conversion!$B$3</f>
        <v>0</v>
      </c>
      <c r="C8" s="15">
        <f>'Residentail-Heating'!C8*Conversion!$B$3</f>
        <v>0</v>
      </c>
      <c r="D8" s="15">
        <f>'Residentail-Heating'!D8*Conversion!$B$3</f>
        <v>0</v>
      </c>
      <c r="E8" s="15">
        <f>'Residentail-Heating'!E8*Conversion!$B$3</f>
        <v>0</v>
      </c>
      <c r="F8" s="4">
        <f>'Residentail-Heating'!F8*Conversion!$B$3</f>
        <v>0</v>
      </c>
      <c r="G8" s="4">
        <f>'Residentail-Heating'!G8*Conversion!$B$3</f>
        <v>0</v>
      </c>
      <c r="H8" s="4">
        <f>'Residentail-Heating'!H8*Conversion!$B$3</f>
        <v>0</v>
      </c>
      <c r="I8" s="4">
        <f>'Residentail-Heating'!I8*Conversion!$B$3</f>
        <v>0</v>
      </c>
      <c r="J8" s="4">
        <f>'Residentail-Heating'!J8*Conversion!$B$3</f>
        <v>0</v>
      </c>
      <c r="K8" s="4">
        <f>'Residentail-Heating'!K8*Conversion!$B$3</f>
        <v>0</v>
      </c>
      <c r="L8" s="4">
        <f>'Residentail-Heating'!L8*Conversion!$B$3</f>
        <v>0</v>
      </c>
      <c r="M8" s="4">
        <f>'Residentail-Heating'!M8*Conversion!$B$3</f>
        <v>0</v>
      </c>
      <c r="N8" s="4">
        <f>'Residentail-Heating'!N8*Conversion!$B$3</f>
        <v>0</v>
      </c>
      <c r="O8" s="4">
        <f>'Residentail-Heating'!O8*Conversion!$B$3</f>
        <v>0</v>
      </c>
      <c r="P8" s="4">
        <f>'Residentail-Heating'!P8*Conversion!$B$3</f>
        <v>0</v>
      </c>
      <c r="Q8" s="4">
        <f>'Residentail-Heating'!Q8*Conversion!$B$3</f>
        <v>0</v>
      </c>
      <c r="R8" s="4">
        <f>'Residentail-Heating'!R8*Conversion!$B$3</f>
        <v>0</v>
      </c>
      <c r="S8" s="4">
        <f>'Residentail-Heating'!S8*Conversion!$B$3</f>
        <v>0</v>
      </c>
      <c r="T8" s="4">
        <f>'Residentail-Heating'!T8*Conversion!$B$3</f>
        <v>0</v>
      </c>
      <c r="U8" s="4">
        <f>'Residentail-Heating'!U8*Conversion!$B$3</f>
        <v>0</v>
      </c>
      <c r="V8" s="4">
        <f>'Residentail-Heating'!V8*Conversion!$B$3</f>
        <v>0</v>
      </c>
      <c r="W8" s="4">
        <f>'Residentail-Heating'!W8*Conversion!$B$3</f>
        <v>0</v>
      </c>
      <c r="X8" s="4">
        <f>'Residentail-Heating'!X8*Conversion!$B$3</f>
        <v>0</v>
      </c>
      <c r="Y8" s="4">
        <f>'Residentail-Heating'!Y8*Conversion!$B$3</f>
        <v>0</v>
      </c>
      <c r="Z8" s="4">
        <f>'Residentail-Heating'!Z8*Conversion!$B$3</f>
        <v>0</v>
      </c>
      <c r="AA8" s="4">
        <f>'Residentail-Heating'!AA8*Conversion!$B$3</f>
        <v>0</v>
      </c>
      <c r="AB8" s="4">
        <f>'Residentail-Heating'!AB8*Conversion!$B$3</f>
        <v>0</v>
      </c>
      <c r="AC8" s="4">
        <f>'Residentail-Heating'!AC8*Conversion!$B$3</f>
        <v>0</v>
      </c>
      <c r="AD8" s="4">
        <f>'Residentail-Heating'!AD8*Conversion!$B$3</f>
        <v>0</v>
      </c>
      <c r="AE8" s="4">
        <f>'Residentail-Heating'!AE8*Conversion!$B$3</f>
        <v>0</v>
      </c>
      <c r="AF8" s="4">
        <f>'Residentail-Heating'!AF8*Conversion!$B$3</f>
        <v>0</v>
      </c>
      <c r="AG8" s="4">
        <f>'Residentail-Heating'!AG8*Conversion!$B$3</f>
        <v>0</v>
      </c>
      <c r="AH8" s="4">
        <f>'Residentail-Heating'!AH8*Conversion!$B$3</f>
        <v>0</v>
      </c>
      <c r="AI8" s="4">
        <f>'Residentail-Heating'!AI8*Conversion!$B$3</f>
        <v>0</v>
      </c>
      <c r="AJ8" s="4">
        <f>'Residentail-Heating'!AJ8*Conversion!$B$3</f>
        <v>0</v>
      </c>
      <c r="AK8" s="4">
        <f>'Residentail-Heating'!AK8*Conversion!$B$3</f>
        <v>0</v>
      </c>
      <c r="AL8" s="4">
        <f>'Residentail-Heating'!AL8*Conversion!$B$3</f>
        <v>0</v>
      </c>
      <c r="AM8" s="4">
        <f>'Residentail-Heating'!AM8*Conversion!$B$3</f>
        <v>0</v>
      </c>
      <c r="AN8" s="4">
        <f>'Residentail-Heating'!AN8*Conversion!$B$3</f>
        <v>0</v>
      </c>
      <c r="AO8" s="4">
        <f>'Residentail-Heating'!AO8*Conversion!$B$3</f>
        <v>0</v>
      </c>
      <c r="AP8" s="4">
        <f>'Residentail-Heating'!AP8*Conversion!$B$3</f>
        <v>0</v>
      </c>
      <c r="AQ8" s="4">
        <f>'Residentail-Heating'!AQ8*Conversion!$B$3</f>
        <v>0</v>
      </c>
      <c r="AR8" s="42">
        <f>'Residentail-Heating'!AR8*Conversion!$B$3</f>
        <v>0</v>
      </c>
      <c r="AS8" s="42">
        <f>'Residentail-Heating'!AS8*Conversion!$B$3</f>
        <v>0</v>
      </c>
      <c r="AT8" s="42">
        <f>'Residentail-Heating'!AT8*Conversion!$B$3</f>
        <v>0</v>
      </c>
      <c r="AU8" s="42">
        <f>'Residentail-Heating'!AU8*Conversion!$B$3</f>
        <v>0</v>
      </c>
      <c r="AV8" s="42">
        <f>'Residentail-Heating'!AV8*Conversion!$B$3</f>
        <v>0</v>
      </c>
      <c r="AW8" s="42">
        <f>'Residentail-Heating'!AW8*Conversion!$B$3</f>
        <v>0</v>
      </c>
      <c r="AX8" s="42">
        <f>'Residentail-Heating'!AX8*Conversion!$B$3</f>
        <v>0</v>
      </c>
      <c r="AY8" s="42">
        <f>'Residentail-Heating'!AY8*Conversion!$B$3</f>
        <v>0</v>
      </c>
      <c r="AZ8" s="42">
        <f>'Residentail-Heating'!AZ8*Conversion!$B$3</f>
        <v>0</v>
      </c>
      <c r="BA8" s="42">
        <f>'Residentail-Heating'!BA8*Conversion!$B$3</f>
        <v>0</v>
      </c>
    </row>
    <row r="9" spans="1:53" x14ac:dyDescent="0.2">
      <c r="A9" s="1" t="s">
        <v>19</v>
      </c>
      <c r="B9" s="15">
        <f>'Residentail-Heating'!B9*Conversion!$B$3</f>
        <v>0</v>
      </c>
      <c r="C9" s="15">
        <f>'Residentail-Heating'!C9*Conversion!$B$3</f>
        <v>0</v>
      </c>
      <c r="D9" s="15">
        <f>'Residentail-Heating'!D9*Conversion!$B$3</f>
        <v>0</v>
      </c>
      <c r="E9" s="15">
        <f>'Residentail-Heating'!E9*Conversion!$B$3</f>
        <v>0</v>
      </c>
      <c r="F9" s="4">
        <f>'Residentail-Heating'!F9*Conversion!$B$3</f>
        <v>0</v>
      </c>
      <c r="G9" s="4">
        <f>'Residentail-Heating'!G9*Conversion!$B$3</f>
        <v>0</v>
      </c>
      <c r="H9" s="4">
        <f>'Residentail-Heating'!H9*Conversion!$B$3</f>
        <v>0</v>
      </c>
      <c r="I9" s="4">
        <f>'Residentail-Heating'!I9*Conversion!$B$3</f>
        <v>0</v>
      </c>
      <c r="J9" s="4">
        <f>'Residentail-Heating'!J9*Conversion!$B$3</f>
        <v>0</v>
      </c>
      <c r="K9" s="4">
        <f>'Residentail-Heating'!K9*Conversion!$B$3</f>
        <v>0</v>
      </c>
      <c r="L9" s="4">
        <f>'Residentail-Heating'!L9*Conversion!$B$3</f>
        <v>0</v>
      </c>
      <c r="M9" s="4">
        <f>'Residentail-Heating'!M9*Conversion!$B$3</f>
        <v>0</v>
      </c>
      <c r="N9" s="4">
        <f>'Residentail-Heating'!N9*Conversion!$B$3</f>
        <v>0</v>
      </c>
      <c r="O9" s="4">
        <f>'Residentail-Heating'!O9*Conversion!$B$3</f>
        <v>0</v>
      </c>
      <c r="P9" s="4">
        <f>'Residentail-Heating'!P9*Conversion!$B$3</f>
        <v>0</v>
      </c>
      <c r="Q9" s="4">
        <f>'Residentail-Heating'!Q9*Conversion!$B$3</f>
        <v>0</v>
      </c>
      <c r="R9" s="4">
        <f>'Residentail-Heating'!R9*Conversion!$B$3</f>
        <v>0</v>
      </c>
      <c r="S9" s="4">
        <f>'Residentail-Heating'!S9*Conversion!$B$3</f>
        <v>0</v>
      </c>
      <c r="T9" s="4">
        <f>'Residentail-Heating'!T9*Conversion!$B$3</f>
        <v>0</v>
      </c>
      <c r="U9" s="4">
        <f>'Residentail-Heating'!U9*Conversion!$B$3</f>
        <v>0</v>
      </c>
      <c r="V9" s="4">
        <f>'Residentail-Heating'!V9*Conversion!$B$3</f>
        <v>0</v>
      </c>
      <c r="W9" s="4">
        <f>'Residentail-Heating'!W9*Conversion!$B$3</f>
        <v>0</v>
      </c>
      <c r="X9" s="4">
        <f>'Residentail-Heating'!X9*Conversion!$B$3</f>
        <v>0</v>
      </c>
      <c r="Y9" s="4">
        <f>'Residentail-Heating'!Y9*Conversion!$B$3</f>
        <v>0</v>
      </c>
      <c r="Z9" s="4">
        <f>'Residentail-Heating'!Z9*Conversion!$B$3</f>
        <v>0</v>
      </c>
      <c r="AA9" s="4">
        <f>'Residentail-Heating'!AA9*Conversion!$B$3</f>
        <v>0</v>
      </c>
      <c r="AB9" s="4">
        <f>'Residentail-Heating'!AB9*Conversion!$B$3</f>
        <v>0</v>
      </c>
      <c r="AC9" s="4">
        <f>'Residentail-Heating'!AC9*Conversion!$B$3</f>
        <v>0</v>
      </c>
      <c r="AD9" s="4">
        <f>'Residentail-Heating'!AD9*Conversion!$B$3</f>
        <v>0</v>
      </c>
      <c r="AE9" s="4">
        <f>'Residentail-Heating'!AE9*Conversion!$B$3</f>
        <v>0</v>
      </c>
      <c r="AF9" s="4">
        <f>'Residentail-Heating'!AF9*Conversion!$B$3</f>
        <v>0</v>
      </c>
      <c r="AG9" s="4">
        <f>'Residentail-Heating'!AG9*Conversion!$B$3</f>
        <v>0</v>
      </c>
      <c r="AH9" s="4">
        <f>'Residentail-Heating'!AH9*Conversion!$B$3</f>
        <v>0</v>
      </c>
      <c r="AI9" s="4">
        <f>'Residentail-Heating'!AI9*Conversion!$B$3</f>
        <v>0</v>
      </c>
      <c r="AJ9" s="4">
        <f>'Residentail-Heating'!AJ9*Conversion!$B$3</f>
        <v>0</v>
      </c>
      <c r="AK9" s="4">
        <f>'Residentail-Heating'!AK9*Conversion!$B$3</f>
        <v>0</v>
      </c>
      <c r="AL9" s="4">
        <f>'Residentail-Heating'!AL9*Conversion!$B$3</f>
        <v>0</v>
      </c>
      <c r="AM9" s="4">
        <f>'Residentail-Heating'!AM9*Conversion!$B$3</f>
        <v>0</v>
      </c>
      <c r="AN9" s="4">
        <f>'Residentail-Heating'!AN9*Conversion!$B$3</f>
        <v>0</v>
      </c>
      <c r="AO9" s="4">
        <f>'Residentail-Heating'!AO9*Conversion!$B$3</f>
        <v>0</v>
      </c>
      <c r="AP9" s="4">
        <f>'Residentail-Heating'!AP9*Conversion!$B$3</f>
        <v>0</v>
      </c>
      <c r="AQ9" s="4">
        <f>'Residentail-Heating'!AQ9*Conversion!$B$3</f>
        <v>0</v>
      </c>
      <c r="AR9" s="42">
        <f>'Residentail-Heating'!AR9*Conversion!$B$3</f>
        <v>0</v>
      </c>
      <c r="AS9" s="42">
        <f>'Residentail-Heating'!AS9*Conversion!$B$3</f>
        <v>0</v>
      </c>
      <c r="AT9" s="42">
        <f>'Residentail-Heating'!AT9*Conversion!$B$3</f>
        <v>0</v>
      </c>
      <c r="AU9" s="42">
        <f>'Residentail-Heating'!AU9*Conversion!$B$3</f>
        <v>0</v>
      </c>
      <c r="AV9" s="42">
        <f>'Residentail-Heating'!AV9*Conversion!$B$3</f>
        <v>0</v>
      </c>
      <c r="AW9" s="42">
        <f>'Residentail-Heating'!AW9*Conversion!$B$3</f>
        <v>0</v>
      </c>
      <c r="AX9" s="42">
        <f>'Residentail-Heating'!AX9*Conversion!$B$3</f>
        <v>0</v>
      </c>
      <c r="AY9" s="42">
        <f>'Residentail-Heating'!AY9*Conversion!$B$3</f>
        <v>0</v>
      </c>
      <c r="AZ9" s="42">
        <f>'Residentail-Heating'!AZ9*Conversion!$B$3</f>
        <v>0</v>
      </c>
      <c r="BA9" s="42">
        <f>'Residentail-Heating'!BA9*Conversion!$B$3</f>
        <v>0</v>
      </c>
    </row>
    <row r="10" spans="1:53" x14ac:dyDescent="0.2">
      <c r="A10" s="1" t="s">
        <v>20</v>
      </c>
      <c r="B10" s="15">
        <f>'Residentail-Heating'!C15*Conversion!$B$3</f>
        <v>1088126608.647665</v>
      </c>
      <c r="C10" s="15">
        <f>'Residentail-Heating'!$C16*Conversion!$B$3</f>
        <v>1105845484.0763512</v>
      </c>
      <c r="D10" s="15">
        <f>'Residentail-Heating'!$C17*Conversion!$B$3</f>
        <v>1123564359.5050373</v>
      </c>
      <c r="E10" s="15">
        <f>'Residentail-Heating'!E10*Conversion!$B$3</f>
        <v>1137992751.4800622</v>
      </c>
      <c r="F10" s="4">
        <f>'Residentail-Heating'!F10*Conversion!$B$3</f>
        <v>1160791412.446763</v>
      </c>
      <c r="G10" s="4">
        <f>'Residentail-Heating'!G10*Conversion!$B$3</f>
        <v>1179913414.279763</v>
      </c>
      <c r="H10" s="4">
        <f>'Residentail-Heating'!H10*Conversion!$B$3</f>
        <v>1195849031.803951</v>
      </c>
      <c r="I10" s="4">
        <f>'Residentail-Heating'!I10*Conversion!$B$3</f>
        <v>1209058318.9448884</v>
      </c>
      <c r="J10" s="4">
        <f>'Residentail-Heating'!J10*Conversion!$B$3</f>
        <v>1219959202.5989013</v>
      </c>
      <c r="K10" s="4">
        <f>'Residentail-Heating'!K10*Conversion!$B$3</f>
        <v>1228922178.0951235</v>
      </c>
      <c r="L10" s="4">
        <f>'Residentail-Heating'!L10*Conversion!$B$3</f>
        <v>1236269574.222641</v>
      </c>
      <c r="M10" s="4">
        <f>'Residentail-Heating'!M10*Conversion!$B$3</f>
        <v>1242277729.4563711</v>
      </c>
      <c r="N10" s="4">
        <f>'Residentail-Heating'!N10*Conversion!$B$3</f>
        <v>1247180829.5949306</v>
      </c>
      <c r="O10" s="4">
        <f>'Residentail-Heating'!O10*Conversion!$B$3</f>
        <v>1251175525.057008</v>
      </c>
      <c r="P10" s="4">
        <f>'Residentail-Heating'!P10*Conversion!$B$3</f>
        <v>1254425743.7223303</v>
      </c>
      <c r="Q10" s="4">
        <f>'Residentail-Heating'!Q10*Conversion!$B$3</f>
        <v>1257067338.849278</v>
      </c>
      <c r="R10" s="4">
        <f>'Residentail-Heating'!R10*Conversion!$B$3</f>
        <v>1259212370.2316272</v>
      </c>
      <c r="S10" s="4">
        <f>'Residentail-Heating'!S10*Conversion!$B$3</f>
        <v>1260952923.6359544</v>
      </c>
      <c r="T10" s="4">
        <f>'Residentail-Heating'!T10*Conversion!$B$3</f>
        <v>1262364441.8831725</v>
      </c>
      <c r="U10" s="4">
        <f>'Residentail-Heating'!U10*Conversion!$B$3</f>
        <v>1263508581.9441462</v>
      </c>
      <c r="V10" s="4">
        <f>'Residentail-Heating'!V10*Conversion!$B$3</f>
        <v>1264435634.8906014</v>
      </c>
      <c r="W10" s="4">
        <f>'Residentail-Heating'!W10*Conversion!$B$3</f>
        <v>1265186555.9483905</v>
      </c>
      <c r="X10" s="4">
        <f>'Residentail-Heating'!X10*Conversion!$B$3</f>
        <v>1265794654.8041117</v>
      </c>
      <c r="Y10" s="4">
        <f>'Residentail-Heating'!Y10*Conversion!$B$3</f>
        <v>1266286994.8215508</v>
      </c>
      <c r="Z10" s="4">
        <f>'Residentail-Heating'!Z10*Conversion!$B$3</f>
        <v>1266685545.9714875</v>
      </c>
      <c r="AA10" s="4">
        <f>'Residentail-Heating'!AA10*Conversion!$B$3</f>
        <v>1267008131.3616903</v>
      </c>
      <c r="AB10" s="4">
        <f>'Residentail-Heating'!AB10*Conversion!$B$3</f>
        <v>1267269202.0609579</v>
      </c>
      <c r="AC10" s="4">
        <f>'Residentail-Heating'!AC10*Conversion!$B$3</f>
        <v>1267480469.8945091</v>
      </c>
      <c r="AD10" s="4">
        <f>'Residentail-Heating'!AD10*Conversion!$B$3</f>
        <v>1267651423.2852228</v>
      </c>
      <c r="AE10" s="4">
        <f>'Residentail-Heating'!AE10*Conversion!$B$3</f>
        <v>1267789747.1295581</v>
      </c>
      <c r="AF10" s="4">
        <f>'Residentail-Heating'!AF10*Conversion!$B$3</f>
        <v>1267901664.1517684</v>
      </c>
      <c r="AG10" s="4">
        <f>'Residentail-Heating'!AG10*Conversion!$B$3</f>
        <v>1267992212.1533191</v>
      </c>
      <c r="AH10" s="4">
        <f>'Residentail-Heating'!AH10*Conversion!$B$3</f>
        <v>1268065469.0212176</v>
      </c>
      <c r="AI10" s="4">
        <f>'Residentail-Heating'!AI10*Conversion!$B$3</f>
        <v>1268124735.2245018</v>
      </c>
      <c r="AJ10" s="4">
        <f>'Residentail-Heating'!AJ10*Conversion!$B$3</f>
        <v>1268172681.7560704</v>
      </c>
      <c r="AK10" s="4">
        <f>'Residentail-Heating'!AK10*Conversion!$B$3</f>
        <v>1268211470.0136864</v>
      </c>
      <c r="AL10" s="4">
        <f>'Residentail-Heating'!AL10*Conversion!$B$3</f>
        <v>1268242848.9105887</v>
      </c>
      <c r="AM10" s="4">
        <f>'Residentail-Heating'!AM10*Conversion!$B$3</f>
        <v>1268268233.5198414</v>
      </c>
      <c r="AN10" s="4">
        <f>'Residentail-Heating'!AN10*Conversion!$B$3</f>
        <v>1268288768.7502186</v>
      </c>
      <c r="AO10" s="4">
        <f>'Residentail-Heating'!AO10*Conversion!$B$3</f>
        <v>1268305380.8936422</v>
      </c>
      <c r="AP10" s="4">
        <f>'Residentail-Heating'!AP10*Conversion!$B$3</f>
        <v>1268318819.3484242</v>
      </c>
      <c r="AQ10" s="4">
        <f>'Residentail-Heating'!AQ10*Conversion!$B$3</f>
        <v>1268329690.3868458</v>
      </c>
      <c r="AR10" s="42">
        <f>'Residentail-Heating'!AR10*Conversion!$B$3</f>
        <v>1268340561.5184457</v>
      </c>
      <c r="AS10" s="42">
        <f>'Residentail-Heating'!AS10*Conversion!$B$3</f>
        <v>1268351432.7432241</v>
      </c>
      <c r="AT10" s="42">
        <f>'Residentail-Heating'!AT10*Conversion!$B$3</f>
        <v>1268362304.0611825</v>
      </c>
      <c r="AU10" s="42">
        <f>'Residentail-Heating'!AU10*Conversion!$B$3</f>
        <v>1268373175.4723213</v>
      </c>
      <c r="AV10" s="42">
        <f>'Residentail-Heating'!AV10*Conversion!$B$3</f>
        <v>1268384046.9766409</v>
      </c>
      <c r="AW10" s="42">
        <f>'Residentail-Heating'!AW10*Conversion!$B$3</f>
        <v>1268394918.5741429</v>
      </c>
      <c r="AX10" s="42">
        <f>'Residentail-Heating'!AX10*Conversion!$B$3</f>
        <v>1268405790.2648277</v>
      </c>
      <c r="AY10" s="42">
        <f>'Residentail-Heating'!AY10*Conversion!$B$3</f>
        <v>1268416662.0486963</v>
      </c>
      <c r="AZ10" s="42">
        <f>'Residentail-Heating'!AZ10*Conversion!$B$3</f>
        <v>1268427533.9257493</v>
      </c>
      <c r="BA10" s="42">
        <f>'Residentail-Heating'!BA10*Conversion!$B$3</f>
        <v>1268438405.8959873</v>
      </c>
    </row>
    <row r="11" spans="1:53" x14ac:dyDescent="0.2">
      <c r="A11" s="1" t="s">
        <v>21</v>
      </c>
      <c r="B11" s="15">
        <f>'Residentail-Heating'!B11*Conversion!$B$3</f>
        <v>0</v>
      </c>
      <c r="C11" s="15">
        <f>'Residentail-Heating'!C11*Conversion!$B$3</f>
        <v>0</v>
      </c>
      <c r="D11" s="15">
        <f>'Residentail-Heating'!D11*Conversion!$B$3</f>
        <v>0</v>
      </c>
      <c r="E11" s="15">
        <f>'Residentail-Heating'!E11*Conversion!$B$3</f>
        <v>0</v>
      </c>
      <c r="F11" s="4">
        <f>'Residentail-Heating'!F11*Conversion!$B$3</f>
        <v>0</v>
      </c>
      <c r="G11" s="4">
        <f>'Residentail-Heating'!G11*Conversion!$B$3</f>
        <v>0</v>
      </c>
      <c r="H11" s="4">
        <f>'Residentail-Heating'!H11*Conversion!$B$3</f>
        <v>0</v>
      </c>
      <c r="I11" s="4">
        <f>'Residentail-Heating'!I11*Conversion!$B$3</f>
        <v>0</v>
      </c>
      <c r="J11" s="4">
        <f>'Residentail-Heating'!J11*Conversion!$B$3</f>
        <v>0</v>
      </c>
      <c r="K11" s="4">
        <f>'Residentail-Heating'!K11*Conversion!$B$3</f>
        <v>0</v>
      </c>
      <c r="L11" s="4">
        <f>'Residentail-Heating'!L11*Conversion!$B$3</f>
        <v>0</v>
      </c>
      <c r="M11" s="4">
        <f>'Residentail-Heating'!M11*Conversion!$B$3</f>
        <v>0</v>
      </c>
      <c r="N11" s="4">
        <f>'Residentail-Heating'!N11*Conversion!$B$3</f>
        <v>0</v>
      </c>
      <c r="O11" s="4">
        <f>'Residentail-Heating'!O11*Conversion!$B$3</f>
        <v>0</v>
      </c>
      <c r="P11" s="4">
        <f>'Residentail-Heating'!P11*Conversion!$B$3</f>
        <v>0</v>
      </c>
      <c r="Q11" s="4">
        <f>'Residentail-Heating'!Q11*Conversion!$B$3</f>
        <v>0</v>
      </c>
      <c r="R11" s="4">
        <f>'Residentail-Heating'!R11*Conversion!$B$3</f>
        <v>0</v>
      </c>
      <c r="S11" s="4">
        <f>'Residentail-Heating'!S11*Conversion!$B$3</f>
        <v>0</v>
      </c>
      <c r="T11" s="4">
        <f>'Residentail-Heating'!T11*Conversion!$B$3</f>
        <v>0</v>
      </c>
      <c r="U11" s="4">
        <f>'Residentail-Heating'!U11*Conversion!$B$3</f>
        <v>0</v>
      </c>
      <c r="V11" s="4">
        <f>'Residentail-Heating'!V11*Conversion!$B$3</f>
        <v>0</v>
      </c>
      <c r="W11" s="4">
        <f>'Residentail-Heating'!W11*Conversion!$B$3</f>
        <v>0</v>
      </c>
      <c r="X11" s="4">
        <f>'Residentail-Heating'!X11*Conversion!$B$3</f>
        <v>0</v>
      </c>
      <c r="Y11" s="4">
        <f>'Residentail-Heating'!Y11*Conversion!$B$3</f>
        <v>0</v>
      </c>
      <c r="Z11" s="4">
        <f>'Residentail-Heating'!Z11*Conversion!$B$3</f>
        <v>0</v>
      </c>
      <c r="AA11" s="4">
        <f>'Residentail-Heating'!AA11*Conversion!$B$3</f>
        <v>0</v>
      </c>
      <c r="AB11" s="4">
        <f>'Residentail-Heating'!AB11*Conversion!$B$3</f>
        <v>0</v>
      </c>
      <c r="AC11" s="4">
        <f>'Residentail-Heating'!AC11*Conversion!$B$3</f>
        <v>0</v>
      </c>
      <c r="AD11" s="4">
        <f>'Residentail-Heating'!AD11*Conversion!$B$3</f>
        <v>0</v>
      </c>
      <c r="AE11" s="4">
        <f>'Residentail-Heating'!AE11*Conversion!$B$3</f>
        <v>0</v>
      </c>
      <c r="AF11" s="4">
        <f>'Residentail-Heating'!AF11*Conversion!$B$3</f>
        <v>0</v>
      </c>
      <c r="AG11" s="4">
        <f>'Residentail-Heating'!AG11*Conversion!$B$3</f>
        <v>0</v>
      </c>
      <c r="AH11" s="4">
        <f>'Residentail-Heating'!AH11*Conversion!$B$3</f>
        <v>0</v>
      </c>
      <c r="AI11" s="4">
        <f>'Residentail-Heating'!AI11*Conversion!$B$3</f>
        <v>0</v>
      </c>
      <c r="AJ11" s="4">
        <f>'Residentail-Heating'!AJ11*Conversion!$B$3</f>
        <v>0</v>
      </c>
      <c r="AK11" s="4">
        <f>'Residentail-Heating'!AK11*Conversion!$B$3</f>
        <v>0</v>
      </c>
      <c r="AL11" s="4">
        <f>'Residentail-Heating'!AL11*Conversion!$B$3</f>
        <v>0</v>
      </c>
      <c r="AM11" s="4">
        <f>'Residentail-Heating'!AM11*Conversion!$B$3</f>
        <v>0</v>
      </c>
      <c r="AN11" s="4">
        <f>'Residentail-Heating'!AN11*Conversion!$B$3</f>
        <v>0</v>
      </c>
      <c r="AO11" s="4">
        <f>'Residentail-Heating'!AO11*Conversion!$B$3</f>
        <v>0</v>
      </c>
      <c r="AP11" s="4">
        <f>'Residentail-Heating'!AP11*Conversion!$B$3</f>
        <v>0</v>
      </c>
      <c r="AQ11" s="4">
        <f>'Residentail-Heating'!AQ11*Conversion!$B$3</f>
        <v>0</v>
      </c>
      <c r="AR11" s="42">
        <f>'Residentail-Heating'!AR11*Conversion!$B$3</f>
        <v>950000</v>
      </c>
      <c r="AS11" s="42">
        <f>'Residentail-Heating'!AS11*Conversion!$B$3</f>
        <v>1900000</v>
      </c>
      <c r="AT11" s="42">
        <f>'Residentail-Heating'!AT11*Conversion!$B$3</f>
        <v>2850000</v>
      </c>
      <c r="AU11" s="42">
        <f>'Residentail-Heating'!AU11*Conversion!$B$3</f>
        <v>3800000</v>
      </c>
      <c r="AV11" s="42">
        <f>'Residentail-Heating'!AV11*Conversion!$B$3</f>
        <v>4750000</v>
      </c>
      <c r="AW11" s="42">
        <f>'Residentail-Heating'!AW11*Conversion!$B$3</f>
        <v>5700000</v>
      </c>
      <c r="AX11" s="42">
        <f>'Residentail-Heating'!AX11*Conversion!$B$3</f>
        <v>6650000</v>
      </c>
      <c r="AY11" s="42">
        <f>'Residentail-Heating'!AY11*Conversion!$B$3</f>
        <v>7600000</v>
      </c>
      <c r="AZ11" s="42">
        <f>'Residentail-Heating'!AZ11*Conversion!$B$3</f>
        <v>8550000</v>
      </c>
      <c r="BA11" s="42">
        <f>'Residentail-Heating'!BA11*Conversion!$B$3</f>
        <v>9500000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D643-C8BF-4B48-9F96-7E3B1FE7A9F9}">
  <sheetPr>
    <tabColor theme="3" tint="0.249977111117893"/>
  </sheetPr>
  <dimension ref="A1:BA11"/>
  <sheetViews>
    <sheetView topLeftCell="AG1" workbookViewId="0">
      <selection activeCell="AU22" sqref="AU22"/>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4">
        <f>'Residential-Cooling'!C15*Conversion!$B$3</f>
        <v>35040756087205.887</v>
      </c>
      <c r="C2" s="4">
        <f>'Residential-Cooling'!C16*Conversion!$B$3</f>
        <v>38570034781383.227</v>
      </c>
      <c r="D2" s="4">
        <f>'Residential-Cooling'!C17*Conversion!$B$3</f>
        <v>42099313475560.57</v>
      </c>
      <c r="E2" s="4">
        <f>'Residential-Cooling'!E2*Conversion!$B$3</f>
        <v>45690346298760.234</v>
      </c>
      <c r="F2" s="4">
        <f>'Residential-Cooling'!F2*Conversion!$B$3</f>
        <v>48769514011797.773</v>
      </c>
      <c r="G2" s="4">
        <f>'Residential-Cooling'!G2*Conversion!$B$3</f>
        <v>52824756347909.664</v>
      </c>
      <c r="H2" s="4">
        <f>'Residential-Cooling'!H2*Conversion!$B$3</f>
        <v>56859268712909.5</v>
      </c>
      <c r="I2" s="4">
        <f>'Residential-Cooling'!I2*Conversion!$B$3</f>
        <v>59291862419093.18</v>
      </c>
      <c r="J2" s="4">
        <f>'Residential-Cooling'!J2*Conversion!$B$3</f>
        <v>60695765963828.102</v>
      </c>
      <c r="K2" s="4">
        <f>'Residential-Cooling'!K2*Conversion!$B$3</f>
        <v>62072251275347.258</v>
      </c>
      <c r="L2" s="4">
        <f>'Residential-Cooling'!L2*Conversion!$B$3</f>
        <v>63421068636720.898</v>
      </c>
      <c r="M2" s="4">
        <f>'Residential-Cooling'!M2*Conversion!$B$3</f>
        <v>64741626987144.469</v>
      </c>
      <c r="N2" s="4">
        <f>'Residential-Cooling'!N2*Conversion!$B$3</f>
        <v>76334545055196.625</v>
      </c>
      <c r="O2" s="4">
        <f>'Residential-Cooling'!O2*Conversion!$B$3</f>
        <v>77905538579444.125</v>
      </c>
      <c r="P2" s="4">
        <f>'Residential-Cooling'!P2*Conversion!$B$3</f>
        <v>79359764905776.312</v>
      </c>
      <c r="Q2" s="4">
        <f>'Residential-Cooling'!Q2*Conversion!$B$3</f>
        <v>80706390059422.719</v>
      </c>
      <c r="R2" s="4">
        <f>'Residential-Cooling'!R2*Conversion!$B$3</f>
        <v>81955105014581.938</v>
      </c>
      <c r="S2" s="4">
        <f>'Residential-Cooling'!S2*Conversion!$B$3</f>
        <v>86794760016536.062</v>
      </c>
      <c r="T2" s="4">
        <f>'Residential-Cooling'!T2*Conversion!$B$3</f>
        <v>88256563283343.359</v>
      </c>
      <c r="U2" s="4">
        <f>'Residential-Cooling'!U2*Conversion!$B$3</f>
        <v>89630193118123.781</v>
      </c>
      <c r="V2" s="4">
        <f>'Residential-Cooling'!V2*Conversion!$B$3</f>
        <v>90921171435469.203</v>
      </c>
      <c r="W2" s="4">
        <f>'Residential-Cooling'!W2*Conversion!$B$3</f>
        <v>92135339901001.938</v>
      </c>
      <c r="X2" s="4">
        <f>'Residential-Cooling'!X2*Conversion!$B$3</f>
        <v>99838414409042.953</v>
      </c>
      <c r="Y2" s="4">
        <f>'Residential-Cooling'!Y2*Conversion!$B$3</f>
        <v>101821360382688.19</v>
      </c>
      <c r="Z2" s="4">
        <f>'Residential-Cooling'!Z2*Conversion!$B$3</f>
        <v>103747180379468.86</v>
      </c>
      <c r="AA2" s="4">
        <f>'Residential-Cooling'!AA2*Conversion!$B$3</f>
        <v>105614084442644.33</v>
      </c>
      <c r="AB2" s="4">
        <f>'Residential-Cooling'!AB2*Conversion!$B$3</f>
        <v>107420889580506.95</v>
      </c>
      <c r="AC2" s="4">
        <f>'Residential-Cooling'!AC2*Conversion!$B$3</f>
        <v>109035485624080.22</v>
      </c>
      <c r="AD2" s="4">
        <f>'Residential-Cooling'!AD2*Conversion!$B$3</f>
        <v>110586297774503.52</v>
      </c>
      <c r="AE2" s="4">
        <f>'Residential-Cooling'!AE2*Conversion!$B$3</f>
        <v>112073940673451.02</v>
      </c>
      <c r="AF2" s="4">
        <f>'Residential-Cooling'!AF2*Conversion!$B$3</f>
        <v>113499430589175.59</v>
      </c>
      <c r="AG2" s="4">
        <f>'Residential-Cooling'!AG2*Conversion!$B$3</f>
        <v>114864128696707.83</v>
      </c>
      <c r="AH2" s="4">
        <f>'Residential-Cooling'!AH2*Conversion!$B$3</f>
        <v>125723637188183.36</v>
      </c>
      <c r="AI2" s="4">
        <f>'Residential-Cooling'!AI2*Conversion!$B$3</f>
        <v>127270833672370.03</v>
      </c>
      <c r="AJ2" s="4">
        <f>'Residential-Cooling'!AJ2*Conversion!$B$3</f>
        <v>128746998698291.16</v>
      </c>
      <c r="AK2" s="4">
        <f>'Residential-Cooling'!AK2*Conversion!$B$3</f>
        <v>130152662446576.03</v>
      </c>
      <c r="AL2" s="4">
        <f>'Residential-Cooling'!AL2*Conversion!$B$3</f>
        <v>131488720369704.27</v>
      </c>
      <c r="AM2" s="4">
        <f>'Residential-Cooling'!AM2*Conversion!$B$3</f>
        <v>132756390185904.52</v>
      </c>
      <c r="AN2" s="4">
        <f>'Residential-Cooling'!AN2*Conversion!$B$3</f>
        <v>133957169102772.22</v>
      </c>
      <c r="AO2" s="4">
        <f>'Residential-Cooling'!AO2*Conversion!$B$3</f>
        <v>135092792077268.73</v>
      </c>
      <c r="AP2" s="4">
        <f>'Residential-Cooling'!AP2*Conversion!$B$3</f>
        <v>136165191771481.34</v>
      </c>
      <c r="AQ2" s="4">
        <f>'Residential-Cooling'!AQ2*Conversion!$B$3</f>
        <v>137176460719988.39</v>
      </c>
      <c r="AR2" s="42">
        <f>'Residential-Cooling'!AR2*Conversion!$B$3</f>
        <v>138197518727601.92</v>
      </c>
      <c r="AS2" s="42">
        <f>'Residential-Cooling'!AS2*Conversion!$B$3</f>
        <v>139228460552178.86</v>
      </c>
      <c r="AT2" s="42">
        <f>'Residential-Cooling'!AT2*Conversion!$B$3</f>
        <v>140269381868829.81</v>
      </c>
      <c r="AU2" s="42">
        <f>'Residential-Cooling'!AU2*Conversion!$B$3</f>
        <v>141320379278798.28</v>
      </c>
      <c r="AV2" s="42">
        <f>'Residential-Cooling'!AV2*Conversion!$B$3</f>
        <v>142381550318425.41</v>
      </c>
      <c r="AW2" s="42">
        <f>'Residential-Cooling'!AW2*Conversion!$B$3</f>
        <v>143452993468201.81</v>
      </c>
      <c r="AX2" s="42">
        <f>'Residential-Cooling'!AX2*Conversion!$B$3</f>
        <v>144534808161906.81</v>
      </c>
      <c r="AY2" s="42">
        <f>'Residential-Cooling'!AY2*Conversion!$B$3</f>
        <v>145627094795836.41</v>
      </c>
      <c r="AZ2" s="42">
        <f>'Residential-Cooling'!AZ2*Conversion!$B$3</f>
        <v>146729954738120.34</v>
      </c>
      <c r="BA2" s="42">
        <f>'Residential-Cooling'!BA2*Conversion!$B$3</f>
        <v>147843490338129.28</v>
      </c>
    </row>
    <row r="3" spans="1:53" x14ac:dyDescent="0.2">
      <c r="A3" s="1" t="s">
        <v>13</v>
      </c>
      <c r="B3" s="4">
        <f>'Residential-Cooling'!B3*Conversion!$B$3</f>
        <v>0</v>
      </c>
      <c r="C3" s="4">
        <f>'Residential-Cooling'!C3*Conversion!$B$3</f>
        <v>0</v>
      </c>
      <c r="D3" s="4">
        <f>'Residential-Cooling'!D3*Conversion!$B$3</f>
        <v>0</v>
      </c>
      <c r="E3" s="4">
        <f>'Residential-Cooling'!E3*Conversion!$B$3</f>
        <v>0</v>
      </c>
      <c r="F3" s="4">
        <f>'Residential-Cooling'!F3*Conversion!$B$3</f>
        <v>0</v>
      </c>
      <c r="G3" s="4">
        <f>'Residential-Cooling'!G3*Conversion!$B$3</f>
        <v>0</v>
      </c>
      <c r="H3" s="4">
        <f>'Residential-Cooling'!H3*Conversion!$B$3</f>
        <v>0</v>
      </c>
      <c r="I3" s="4">
        <f>'Residential-Cooling'!I3*Conversion!$B$3</f>
        <v>0</v>
      </c>
      <c r="J3" s="4">
        <f>'Residential-Cooling'!J3*Conversion!$B$3</f>
        <v>0</v>
      </c>
      <c r="K3" s="4">
        <f>'Residential-Cooling'!K3*Conversion!$B$3</f>
        <v>0</v>
      </c>
      <c r="L3" s="4">
        <f>'Residential-Cooling'!L3*Conversion!$B$3</f>
        <v>0</v>
      </c>
      <c r="M3" s="4">
        <f>'Residential-Cooling'!M3*Conversion!$B$3</f>
        <v>0</v>
      </c>
      <c r="N3" s="4">
        <f>'Residential-Cooling'!N3*Conversion!$B$3</f>
        <v>0</v>
      </c>
      <c r="O3" s="4">
        <f>'Residential-Cooling'!O3*Conversion!$B$3</f>
        <v>0</v>
      </c>
      <c r="P3" s="4">
        <f>'Residential-Cooling'!P3*Conversion!$B$3</f>
        <v>0</v>
      </c>
      <c r="Q3" s="4">
        <f>'Residential-Cooling'!Q3*Conversion!$B$3</f>
        <v>0</v>
      </c>
      <c r="R3" s="4">
        <f>'Residential-Cooling'!R3*Conversion!$B$3</f>
        <v>0</v>
      </c>
      <c r="S3" s="4">
        <f>'Residential-Cooling'!S3*Conversion!$B$3</f>
        <v>0</v>
      </c>
      <c r="T3" s="4">
        <f>'Residential-Cooling'!T3*Conversion!$B$3</f>
        <v>0</v>
      </c>
      <c r="U3" s="4">
        <f>'Residential-Cooling'!U3*Conversion!$B$3</f>
        <v>0</v>
      </c>
      <c r="V3" s="4">
        <f>'Residential-Cooling'!V3*Conversion!$B$3</f>
        <v>0</v>
      </c>
      <c r="W3" s="4">
        <f>'Residential-Cooling'!W3*Conversion!$B$3</f>
        <v>0</v>
      </c>
      <c r="X3" s="4">
        <f>'Residential-Cooling'!X3*Conversion!$B$3</f>
        <v>0</v>
      </c>
      <c r="Y3" s="4">
        <f>'Residential-Cooling'!Y3*Conversion!$B$3</f>
        <v>0</v>
      </c>
      <c r="Z3" s="4">
        <f>'Residential-Cooling'!Z3*Conversion!$B$3</f>
        <v>0</v>
      </c>
      <c r="AA3" s="4">
        <f>'Residential-Cooling'!AA3*Conversion!$B$3</f>
        <v>0</v>
      </c>
      <c r="AB3" s="4">
        <f>'Residential-Cooling'!AB3*Conversion!$B$3</f>
        <v>0</v>
      </c>
      <c r="AC3" s="4">
        <f>'Residential-Cooling'!AC3*Conversion!$B$3</f>
        <v>0</v>
      </c>
      <c r="AD3" s="4">
        <f>'Residential-Cooling'!AD3*Conversion!$B$3</f>
        <v>0</v>
      </c>
      <c r="AE3" s="4">
        <f>'Residential-Cooling'!AE3*Conversion!$B$3</f>
        <v>0</v>
      </c>
      <c r="AF3" s="4">
        <f>'Residential-Cooling'!AF3*Conversion!$B$3</f>
        <v>0</v>
      </c>
      <c r="AG3" s="4">
        <f>'Residential-Cooling'!AG3*Conversion!$B$3</f>
        <v>0</v>
      </c>
      <c r="AH3" s="4">
        <f>'Residential-Cooling'!AH3*Conversion!$B$3</f>
        <v>0</v>
      </c>
      <c r="AI3" s="4">
        <f>'Residential-Cooling'!AI3*Conversion!$B$3</f>
        <v>0</v>
      </c>
      <c r="AJ3" s="4">
        <f>'Residential-Cooling'!AJ3*Conversion!$B$3</f>
        <v>0</v>
      </c>
      <c r="AK3" s="4">
        <f>'Residential-Cooling'!AK3*Conversion!$B$3</f>
        <v>0</v>
      </c>
      <c r="AL3" s="4">
        <f>'Residential-Cooling'!AL3*Conversion!$B$3</f>
        <v>0</v>
      </c>
      <c r="AM3" s="4">
        <f>'Residential-Cooling'!AM3*Conversion!$B$3</f>
        <v>0</v>
      </c>
      <c r="AN3" s="4">
        <f>'Residential-Cooling'!AN3*Conversion!$B$3</f>
        <v>0</v>
      </c>
      <c r="AO3" s="4">
        <f>'Residential-Cooling'!AO3*Conversion!$B$3</f>
        <v>0</v>
      </c>
      <c r="AP3" s="4">
        <f>'Residential-Cooling'!AP3*Conversion!$B$3</f>
        <v>0</v>
      </c>
      <c r="AQ3" s="4">
        <f>'Residential-Cooling'!AQ3*Conversion!$B$3</f>
        <v>0</v>
      </c>
      <c r="AR3" s="42">
        <f>'Residential-Cooling'!AR3*Conversion!$B$3</f>
        <v>0</v>
      </c>
      <c r="AS3" s="42">
        <f>'Residential-Cooling'!AS3*Conversion!$B$3</f>
        <v>0</v>
      </c>
      <c r="AT3" s="42">
        <f>'Residential-Cooling'!AT3*Conversion!$B$3</f>
        <v>0</v>
      </c>
      <c r="AU3" s="42">
        <f>'Residential-Cooling'!AU3*Conversion!$B$3</f>
        <v>0</v>
      </c>
      <c r="AV3" s="42">
        <f>'Residential-Cooling'!AV3*Conversion!$B$3</f>
        <v>0</v>
      </c>
      <c r="AW3" s="42">
        <f>'Residential-Cooling'!AW3*Conversion!$B$3</f>
        <v>0</v>
      </c>
      <c r="AX3" s="42">
        <f>'Residential-Cooling'!AX3*Conversion!$B$3</f>
        <v>0</v>
      </c>
      <c r="AY3" s="42">
        <f>'Residential-Cooling'!AY3*Conversion!$B$3</f>
        <v>0</v>
      </c>
      <c r="AZ3" s="42">
        <f>'Residential-Cooling'!AZ3*Conversion!$B$3</f>
        <v>0</v>
      </c>
      <c r="BA3" s="42">
        <f>'Residential-Cooling'!BA3*Conversion!$B$3</f>
        <v>0</v>
      </c>
    </row>
    <row r="4" spans="1:53" x14ac:dyDescent="0.2">
      <c r="A4" s="1" t="s">
        <v>14</v>
      </c>
      <c r="B4" s="4">
        <f>'Residential-Cooling'!B4*Conversion!$B$3</f>
        <v>0</v>
      </c>
      <c r="C4" s="4">
        <f>'Residential-Cooling'!C4*Conversion!$B$3</f>
        <v>0</v>
      </c>
      <c r="D4" s="4">
        <f>'Residential-Cooling'!D4*Conversion!$B$3</f>
        <v>0</v>
      </c>
      <c r="E4" s="4">
        <f>'Residential-Cooling'!E4*Conversion!$B$3</f>
        <v>0</v>
      </c>
      <c r="F4" s="4">
        <f>'Residential-Cooling'!F4*Conversion!$B$3</f>
        <v>0</v>
      </c>
      <c r="G4" s="4">
        <f>'Residential-Cooling'!G4*Conversion!$B$3</f>
        <v>0</v>
      </c>
      <c r="H4" s="4">
        <f>'Residential-Cooling'!H4*Conversion!$B$3</f>
        <v>0</v>
      </c>
      <c r="I4" s="4">
        <f>'Residential-Cooling'!I4*Conversion!$B$3</f>
        <v>0</v>
      </c>
      <c r="J4" s="4">
        <f>'Residential-Cooling'!J4*Conversion!$B$3</f>
        <v>0</v>
      </c>
      <c r="K4" s="4">
        <f>'Residential-Cooling'!K4*Conversion!$B$3</f>
        <v>0</v>
      </c>
      <c r="L4" s="4">
        <f>'Residential-Cooling'!L4*Conversion!$B$3</f>
        <v>0</v>
      </c>
      <c r="M4" s="4">
        <f>'Residential-Cooling'!M4*Conversion!$B$3</f>
        <v>0</v>
      </c>
      <c r="N4" s="4">
        <f>'Residential-Cooling'!N4*Conversion!$B$3</f>
        <v>0</v>
      </c>
      <c r="O4" s="4">
        <f>'Residential-Cooling'!O4*Conversion!$B$3</f>
        <v>0</v>
      </c>
      <c r="P4" s="4">
        <f>'Residential-Cooling'!P4*Conversion!$B$3</f>
        <v>0</v>
      </c>
      <c r="Q4" s="4">
        <f>'Residential-Cooling'!Q4*Conversion!$B$3</f>
        <v>0</v>
      </c>
      <c r="R4" s="4">
        <f>'Residential-Cooling'!R4*Conversion!$B$3</f>
        <v>0</v>
      </c>
      <c r="S4" s="4">
        <f>'Residential-Cooling'!S4*Conversion!$B$3</f>
        <v>0</v>
      </c>
      <c r="T4" s="4">
        <f>'Residential-Cooling'!T4*Conversion!$B$3</f>
        <v>0</v>
      </c>
      <c r="U4" s="4">
        <f>'Residential-Cooling'!U4*Conversion!$B$3</f>
        <v>0</v>
      </c>
      <c r="V4" s="4">
        <f>'Residential-Cooling'!V4*Conversion!$B$3</f>
        <v>0</v>
      </c>
      <c r="W4" s="4">
        <f>'Residential-Cooling'!W4*Conversion!$B$3</f>
        <v>0</v>
      </c>
      <c r="X4" s="4">
        <f>'Residential-Cooling'!X4*Conversion!$B$3</f>
        <v>0</v>
      </c>
      <c r="Y4" s="4">
        <f>'Residential-Cooling'!Y4*Conversion!$B$3</f>
        <v>0</v>
      </c>
      <c r="Z4" s="4">
        <f>'Residential-Cooling'!Z4*Conversion!$B$3</f>
        <v>0</v>
      </c>
      <c r="AA4" s="4">
        <f>'Residential-Cooling'!AA4*Conversion!$B$3</f>
        <v>0</v>
      </c>
      <c r="AB4" s="4">
        <f>'Residential-Cooling'!AB4*Conversion!$B$3</f>
        <v>0</v>
      </c>
      <c r="AC4" s="4">
        <f>'Residential-Cooling'!AC4*Conversion!$B$3</f>
        <v>0</v>
      </c>
      <c r="AD4" s="4">
        <f>'Residential-Cooling'!AD4*Conversion!$B$3</f>
        <v>0</v>
      </c>
      <c r="AE4" s="4">
        <f>'Residential-Cooling'!AE4*Conversion!$B$3</f>
        <v>0</v>
      </c>
      <c r="AF4" s="4">
        <f>'Residential-Cooling'!AF4*Conversion!$B$3</f>
        <v>0</v>
      </c>
      <c r="AG4" s="4">
        <f>'Residential-Cooling'!AG4*Conversion!$B$3</f>
        <v>0</v>
      </c>
      <c r="AH4" s="4">
        <f>'Residential-Cooling'!AH4*Conversion!$B$3</f>
        <v>0</v>
      </c>
      <c r="AI4" s="4">
        <f>'Residential-Cooling'!AI4*Conversion!$B$3</f>
        <v>0</v>
      </c>
      <c r="AJ4" s="4">
        <f>'Residential-Cooling'!AJ4*Conversion!$B$3</f>
        <v>0</v>
      </c>
      <c r="AK4" s="4">
        <f>'Residential-Cooling'!AK4*Conversion!$B$3</f>
        <v>0</v>
      </c>
      <c r="AL4" s="4">
        <f>'Residential-Cooling'!AL4*Conversion!$B$3</f>
        <v>0</v>
      </c>
      <c r="AM4" s="4">
        <f>'Residential-Cooling'!AM4*Conversion!$B$3</f>
        <v>0</v>
      </c>
      <c r="AN4" s="4">
        <f>'Residential-Cooling'!AN4*Conversion!$B$3</f>
        <v>0</v>
      </c>
      <c r="AO4" s="4">
        <f>'Residential-Cooling'!AO4*Conversion!$B$3</f>
        <v>0</v>
      </c>
      <c r="AP4" s="4">
        <f>'Residential-Cooling'!AP4*Conversion!$B$3</f>
        <v>0</v>
      </c>
      <c r="AQ4" s="4">
        <f>'Residential-Cooling'!AQ4*Conversion!$B$3</f>
        <v>0</v>
      </c>
      <c r="AR4" s="42">
        <f>'Residential-Cooling'!AR4*Conversion!$B$3</f>
        <v>0</v>
      </c>
      <c r="AS4" s="42">
        <f>'Residential-Cooling'!AS4*Conversion!$B$3</f>
        <v>0</v>
      </c>
      <c r="AT4" s="42">
        <f>'Residential-Cooling'!AT4*Conversion!$B$3</f>
        <v>0</v>
      </c>
      <c r="AU4" s="42">
        <f>'Residential-Cooling'!AU4*Conversion!$B$3</f>
        <v>0</v>
      </c>
      <c r="AV4" s="42">
        <f>'Residential-Cooling'!AV4*Conversion!$B$3</f>
        <v>0</v>
      </c>
      <c r="AW4" s="42">
        <f>'Residential-Cooling'!AW4*Conversion!$B$3</f>
        <v>0</v>
      </c>
      <c r="AX4" s="42">
        <f>'Residential-Cooling'!AX4*Conversion!$B$3</f>
        <v>0</v>
      </c>
      <c r="AY4" s="42">
        <f>'Residential-Cooling'!AY4*Conversion!$B$3</f>
        <v>0</v>
      </c>
      <c r="AZ4" s="42">
        <f>'Residential-Cooling'!AZ4*Conversion!$B$3</f>
        <v>0</v>
      </c>
      <c r="BA4" s="42">
        <f>'Residential-Cooling'!BA4*Conversion!$B$3</f>
        <v>0</v>
      </c>
    </row>
    <row r="5" spans="1:53" x14ac:dyDescent="0.2">
      <c r="A5" s="1" t="s">
        <v>15</v>
      </c>
      <c r="B5" s="4">
        <f>'Residential-Cooling'!B5*Conversion!$B$3</f>
        <v>0</v>
      </c>
      <c r="C5" s="4">
        <f>'Residential-Cooling'!C5*Conversion!$B$3</f>
        <v>0</v>
      </c>
      <c r="D5" s="4">
        <f>'Residential-Cooling'!D5*Conversion!$B$3</f>
        <v>0</v>
      </c>
      <c r="E5" s="4">
        <f>'Residential-Cooling'!E5*Conversion!$B$3</f>
        <v>0</v>
      </c>
      <c r="F5" s="4">
        <f>'Residential-Cooling'!F5*Conversion!$B$3</f>
        <v>0</v>
      </c>
      <c r="G5" s="4">
        <f>'Residential-Cooling'!G5*Conversion!$B$3</f>
        <v>0</v>
      </c>
      <c r="H5" s="4">
        <f>'Residential-Cooling'!H5*Conversion!$B$3</f>
        <v>0</v>
      </c>
      <c r="I5" s="4">
        <f>'Residential-Cooling'!I5*Conversion!$B$3</f>
        <v>0</v>
      </c>
      <c r="J5" s="4">
        <f>'Residential-Cooling'!J5*Conversion!$B$3</f>
        <v>0</v>
      </c>
      <c r="K5" s="4">
        <f>'Residential-Cooling'!K5*Conversion!$B$3</f>
        <v>0</v>
      </c>
      <c r="L5" s="4">
        <f>'Residential-Cooling'!L5*Conversion!$B$3</f>
        <v>0</v>
      </c>
      <c r="M5" s="4">
        <f>'Residential-Cooling'!M5*Conversion!$B$3</f>
        <v>0</v>
      </c>
      <c r="N5" s="4">
        <f>'Residential-Cooling'!N5*Conversion!$B$3</f>
        <v>0</v>
      </c>
      <c r="O5" s="4">
        <f>'Residential-Cooling'!O5*Conversion!$B$3</f>
        <v>0</v>
      </c>
      <c r="P5" s="4">
        <f>'Residential-Cooling'!P5*Conversion!$B$3</f>
        <v>0</v>
      </c>
      <c r="Q5" s="4">
        <f>'Residential-Cooling'!Q5*Conversion!$B$3</f>
        <v>0</v>
      </c>
      <c r="R5" s="4">
        <f>'Residential-Cooling'!R5*Conversion!$B$3</f>
        <v>0</v>
      </c>
      <c r="S5" s="4">
        <f>'Residential-Cooling'!S5*Conversion!$B$3</f>
        <v>0</v>
      </c>
      <c r="T5" s="4">
        <f>'Residential-Cooling'!T5*Conversion!$B$3</f>
        <v>0</v>
      </c>
      <c r="U5" s="4">
        <f>'Residential-Cooling'!U5*Conversion!$B$3</f>
        <v>0</v>
      </c>
      <c r="V5" s="4">
        <f>'Residential-Cooling'!V5*Conversion!$B$3</f>
        <v>0</v>
      </c>
      <c r="W5" s="4">
        <f>'Residential-Cooling'!W5*Conversion!$B$3</f>
        <v>0</v>
      </c>
      <c r="X5" s="4">
        <f>'Residential-Cooling'!X5*Conversion!$B$3</f>
        <v>0</v>
      </c>
      <c r="Y5" s="4">
        <f>'Residential-Cooling'!Y5*Conversion!$B$3</f>
        <v>0</v>
      </c>
      <c r="Z5" s="4">
        <f>'Residential-Cooling'!Z5*Conversion!$B$3</f>
        <v>0</v>
      </c>
      <c r="AA5" s="4">
        <f>'Residential-Cooling'!AA5*Conversion!$B$3</f>
        <v>0</v>
      </c>
      <c r="AB5" s="4">
        <f>'Residential-Cooling'!AB5*Conversion!$B$3</f>
        <v>0</v>
      </c>
      <c r="AC5" s="4">
        <f>'Residential-Cooling'!AC5*Conversion!$B$3</f>
        <v>0</v>
      </c>
      <c r="AD5" s="4">
        <f>'Residential-Cooling'!AD5*Conversion!$B$3</f>
        <v>0</v>
      </c>
      <c r="AE5" s="4">
        <f>'Residential-Cooling'!AE5*Conversion!$B$3</f>
        <v>0</v>
      </c>
      <c r="AF5" s="4">
        <f>'Residential-Cooling'!AF5*Conversion!$B$3</f>
        <v>0</v>
      </c>
      <c r="AG5" s="4">
        <f>'Residential-Cooling'!AG5*Conversion!$B$3</f>
        <v>0</v>
      </c>
      <c r="AH5" s="4">
        <f>'Residential-Cooling'!AH5*Conversion!$B$3</f>
        <v>0</v>
      </c>
      <c r="AI5" s="4">
        <f>'Residential-Cooling'!AI5*Conversion!$B$3</f>
        <v>0</v>
      </c>
      <c r="AJ5" s="4">
        <f>'Residential-Cooling'!AJ5*Conversion!$B$3</f>
        <v>0</v>
      </c>
      <c r="AK5" s="4">
        <f>'Residential-Cooling'!AK5*Conversion!$B$3</f>
        <v>0</v>
      </c>
      <c r="AL5" s="4">
        <f>'Residential-Cooling'!AL5*Conversion!$B$3</f>
        <v>0</v>
      </c>
      <c r="AM5" s="4">
        <f>'Residential-Cooling'!AM5*Conversion!$B$3</f>
        <v>0</v>
      </c>
      <c r="AN5" s="4">
        <f>'Residential-Cooling'!AN5*Conversion!$B$3</f>
        <v>0</v>
      </c>
      <c r="AO5" s="4">
        <f>'Residential-Cooling'!AO5*Conversion!$B$3</f>
        <v>0</v>
      </c>
      <c r="AP5" s="4">
        <f>'Residential-Cooling'!AP5*Conversion!$B$3</f>
        <v>0</v>
      </c>
      <c r="AQ5" s="4">
        <f>'Residential-Cooling'!AQ5*Conversion!$B$3</f>
        <v>0</v>
      </c>
      <c r="AR5" s="42">
        <f>'Residential-Cooling'!AR5*Conversion!$B$3</f>
        <v>0</v>
      </c>
      <c r="AS5" s="42">
        <f>'Residential-Cooling'!AS5*Conversion!$B$3</f>
        <v>0</v>
      </c>
      <c r="AT5" s="42">
        <f>'Residential-Cooling'!AT5*Conversion!$B$3</f>
        <v>0</v>
      </c>
      <c r="AU5" s="42">
        <f>'Residential-Cooling'!AU5*Conversion!$B$3</f>
        <v>0</v>
      </c>
      <c r="AV5" s="42">
        <f>'Residential-Cooling'!AV5*Conversion!$B$3</f>
        <v>0</v>
      </c>
      <c r="AW5" s="42">
        <f>'Residential-Cooling'!AW5*Conversion!$B$3</f>
        <v>0</v>
      </c>
      <c r="AX5" s="42">
        <f>'Residential-Cooling'!AX5*Conversion!$B$3</f>
        <v>0</v>
      </c>
      <c r="AY5" s="42">
        <f>'Residential-Cooling'!AY5*Conversion!$B$3</f>
        <v>0</v>
      </c>
      <c r="AZ5" s="42">
        <f>'Residential-Cooling'!AZ5*Conversion!$B$3</f>
        <v>0</v>
      </c>
      <c r="BA5" s="42">
        <f>'Residential-Cooling'!BA5*Conversion!$B$3</f>
        <v>0</v>
      </c>
    </row>
    <row r="6" spans="1:53" x14ac:dyDescent="0.2">
      <c r="A6" s="1" t="s">
        <v>16</v>
      </c>
      <c r="B6" s="4">
        <f>'Residential-Cooling'!B6*Conversion!$B$3</f>
        <v>0</v>
      </c>
      <c r="C6" s="4">
        <f>'Residential-Cooling'!C6*Conversion!$B$3</f>
        <v>0</v>
      </c>
      <c r="D6" s="4">
        <f>'Residential-Cooling'!D6*Conversion!$B$3</f>
        <v>0</v>
      </c>
      <c r="E6" s="4">
        <f>'Residential-Cooling'!E6*Conversion!$B$3</f>
        <v>0</v>
      </c>
      <c r="F6" s="4">
        <f>'Residential-Cooling'!F6*Conversion!$B$3</f>
        <v>0</v>
      </c>
      <c r="G6" s="4">
        <f>'Residential-Cooling'!G6*Conversion!$B$3</f>
        <v>0</v>
      </c>
      <c r="H6" s="4">
        <f>'Residential-Cooling'!H6*Conversion!$B$3</f>
        <v>0</v>
      </c>
      <c r="I6" s="4">
        <f>'Residential-Cooling'!I6*Conversion!$B$3</f>
        <v>0</v>
      </c>
      <c r="J6" s="4">
        <f>'Residential-Cooling'!J6*Conversion!$B$3</f>
        <v>0</v>
      </c>
      <c r="K6" s="4">
        <f>'Residential-Cooling'!K6*Conversion!$B$3</f>
        <v>0</v>
      </c>
      <c r="L6" s="4">
        <f>'Residential-Cooling'!L6*Conversion!$B$3</f>
        <v>0</v>
      </c>
      <c r="M6" s="4">
        <f>'Residential-Cooling'!M6*Conversion!$B$3</f>
        <v>0</v>
      </c>
      <c r="N6" s="4">
        <f>'Residential-Cooling'!N6*Conversion!$B$3</f>
        <v>0</v>
      </c>
      <c r="O6" s="4">
        <f>'Residential-Cooling'!O6*Conversion!$B$3</f>
        <v>0</v>
      </c>
      <c r="P6" s="4">
        <f>'Residential-Cooling'!P6*Conversion!$B$3</f>
        <v>0</v>
      </c>
      <c r="Q6" s="4">
        <f>'Residential-Cooling'!Q6*Conversion!$B$3</f>
        <v>0</v>
      </c>
      <c r="R6" s="4">
        <f>'Residential-Cooling'!R6*Conversion!$B$3</f>
        <v>0</v>
      </c>
      <c r="S6" s="4">
        <f>'Residential-Cooling'!S6*Conversion!$B$3</f>
        <v>0</v>
      </c>
      <c r="T6" s="4">
        <f>'Residential-Cooling'!T6*Conversion!$B$3</f>
        <v>0</v>
      </c>
      <c r="U6" s="4">
        <f>'Residential-Cooling'!U6*Conversion!$B$3</f>
        <v>0</v>
      </c>
      <c r="V6" s="4">
        <f>'Residential-Cooling'!V6*Conversion!$B$3</f>
        <v>0</v>
      </c>
      <c r="W6" s="4">
        <f>'Residential-Cooling'!W6*Conversion!$B$3</f>
        <v>0</v>
      </c>
      <c r="X6" s="4">
        <f>'Residential-Cooling'!X6*Conversion!$B$3</f>
        <v>0</v>
      </c>
      <c r="Y6" s="4">
        <f>'Residential-Cooling'!Y6*Conversion!$B$3</f>
        <v>0</v>
      </c>
      <c r="Z6" s="4">
        <f>'Residential-Cooling'!Z6*Conversion!$B$3</f>
        <v>0</v>
      </c>
      <c r="AA6" s="4">
        <f>'Residential-Cooling'!AA6*Conversion!$B$3</f>
        <v>0</v>
      </c>
      <c r="AB6" s="4">
        <f>'Residential-Cooling'!AB6*Conversion!$B$3</f>
        <v>0</v>
      </c>
      <c r="AC6" s="4">
        <f>'Residential-Cooling'!AC6*Conversion!$B$3</f>
        <v>0</v>
      </c>
      <c r="AD6" s="4">
        <f>'Residential-Cooling'!AD6*Conversion!$B$3</f>
        <v>0</v>
      </c>
      <c r="AE6" s="4">
        <f>'Residential-Cooling'!AE6*Conversion!$B$3</f>
        <v>0</v>
      </c>
      <c r="AF6" s="4">
        <f>'Residential-Cooling'!AF6*Conversion!$B$3</f>
        <v>0</v>
      </c>
      <c r="AG6" s="4">
        <f>'Residential-Cooling'!AG6*Conversion!$B$3</f>
        <v>0</v>
      </c>
      <c r="AH6" s="4">
        <f>'Residential-Cooling'!AH6*Conversion!$B$3</f>
        <v>0</v>
      </c>
      <c r="AI6" s="4">
        <f>'Residential-Cooling'!AI6*Conversion!$B$3</f>
        <v>0</v>
      </c>
      <c r="AJ6" s="4">
        <f>'Residential-Cooling'!AJ6*Conversion!$B$3</f>
        <v>0</v>
      </c>
      <c r="AK6" s="4">
        <f>'Residential-Cooling'!AK6*Conversion!$B$3</f>
        <v>0</v>
      </c>
      <c r="AL6" s="4">
        <f>'Residential-Cooling'!AL6*Conversion!$B$3</f>
        <v>0</v>
      </c>
      <c r="AM6" s="4">
        <f>'Residential-Cooling'!AM6*Conversion!$B$3</f>
        <v>0</v>
      </c>
      <c r="AN6" s="4">
        <f>'Residential-Cooling'!AN6*Conversion!$B$3</f>
        <v>0</v>
      </c>
      <c r="AO6" s="4">
        <f>'Residential-Cooling'!AO6*Conversion!$B$3</f>
        <v>0</v>
      </c>
      <c r="AP6" s="4">
        <f>'Residential-Cooling'!AP6*Conversion!$B$3</f>
        <v>0</v>
      </c>
      <c r="AQ6" s="4">
        <f>'Residential-Cooling'!AQ6*Conversion!$B$3</f>
        <v>0</v>
      </c>
      <c r="AR6" s="42">
        <f>'Residential-Cooling'!AR6*Conversion!$B$3</f>
        <v>0</v>
      </c>
      <c r="AS6" s="42">
        <f>'Residential-Cooling'!AS6*Conversion!$B$3</f>
        <v>0</v>
      </c>
      <c r="AT6" s="42">
        <f>'Residential-Cooling'!AT6*Conversion!$B$3</f>
        <v>0</v>
      </c>
      <c r="AU6" s="42">
        <f>'Residential-Cooling'!AU6*Conversion!$B$3</f>
        <v>0</v>
      </c>
      <c r="AV6" s="42">
        <f>'Residential-Cooling'!AV6*Conversion!$B$3</f>
        <v>0</v>
      </c>
      <c r="AW6" s="42">
        <f>'Residential-Cooling'!AW6*Conversion!$B$3</f>
        <v>0</v>
      </c>
      <c r="AX6" s="42">
        <f>'Residential-Cooling'!AX6*Conversion!$B$3</f>
        <v>0</v>
      </c>
      <c r="AY6" s="42">
        <f>'Residential-Cooling'!AY6*Conversion!$B$3</f>
        <v>0</v>
      </c>
      <c r="AZ6" s="42">
        <f>'Residential-Cooling'!AZ6*Conversion!$B$3</f>
        <v>0</v>
      </c>
      <c r="BA6" s="42">
        <f>'Residential-Cooling'!BA6*Conversion!$B$3</f>
        <v>0</v>
      </c>
    </row>
    <row r="7" spans="1:53" x14ac:dyDescent="0.2">
      <c r="A7" s="1" t="s">
        <v>17</v>
      </c>
      <c r="B7" s="4">
        <f>'Residential-Cooling'!B7*Conversion!$B$3</f>
        <v>0</v>
      </c>
      <c r="C7" s="4">
        <f>'Residential-Cooling'!C7*Conversion!$B$3</f>
        <v>0</v>
      </c>
      <c r="D7" s="4">
        <f>'Residential-Cooling'!D7*Conversion!$B$3</f>
        <v>0</v>
      </c>
      <c r="E7" s="4">
        <f>'Residential-Cooling'!E7*Conversion!$B$3</f>
        <v>0</v>
      </c>
      <c r="F7" s="4">
        <f>'Residential-Cooling'!F7*Conversion!$B$3</f>
        <v>0</v>
      </c>
      <c r="G7" s="4">
        <f>'Residential-Cooling'!G7*Conversion!$B$3</f>
        <v>0</v>
      </c>
      <c r="H7" s="4">
        <f>'Residential-Cooling'!H7*Conversion!$B$3</f>
        <v>0</v>
      </c>
      <c r="I7" s="4">
        <f>'Residential-Cooling'!I7*Conversion!$B$3</f>
        <v>0</v>
      </c>
      <c r="J7" s="4">
        <f>'Residential-Cooling'!J7*Conversion!$B$3</f>
        <v>0</v>
      </c>
      <c r="K7" s="4">
        <f>'Residential-Cooling'!K7*Conversion!$B$3</f>
        <v>0</v>
      </c>
      <c r="L7" s="4">
        <f>'Residential-Cooling'!L7*Conversion!$B$3</f>
        <v>0</v>
      </c>
      <c r="M7" s="4">
        <f>'Residential-Cooling'!M7*Conversion!$B$3</f>
        <v>0</v>
      </c>
      <c r="N7" s="4">
        <f>'Residential-Cooling'!N7*Conversion!$B$3</f>
        <v>0</v>
      </c>
      <c r="O7" s="4">
        <f>'Residential-Cooling'!O7*Conversion!$B$3</f>
        <v>0</v>
      </c>
      <c r="P7" s="4">
        <f>'Residential-Cooling'!P7*Conversion!$B$3</f>
        <v>0</v>
      </c>
      <c r="Q7" s="4">
        <f>'Residential-Cooling'!Q7*Conversion!$B$3</f>
        <v>0</v>
      </c>
      <c r="R7" s="4">
        <f>'Residential-Cooling'!R7*Conversion!$B$3</f>
        <v>0</v>
      </c>
      <c r="S7" s="4">
        <f>'Residential-Cooling'!S7*Conversion!$B$3</f>
        <v>0</v>
      </c>
      <c r="T7" s="4">
        <f>'Residential-Cooling'!T7*Conversion!$B$3</f>
        <v>0</v>
      </c>
      <c r="U7" s="4">
        <f>'Residential-Cooling'!U7*Conversion!$B$3</f>
        <v>0</v>
      </c>
      <c r="V7" s="4">
        <f>'Residential-Cooling'!V7*Conversion!$B$3</f>
        <v>0</v>
      </c>
      <c r="W7" s="4">
        <f>'Residential-Cooling'!W7*Conversion!$B$3</f>
        <v>0</v>
      </c>
      <c r="X7" s="4">
        <f>'Residential-Cooling'!X7*Conversion!$B$3</f>
        <v>0</v>
      </c>
      <c r="Y7" s="4">
        <f>'Residential-Cooling'!Y7*Conversion!$B$3</f>
        <v>0</v>
      </c>
      <c r="Z7" s="4">
        <f>'Residential-Cooling'!Z7*Conversion!$B$3</f>
        <v>0</v>
      </c>
      <c r="AA7" s="4">
        <f>'Residential-Cooling'!AA7*Conversion!$B$3</f>
        <v>0</v>
      </c>
      <c r="AB7" s="4">
        <f>'Residential-Cooling'!AB7*Conversion!$B$3</f>
        <v>0</v>
      </c>
      <c r="AC7" s="4">
        <f>'Residential-Cooling'!AC7*Conversion!$B$3</f>
        <v>0</v>
      </c>
      <c r="AD7" s="4">
        <f>'Residential-Cooling'!AD7*Conversion!$B$3</f>
        <v>0</v>
      </c>
      <c r="AE7" s="4">
        <f>'Residential-Cooling'!AE7*Conversion!$B$3</f>
        <v>0</v>
      </c>
      <c r="AF7" s="4">
        <f>'Residential-Cooling'!AF7*Conversion!$B$3</f>
        <v>0</v>
      </c>
      <c r="AG7" s="4">
        <f>'Residential-Cooling'!AG7*Conversion!$B$3</f>
        <v>0</v>
      </c>
      <c r="AH7" s="4">
        <f>'Residential-Cooling'!AH7*Conversion!$B$3</f>
        <v>0</v>
      </c>
      <c r="AI7" s="4">
        <f>'Residential-Cooling'!AI7*Conversion!$B$3</f>
        <v>0</v>
      </c>
      <c r="AJ7" s="4">
        <f>'Residential-Cooling'!AJ7*Conversion!$B$3</f>
        <v>0</v>
      </c>
      <c r="AK7" s="4">
        <f>'Residential-Cooling'!AK7*Conversion!$B$3</f>
        <v>0</v>
      </c>
      <c r="AL7" s="4">
        <f>'Residential-Cooling'!AL7*Conversion!$B$3</f>
        <v>0</v>
      </c>
      <c r="AM7" s="4">
        <f>'Residential-Cooling'!AM7*Conversion!$B$3</f>
        <v>0</v>
      </c>
      <c r="AN7" s="4">
        <f>'Residential-Cooling'!AN7*Conversion!$B$3</f>
        <v>0</v>
      </c>
      <c r="AO7" s="4">
        <f>'Residential-Cooling'!AO7*Conversion!$B$3</f>
        <v>0</v>
      </c>
      <c r="AP7" s="4">
        <f>'Residential-Cooling'!AP7*Conversion!$B$3</f>
        <v>0</v>
      </c>
      <c r="AQ7" s="4">
        <f>'Residential-Cooling'!AQ7*Conversion!$B$3</f>
        <v>0</v>
      </c>
      <c r="AR7" s="42">
        <f>'Residential-Cooling'!AR7*Conversion!$B$3</f>
        <v>0</v>
      </c>
      <c r="AS7" s="42">
        <f>'Residential-Cooling'!AS7*Conversion!$B$3</f>
        <v>0</v>
      </c>
      <c r="AT7" s="42">
        <f>'Residential-Cooling'!AT7*Conversion!$B$3</f>
        <v>0</v>
      </c>
      <c r="AU7" s="42">
        <f>'Residential-Cooling'!AU7*Conversion!$B$3</f>
        <v>0</v>
      </c>
      <c r="AV7" s="42">
        <f>'Residential-Cooling'!AV7*Conversion!$B$3</f>
        <v>0</v>
      </c>
      <c r="AW7" s="42">
        <f>'Residential-Cooling'!AW7*Conversion!$B$3</f>
        <v>0</v>
      </c>
      <c r="AX7" s="42">
        <f>'Residential-Cooling'!AX7*Conversion!$B$3</f>
        <v>0</v>
      </c>
      <c r="AY7" s="42">
        <f>'Residential-Cooling'!AY7*Conversion!$B$3</f>
        <v>0</v>
      </c>
      <c r="AZ7" s="42">
        <f>'Residential-Cooling'!AZ7*Conversion!$B$3</f>
        <v>0</v>
      </c>
      <c r="BA7" s="42">
        <f>'Residential-Cooling'!BA7*Conversion!$B$3</f>
        <v>0</v>
      </c>
    </row>
    <row r="8" spans="1:53" x14ac:dyDescent="0.2">
      <c r="A8" s="1" t="s">
        <v>18</v>
      </c>
      <c r="B8" s="4">
        <f>'Residential-Cooling'!B8*Conversion!$B$3</f>
        <v>0</v>
      </c>
      <c r="C8" s="4">
        <f>'Residential-Cooling'!C8*Conversion!$B$3</f>
        <v>0</v>
      </c>
      <c r="D8" s="4">
        <f>'Residential-Cooling'!D8*Conversion!$B$3</f>
        <v>0</v>
      </c>
      <c r="E8" s="4">
        <f>'Residential-Cooling'!E8*Conversion!$B$3</f>
        <v>0</v>
      </c>
      <c r="F8" s="4">
        <f>'Residential-Cooling'!F8*Conversion!$B$3</f>
        <v>0</v>
      </c>
      <c r="G8" s="4">
        <f>'Residential-Cooling'!G8*Conversion!$B$3</f>
        <v>0</v>
      </c>
      <c r="H8" s="4">
        <f>'Residential-Cooling'!H8*Conversion!$B$3</f>
        <v>0</v>
      </c>
      <c r="I8" s="4">
        <f>'Residential-Cooling'!I8*Conversion!$B$3</f>
        <v>0</v>
      </c>
      <c r="J8" s="4">
        <f>'Residential-Cooling'!J8*Conversion!$B$3</f>
        <v>0</v>
      </c>
      <c r="K8" s="4">
        <f>'Residential-Cooling'!K8*Conversion!$B$3</f>
        <v>0</v>
      </c>
      <c r="L8" s="4">
        <f>'Residential-Cooling'!L8*Conversion!$B$3</f>
        <v>0</v>
      </c>
      <c r="M8" s="4">
        <f>'Residential-Cooling'!M8*Conversion!$B$3</f>
        <v>0</v>
      </c>
      <c r="N8" s="4">
        <f>'Residential-Cooling'!N8*Conversion!$B$3</f>
        <v>0</v>
      </c>
      <c r="O8" s="4">
        <f>'Residential-Cooling'!O8*Conversion!$B$3</f>
        <v>0</v>
      </c>
      <c r="P8" s="4">
        <f>'Residential-Cooling'!P8*Conversion!$B$3</f>
        <v>0</v>
      </c>
      <c r="Q8" s="4">
        <f>'Residential-Cooling'!Q8*Conversion!$B$3</f>
        <v>0</v>
      </c>
      <c r="R8" s="4">
        <f>'Residential-Cooling'!R8*Conversion!$B$3</f>
        <v>0</v>
      </c>
      <c r="S8" s="4">
        <f>'Residential-Cooling'!S8*Conversion!$B$3</f>
        <v>0</v>
      </c>
      <c r="T8" s="4">
        <f>'Residential-Cooling'!T8*Conversion!$B$3</f>
        <v>0</v>
      </c>
      <c r="U8" s="4">
        <f>'Residential-Cooling'!U8*Conversion!$B$3</f>
        <v>0</v>
      </c>
      <c r="V8" s="4">
        <f>'Residential-Cooling'!V8*Conversion!$B$3</f>
        <v>0</v>
      </c>
      <c r="W8" s="4">
        <f>'Residential-Cooling'!W8*Conversion!$B$3</f>
        <v>0</v>
      </c>
      <c r="X8" s="4">
        <f>'Residential-Cooling'!X8*Conversion!$B$3</f>
        <v>0</v>
      </c>
      <c r="Y8" s="4">
        <f>'Residential-Cooling'!Y8*Conversion!$B$3</f>
        <v>0</v>
      </c>
      <c r="Z8" s="4">
        <f>'Residential-Cooling'!Z8*Conversion!$B$3</f>
        <v>0</v>
      </c>
      <c r="AA8" s="4">
        <f>'Residential-Cooling'!AA8*Conversion!$B$3</f>
        <v>0</v>
      </c>
      <c r="AB8" s="4">
        <f>'Residential-Cooling'!AB8*Conversion!$B$3</f>
        <v>0</v>
      </c>
      <c r="AC8" s="4">
        <f>'Residential-Cooling'!AC8*Conversion!$B$3</f>
        <v>0</v>
      </c>
      <c r="AD8" s="4">
        <f>'Residential-Cooling'!AD8*Conversion!$B$3</f>
        <v>0</v>
      </c>
      <c r="AE8" s="4">
        <f>'Residential-Cooling'!AE8*Conversion!$B$3</f>
        <v>0</v>
      </c>
      <c r="AF8" s="4">
        <f>'Residential-Cooling'!AF8*Conversion!$B$3</f>
        <v>0</v>
      </c>
      <c r="AG8" s="4">
        <f>'Residential-Cooling'!AG8*Conversion!$B$3</f>
        <v>0</v>
      </c>
      <c r="AH8" s="4">
        <f>'Residential-Cooling'!AH8*Conversion!$B$3</f>
        <v>0</v>
      </c>
      <c r="AI8" s="4">
        <f>'Residential-Cooling'!AI8*Conversion!$B$3</f>
        <v>0</v>
      </c>
      <c r="AJ8" s="4">
        <f>'Residential-Cooling'!AJ8*Conversion!$B$3</f>
        <v>0</v>
      </c>
      <c r="AK8" s="4">
        <f>'Residential-Cooling'!AK8*Conversion!$B$3</f>
        <v>0</v>
      </c>
      <c r="AL8" s="4">
        <f>'Residential-Cooling'!AL8*Conversion!$B$3</f>
        <v>0</v>
      </c>
      <c r="AM8" s="4">
        <f>'Residential-Cooling'!AM8*Conversion!$B$3</f>
        <v>0</v>
      </c>
      <c r="AN8" s="4">
        <f>'Residential-Cooling'!AN8*Conversion!$B$3</f>
        <v>0</v>
      </c>
      <c r="AO8" s="4">
        <f>'Residential-Cooling'!AO8*Conversion!$B$3</f>
        <v>0</v>
      </c>
      <c r="AP8" s="4">
        <f>'Residential-Cooling'!AP8*Conversion!$B$3</f>
        <v>0</v>
      </c>
      <c r="AQ8" s="4">
        <f>'Residential-Cooling'!AQ8*Conversion!$B$3</f>
        <v>0</v>
      </c>
      <c r="AR8" s="42">
        <f>'Residential-Cooling'!AR8*Conversion!$B$3</f>
        <v>0</v>
      </c>
      <c r="AS8" s="42">
        <f>'Residential-Cooling'!AS8*Conversion!$B$3</f>
        <v>0</v>
      </c>
      <c r="AT8" s="42">
        <f>'Residential-Cooling'!AT8*Conversion!$B$3</f>
        <v>0</v>
      </c>
      <c r="AU8" s="42">
        <f>'Residential-Cooling'!AU8*Conversion!$B$3</f>
        <v>0</v>
      </c>
      <c r="AV8" s="42">
        <f>'Residential-Cooling'!AV8*Conversion!$B$3</f>
        <v>0</v>
      </c>
      <c r="AW8" s="42">
        <f>'Residential-Cooling'!AW8*Conversion!$B$3</f>
        <v>0</v>
      </c>
      <c r="AX8" s="42">
        <f>'Residential-Cooling'!AX8*Conversion!$B$3</f>
        <v>0</v>
      </c>
      <c r="AY8" s="42">
        <f>'Residential-Cooling'!AY8*Conversion!$B$3</f>
        <v>0</v>
      </c>
      <c r="AZ8" s="42">
        <f>'Residential-Cooling'!AZ8*Conversion!$B$3</f>
        <v>0</v>
      </c>
      <c r="BA8" s="42">
        <f>'Residential-Cooling'!BA8*Conversion!$B$3</f>
        <v>0</v>
      </c>
    </row>
    <row r="9" spans="1:53" x14ac:dyDescent="0.2">
      <c r="A9" s="1" t="s">
        <v>19</v>
      </c>
      <c r="B9" s="4">
        <f>'Residential-Cooling'!B9*Conversion!$B$3</f>
        <v>0</v>
      </c>
      <c r="C9" s="4">
        <f>'Residential-Cooling'!C9*Conversion!$B$3</f>
        <v>0</v>
      </c>
      <c r="D9" s="4">
        <f>'Residential-Cooling'!D9*Conversion!$B$3</f>
        <v>0</v>
      </c>
      <c r="E9" s="4">
        <f>'Residential-Cooling'!E9*Conversion!$B$3</f>
        <v>0</v>
      </c>
      <c r="F9" s="4">
        <f>'Residential-Cooling'!F9*Conversion!$B$3</f>
        <v>0</v>
      </c>
      <c r="G9" s="4">
        <f>'Residential-Cooling'!G9*Conversion!$B$3</f>
        <v>0</v>
      </c>
      <c r="H9" s="4">
        <f>'Residential-Cooling'!H9*Conversion!$B$3</f>
        <v>0</v>
      </c>
      <c r="I9" s="4">
        <f>'Residential-Cooling'!I9*Conversion!$B$3</f>
        <v>0</v>
      </c>
      <c r="J9" s="4">
        <f>'Residential-Cooling'!J9*Conversion!$B$3</f>
        <v>0</v>
      </c>
      <c r="K9" s="4">
        <f>'Residential-Cooling'!K9*Conversion!$B$3</f>
        <v>0</v>
      </c>
      <c r="L9" s="4">
        <f>'Residential-Cooling'!L9*Conversion!$B$3</f>
        <v>0</v>
      </c>
      <c r="M9" s="4">
        <f>'Residential-Cooling'!M9*Conversion!$B$3</f>
        <v>0</v>
      </c>
      <c r="N9" s="4">
        <f>'Residential-Cooling'!N9*Conversion!$B$3</f>
        <v>0</v>
      </c>
      <c r="O9" s="4">
        <f>'Residential-Cooling'!O9*Conversion!$B$3</f>
        <v>0</v>
      </c>
      <c r="P9" s="4">
        <f>'Residential-Cooling'!P9*Conversion!$B$3</f>
        <v>0</v>
      </c>
      <c r="Q9" s="4">
        <f>'Residential-Cooling'!Q9*Conversion!$B$3</f>
        <v>0</v>
      </c>
      <c r="R9" s="4">
        <f>'Residential-Cooling'!R9*Conversion!$B$3</f>
        <v>0</v>
      </c>
      <c r="S9" s="4">
        <f>'Residential-Cooling'!S9*Conversion!$B$3</f>
        <v>0</v>
      </c>
      <c r="T9" s="4">
        <f>'Residential-Cooling'!T9*Conversion!$B$3</f>
        <v>0</v>
      </c>
      <c r="U9" s="4">
        <f>'Residential-Cooling'!U9*Conversion!$B$3</f>
        <v>0</v>
      </c>
      <c r="V9" s="4">
        <f>'Residential-Cooling'!V9*Conversion!$B$3</f>
        <v>0</v>
      </c>
      <c r="W9" s="4">
        <f>'Residential-Cooling'!W9*Conversion!$B$3</f>
        <v>0</v>
      </c>
      <c r="X9" s="4">
        <f>'Residential-Cooling'!X9*Conversion!$B$3</f>
        <v>0</v>
      </c>
      <c r="Y9" s="4">
        <f>'Residential-Cooling'!Y9*Conversion!$B$3</f>
        <v>0</v>
      </c>
      <c r="Z9" s="4">
        <f>'Residential-Cooling'!Z9*Conversion!$B$3</f>
        <v>0</v>
      </c>
      <c r="AA9" s="4">
        <f>'Residential-Cooling'!AA9*Conversion!$B$3</f>
        <v>0</v>
      </c>
      <c r="AB9" s="4">
        <f>'Residential-Cooling'!AB9*Conversion!$B$3</f>
        <v>0</v>
      </c>
      <c r="AC9" s="4">
        <f>'Residential-Cooling'!AC9*Conversion!$B$3</f>
        <v>0</v>
      </c>
      <c r="AD9" s="4">
        <f>'Residential-Cooling'!AD9*Conversion!$B$3</f>
        <v>0</v>
      </c>
      <c r="AE9" s="4">
        <f>'Residential-Cooling'!AE9*Conversion!$B$3</f>
        <v>0</v>
      </c>
      <c r="AF9" s="4">
        <f>'Residential-Cooling'!AF9*Conversion!$B$3</f>
        <v>0</v>
      </c>
      <c r="AG9" s="4">
        <f>'Residential-Cooling'!AG9*Conversion!$B$3</f>
        <v>0</v>
      </c>
      <c r="AH9" s="4">
        <f>'Residential-Cooling'!AH9*Conversion!$B$3</f>
        <v>0</v>
      </c>
      <c r="AI9" s="4">
        <f>'Residential-Cooling'!AI9*Conversion!$B$3</f>
        <v>0</v>
      </c>
      <c r="AJ9" s="4">
        <f>'Residential-Cooling'!AJ9*Conversion!$B$3</f>
        <v>0</v>
      </c>
      <c r="AK9" s="4">
        <f>'Residential-Cooling'!AK9*Conversion!$B$3</f>
        <v>0</v>
      </c>
      <c r="AL9" s="4">
        <f>'Residential-Cooling'!AL9*Conversion!$B$3</f>
        <v>0</v>
      </c>
      <c r="AM9" s="4">
        <f>'Residential-Cooling'!AM9*Conversion!$B$3</f>
        <v>0</v>
      </c>
      <c r="AN9" s="4">
        <f>'Residential-Cooling'!AN9*Conversion!$B$3</f>
        <v>0</v>
      </c>
      <c r="AO9" s="4">
        <f>'Residential-Cooling'!AO9*Conversion!$B$3</f>
        <v>0</v>
      </c>
      <c r="AP9" s="4">
        <f>'Residential-Cooling'!AP9*Conversion!$B$3</f>
        <v>0</v>
      </c>
      <c r="AQ9" s="4">
        <f>'Residential-Cooling'!AQ9*Conversion!$B$3</f>
        <v>0</v>
      </c>
      <c r="AR9" s="42">
        <f>'Residential-Cooling'!AR9*Conversion!$B$3</f>
        <v>0</v>
      </c>
      <c r="AS9" s="42">
        <f>'Residential-Cooling'!AS9*Conversion!$B$3</f>
        <v>0</v>
      </c>
      <c r="AT9" s="42">
        <f>'Residential-Cooling'!AT9*Conversion!$B$3</f>
        <v>0</v>
      </c>
      <c r="AU9" s="42">
        <f>'Residential-Cooling'!AU9*Conversion!$B$3</f>
        <v>0</v>
      </c>
      <c r="AV9" s="42">
        <f>'Residential-Cooling'!AV9*Conversion!$B$3</f>
        <v>0</v>
      </c>
      <c r="AW9" s="42">
        <f>'Residential-Cooling'!AW9*Conversion!$B$3</f>
        <v>0</v>
      </c>
      <c r="AX9" s="42">
        <f>'Residential-Cooling'!AX9*Conversion!$B$3</f>
        <v>0</v>
      </c>
      <c r="AY9" s="42">
        <f>'Residential-Cooling'!AY9*Conversion!$B$3</f>
        <v>0</v>
      </c>
      <c r="AZ9" s="42">
        <f>'Residential-Cooling'!AZ9*Conversion!$B$3</f>
        <v>0</v>
      </c>
      <c r="BA9" s="42">
        <f>'Residential-Cooling'!BA9*Conversion!$B$3</f>
        <v>0</v>
      </c>
    </row>
    <row r="10" spans="1:53" x14ac:dyDescent="0.2">
      <c r="A10" s="1" t="s">
        <v>20</v>
      </c>
      <c r="B10" s="4">
        <f>'Residential-Cooling'!B10*Conversion!$B$3</f>
        <v>0</v>
      </c>
      <c r="C10" s="4">
        <f>'Residential-Cooling'!C10*Conversion!$B$3</f>
        <v>0</v>
      </c>
      <c r="D10" s="4">
        <f>'Residential-Cooling'!D10*Conversion!$B$3</f>
        <v>0</v>
      </c>
      <c r="E10" s="4">
        <f>'Residential-Cooling'!E10*Conversion!$B$3</f>
        <v>0</v>
      </c>
      <c r="F10" s="4">
        <f>'Residential-Cooling'!F10*Conversion!$B$3</f>
        <v>0</v>
      </c>
      <c r="G10" s="4">
        <f>'Residential-Cooling'!G10*Conversion!$B$3</f>
        <v>0</v>
      </c>
      <c r="H10" s="4">
        <f>'Residential-Cooling'!H10*Conversion!$B$3</f>
        <v>0</v>
      </c>
      <c r="I10" s="4">
        <f>'Residential-Cooling'!I10*Conversion!$B$3</f>
        <v>0</v>
      </c>
      <c r="J10" s="4">
        <f>'Residential-Cooling'!J10*Conversion!$B$3</f>
        <v>0</v>
      </c>
      <c r="K10" s="4">
        <f>'Residential-Cooling'!K10*Conversion!$B$3</f>
        <v>0</v>
      </c>
      <c r="L10" s="4">
        <f>'Residential-Cooling'!L10*Conversion!$B$3</f>
        <v>0</v>
      </c>
      <c r="M10" s="4">
        <f>'Residential-Cooling'!M10*Conversion!$B$3</f>
        <v>0</v>
      </c>
      <c r="N10" s="4">
        <f>'Residential-Cooling'!N10*Conversion!$B$3</f>
        <v>0</v>
      </c>
      <c r="O10" s="4">
        <f>'Residential-Cooling'!O10*Conversion!$B$3</f>
        <v>0</v>
      </c>
      <c r="P10" s="4">
        <f>'Residential-Cooling'!P10*Conversion!$B$3</f>
        <v>0</v>
      </c>
      <c r="Q10" s="4">
        <f>'Residential-Cooling'!Q10*Conversion!$B$3</f>
        <v>0</v>
      </c>
      <c r="R10" s="4">
        <f>'Residential-Cooling'!R10*Conversion!$B$3</f>
        <v>0</v>
      </c>
      <c r="S10" s="4">
        <f>'Residential-Cooling'!S10*Conversion!$B$3</f>
        <v>0</v>
      </c>
      <c r="T10" s="4">
        <f>'Residential-Cooling'!T10*Conversion!$B$3</f>
        <v>0</v>
      </c>
      <c r="U10" s="4">
        <f>'Residential-Cooling'!U10*Conversion!$B$3</f>
        <v>0</v>
      </c>
      <c r="V10" s="4">
        <f>'Residential-Cooling'!V10*Conversion!$B$3</f>
        <v>0</v>
      </c>
      <c r="W10" s="4">
        <f>'Residential-Cooling'!W10*Conversion!$B$3</f>
        <v>0</v>
      </c>
      <c r="X10" s="4">
        <f>'Residential-Cooling'!X10*Conversion!$B$3</f>
        <v>0</v>
      </c>
      <c r="Y10" s="4">
        <f>'Residential-Cooling'!Y10*Conversion!$B$3</f>
        <v>0</v>
      </c>
      <c r="Z10" s="4">
        <f>'Residential-Cooling'!Z10*Conversion!$B$3</f>
        <v>0</v>
      </c>
      <c r="AA10" s="4">
        <f>'Residential-Cooling'!AA10*Conversion!$B$3</f>
        <v>0</v>
      </c>
      <c r="AB10" s="4">
        <f>'Residential-Cooling'!AB10*Conversion!$B$3</f>
        <v>0</v>
      </c>
      <c r="AC10" s="4">
        <f>'Residential-Cooling'!AC10*Conversion!$B$3</f>
        <v>0</v>
      </c>
      <c r="AD10" s="4">
        <f>'Residential-Cooling'!AD10*Conversion!$B$3</f>
        <v>0</v>
      </c>
      <c r="AE10" s="4">
        <f>'Residential-Cooling'!AE10*Conversion!$B$3</f>
        <v>0</v>
      </c>
      <c r="AF10" s="4">
        <f>'Residential-Cooling'!AF10*Conversion!$B$3</f>
        <v>0</v>
      </c>
      <c r="AG10" s="4">
        <f>'Residential-Cooling'!AG10*Conversion!$B$3</f>
        <v>0</v>
      </c>
      <c r="AH10" s="4">
        <f>'Residential-Cooling'!AH10*Conversion!$B$3</f>
        <v>0</v>
      </c>
      <c r="AI10" s="4">
        <f>'Residential-Cooling'!AI10*Conversion!$B$3</f>
        <v>0</v>
      </c>
      <c r="AJ10" s="4">
        <f>'Residential-Cooling'!AJ10*Conversion!$B$3</f>
        <v>0</v>
      </c>
      <c r="AK10" s="4">
        <f>'Residential-Cooling'!AK10*Conversion!$B$3</f>
        <v>0</v>
      </c>
      <c r="AL10" s="4">
        <f>'Residential-Cooling'!AL10*Conversion!$B$3</f>
        <v>0</v>
      </c>
      <c r="AM10" s="4">
        <f>'Residential-Cooling'!AM10*Conversion!$B$3</f>
        <v>0</v>
      </c>
      <c r="AN10" s="4">
        <f>'Residential-Cooling'!AN10*Conversion!$B$3</f>
        <v>0</v>
      </c>
      <c r="AO10" s="4">
        <f>'Residential-Cooling'!AO10*Conversion!$B$3</f>
        <v>0</v>
      </c>
      <c r="AP10" s="4">
        <f>'Residential-Cooling'!AP10*Conversion!$B$3</f>
        <v>0</v>
      </c>
      <c r="AQ10" s="4">
        <f>'Residential-Cooling'!AQ10*Conversion!$B$3</f>
        <v>0</v>
      </c>
      <c r="AR10" s="42">
        <f>'Residential-Cooling'!AR10*Conversion!$B$3</f>
        <v>0</v>
      </c>
      <c r="AS10" s="42">
        <f>'Residential-Cooling'!AS10*Conversion!$B$3</f>
        <v>0</v>
      </c>
      <c r="AT10" s="42">
        <f>'Residential-Cooling'!AT10*Conversion!$B$3</f>
        <v>0</v>
      </c>
      <c r="AU10" s="42">
        <f>'Residential-Cooling'!AU10*Conversion!$B$3</f>
        <v>0</v>
      </c>
      <c r="AV10" s="42">
        <f>'Residential-Cooling'!AV10*Conversion!$B$3</f>
        <v>0</v>
      </c>
      <c r="AW10" s="42">
        <f>'Residential-Cooling'!AW10*Conversion!$B$3</f>
        <v>0</v>
      </c>
      <c r="AX10" s="42">
        <f>'Residential-Cooling'!AX10*Conversion!$B$3</f>
        <v>0</v>
      </c>
      <c r="AY10" s="42">
        <f>'Residential-Cooling'!AY10*Conversion!$B$3</f>
        <v>0</v>
      </c>
      <c r="AZ10" s="42">
        <f>'Residential-Cooling'!AZ10*Conversion!$B$3</f>
        <v>0</v>
      </c>
      <c r="BA10" s="42">
        <f>'Residential-Cooling'!BA10*Conversion!$B$3</f>
        <v>0</v>
      </c>
    </row>
    <row r="11" spans="1:53" x14ac:dyDescent="0.2">
      <c r="A11" s="1" t="s">
        <v>21</v>
      </c>
      <c r="B11" s="4">
        <f>'Residential-Cooling'!B11*Conversion!$B$3</f>
        <v>0</v>
      </c>
      <c r="C11" s="4">
        <f>'Residential-Cooling'!C11*Conversion!$B$3</f>
        <v>0</v>
      </c>
      <c r="D11" s="4">
        <f>'Residential-Cooling'!D11*Conversion!$B$3</f>
        <v>0</v>
      </c>
      <c r="E11" s="4">
        <f>'Residential-Cooling'!E11*Conversion!$B$3</f>
        <v>0</v>
      </c>
      <c r="F11" s="4">
        <f>'Residential-Cooling'!F11*Conversion!$B$3</f>
        <v>0</v>
      </c>
      <c r="G11" s="4">
        <f>'Residential-Cooling'!G11*Conversion!$B$3</f>
        <v>0</v>
      </c>
      <c r="H11" s="4">
        <f>'Residential-Cooling'!H11*Conversion!$B$3</f>
        <v>0</v>
      </c>
      <c r="I11" s="4">
        <f>'Residential-Cooling'!I11*Conversion!$B$3</f>
        <v>0</v>
      </c>
      <c r="J11" s="4">
        <f>'Residential-Cooling'!J11*Conversion!$B$3</f>
        <v>0</v>
      </c>
      <c r="K11" s="4">
        <f>'Residential-Cooling'!K11*Conversion!$B$3</f>
        <v>0</v>
      </c>
      <c r="L11" s="4">
        <f>'Residential-Cooling'!L11*Conversion!$B$3</f>
        <v>0</v>
      </c>
      <c r="M11" s="4">
        <f>'Residential-Cooling'!M11*Conversion!$B$3</f>
        <v>0</v>
      </c>
      <c r="N11" s="4">
        <f>'Residential-Cooling'!N11*Conversion!$B$3</f>
        <v>0</v>
      </c>
      <c r="O11" s="4">
        <f>'Residential-Cooling'!O11*Conversion!$B$3</f>
        <v>0</v>
      </c>
      <c r="P11" s="4">
        <f>'Residential-Cooling'!P11*Conversion!$B$3</f>
        <v>0</v>
      </c>
      <c r="Q11" s="4">
        <f>'Residential-Cooling'!Q11*Conversion!$B$3</f>
        <v>0</v>
      </c>
      <c r="R11" s="4">
        <f>'Residential-Cooling'!R11*Conversion!$B$3</f>
        <v>0</v>
      </c>
      <c r="S11" s="4">
        <f>'Residential-Cooling'!S11*Conversion!$B$3</f>
        <v>0</v>
      </c>
      <c r="T11" s="4">
        <f>'Residential-Cooling'!T11*Conversion!$B$3</f>
        <v>0</v>
      </c>
      <c r="U11" s="4">
        <f>'Residential-Cooling'!U11*Conversion!$B$3</f>
        <v>0</v>
      </c>
      <c r="V11" s="4">
        <f>'Residential-Cooling'!V11*Conversion!$B$3</f>
        <v>0</v>
      </c>
      <c r="W11" s="4">
        <f>'Residential-Cooling'!W11*Conversion!$B$3</f>
        <v>0</v>
      </c>
      <c r="X11" s="4">
        <f>'Residential-Cooling'!X11*Conversion!$B$3</f>
        <v>0</v>
      </c>
      <c r="Y11" s="4">
        <f>'Residential-Cooling'!Y11*Conversion!$B$3</f>
        <v>0</v>
      </c>
      <c r="Z11" s="4">
        <f>'Residential-Cooling'!Z11*Conversion!$B$3</f>
        <v>0</v>
      </c>
      <c r="AA11" s="4">
        <f>'Residential-Cooling'!AA11*Conversion!$B$3</f>
        <v>0</v>
      </c>
      <c r="AB11" s="4">
        <f>'Residential-Cooling'!AB11*Conversion!$B$3</f>
        <v>0</v>
      </c>
      <c r="AC11" s="4">
        <f>'Residential-Cooling'!AC11*Conversion!$B$3</f>
        <v>0</v>
      </c>
      <c r="AD11" s="4">
        <f>'Residential-Cooling'!AD11*Conversion!$B$3</f>
        <v>0</v>
      </c>
      <c r="AE11" s="4">
        <f>'Residential-Cooling'!AE11*Conversion!$B$3</f>
        <v>0</v>
      </c>
      <c r="AF11" s="4">
        <f>'Residential-Cooling'!AF11*Conversion!$B$3</f>
        <v>0</v>
      </c>
      <c r="AG11" s="4">
        <f>'Residential-Cooling'!AG11*Conversion!$B$3</f>
        <v>0</v>
      </c>
      <c r="AH11" s="4">
        <f>'Residential-Cooling'!AH11*Conversion!$B$3</f>
        <v>0</v>
      </c>
      <c r="AI11" s="4">
        <f>'Residential-Cooling'!AI11*Conversion!$B$3</f>
        <v>0</v>
      </c>
      <c r="AJ11" s="4">
        <f>'Residential-Cooling'!AJ11*Conversion!$B$3</f>
        <v>0</v>
      </c>
      <c r="AK11" s="4">
        <f>'Residential-Cooling'!AK11*Conversion!$B$3</f>
        <v>0</v>
      </c>
      <c r="AL11" s="4">
        <f>'Residential-Cooling'!AL11*Conversion!$B$3</f>
        <v>0</v>
      </c>
      <c r="AM11" s="4">
        <f>'Residential-Cooling'!AM11*Conversion!$B$3</f>
        <v>0</v>
      </c>
      <c r="AN11" s="4">
        <f>'Residential-Cooling'!AN11*Conversion!$B$3</f>
        <v>0</v>
      </c>
      <c r="AO11" s="4">
        <f>'Residential-Cooling'!AO11*Conversion!$B$3</f>
        <v>0</v>
      </c>
      <c r="AP11" s="4">
        <f>'Residential-Cooling'!AP11*Conversion!$B$3</f>
        <v>0</v>
      </c>
      <c r="AQ11" s="4">
        <f>'Residential-Cooling'!AQ11*Conversion!$B$3</f>
        <v>0</v>
      </c>
      <c r="AR11" s="42">
        <f>'Residential-Cooling'!AR11*Conversion!$B$3</f>
        <v>0</v>
      </c>
      <c r="AS11" s="42">
        <f>'Residential-Cooling'!AS11*Conversion!$B$3</f>
        <v>0</v>
      </c>
      <c r="AT11" s="42">
        <f>'Residential-Cooling'!AT11*Conversion!$B$3</f>
        <v>0</v>
      </c>
      <c r="AU11" s="42">
        <f>'Residential-Cooling'!AU11*Conversion!$B$3</f>
        <v>0</v>
      </c>
      <c r="AV11" s="42">
        <f>'Residential-Cooling'!AV11*Conversion!$B$3</f>
        <v>0</v>
      </c>
      <c r="AW11" s="42">
        <f>'Residential-Cooling'!AW11*Conversion!$B$3</f>
        <v>0</v>
      </c>
      <c r="AX11" s="42">
        <f>'Residential-Cooling'!AX11*Conversion!$B$3</f>
        <v>0</v>
      </c>
      <c r="AY11" s="42">
        <f>'Residential-Cooling'!AY11*Conversion!$B$3</f>
        <v>0</v>
      </c>
      <c r="AZ11" s="42">
        <f>'Residential-Cooling'!AZ11*Conversion!$B$3</f>
        <v>0</v>
      </c>
      <c r="BA11" s="42">
        <f>'Residential-Cooling'!BA11*Conversion!$B$3</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1C7F-58F7-8847-A99E-EAD1413BFABA}">
  <sheetPr>
    <tabColor theme="3" tint="0.249977111117893"/>
  </sheetPr>
  <dimension ref="A1:BA11"/>
  <sheetViews>
    <sheetView topLeftCell="AG1" workbookViewId="0">
      <selection activeCell="AQ20" sqref="AQ20"/>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'Residential-lighting'!$C15*Conversion!$B$3</f>
        <v>36602914799047.523</v>
      </c>
      <c r="C2" s="15">
        <f>'Residential-lighting'!$C16*Conversion!$B$3</f>
        <v>36865006968318.266</v>
      </c>
      <c r="D2" s="15">
        <f>'Residential-lighting'!$C17*Conversion!$B$3</f>
        <v>37127099137589.008</v>
      </c>
      <c r="E2" s="15">
        <f>'Residential-lighting'!E2*Conversion!$B$3</f>
        <v>37425465048685.914</v>
      </c>
      <c r="F2" s="4">
        <f>'Residential-lighting'!F2*Conversion!$B$3</f>
        <v>37610059158469.672</v>
      </c>
      <c r="G2" s="4">
        <f>'Residential-lighting'!G2*Conversion!$B$3</f>
        <v>37768783967780.75</v>
      </c>
      <c r="H2" s="4">
        <f>'Residential-lighting'!H2*Conversion!$B$3</f>
        <v>37911321422534.328</v>
      </c>
      <c r="I2" s="4">
        <f>'Residential-lighting'!I2*Conversion!$B$3</f>
        <v>38258309600306.688</v>
      </c>
      <c r="J2" s="4">
        <f>'Residential-lighting'!J2*Conversion!$B$3</f>
        <v>38598930937177.375</v>
      </c>
      <c r="K2" s="4">
        <f>'Residential-lighting'!K2*Conversion!$B$3</f>
        <v>38935480134785.984</v>
      </c>
      <c r="L2" s="4">
        <f>'Residential-lighting'!L2*Conversion!$B$3</f>
        <v>39269394582317.477</v>
      </c>
      <c r="M2" s="4">
        <f>'Residential-lighting'!M2*Conversion!$B$3</f>
        <v>39601573917124.422</v>
      </c>
      <c r="N2" s="4">
        <f>'Residential-lighting'!N2*Conversion!$B$3</f>
        <v>39878486592303.406</v>
      </c>
      <c r="O2" s="4">
        <f>'Residential-lighting'!O2*Conversion!$B$3</f>
        <v>40154625143352.898</v>
      </c>
      <c r="P2" s="4">
        <f>'Residential-lighting'!P2*Conversion!$B$3</f>
        <v>40430211100603.891</v>
      </c>
      <c r="Q2" s="4">
        <f>'Residential-lighting'!Q2*Conversion!$B$3</f>
        <v>40705382725932.859</v>
      </c>
      <c r="R2" s="4">
        <f>'Residential-lighting'!R2*Conversion!$B$3</f>
        <v>40980226301019.312</v>
      </c>
      <c r="S2" s="4">
        <f>'Residential-lighting'!S2*Conversion!$B$3</f>
        <v>41212596395971.25</v>
      </c>
      <c r="T2" s="4">
        <f>'Residential-lighting'!T2*Conversion!$B$3</f>
        <v>41444910591046.195</v>
      </c>
      <c r="U2" s="4">
        <f>'Residential-lighting'!U2*Conversion!$B$3</f>
        <v>41677189953644.633</v>
      </c>
      <c r="V2" s="4">
        <f>'Residential-lighting'!V2*Conversion!$B$3</f>
        <v>41909447612135.039</v>
      </c>
      <c r="W2" s="4">
        <f>'Residential-lighting'!W2*Conversion!$B$3</f>
        <v>42141691747272.18</v>
      </c>
      <c r="X2" s="4">
        <f>'Residential-lighting'!X2*Conversion!$B$3</f>
        <v>42319682594798.539</v>
      </c>
      <c r="Y2" s="4">
        <f>'Residential-lighting'!Y2*Conversion!$B$3</f>
        <v>42497668170319.656</v>
      </c>
      <c r="Z2" s="4">
        <f>'Residential-lighting'!Z2*Conversion!$B$3</f>
        <v>42675650465633.914</v>
      </c>
      <c r="AA2" s="4">
        <f>'Residential-lighting'!AA2*Conversion!$B$3</f>
        <v>42853630720062.992</v>
      </c>
      <c r="AB2" s="4">
        <f>'Residential-lighting'!AB2*Conversion!$B$3</f>
        <v>43031609704713.453</v>
      </c>
      <c r="AC2" s="4">
        <f>'Residential-lighting'!AC2*Conversion!$B$3</f>
        <v>43157541885703.039</v>
      </c>
      <c r="AD2" s="4">
        <f>'Residential-lighting'!AD2*Conversion!$B$3</f>
        <v>43283473573230.172</v>
      </c>
      <c r="AE2" s="4">
        <f>'Residential-lighting'!AE2*Conversion!$B$3</f>
        <v>43409404954134.344</v>
      </c>
      <c r="AF2" s="4">
        <f>'Residential-lighting'!AF2*Conversion!$B$3</f>
        <v>43535336144513.742</v>
      </c>
      <c r="AG2" s="4">
        <f>'Residential-lighting'!AG2*Conversion!$B$3</f>
        <v>43661267216508.75</v>
      </c>
      <c r="AH2" s="4">
        <f>'Residential-lighting'!AH2*Conversion!$B$3</f>
        <v>43661267337780.32</v>
      </c>
      <c r="AI2" s="4">
        <f>'Residential-lighting'!AI2*Conversion!$B$3</f>
        <v>43661267412912.906</v>
      </c>
      <c r="AJ2" s="4">
        <f>'Residential-lighting'!AJ2*Conversion!$B$3</f>
        <v>43661267459460.531</v>
      </c>
      <c r="AK2" s="4">
        <f>'Residential-lighting'!AK2*Conversion!$B$3</f>
        <v>43661267488298.641</v>
      </c>
      <c r="AL2" s="4">
        <f>'Residential-lighting'!AL2*Conversion!$B$3</f>
        <v>43661267506165</v>
      </c>
      <c r="AM2" s="4">
        <f>'Residential-lighting'!AM2*Conversion!$B$3</f>
        <v>43661267517233.914</v>
      </c>
      <c r="AN2" s="4">
        <f>'Residential-lighting'!AN2*Conversion!$B$3</f>
        <v>43661267524091.539</v>
      </c>
      <c r="AO2" s="4">
        <f>'Residential-lighting'!AO2*Conversion!$B$3</f>
        <v>43661267528340.133</v>
      </c>
      <c r="AP2" s="4">
        <f>'Residential-lighting'!AP2*Conversion!$B$3</f>
        <v>43661267530972.297</v>
      </c>
      <c r="AQ2" s="4">
        <f>'Residential-lighting'!AQ2*Conversion!$B$3</f>
        <v>43661267532603.023</v>
      </c>
      <c r="AR2" s="42">
        <f>'Residential-lighting'!AR2*Conversion!$B$3</f>
        <v>43661267534233.742</v>
      </c>
      <c r="AS2" s="42">
        <f>'Residential-lighting'!AS2*Conversion!$B$3</f>
        <v>43661267535864.469</v>
      </c>
      <c r="AT2" s="42">
        <f>'Residential-lighting'!AT2*Conversion!$B$3</f>
        <v>43661267537495.188</v>
      </c>
      <c r="AU2" s="42">
        <f>'Residential-lighting'!AU2*Conversion!$B$3</f>
        <v>43661267539125.914</v>
      </c>
      <c r="AV2" s="42">
        <f>'Residential-lighting'!AV2*Conversion!$B$3</f>
        <v>43661267540756.633</v>
      </c>
      <c r="AW2" s="42">
        <f>'Residential-lighting'!AW2*Conversion!$B$3</f>
        <v>43661267542387.359</v>
      </c>
      <c r="AX2" s="42">
        <f>'Residential-lighting'!AX2*Conversion!$B$3</f>
        <v>43661267544018.078</v>
      </c>
      <c r="AY2" s="42">
        <f>'Residential-lighting'!AY2*Conversion!$B$3</f>
        <v>43661267545648.805</v>
      </c>
      <c r="AZ2" s="42">
        <f>'Residential-lighting'!AZ2*Conversion!$B$3</f>
        <v>43661267547279.523</v>
      </c>
      <c r="BA2" s="42">
        <f>'Residential-lighting'!BA2*Conversion!$B$3</f>
        <v>43661267548910.25</v>
      </c>
    </row>
    <row r="3" spans="1:53" x14ac:dyDescent="0.2">
      <c r="A3" s="1" t="s">
        <v>13</v>
      </c>
      <c r="B3" s="15">
        <f>'Residential-lighting'!B3*Conversion!$B$3</f>
        <v>0</v>
      </c>
      <c r="C3" s="15">
        <f>'Residential-lighting'!C3*Conversion!$B$3</f>
        <v>0</v>
      </c>
      <c r="D3" s="15">
        <f>'Residential-lighting'!D3*Conversion!$B$3</f>
        <v>0</v>
      </c>
      <c r="E3" s="15">
        <f>'Residential-lighting'!E3*Conversion!$B$3</f>
        <v>0</v>
      </c>
      <c r="F3" s="4">
        <f>'Residential-lighting'!F3*Conversion!$B$3</f>
        <v>0</v>
      </c>
      <c r="G3" s="4">
        <f>'Residential-lighting'!G3*Conversion!$B$3</f>
        <v>0</v>
      </c>
      <c r="H3" s="4">
        <f>'Residential-lighting'!H3*Conversion!$B$3</f>
        <v>0</v>
      </c>
      <c r="I3" s="4">
        <f>'Residential-lighting'!I3*Conversion!$B$3</f>
        <v>0</v>
      </c>
      <c r="J3" s="4">
        <f>'Residential-lighting'!J3*Conversion!$B$3</f>
        <v>0</v>
      </c>
      <c r="K3" s="4">
        <f>'Residential-lighting'!K3*Conversion!$B$3</f>
        <v>0</v>
      </c>
      <c r="L3" s="4">
        <f>'Residential-lighting'!L3*Conversion!$B$3</f>
        <v>0</v>
      </c>
      <c r="M3" s="4">
        <f>'Residential-lighting'!M3*Conversion!$B$3</f>
        <v>0</v>
      </c>
      <c r="N3" s="4">
        <f>'Residential-lighting'!N3*Conversion!$B$3</f>
        <v>0</v>
      </c>
      <c r="O3" s="4">
        <f>'Residential-lighting'!O3*Conversion!$B$3</f>
        <v>0</v>
      </c>
      <c r="P3" s="4">
        <f>'Residential-lighting'!P3*Conversion!$B$3</f>
        <v>0</v>
      </c>
      <c r="Q3" s="4">
        <f>'Residential-lighting'!Q3*Conversion!$B$3</f>
        <v>0</v>
      </c>
      <c r="R3" s="4">
        <f>'Residential-lighting'!R3*Conversion!$B$3</f>
        <v>0</v>
      </c>
      <c r="S3" s="4">
        <f>'Residential-lighting'!S3*Conversion!$B$3</f>
        <v>0</v>
      </c>
      <c r="T3" s="4">
        <f>'Residential-lighting'!T3*Conversion!$B$3</f>
        <v>0</v>
      </c>
      <c r="U3" s="4">
        <f>'Residential-lighting'!U3*Conversion!$B$3</f>
        <v>0</v>
      </c>
      <c r="V3" s="4">
        <f>'Residential-lighting'!V3*Conversion!$B$3</f>
        <v>0</v>
      </c>
      <c r="W3" s="4">
        <f>'Residential-lighting'!W3*Conversion!$B$3</f>
        <v>0</v>
      </c>
      <c r="X3" s="4">
        <f>'Residential-lighting'!X3*Conversion!$B$3</f>
        <v>0</v>
      </c>
      <c r="Y3" s="4">
        <f>'Residential-lighting'!Y3*Conversion!$B$3</f>
        <v>0</v>
      </c>
      <c r="Z3" s="4">
        <f>'Residential-lighting'!Z3*Conversion!$B$3</f>
        <v>0</v>
      </c>
      <c r="AA3" s="4">
        <f>'Residential-lighting'!AA3*Conversion!$B$3</f>
        <v>0</v>
      </c>
      <c r="AB3" s="4">
        <f>'Residential-lighting'!AB3*Conversion!$B$3</f>
        <v>0</v>
      </c>
      <c r="AC3" s="4">
        <f>'Residential-lighting'!AC3*Conversion!$B$3</f>
        <v>0</v>
      </c>
      <c r="AD3" s="4">
        <f>'Residential-lighting'!AD3*Conversion!$B$3</f>
        <v>0</v>
      </c>
      <c r="AE3" s="4">
        <f>'Residential-lighting'!AE3*Conversion!$B$3</f>
        <v>0</v>
      </c>
      <c r="AF3" s="4">
        <f>'Residential-lighting'!AF3*Conversion!$B$3</f>
        <v>0</v>
      </c>
      <c r="AG3" s="4">
        <f>'Residential-lighting'!AG3*Conversion!$B$3</f>
        <v>0</v>
      </c>
      <c r="AH3" s="4">
        <f>'Residential-lighting'!AH3*Conversion!$B$3</f>
        <v>0</v>
      </c>
      <c r="AI3" s="4">
        <f>'Residential-lighting'!AI3*Conversion!$B$3</f>
        <v>0</v>
      </c>
      <c r="AJ3" s="4">
        <f>'Residential-lighting'!AJ3*Conversion!$B$3</f>
        <v>0</v>
      </c>
      <c r="AK3" s="4">
        <f>'Residential-lighting'!AK3*Conversion!$B$3</f>
        <v>0</v>
      </c>
      <c r="AL3" s="4">
        <f>'Residential-lighting'!AL3*Conversion!$B$3</f>
        <v>0</v>
      </c>
      <c r="AM3" s="4">
        <f>'Residential-lighting'!AM3*Conversion!$B$3</f>
        <v>0</v>
      </c>
      <c r="AN3" s="4">
        <f>'Residential-lighting'!AN3*Conversion!$B$3</f>
        <v>0</v>
      </c>
      <c r="AO3" s="4">
        <f>'Residential-lighting'!AO3*Conversion!$B$3</f>
        <v>0</v>
      </c>
      <c r="AP3" s="4">
        <f>'Residential-lighting'!AP3*Conversion!$B$3</f>
        <v>0</v>
      </c>
      <c r="AQ3" s="4">
        <f>'Residential-lighting'!AQ3*Conversion!$B$3</f>
        <v>0</v>
      </c>
      <c r="AR3" s="42">
        <f>'Residential-lighting'!AR3*Conversion!$B$3</f>
        <v>0</v>
      </c>
      <c r="AS3" s="42">
        <f>'Residential-lighting'!AS3*Conversion!$B$3</f>
        <v>0</v>
      </c>
      <c r="AT3" s="42">
        <f>'Residential-lighting'!AT3*Conversion!$B$3</f>
        <v>0</v>
      </c>
      <c r="AU3" s="42">
        <f>'Residential-lighting'!AU3*Conversion!$B$3</f>
        <v>0</v>
      </c>
      <c r="AV3" s="42">
        <f>'Residential-lighting'!AV3*Conversion!$B$3</f>
        <v>0</v>
      </c>
      <c r="AW3" s="42">
        <f>'Residential-lighting'!AW3*Conversion!$B$3</f>
        <v>0</v>
      </c>
      <c r="AX3" s="42">
        <f>'Residential-lighting'!AX3*Conversion!$B$3</f>
        <v>0</v>
      </c>
      <c r="AY3" s="42">
        <f>'Residential-lighting'!AY3*Conversion!$B$3</f>
        <v>0</v>
      </c>
      <c r="AZ3" s="42">
        <f>'Residential-lighting'!AZ3*Conversion!$B$3</f>
        <v>0</v>
      </c>
      <c r="BA3" s="42">
        <f>'Residential-lighting'!BA3*Conversion!$B$3</f>
        <v>0</v>
      </c>
    </row>
    <row r="4" spans="1:53" x14ac:dyDescent="0.2">
      <c r="A4" s="1" t="s">
        <v>14</v>
      </c>
      <c r="B4" s="15">
        <f>'Residential-lighting'!B4*Conversion!$B$3</f>
        <v>0</v>
      </c>
      <c r="C4" s="15">
        <f>'Residential-lighting'!C4*Conversion!$B$3</f>
        <v>0</v>
      </c>
      <c r="D4" s="15">
        <f>'Residential-lighting'!D4*Conversion!$B$3</f>
        <v>0</v>
      </c>
      <c r="E4" s="15">
        <f>'Residential-lighting'!E4*Conversion!$B$3</f>
        <v>0</v>
      </c>
      <c r="F4" s="4">
        <f>'Residential-lighting'!F4*Conversion!$B$3</f>
        <v>0</v>
      </c>
      <c r="G4" s="4">
        <f>'Residential-lighting'!G4*Conversion!$B$3</f>
        <v>0</v>
      </c>
      <c r="H4" s="4">
        <f>'Residential-lighting'!H4*Conversion!$B$3</f>
        <v>0</v>
      </c>
      <c r="I4" s="4">
        <f>'Residential-lighting'!I4*Conversion!$B$3</f>
        <v>0</v>
      </c>
      <c r="J4" s="4">
        <f>'Residential-lighting'!J4*Conversion!$B$3</f>
        <v>0</v>
      </c>
      <c r="K4" s="4">
        <f>'Residential-lighting'!K4*Conversion!$B$3</f>
        <v>0</v>
      </c>
      <c r="L4" s="4">
        <f>'Residential-lighting'!L4*Conversion!$B$3</f>
        <v>0</v>
      </c>
      <c r="M4" s="4">
        <f>'Residential-lighting'!M4*Conversion!$B$3</f>
        <v>0</v>
      </c>
      <c r="N4" s="4">
        <f>'Residential-lighting'!N4*Conversion!$B$3</f>
        <v>0</v>
      </c>
      <c r="O4" s="4">
        <f>'Residential-lighting'!O4*Conversion!$B$3</f>
        <v>0</v>
      </c>
      <c r="P4" s="4">
        <f>'Residential-lighting'!P4*Conversion!$B$3</f>
        <v>0</v>
      </c>
      <c r="Q4" s="4">
        <f>'Residential-lighting'!Q4*Conversion!$B$3</f>
        <v>0</v>
      </c>
      <c r="R4" s="4">
        <f>'Residential-lighting'!R4*Conversion!$B$3</f>
        <v>0</v>
      </c>
      <c r="S4" s="4">
        <f>'Residential-lighting'!S4*Conversion!$B$3</f>
        <v>0</v>
      </c>
      <c r="T4" s="4">
        <f>'Residential-lighting'!T4*Conversion!$B$3</f>
        <v>0</v>
      </c>
      <c r="U4" s="4">
        <f>'Residential-lighting'!U4*Conversion!$B$3</f>
        <v>0</v>
      </c>
      <c r="V4" s="4">
        <f>'Residential-lighting'!V4*Conversion!$B$3</f>
        <v>0</v>
      </c>
      <c r="W4" s="4">
        <f>'Residential-lighting'!W4*Conversion!$B$3</f>
        <v>0</v>
      </c>
      <c r="X4" s="4">
        <f>'Residential-lighting'!X4*Conversion!$B$3</f>
        <v>0</v>
      </c>
      <c r="Y4" s="4">
        <f>'Residential-lighting'!Y4*Conversion!$B$3</f>
        <v>0</v>
      </c>
      <c r="Z4" s="4">
        <f>'Residential-lighting'!Z4*Conversion!$B$3</f>
        <v>0</v>
      </c>
      <c r="AA4" s="4">
        <f>'Residential-lighting'!AA4*Conversion!$B$3</f>
        <v>0</v>
      </c>
      <c r="AB4" s="4">
        <f>'Residential-lighting'!AB4*Conversion!$B$3</f>
        <v>0</v>
      </c>
      <c r="AC4" s="4">
        <f>'Residential-lighting'!AC4*Conversion!$B$3</f>
        <v>0</v>
      </c>
      <c r="AD4" s="4">
        <f>'Residential-lighting'!AD4*Conversion!$B$3</f>
        <v>0</v>
      </c>
      <c r="AE4" s="4">
        <f>'Residential-lighting'!AE4*Conversion!$B$3</f>
        <v>0</v>
      </c>
      <c r="AF4" s="4">
        <f>'Residential-lighting'!AF4*Conversion!$B$3</f>
        <v>0</v>
      </c>
      <c r="AG4" s="4">
        <f>'Residential-lighting'!AG4*Conversion!$B$3</f>
        <v>0</v>
      </c>
      <c r="AH4" s="4">
        <f>'Residential-lighting'!AH4*Conversion!$B$3</f>
        <v>0</v>
      </c>
      <c r="AI4" s="4">
        <f>'Residential-lighting'!AI4*Conversion!$B$3</f>
        <v>0</v>
      </c>
      <c r="AJ4" s="4">
        <f>'Residential-lighting'!AJ4*Conversion!$B$3</f>
        <v>0</v>
      </c>
      <c r="AK4" s="4">
        <f>'Residential-lighting'!AK4*Conversion!$B$3</f>
        <v>0</v>
      </c>
      <c r="AL4" s="4">
        <f>'Residential-lighting'!AL4*Conversion!$B$3</f>
        <v>0</v>
      </c>
      <c r="AM4" s="4">
        <f>'Residential-lighting'!AM4*Conversion!$B$3</f>
        <v>0</v>
      </c>
      <c r="AN4" s="4">
        <f>'Residential-lighting'!AN4*Conversion!$B$3</f>
        <v>0</v>
      </c>
      <c r="AO4" s="4">
        <f>'Residential-lighting'!AO4*Conversion!$B$3</f>
        <v>0</v>
      </c>
      <c r="AP4" s="4">
        <f>'Residential-lighting'!AP4*Conversion!$B$3</f>
        <v>0</v>
      </c>
      <c r="AQ4" s="4">
        <f>'Residential-lighting'!AQ4*Conversion!$B$3</f>
        <v>0</v>
      </c>
      <c r="AR4" s="42">
        <f>'Residential-lighting'!AR4*Conversion!$B$3</f>
        <v>0</v>
      </c>
      <c r="AS4" s="42">
        <f>'Residential-lighting'!AS4*Conversion!$B$3</f>
        <v>0</v>
      </c>
      <c r="AT4" s="42">
        <f>'Residential-lighting'!AT4*Conversion!$B$3</f>
        <v>0</v>
      </c>
      <c r="AU4" s="42">
        <f>'Residential-lighting'!AU4*Conversion!$B$3</f>
        <v>0</v>
      </c>
      <c r="AV4" s="42">
        <f>'Residential-lighting'!AV4*Conversion!$B$3</f>
        <v>0</v>
      </c>
      <c r="AW4" s="42">
        <f>'Residential-lighting'!AW4*Conversion!$B$3</f>
        <v>0</v>
      </c>
      <c r="AX4" s="42">
        <f>'Residential-lighting'!AX4*Conversion!$B$3</f>
        <v>0</v>
      </c>
      <c r="AY4" s="42">
        <f>'Residential-lighting'!AY4*Conversion!$B$3</f>
        <v>0</v>
      </c>
      <c r="AZ4" s="42">
        <f>'Residential-lighting'!AZ4*Conversion!$B$3</f>
        <v>0</v>
      </c>
      <c r="BA4" s="42">
        <f>'Residential-lighting'!BA4*Conversion!$B$3</f>
        <v>0</v>
      </c>
    </row>
    <row r="5" spans="1:53" x14ac:dyDescent="0.2">
      <c r="A5" s="1" t="s">
        <v>15</v>
      </c>
      <c r="B5" s="15">
        <f>'Residential-lighting'!B5*Conversion!$B$3</f>
        <v>0</v>
      </c>
      <c r="C5" s="15">
        <f>'Residential-lighting'!C5*Conversion!$B$3</f>
        <v>0</v>
      </c>
      <c r="D5" s="15">
        <f>'Residential-lighting'!D5*Conversion!$B$3</f>
        <v>0</v>
      </c>
      <c r="E5" s="15">
        <f>'Residential-lighting'!E5*Conversion!$B$3</f>
        <v>0</v>
      </c>
      <c r="F5" s="4">
        <f>'Residential-lighting'!F5*Conversion!$B$3</f>
        <v>0</v>
      </c>
      <c r="G5" s="4">
        <f>'Residential-lighting'!G5*Conversion!$B$3</f>
        <v>0</v>
      </c>
      <c r="H5" s="4">
        <f>'Residential-lighting'!H5*Conversion!$B$3</f>
        <v>0</v>
      </c>
      <c r="I5" s="4">
        <f>'Residential-lighting'!I5*Conversion!$B$3</f>
        <v>0</v>
      </c>
      <c r="J5" s="4">
        <f>'Residential-lighting'!J5*Conversion!$B$3</f>
        <v>0</v>
      </c>
      <c r="K5" s="4">
        <f>'Residential-lighting'!K5*Conversion!$B$3</f>
        <v>0</v>
      </c>
      <c r="L5" s="4">
        <f>'Residential-lighting'!L5*Conversion!$B$3</f>
        <v>0</v>
      </c>
      <c r="M5" s="4">
        <f>'Residential-lighting'!M5*Conversion!$B$3</f>
        <v>0</v>
      </c>
      <c r="N5" s="4">
        <f>'Residential-lighting'!N5*Conversion!$B$3</f>
        <v>0</v>
      </c>
      <c r="O5" s="4">
        <f>'Residential-lighting'!O5*Conversion!$B$3</f>
        <v>0</v>
      </c>
      <c r="P5" s="4">
        <f>'Residential-lighting'!P5*Conversion!$B$3</f>
        <v>0</v>
      </c>
      <c r="Q5" s="4">
        <f>'Residential-lighting'!Q5*Conversion!$B$3</f>
        <v>0</v>
      </c>
      <c r="R5" s="4">
        <f>'Residential-lighting'!R5*Conversion!$B$3</f>
        <v>0</v>
      </c>
      <c r="S5" s="4">
        <f>'Residential-lighting'!S5*Conversion!$B$3</f>
        <v>0</v>
      </c>
      <c r="T5" s="4">
        <f>'Residential-lighting'!T5*Conversion!$B$3</f>
        <v>0</v>
      </c>
      <c r="U5" s="4">
        <f>'Residential-lighting'!U5*Conversion!$B$3</f>
        <v>0</v>
      </c>
      <c r="V5" s="4">
        <f>'Residential-lighting'!V5*Conversion!$B$3</f>
        <v>0</v>
      </c>
      <c r="W5" s="4">
        <f>'Residential-lighting'!W5*Conversion!$B$3</f>
        <v>0</v>
      </c>
      <c r="X5" s="4">
        <f>'Residential-lighting'!X5*Conversion!$B$3</f>
        <v>0</v>
      </c>
      <c r="Y5" s="4">
        <f>'Residential-lighting'!Y5*Conversion!$B$3</f>
        <v>0</v>
      </c>
      <c r="Z5" s="4">
        <f>'Residential-lighting'!Z5*Conversion!$B$3</f>
        <v>0</v>
      </c>
      <c r="AA5" s="4">
        <f>'Residential-lighting'!AA5*Conversion!$B$3</f>
        <v>0</v>
      </c>
      <c r="AB5" s="4">
        <f>'Residential-lighting'!AB5*Conversion!$B$3</f>
        <v>0</v>
      </c>
      <c r="AC5" s="4">
        <f>'Residential-lighting'!AC5*Conversion!$B$3</f>
        <v>0</v>
      </c>
      <c r="AD5" s="4">
        <f>'Residential-lighting'!AD5*Conversion!$B$3</f>
        <v>0</v>
      </c>
      <c r="AE5" s="4">
        <f>'Residential-lighting'!AE5*Conversion!$B$3</f>
        <v>0</v>
      </c>
      <c r="AF5" s="4">
        <f>'Residential-lighting'!AF5*Conversion!$B$3</f>
        <v>0</v>
      </c>
      <c r="AG5" s="4">
        <f>'Residential-lighting'!AG5*Conversion!$B$3</f>
        <v>0</v>
      </c>
      <c r="AH5" s="4">
        <f>'Residential-lighting'!AH5*Conversion!$B$3</f>
        <v>0</v>
      </c>
      <c r="AI5" s="4">
        <f>'Residential-lighting'!AI5*Conversion!$B$3</f>
        <v>0</v>
      </c>
      <c r="AJ5" s="4">
        <f>'Residential-lighting'!AJ5*Conversion!$B$3</f>
        <v>0</v>
      </c>
      <c r="AK5" s="4">
        <f>'Residential-lighting'!AK5*Conversion!$B$3</f>
        <v>0</v>
      </c>
      <c r="AL5" s="4">
        <f>'Residential-lighting'!AL5*Conversion!$B$3</f>
        <v>0</v>
      </c>
      <c r="AM5" s="4">
        <f>'Residential-lighting'!AM5*Conversion!$B$3</f>
        <v>0</v>
      </c>
      <c r="AN5" s="4">
        <f>'Residential-lighting'!AN5*Conversion!$B$3</f>
        <v>0</v>
      </c>
      <c r="AO5" s="4">
        <f>'Residential-lighting'!AO5*Conversion!$B$3</f>
        <v>0</v>
      </c>
      <c r="AP5" s="4">
        <f>'Residential-lighting'!AP5*Conversion!$B$3</f>
        <v>0</v>
      </c>
      <c r="AQ5" s="4">
        <f>'Residential-lighting'!AQ5*Conversion!$B$3</f>
        <v>0</v>
      </c>
      <c r="AR5" s="42">
        <f>'Residential-lighting'!AR5*Conversion!$B$3</f>
        <v>0</v>
      </c>
      <c r="AS5" s="42">
        <f>'Residential-lighting'!AS5*Conversion!$B$3</f>
        <v>0</v>
      </c>
      <c r="AT5" s="42">
        <f>'Residential-lighting'!AT5*Conversion!$B$3</f>
        <v>0</v>
      </c>
      <c r="AU5" s="42">
        <f>'Residential-lighting'!AU5*Conversion!$B$3</f>
        <v>0</v>
      </c>
      <c r="AV5" s="42">
        <f>'Residential-lighting'!AV5*Conversion!$B$3</f>
        <v>0</v>
      </c>
      <c r="AW5" s="42">
        <f>'Residential-lighting'!AW5*Conversion!$B$3</f>
        <v>0</v>
      </c>
      <c r="AX5" s="42">
        <f>'Residential-lighting'!AX5*Conversion!$B$3</f>
        <v>0</v>
      </c>
      <c r="AY5" s="42">
        <f>'Residential-lighting'!AY5*Conversion!$B$3</f>
        <v>0</v>
      </c>
      <c r="AZ5" s="42">
        <f>'Residential-lighting'!AZ5*Conversion!$B$3</f>
        <v>0</v>
      </c>
      <c r="BA5" s="42">
        <f>'Residential-lighting'!BA5*Conversion!$B$3</f>
        <v>0</v>
      </c>
    </row>
    <row r="6" spans="1:53" x14ac:dyDescent="0.2">
      <c r="A6" s="1" t="s">
        <v>16</v>
      </c>
      <c r="B6" s="15">
        <f>'Residential-lighting'!B6*Conversion!$B$3</f>
        <v>0</v>
      </c>
      <c r="C6" s="15">
        <f>'Residential-lighting'!C6*Conversion!$B$3</f>
        <v>0</v>
      </c>
      <c r="D6" s="15">
        <f>'Residential-lighting'!D6*Conversion!$B$3</f>
        <v>0</v>
      </c>
      <c r="E6" s="15">
        <f>'Residential-lighting'!E6*Conversion!$B$3</f>
        <v>0</v>
      </c>
      <c r="F6" s="4">
        <f>'Residential-lighting'!F6*Conversion!$B$3</f>
        <v>0</v>
      </c>
      <c r="G6" s="4">
        <f>'Residential-lighting'!G6*Conversion!$B$3</f>
        <v>0</v>
      </c>
      <c r="H6" s="4">
        <f>'Residential-lighting'!H6*Conversion!$B$3</f>
        <v>0</v>
      </c>
      <c r="I6" s="4">
        <f>'Residential-lighting'!I6*Conversion!$B$3</f>
        <v>0</v>
      </c>
      <c r="J6" s="4">
        <f>'Residential-lighting'!J6*Conversion!$B$3</f>
        <v>0</v>
      </c>
      <c r="K6" s="4">
        <f>'Residential-lighting'!K6*Conversion!$B$3</f>
        <v>0</v>
      </c>
      <c r="L6" s="4">
        <f>'Residential-lighting'!L6*Conversion!$B$3</f>
        <v>0</v>
      </c>
      <c r="M6" s="4">
        <f>'Residential-lighting'!M6*Conversion!$B$3</f>
        <v>0</v>
      </c>
      <c r="N6" s="4">
        <f>'Residential-lighting'!N6*Conversion!$B$3</f>
        <v>0</v>
      </c>
      <c r="O6" s="4">
        <f>'Residential-lighting'!O6*Conversion!$B$3</f>
        <v>0</v>
      </c>
      <c r="P6" s="4">
        <f>'Residential-lighting'!P6*Conversion!$B$3</f>
        <v>0</v>
      </c>
      <c r="Q6" s="4">
        <f>'Residential-lighting'!Q6*Conversion!$B$3</f>
        <v>0</v>
      </c>
      <c r="R6" s="4">
        <f>'Residential-lighting'!R6*Conversion!$B$3</f>
        <v>0</v>
      </c>
      <c r="S6" s="4">
        <f>'Residential-lighting'!S6*Conversion!$B$3</f>
        <v>0</v>
      </c>
      <c r="T6" s="4">
        <f>'Residential-lighting'!T6*Conversion!$B$3</f>
        <v>0</v>
      </c>
      <c r="U6" s="4">
        <f>'Residential-lighting'!U6*Conversion!$B$3</f>
        <v>0</v>
      </c>
      <c r="V6" s="4">
        <f>'Residential-lighting'!V6*Conversion!$B$3</f>
        <v>0</v>
      </c>
      <c r="W6" s="4">
        <f>'Residential-lighting'!W6*Conversion!$B$3</f>
        <v>0</v>
      </c>
      <c r="X6" s="4">
        <f>'Residential-lighting'!X6*Conversion!$B$3</f>
        <v>0</v>
      </c>
      <c r="Y6" s="4">
        <f>'Residential-lighting'!Y6*Conversion!$B$3</f>
        <v>0</v>
      </c>
      <c r="Z6" s="4">
        <f>'Residential-lighting'!Z6*Conversion!$B$3</f>
        <v>0</v>
      </c>
      <c r="AA6" s="4">
        <f>'Residential-lighting'!AA6*Conversion!$B$3</f>
        <v>0</v>
      </c>
      <c r="AB6" s="4">
        <f>'Residential-lighting'!AB6*Conversion!$B$3</f>
        <v>0</v>
      </c>
      <c r="AC6" s="4">
        <f>'Residential-lighting'!AC6*Conversion!$B$3</f>
        <v>0</v>
      </c>
      <c r="AD6" s="4">
        <f>'Residential-lighting'!AD6*Conversion!$B$3</f>
        <v>0</v>
      </c>
      <c r="AE6" s="4">
        <f>'Residential-lighting'!AE6*Conversion!$B$3</f>
        <v>0</v>
      </c>
      <c r="AF6" s="4">
        <f>'Residential-lighting'!AF6*Conversion!$B$3</f>
        <v>0</v>
      </c>
      <c r="AG6" s="4">
        <f>'Residential-lighting'!AG6*Conversion!$B$3</f>
        <v>0</v>
      </c>
      <c r="AH6" s="4">
        <f>'Residential-lighting'!AH6*Conversion!$B$3</f>
        <v>0</v>
      </c>
      <c r="AI6" s="4">
        <f>'Residential-lighting'!AI6*Conversion!$B$3</f>
        <v>0</v>
      </c>
      <c r="AJ6" s="4">
        <f>'Residential-lighting'!AJ6*Conversion!$B$3</f>
        <v>0</v>
      </c>
      <c r="AK6" s="4">
        <f>'Residential-lighting'!AK6*Conversion!$B$3</f>
        <v>0</v>
      </c>
      <c r="AL6" s="4">
        <f>'Residential-lighting'!AL6*Conversion!$B$3</f>
        <v>0</v>
      </c>
      <c r="AM6" s="4">
        <f>'Residential-lighting'!AM6*Conversion!$B$3</f>
        <v>0</v>
      </c>
      <c r="AN6" s="4">
        <f>'Residential-lighting'!AN6*Conversion!$B$3</f>
        <v>0</v>
      </c>
      <c r="AO6" s="4">
        <f>'Residential-lighting'!AO6*Conversion!$B$3</f>
        <v>0</v>
      </c>
      <c r="AP6" s="4">
        <f>'Residential-lighting'!AP6*Conversion!$B$3</f>
        <v>0</v>
      </c>
      <c r="AQ6" s="4">
        <f>'Residential-lighting'!AQ6*Conversion!$B$3</f>
        <v>0</v>
      </c>
      <c r="AR6" s="42">
        <f>'Residential-lighting'!AR6*Conversion!$B$3</f>
        <v>0</v>
      </c>
      <c r="AS6" s="42">
        <f>'Residential-lighting'!AS6*Conversion!$B$3</f>
        <v>0</v>
      </c>
      <c r="AT6" s="42">
        <f>'Residential-lighting'!AT6*Conversion!$B$3</f>
        <v>0</v>
      </c>
      <c r="AU6" s="42">
        <f>'Residential-lighting'!AU6*Conversion!$B$3</f>
        <v>0</v>
      </c>
      <c r="AV6" s="42">
        <f>'Residential-lighting'!AV6*Conversion!$B$3</f>
        <v>0</v>
      </c>
      <c r="AW6" s="42">
        <f>'Residential-lighting'!AW6*Conversion!$B$3</f>
        <v>0</v>
      </c>
      <c r="AX6" s="42">
        <f>'Residential-lighting'!AX6*Conversion!$B$3</f>
        <v>0</v>
      </c>
      <c r="AY6" s="42">
        <f>'Residential-lighting'!AY6*Conversion!$B$3</f>
        <v>0</v>
      </c>
      <c r="AZ6" s="42">
        <f>'Residential-lighting'!AZ6*Conversion!$B$3</f>
        <v>0</v>
      </c>
      <c r="BA6" s="42">
        <f>'Residential-lighting'!BA6*Conversion!$B$3</f>
        <v>0</v>
      </c>
    </row>
    <row r="7" spans="1:53" x14ac:dyDescent="0.2">
      <c r="A7" s="1" t="s">
        <v>17</v>
      </c>
      <c r="B7" s="15">
        <f>'Residential-lighting'!B7*Conversion!$B$3</f>
        <v>0</v>
      </c>
      <c r="C7" s="15">
        <f>'Residential-lighting'!C7*Conversion!$B$3</f>
        <v>0</v>
      </c>
      <c r="D7" s="15">
        <f>'Residential-lighting'!D7*Conversion!$B$3</f>
        <v>0</v>
      </c>
      <c r="E7" s="15">
        <f>'Residential-lighting'!E7*Conversion!$B$3</f>
        <v>0</v>
      </c>
      <c r="F7" s="4">
        <f>'Residential-lighting'!F7*Conversion!$B$3</f>
        <v>0</v>
      </c>
      <c r="G7" s="4">
        <f>'Residential-lighting'!G7*Conversion!$B$3</f>
        <v>0</v>
      </c>
      <c r="H7" s="4">
        <f>'Residential-lighting'!H7*Conversion!$B$3</f>
        <v>0</v>
      </c>
      <c r="I7" s="4">
        <f>'Residential-lighting'!I7*Conversion!$B$3</f>
        <v>0</v>
      </c>
      <c r="J7" s="4">
        <f>'Residential-lighting'!J7*Conversion!$B$3</f>
        <v>0</v>
      </c>
      <c r="K7" s="4">
        <f>'Residential-lighting'!K7*Conversion!$B$3</f>
        <v>0</v>
      </c>
      <c r="L7" s="4">
        <f>'Residential-lighting'!L7*Conversion!$B$3</f>
        <v>0</v>
      </c>
      <c r="M7" s="4">
        <f>'Residential-lighting'!M7*Conversion!$B$3</f>
        <v>0</v>
      </c>
      <c r="N7" s="4">
        <f>'Residential-lighting'!N7*Conversion!$B$3</f>
        <v>0</v>
      </c>
      <c r="O7" s="4">
        <f>'Residential-lighting'!O7*Conversion!$B$3</f>
        <v>0</v>
      </c>
      <c r="P7" s="4">
        <f>'Residential-lighting'!P7*Conversion!$B$3</f>
        <v>0</v>
      </c>
      <c r="Q7" s="4">
        <f>'Residential-lighting'!Q7*Conversion!$B$3</f>
        <v>0</v>
      </c>
      <c r="R7" s="4">
        <f>'Residential-lighting'!R7*Conversion!$B$3</f>
        <v>0</v>
      </c>
      <c r="S7" s="4">
        <f>'Residential-lighting'!S7*Conversion!$B$3</f>
        <v>0</v>
      </c>
      <c r="T7" s="4">
        <f>'Residential-lighting'!T7*Conversion!$B$3</f>
        <v>0</v>
      </c>
      <c r="U7" s="4">
        <f>'Residential-lighting'!U7*Conversion!$B$3</f>
        <v>0</v>
      </c>
      <c r="V7" s="4">
        <f>'Residential-lighting'!V7*Conversion!$B$3</f>
        <v>0</v>
      </c>
      <c r="W7" s="4">
        <f>'Residential-lighting'!W7*Conversion!$B$3</f>
        <v>0</v>
      </c>
      <c r="X7" s="4">
        <f>'Residential-lighting'!X7*Conversion!$B$3</f>
        <v>0</v>
      </c>
      <c r="Y7" s="4">
        <f>'Residential-lighting'!Y7*Conversion!$B$3</f>
        <v>0</v>
      </c>
      <c r="Z7" s="4">
        <f>'Residential-lighting'!Z7*Conversion!$B$3</f>
        <v>0</v>
      </c>
      <c r="AA7" s="4">
        <f>'Residential-lighting'!AA7*Conversion!$B$3</f>
        <v>0</v>
      </c>
      <c r="AB7" s="4">
        <f>'Residential-lighting'!AB7*Conversion!$B$3</f>
        <v>0</v>
      </c>
      <c r="AC7" s="4">
        <f>'Residential-lighting'!AC7*Conversion!$B$3</f>
        <v>0</v>
      </c>
      <c r="AD7" s="4">
        <f>'Residential-lighting'!AD7*Conversion!$B$3</f>
        <v>0</v>
      </c>
      <c r="AE7" s="4">
        <f>'Residential-lighting'!AE7*Conversion!$B$3</f>
        <v>0</v>
      </c>
      <c r="AF7" s="4">
        <f>'Residential-lighting'!AF7*Conversion!$B$3</f>
        <v>0</v>
      </c>
      <c r="AG7" s="4">
        <f>'Residential-lighting'!AG7*Conversion!$B$3</f>
        <v>0</v>
      </c>
      <c r="AH7" s="4">
        <f>'Residential-lighting'!AH7*Conversion!$B$3</f>
        <v>0</v>
      </c>
      <c r="AI7" s="4">
        <f>'Residential-lighting'!AI7*Conversion!$B$3</f>
        <v>0</v>
      </c>
      <c r="AJ7" s="4">
        <f>'Residential-lighting'!AJ7*Conversion!$B$3</f>
        <v>0</v>
      </c>
      <c r="AK7" s="4">
        <f>'Residential-lighting'!AK7*Conversion!$B$3</f>
        <v>0</v>
      </c>
      <c r="AL7" s="4">
        <f>'Residential-lighting'!AL7*Conversion!$B$3</f>
        <v>0</v>
      </c>
      <c r="AM7" s="4">
        <f>'Residential-lighting'!AM7*Conversion!$B$3</f>
        <v>0</v>
      </c>
      <c r="AN7" s="4">
        <f>'Residential-lighting'!AN7*Conversion!$B$3</f>
        <v>0</v>
      </c>
      <c r="AO7" s="4">
        <f>'Residential-lighting'!AO7*Conversion!$B$3</f>
        <v>0</v>
      </c>
      <c r="AP7" s="4">
        <f>'Residential-lighting'!AP7*Conversion!$B$3</f>
        <v>0</v>
      </c>
      <c r="AQ7" s="4">
        <f>'Residential-lighting'!AQ7*Conversion!$B$3</f>
        <v>0</v>
      </c>
      <c r="AR7" s="42">
        <f>'Residential-lighting'!AR7*Conversion!$B$3</f>
        <v>0</v>
      </c>
      <c r="AS7" s="42">
        <f>'Residential-lighting'!AS7*Conversion!$B$3</f>
        <v>0</v>
      </c>
      <c r="AT7" s="42">
        <f>'Residential-lighting'!AT7*Conversion!$B$3</f>
        <v>0</v>
      </c>
      <c r="AU7" s="42">
        <f>'Residential-lighting'!AU7*Conversion!$B$3</f>
        <v>0</v>
      </c>
      <c r="AV7" s="42">
        <f>'Residential-lighting'!AV7*Conversion!$B$3</f>
        <v>0</v>
      </c>
      <c r="AW7" s="42">
        <f>'Residential-lighting'!AW7*Conversion!$B$3</f>
        <v>0</v>
      </c>
      <c r="AX7" s="42">
        <f>'Residential-lighting'!AX7*Conversion!$B$3</f>
        <v>0</v>
      </c>
      <c r="AY7" s="42">
        <f>'Residential-lighting'!AY7*Conversion!$B$3</f>
        <v>0</v>
      </c>
      <c r="AZ7" s="42">
        <f>'Residential-lighting'!AZ7*Conversion!$B$3</f>
        <v>0</v>
      </c>
      <c r="BA7" s="42">
        <f>'Residential-lighting'!BA7*Conversion!$B$3</f>
        <v>0</v>
      </c>
    </row>
    <row r="8" spans="1:53" x14ac:dyDescent="0.2">
      <c r="A8" s="1" t="s">
        <v>18</v>
      </c>
      <c r="B8" s="15">
        <f>'Residential-lighting'!$H15*Conversion!$B$3</f>
        <v>4653354983366.0156</v>
      </c>
      <c r="C8" s="15">
        <f>'Residential-lighting'!H16*Conversion!$B$3</f>
        <v>4454252414492.7266</v>
      </c>
      <c r="D8" s="15">
        <f>'Residential-lighting'!$H17*Conversion!$B$3</f>
        <v>4255149845619.4937</v>
      </c>
      <c r="E8" s="15">
        <f>'Residential-lighting'!E8*Conversion!$B$3</f>
        <v>4218949133716.3511</v>
      </c>
      <c r="F8" s="4">
        <f>'Residential-lighting'!F8*Conversion!$B$3</f>
        <v>3788299635128.6841</v>
      </c>
      <c r="G8" s="4">
        <f>'Residential-lighting'!G8*Conversion!$B$3</f>
        <v>3587492067977.2778</v>
      </c>
      <c r="H8" s="4">
        <f>'Residential-lighting'!H8*Conversion!$B$3</f>
        <v>3397328769471.188</v>
      </c>
      <c r="I8" s="4">
        <f>'Residential-lighting'!I8*Conversion!$B$3</f>
        <v>3217245515579.415</v>
      </c>
      <c r="J8" s="4">
        <f>'Residential-lighting'!J8*Conversion!$B$3</f>
        <v>3046707990268.1855</v>
      </c>
      <c r="K8" s="4">
        <f>'Residential-lighting'!K8*Conversion!$B$3</f>
        <v>2885210200158.5293</v>
      </c>
      <c r="L8" s="4">
        <f>'Residential-lighting'!L8*Conversion!$B$3</f>
        <v>2732272973218.5649</v>
      </c>
      <c r="M8" s="4">
        <f>'Residential-lighting'!M8*Conversion!$B$3</f>
        <v>2587442537036.1001</v>
      </c>
      <c r="N8" s="4">
        <f>'Residential-lighting'!N8*Conversion!$B$3</f>
        <v>2450289172453.1436</v>
      </c>
      <c r="O8" s="4">
        <f>'Residential-lighting'!O8*Conversion!$B$3</f>
        <v>2320405938567.6504</v>
      </c>
      <c r="P8" s="4">
        <f>'Residential-lighting'!P8*Conversion!$B$3</f>
        <v>2197407465319.4749</v>
      </c>
      <c r="Q8" s="4">
        <f>'Residential-lighting'!Q8*Conversion!$B$3</f>
        <v>2080928810078.1111</v>
      </c>
      <c r="R8" s="4">
        <f>'Residential-lighting'!R8*Conversion!$B$3</f>
        <v>1970624374839.6184</v>
      </c>
      <c r="S8" s="4">
        <f>'Residential-lighting'!S8*Conversion!$B$3</f>
        <v>1866166880820.0449</v>
      </c>
      <c r="T8" s="4">
        <f>'Residential-lighting'!T8*Conversion!$B$3</f>
        <v>1767246397402.8796</v>
      </c>
      <c r="U8" s="4">
        <f>'Residential-lighting'!U8*Conversion!$B$3</f>
        <v>1673569422559.3879</v>
      </c>
      <c r="V8" s="4">
        <f>'Residential-lighting'!V8*Conversion!$B$3</f>
        <v>1584858012013.3945</v>
      </c>
      <c r="W8" s="4">
        <f>'Residential-lighting'!W8*Conversion!$B$3</f>
        <v>1500848954566.6975</v>
      </c>
      <c r="X8" s="4">
        <f>'Residential-lighting'!X8*Conversion!$B$3</f>
        <v>1421292991138.2581</v>
      </c>
      <c r="Y8" s="4">
        <f>'Residential-lighting'!Y8*Conversion!$B$3</f>
        <v>1345954075200.0195</v>
      </c>
      <c r="Z8" s="4">
        <f>'Residential-lighting'!Z8*Conversion!$B$3</f>
        <v>1274608672415.0422</v>
      </c>
      <c r="AA8" s="4">
        <f>'Residential-lighting'!AA8*Conversion!$B$3</f>
        <v>1207045097399.9277</v>
      </c>
      <c r="AB8" s="4">
        <f>'Residential-lighting'!AB8*Conversion!$B$3</f>
        <v>1143062885643.6824</v>
      </c>
      <c r="AC8" s="4">
        <f>'Residential-lighting'!AC8*Conversion!$B$3</f>
        <v>1082472198719.4735</v>
      </c>
      <c r="AD8" s="4">
        <f>'Residential-lighting'!AD8*Conversion!$B$3</f>
        <v>1025093261024.5129</v>
      </c>
      <c r="AE8" s="4">
        <f>'Residential-lighting'!AE8*Conversion!$B$3</f>
        <v>970755826376.83301</v>
      </c>
      <c r="AF8" s="4">
        <f>'Residential-lighting'!AF8*Conversion!$B$3</f>
        <v>919298672886.3429</v>
      </c>
      <c r="AG8" s="4">
        <f>'Residential-lighting'!AG8*Conversion!$B$3</f>
        <v>870569124601.40295</v>
      </c>
      <c r="AH8" s="4">
        <f>'Residential-lighting'!AH8*Conversion!$B$3</f>
        <v>824422598511.63147</v>
      </c>
      <c r="AI8" s="4">
        <f>'Residential-lighting'!AI8*Conversion!$B$3</f>
        <v>780722175562.87036</v>
      </c>
      <c r="AJ8" s="4">
        <f>'Residential-lighting'!AJ8*Conversion!$B$3</f>
        <v>739338194411.49329</v>
      </c>
      <c r="AK8" s="4">
        <f>'Residential-lighting'!AK8*Conversion!$B$3</f>
        <v>700147866712.70715</v>
      </c>
      <c r="AL8" s="4">
        <f>'Residential-lighting'!AL8*Conversion!$B$3</f>
        <v>663034912801.38062</v>
      </c>
      <c r="AM8" s="4">
        <f>'Residential-lighting'!AM8*Conversion!$B$3</f>
        <v>627889216684.45557</v>
      </c>
      <c r="AN8" s="4">
        <f>'Residential-lighting'!AN8*Conversion!$B$3</f>
        <v>594606499321.28027</v>
      </c>
      <c r="AO8" s="4">
        <f>'Residential-lighting'!AO8*Conversion!$B$3</f>
        <v>563088009222.47253</v>
      </c>
      <c r="AP8" s="4">
        <f>'Residential-lighting'!AP8*Conversion!$B$3</f>
        <v>533240229449.30469</v>
      </c>
      <c r="AQ8" s="4">
        <f>'Residential-lighting'!AQ8*Conversion!$B$3</f>
        <v>504974600144.26282</v>
      </c>
      <c r="AR8" s="42">
        <f>'Residential-lighting'!AR8*Conversion!$B$3</f>
        <v>478207255769.51428</v>
      </c>
      <c r="AS8" s="42">
        <f>'Residential-lighting'!AS8*Conversion!$B$3</f>
        <v>452858776273.65607</v>
      </c>
      <c r="AT8" s="42">
        <f>'Residential-lighting'!AT8*Conversion!$B$3</f>
        <v>428853951448.4447</v>
      </c>
      <c r="AU8" s="42">
        <f>'Residential-lighting'!AU8*Conversion!$B$3</f>
        <v>406121557776.34167</v>
      </c>
      <c r="AV8" s="42">
        <f>'Residential-lighting'!AV8*Conversion!$B$3</f>
        <v>384594147106.76923</v>
      </c>
      <c r="AW8" s="42">
        <f>'Residential-lighting'!AW8*Conversion!$B$3</f>
        <v>364207846534.06995</v>
      </c>
      <c r="AX8" s="42">
        <f>'Residential-lighting'!AX8*Conversion!$B$3</f>
        <v>344902168883.39618</v>
      </c>
      <c r="AY8" s="42">
        <f>'Residential-lighting'!AY8*Conversion!$B$3</f>
        <v>326619833242.23303</v>
      </c>
      <c r="AZ8" s="42">
        <f>'Residential-lighting'!AZ8*Conversion!$B$3</f>
        <v>309306595005.06201</v>
      </c>
      <c r="BA8" s="42">
        <f>'Residential-lighting'!BA8*Conversion!$B$3</f>
        <v>292911084926.89941</v>
      </c>
    </row>
    <row r="9" spans="1:53" x14ac:dyDescent="0.2">
      <c r="A9" s="1" t="s">
        <v>19</v>
      </c>
      <c r="B9" s="15">
        <f>'Residential-lighting'!B9*Conversion!$B$3</f>
        <v>0</v>
      </c>
      <c r="C9" s="15">
        <f>'Residential-lighting'!C9*Conversion!$B$3</f>
        <v>0</v>
      </c>
      <c r="D9" s="15">
        <f>'Residential-lighting'!D9*Conversion!$B$3</f>
        <v>0</v>
      </c>
      <c r="E9" s="15">
        <f>'Residential-lighting'!E9*Conversion!$B$3</f>
        <v>0</v>
      </c>
      <c r="F9" s="4">
        <f>'Residential-lighting'!F9*Conversion!$B$3</f>
        <v>0</v>
      </c>
      <c r="G9" s="4">
        <f>'Residential-lighting'!G9*Conversion!$B$3</f>
        <v>0</v>
      </c>
      <c r="H9" s="4">
        <f>'Residential-lighting'!H9*Conversion!$B$3</f>
        <v>0</v>
      </c>
      <c r="I9" s="4">
        <f>'Residential-lighting'!I9*Conversion!$B$3</f>
        <v>0</v>
      </c>
      <c r="J9" s="4">
        <f>'Residential-lighting'!J9*Conversion!$B$3</f>
        <v>0</v>
      </c>
      <c r="K9" s="4">
        <f>'Residential-lighting'!K9*Conversion!$B$3</f>
        <v>0</v>
      </c>
      <c r="L9" s="4">
        <f>'Residential-lighting'!L9*Conversion!$B$3</f>
        <v>0</v>
      </c>
      <c r="M9" s="4">
        <f>'Residential-lighting'!M9*Conversion!$B$3</f>
        <v>0</v>
      </c>
      <c r="N9" s="4">
        <f>'Residential-lighting'!N9*Conversion!$B$3</f>
        <v>0</v>
      </c>
      <c r="O9" s="4">
        <f>'Residential-lighting'!O9*Conversion!$B$3</f>
        <v>0</v>
      </c>
      <c r="P9" s="4">
        <f>'Residential-lighting'!P9*Conversion!$B$3</f>
        <v>0</v>
      </c>
      <c r="Q9" s="4">
        <f>'Residential-lighting'!Q9*Conversion!$B$3</f>
        <v>0</v>
      </c>
      <c r="R9" s="4">
        <f>'Residential-lighting'!R9*Conversion!$B$3</f>
        <v>0</v>
      </c>
      <c r="S9" s="4">
        <f>'Residential-lighting'!S9*Conversion!$B$3</f>
        <v>0</v>
      </c>
      <c r="T9" s="4">
        <f>'Residential-lighting'!T9*Conversion!$B$3</f>
        <v>0</v>
      </c>
      <c r="U9" s="4">
        <f>'Residential-lighting'!U9*Conversion!$B$3</f>
        <v>0</v>
      </c>
      <c r="V9" s="4">
        <f>'Residential-lighting'!V9*Conversion!$B$3</f>
        <v>0</v>
      </c>
      <c r="W9" s="4">
        <f>'Residential-lighting'!W9*Conversion!$B$3</f>
        <v>0</v>
      </c>
      <c r="X9" s="4">
        <f>'Residential-lighting'!X9*Conversion!$B$3</f>
        <v>0</v>
      </c>
      <c r="Y9" s="4">
        <f>'Residential-lighting'!Y9*Conversion!$B$3</f>
        <v>0</v>
      </c>
      <c r="Z9" s="4">
        <f>'Residential-lighting'!Z9*Conversion!$B$3</f>
        <v>0</v>
      </c>
      <c r="AA9" s="4">
        <f>'Residential-lighting'!AA9*Conversion!$B$3</f>
        <v>0</v>
      </c>
      <c r="AB9" s="4">
        <f>'Residential-lighting'!AB9*Conversion!$B$3</f>
        <v>0</v>
      </c>
      <c r="AC9" s="4">
        <f>'Residential-lighting'!AC9*Conversion!$B$3</f>
        <v>0</v>
      </c>
      <c r="AD9" s="4">
        <f>'Residential-lighting'!AD9*Conversion!$B$3</f>
        <v>0</v>
      </c>
      <c r="AE9" s="4">
        <f>'Residential-lighting'!AE9*Conversion!$B$3</f>
        <v>0</v>
      </c>
      <c r="AF9" s="4">
        <f>'Residential-lighting'!AF9*Conversion!$B$3</f>
        <v>0</v>
      </c>
      <c r="AG9" s="4">
        <f>'Residential-lighting'!AG9*Conversion!$B$3</f>
        <v>0</v>
      </c>
      <c r="AH9" s="4">
        <f>'Residential-lighting'!AH9*Conversion!$B$3</f>
        <v>0</v>
      </c>
      <c r="AI9" s="4">
        <f>'Residential-lighting'!AI9*Conversion!$B$3</f>
        <v>0</v>
      </c>
      <c r="AJ9" s="4">
        <f>'Residential-lighting'!AJ9*Conversion!$B$3</f>
        <v>0</v>
      </c>
      <c r="AK9" s="4">
        <f>'Residential-lighting'!AK9*Conversion!$B$3</f>
        <v>0</v>
      </c>
      <c r="AL9" s="4">
        <f>'Residential-lighting'!AL9*Conversion!$B$3</f>
        <v>0</v>
      </c>
      <c r="AM9" s="4">
        <f>'Residential-lighting'!AM9*Conversion!$B$3</f>
        <v>0</v>
      </c>
      <c r="AN9" s="4">
        <f>'Residential-lighting'!AN9*Conversion!$B$3</f>
        <v>0</v>
      </c>
      <c r="AO9" s="4">
        <f>'Residential-lighting'!AO9*Conversion!$B$3</f>
        <v>0</v>
      </c>
      <c r="AP9" s="4">
        <f>'Residential-lighting'!AP9*Conversion!$B$3</f>
        <v>0</v>
      </c>
      <c r="AQ9" s="4">
        <f>'Residential-lighting'!AQ9*Conversion!$B$3</f>
        <v>0</v>
      </c>
      <c r="AR9" s="42">
        <f>'Residential-lighting'!AR9*Conversion!$B$3</f>
        <v>0</v>
      </c>
      <c r="AS9" s="42">
        <f>'Residential-lighting'!AS9*Conversion!$B$3</f>
        <v>0</v>
      </c>
      <c r="AT9" s="42">
        <f>'Residential-lighting'!AT9*Conversion!$B$3</f>
        <v>0</v>
      </c>
      <c r="AU9" s="42">
        <f>'Residential-lighting'!AU9*Conversion!$B$3</f>
        <v>0</v>
      </c>
      <c r="AV9" s="42">
        <f>'Residential-lighting'!AV9*Conversion!$B$3</f>
        <v>0</v>
      </c>
      <c r="AW9" s="42">
        <f>'Residential-lighting'!AW9*Conversion!$B$3</f>
        <v>0</v>
      </c>
      <c r="AX9" s="42">
        <f>'Residential-lighting'!AX9*Conversion!$B$3</f>
        <v>0</v>
      </c>
      <c r="AY9" s="42">
        <f>'Residential-lighting'!AY9*Conversion!$B$3</f>
        <v>0</v>
      </c>
      <c r="AZ9" s="42">
        <f>'Residential-lighting'!AZ9*Conversion!$B$3</f>
        <v>0</v>
      </c>
      <c r="BA9" s="42">
        <f>'Residential-lighting'!BA9*Conversion!$B$3</f>
        <v>0</v>
      </c>
    </row>
    <row r="10" spans="1:53" x14ac:dyDescent="0.2">
      <c r="A10" s="1" t="s">
        <v>20</v>
      </c>
      <c r="B10" s="15">
        <f>'Residential-lighting'!B10*Conversion!$B$3</f>
        <v>0</v>
      </c>
      <c r="C10" s="15">
        <f>'Residential-lighting'!C10*Conversion!$B$3</f>
        <v>0</v>
      </c>
      <c r="D10" s="15">
        <f>'Residential-lighting'!D10*Conversion!$B$3</f>
        <v>0</v>
      </c>
      <c r="E10" s="15">
        <f>'Residential-lighting'!E10*Conversion!$B$3</f>
        <v>0</v>
      </c>
      <c r="F10" s="4">
        <f>'Residential-lighting'!F10*Conversion!$B$3</f>
        <v>0</v>
      </c>
      <c r="G10" s="4">
        <f>'Residential-lighting'!G10*Conversion!$B$3</f>
        <v>0</v>
      </c>
      <c r="H10" s="4">
        <f>'Residential-lighting'!H10*Conversion!$B$3</f>
        <v>0</v>
      </c>
      <c r="I10" s="4">
        <f>'Residential-lighting'!I10*Conversion!$B$3</f>
        <v>0</v>
      </c>
      <c r="J10" s="4">
        <f>'Residential-lighting'!J10*Conversion!$B$3</f>
        <v>0</v>
      </c>
      <c r="K10" s="4">
        <f>'Residential-lighting'!K10*Conversion!$B$3</f>
        <v>0</v>
      </c>
      <c r="L10" s="4">
        <f>'Residential-lighting'!L10*Conversion!$B$3</f>
        <v>0</v>
      </c>
      <c r="M10" s="4">
        <f>'Residential-lighting'!M10*Conversion!$B$3</f>
        <v>0</v>
      </c>
      <c r="N10" s="4">
        <f>'Residential-lighting'!N10*Conversion!$B$3</f>
        <v>0</v>
      </c>
      <c r="O10" s="4">
        <f>'Residential-lighting'!O10*Conversion!$B$3</f>
        <v>0</v>
      </c>
      <c r="P10" s="4">
        <f>'Residential-lighting'!P10*Conversion!$B$3</f>
        <v>0</v>
      </c>
      <c r="Q10" s="4">
        <f>'Residential-lighting'!Q10*Conversion!$B$3</f>
        <v>0</v>
      </c>
      <c r="R10" s="4">
        <f>'Residential-lighting'!R10*Conversion!$B$3</f>
        <v>0</v>
      </c>
      <c r="S10" s="4">
        <f>'Residential-lighting'!S10*Conversion!$B$3</f>
        <v>0</v>
      </c>
      <c r="T10" s="4">
        <f>'Residential-lighting'!T10*Conversion!$B$3</f>
        <v>0</v>
      </c>
      <c r="U10" s="4">
        <f>'Residential-lighting'!U10*Conversion!$B$3</f>
        <v>0</v>
      </c>
      <c r="V10" s="4">
        <f>'Residential-lighting'!V10*Conversion!$B$3</f>
        <v>0</v>
      </c>
      <c r="W10" s="4">
        <f>'Residential-lighting'!W10*Conversion!$B$3</f>
        <v>0</v>
      </c>
      <c r="X10" s="4">
        <f>'Residential-lighting'!X10*Conversion!$B$3</f>
        <v>0</v>
      </c>
      <c r="Y10" s="4">
        <f>'Residential-lighting'!Y10*Conversion!$B$3</f>
        <v>0</v>
      </c>
      <c r="Z10" s="4">
        <f>'Residential-lighting'!Z10*Conversion!$B$3</f>
        <v>0</v>
      </c>
      <c r="AA10" s="4">
        <f>'Residential-lighting'!AA10*Conversion!$B$3</f>
        <v>0</v>
      </c>
      <c r="AB10" s="4">
        <f>'Residential-lighting'!AB10*Conversion!$B$3</f>
        <v>0</v>
      </c>
      <c r="AC10" s="4">
        <f>'Residential-lighting'!AC10*Conversion!$B$3</f>
        <v>0</v>
      </c>
      <c r="AD10" s="4">
        <f>'Residential-lighting'!AD10*Conversion!$B$3</f>
        <v>0</v>
      </c>
      <c r="AE10" s="4">
        <f>'Residential-lighting'!AE10*Conversion!$B$3</f>
        <v>0</v>
      </c>
      <c r="AF10" s="4">
        <f>'Residential-lighting'!AF10*Conversion!$B$3</f>
        <v>0</v>
      </c>
      <c r="AG10" s="4">
        <f>'Residential-lighting'!AG10*Conversion!$B$3</f>
        <v>0</v>
      </c>
      <c r="AH10" s="4">
        <f>'Residential-lighting'!AH10*Conversion!$B$3</f>
        <v>0</v>
      </c>
      <c r="AI10" s="4">
        <f>'Residential-lighting'!AI10*Conversion!$B$3</f>
        <v>0</v>
      </c>
      <c r="AJ10" s="4">
        <f>'Residential-lighting'!AJ10*Conversion!$B$3</f>
        <v>0</v>
      </c>
      <c r="AK10" s="4">
        <f>'Residential-lighting'!AK10*Conversion!$B$3</f>
        <v>0</v>
      </c>
      <c r="AL10" s="4">
        <f>'Residential-lighting'!AL10*Conversion!$B$3</f>
        <v>0</v>
      </c>
      <c r="AM10" s="4">
        <f>'Residential-lighting'!AM10*Conversion!$B$3</f>
        <v>0</v>
      </c>
      <c r="AN10" s="4">
        <f>'Residential-lighting'!AN10*Conversion!$B$3</f>
        <v>0</v>
      </c>
      <c r="AO10" s="4">
        <f>'Residential-lighting'!AO10*Conversion!$B$3</f>
        <v>0</v>
      </c>
      <c r="AP10" s="4">
        <f>'Residential-lighting'!AP10*Conversion!$B$3</f>
        <v>0</v>
      </c>
      <c r="AQ10" s="4">
        <f>'Residential-lighting'!AQ10*Conversion!$B$3</f>
        <v>0</v>
      </c>
      <c r="AR10" s="42">
        <f>'Residential-lighting'!AR10*Conversion!$B$3</f>
        <v>0</v>
      </c>
      <c r="AS10" s="42">
        <f>'Residential-lighting'!AS10*Conversion!$B$3</f>
        <v>0</v>
      </c>
      <c r="AT10" s="42">
        <f>'Residential-lighting'!AT10*Conversion!$B$3</f>
        <v>0</v>
      </c>
      <c r="AU10" s="42">
        <f>'Residential-lighting'!AU10*Conversion!$B$3</f>
        <v>0</v>
      </c>
      <c r="AV10" s="42">
        <f>'Residential-lighting'!AV10*Conversion!$B$3</f>
        <v>0</v>
      </c>
      <c r="AW10" s="42">
        <f>'Residential-lighting'!AW10*Conversion!$B$3</f>
        <v>0</v>
      </c>
      <c r="AX10" s="42">
        <f>'Residential-lighting'!AX10*Conversion!$B$3</f>
        <v>0</v>
      </c>
      <c r="AY10" s="42">
        <f>'Residential-lighting'!AY10*Conversion!$B$3</f>
        <v>0</v>
      </c>
      <c r="AZ10" s="42">
        <f>'Residential-lighting'!AZ10*Conversion!$B$3</f>
        <v>0</v>
      </c>
      <c r="BA10" s="42">
        <f>'Residential-lighting'!BA10*Conversion!$B$3</f>
        <v>0</v>
      </c>
    </row>
    <row r="11" spans="1:53" x14ac:dyDescent="0.2">
      <c r="A11" s="1" t="s">
        <v>21</v>
      </c>
      <c r="B11" s="15">
        <f>'Residential-lighting'!B11*Conversion!$B$3</f>
        <v>0</v>
      </c>
      <c r="C11" s="15">
        <f>'Residential-lighting'!C11*Conversion!$B$3</f>
        <v>0</v>
      </c>
      <c r="D11" s="15">
        <f>'Residential-lighting'!D11*Conversion!$B$3</f>
        <v>0</v>
      </c>
      <c r="E11" s="15">
        <f>'Residential-lighting'!E11*Conversion!$B$3</f>
        <v>0</v>
      </c>
      <c r="F11" s="4">
        <f>'Residential-lighting'!F11*Conversion!$B$3</f>
        <v>0</v>
      </c>
      <c r="G11" s="4">
        <f>'Residential-lighting'!G11*Conversion!$B$3</f>
        <v>0</v>
      </c>
      <c r="H11" s="4">
        <f>'Residential-lighting'!H11*Conversion!$B$3</f>
        <v>0</v>
      </c>
      <c r="I11" s="4">
        <f>'Residential-lighting'!I11*Conversion!$B$3</f>
        <v>0</v>
      </c>
      <c r="J11" s="4">
        <f>'Residential-lighting'!J11*Conversion!$B$3</f>
        <v>0</v>
      </c>
      <c r="K11" s="4">
        <f>'Residential-lighting'!K11*Conversion!$B$3</f>
        <v>0</v>
      </c>
      <c r="L11" s="4">
        <f>'Residential-lighting'!L11*Conversion!$B$3</f>
        <v>0</v>
      </c>
      <c r="M11" s="4">
        <f>'Residential-lighting'!M11*Conversion!$B$3</f>
        <v>0</v>
      </c>
      <c r="N11" s="4">
        <f>'Residential-lighting'!N11*Conversion!$B$3</f>
        <v>0</v>
      </c>
      <c r="O11" s="4">
        <f>'Residential-lighting'!O11*Conversion!$B$3</f>
        <v>0</v>
      </c>
      <c r="P11" s="4">
        <f>'Residential-lighting'!P11*Conversion!$B$3</f>
        <v>0</v>
      </c>
      <c r="Q11" s="4">
        <f>'Residential-lighting'!Q11*Conversion!$B$3</f>
        <v>0</v>
      </c>
      <c r="R11" s="4">
        <f>'Residential-lighting'!R11*Conversion!$B$3</f>
        <v>0</v>
      </c>
      <c r="S11" s="4">
        <f>'Residential-lighting'!S11*Conversion!$B$3</f>
        <v>0</v>
      </c>
      <c r="T11" s="4">
        <f>'Residential-lighting'!T11*Conversion!$B$3</f>
        <v>0</v>
      </c>
      <c r="U11" s="4">
        <f>'Residential-lighting'!U11*Conversion!$B$3</f>
        <v>0</v>
      </c>
      <c r="V11" s="4">
        <f>'Residential-lighting'!V11*Conversion!$B$3</f>
        <v>0</v>
      </c>
      <c r="W11" s="4">
        <f>'Residential-lighting'!W11*Conversion!$B$3</f>
        <v>0</v>
      </c>
      <c r="X11" s="4">
        <f>'Residential-lighting'!X11*Conversion!$B$3</f>
        <v>0</v>
      </c>
      <c r="Y11" s="4">
        <f>'Residential-lighting'!Y11*Conversion!$B$3</f>
        <v>0</v>
      </c>
      <c r="Z11" s="4">
        <f>'Residential-lighting'!Z11*Conversion!$B$3</f>
        <v>0</v>
      </c>
      <c r="AA11" s="4">
        <f>'Residential-lighting'!AA11*Conversion!$B$3</f>
        <v>0</v>
      </c>
      <c r="AB11" s="4">
        <f>'Residential-lighting'!AB11*Conversion!$B$3</f>
        <v>0</v>
      </c>
      <c r="AC11" s="4">
        <f>'Residential-lighting'!AC11*Conversion!$B$3</f>
        <v>0</v>
      </c>
      <c r="AD11" s="4">
        <f>'Residential-lighting'!AD11*Conversion!$B$3</f>
        <v>0</v>
      </c>
      <c r="AE11" s="4">
        <f>'Residential-lighting'!AE11*Conversion!$B$3</f>
        <v>0</v>
      </c>
      <c r="AF11" s="4">
        <f>'Residential-lighting'!AF11*Conversion!$B$3</f>
        <v>0</v>
      </c>
      <c r="AG11" s="4">
        <f>'Residential-lighting'!AG11*Conversion!$B$3</f>
        <v>0</v>
      </c>
      <c r="AH11" s="4">
        <f>'Residential-lighting'!AH11*Conversion!$B$3</f>
        <v>0</v>
      </c>
      <c r="AI11" s="4">
        <f>'Residential-lighting'!AI11*Conversion!$B$3</f>
        <v>0</v>
      </c>
      <c r="AJ11" s="4">
        <f>'Residential-lighting'!AJ11*Conversion!$B$3</f>
        <v>0</v>
      </c>
      <c r="AK11" s="4">
        <f>'Residential-lighting'!AK11*Conversion!$B$3</f>
        <v>0</v>
      </c>
      <c r="AL11" s="4">
        <f>'Residential-lighting'!AL11*Conversion!$B$3</f>
        <v>0</v>
      </c>
      <c r="AM11" s="4">
        <f>'Residential-lighting'!AM11*Conversion!$B$3</f>
        <v>0</v>
      </c>
      <c r="AN11" s="4">
        <f>'Residential-lighting'!AN11*Conversion!$B$3</f>
        <v>0</v>
      </c>
      <c r="AO11" s="4">
        <f>'Residential-lighting'!AO11*Conversion!$B$3</f>
        <v>0</v>
      </c>
      <c r="AP11" s="4">
        <f>'Residential-lighting'!AP11*Conversion!$B$3</f>
        <v>0</v>
      </c>
      <c r="AQ11" s="4">
        <f>'Residential-lighting'!AQ11*Conversion!$B$3</f>
        <v>0</v>
      </c>
      <c r="AR11" s="42">
        <f>'Residential-lighting'!AR11*Conversion!$B$3</f>
        <v>0</v>
      </c>
      <c r="AS11" s="42">
        <f>'Residential-lighting'!AS11*Conversion!$B$3</f>
        <v>0</v>
      </c>
      <c r="AT11" s="42">
        <f>'Residential-lighting'!AT11*Conversion!$B$3</f>
        <v>0</v>
      </c>
      <c r="AU11" s="42">
        <f>'Residential-lighting'!AU11*Conversion!$B$3</f>
        <v>0</v>
      </c>
      <c r="AV11" s="42">
        <f>'Residential-lighting'!AV11*Conversion!$B$3</f>
        <v>0</v>
      </c>
      <c r="AW11" s="42">
        <f>'Residential-lighting'!AW11*Conversion!$B$3</f>
        <v>0</v>
      </c>
      <c r="AX11" s="42">
        <f>'Residential-lighting'!AX11*Conversion!$B$3</f>
        <v>0</v>
      </c>
      <c r="AY11" s="42">
        <f>'Residential-lighting'!AY11*Conversion!$B$3</f>
        <v>0</v>
      </c>
      <c r="AZ11" s="42">
        <f>'Residential-lighting'!AZ11*Conversion!$B$3</f>
        <v>0</v>
      </c>
      <c r="BA11" s="42">
        <f>'Residential-lighting'!BA11*Conversion!$B$3</f>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D4009-DC91-CE49-A7B3-E63AAAFDE032}">
  <sheetPr>
    <tabColor theme="3" tint="0.249977111117893"/>
  </sheetPr>
  <dimension ref="A1:BA11"/>
  <sheetViews>
    <sheetView topLeftCell="AG1" workbookViewId="0">
      <selection activeCell="AR1" sqref="AR1: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'Residential-Appliances'!$C15*Conversion!$B$3</f>
        <v>205754010989101.03</v>
      </c>
      <c r="C2" s="15">
        <f>'Residential-Appliances'!$C16*Conversion!$B$3</f>
        <v>223142553733823.78</v>
      </c>
      <c r="D2" s="15">
        <f>'Residential-Appliances'!$C17*Conversion!$B$3</f>
        <v>240531096478546.53</v>
      </c>
      <c r="E2" s="4">
        <f>'Residential-Appliances'!E2*Conversion!$B$3</f>
        <v>249132427099371.25</v>
      </c>
      <c r="F2" s="4">
        <f>'Residential-Appliances'!F2*Conversion!$B$3</f>
        <v>276387733887304.81</v>
      </c>
      <c r="G2" s="4">
        <f>'Residential-Appliances'!G2*Conversion!$B$3</f>
        <v>298034077084229.88</v>
      </c>
      <c r="H2" s="4">
        <f>'Residential-Appliances'!H2*Conversion!$B$3</f>
        <v>313141699793749.38</v>
      </c>
      <c r="I2" s="4">
        <f>'Residential-Appliances'!I2*Conversion!$B$3</f>
        <v>330595894458504.31</v>
      </c>
      <c r="J2" s="4">
        <f>'Residential-Appliances'!J2*Conversion!$B$3</f>
        <v>347015125981406.56</v>
      </c>
      <c r="K2" s="4">
        <f>'Residential-Appliances'!K2*Conversion!$B$3</f>
        <v>362783335623757.12</v>
      </c>
      <c r="L2" s="4">
        <f>'Residential-Appliances'!L2*Conversion!$B$3</f>
        <v>377069246808496.81</v>
      </c>
      <c r="M2" s="4">
        <f>'Residential-Appliances'!M2*Conversion!$B$3</f>
        <v>391097964362093.81</v>
      </c>
      <c r="N2" s="4">
        <f>'Residential-Appliances'!N2*Conversion!$B$3</f>
        <v>416423310646159.25</v>
      </c>
      <c r="O2" s="4">
        <f>'Residential-Appliances'!O2*Conversion!$B$3</f>
        <v>428058818046227.56</v>
      </c>
      <c r="P2" s="4">
        <f>'Residential-Appliances'!P2*Conversion!$B$3</f>
        <v>439351862004055.56</v>
      </c>
      <c r="Q2" s="4">
        <f>'Residential-Appliances'!Q2*Conversion!$B$3</f>
        <v>450489452377980.5</v>
      </c>
      <c r="R2" s="4">
        <f>'Residential-Appliances'!R2*Conversion!$B$3</f>
        <v>461534379614923.44</v>
      </c>
      <c r="S2" s="4">
        <f>'Residential-Appliances'!S2*Conversion!$B$3</f>
        <v>471167184855692.81</v>
      </c>
      <c r="T2" s="4">
        <f>'Residential-Appliances'!T2*Conversion!$B$3</f>
        <v>476668114267960.69</v>
      </c>
      <c r="U2" s="4">
        <f>'Residential-Appliances'!U2*Conversion!$B$3</f>
        <v>482041925534613.56</v>
      </c>
      <c r="V2" s="4">
        <f>'Residential-Appliances'!V2*Conversion!$B$3</f>
        <v>487317109121404.19</v>
      </c>
      <c r="W2" s="4">
        <f>'Residential-Appliances'!W2*Conversion!$B$3</f>
        <v>492518304372018.25</v>
      </c>
      <c r="X2" s="4">
        <f>'Residential-Appliances'!X2*Conversion!$B$3</f>
        <v>500738125487569.12</v>
      </c>
      <c r="Y2" s="4">
        <f>'Residential-Appliances'!Y2*Conversion!$B$3</f>
        <v>504808977873004.44</v>
      </c>
      <c r="Z2" s="4">
        <f>'Residential-Appliances'!Z2*Conversion!$B$3</f>
        <v>508814954214368.06</v>
      </c>
      <c r="AA2" s="4">
        <f>'Residential-Appliances'!AA2*Conversion!$B$3</f>
        <v>512775154320688.31</v>
      </c>
      <c r="AB2" s="4">
        <f>'Residential-Appliances'!AB2*Conversion!$B$3</f>
        <v>516718122757248.19</v>
      </c>
      <c r="AC2" s="4">
        <f>'Residential-Appliances'!AC2*Conversion!$B$3</f>
        <v>520039898491408.69</v>
      </c>
      <c r="AD2" s="4">
        <f>'Residential-Appliances'!AD2*Conversion!$B$3</f>
        <v>523371884909772.75</v>
      </c>
      <c r="AE2" s="4">
        <f>'Residential-Appliances'!AE2*Conversion!$B$3</f>
        <v>526730178840484.06</v>
      </c>
      <c r="AF2" s="4">
        <f>'Residential-Appliances'!AF2*Conversion!$B$3</f>
        <v>530131175215396.75</v>
      </c>
      <c r="AG2" s="4">
        <f>'Residential-Appliances'!AG2*Conversion!$B$3</f>
        <v>533591736011254.25</v>
      </c>
      <c r="AH2" s="4">
        <f>'Residential-Appliances'!AH2*Conversion!$B$3</f>
        <v>537615399350800.94</v>
      </c>
      <c r="AI2" s="4">
        <f>'Residential-Appliances'!AI2*Conversion!$B$3</f>
        <v>539619367395632.25</v>
      </c>
      <c r="AJ2" s="4">
        <f>'Residential-Appliances'!AJ2*Conversion!$B$3</f>
        <v>541719763786181.12</v>
      </c>
      <c r="AK2" s="4">
        <f>'Residential-Appliances'!AK2*Conversion!$B$3</f>
        <v>543936579755799.56</v>
      </c>
      <c r="AL2" s="4">
        <f>'Residential-Appliances'!AL2*Conversion!$B$3</f>
        <v>546291154453100.62</v>
      </c>
      <c r="AM2" s="4">
        <f>'Residential-Appliances'!AM2*Conversion!$B$3</f>
        <v>548863111666276</v>
      </c>
      <c r="AN2" s="4">
        <f>'Residential-Appliances'!AN2*Conversion!$B$3</f>
        <v>551620593542289.69</v>
      </c>
      <c r="AO2" s="4">
        <f>'Residential-Appliances'!AO2*Conversion!$B$3</f>
        <v>554590604461355.75</v>
      </c>
      <c r="AP2" s="4">
        <f>'Residential-Appliances'!AP2*Conversion!$B$3</f>
        <v>557802657532539.62</v>
      </c>
      <c r="AQ2" s="4">
        <f>'Residential-Appliances'!AQ2*Conversion!$B$3</f>
        <v>561289132557721.44</v>
      </c>
      <c r="AR2" s="42">
        <f>'Residential-Appliances'!AR2*Conversion!$B$3</f>
        <v>564863231884514.38</v>
      </c>
      <c r="AS2" s="42">
        <f>'Residential-Appliances'!AS2*Conversion!$B$3</f>
        <v>568527230400229</v>
      </c>
      <c r="AT2" s="42">
        <f>'Residential-Appliances'!AT2*Conversion!$B$3</f>
        <v>572283462125898.25</v>
      </c>
      <c r="AU2" s="42">
        <f>'Residential-Appliances'!AU2*Conversion!$B$3</f>
        <v>576134321753478.62</v>
      </c>
      <c r="AV2" s="42">
        <f>'Residential-Appliances'!AV2*Conversion!$B$3</f>
        <v>580082266223012.88</v>
      </c>
      <c r="AW2" s="42">
        <f>'Residential-Appliances'!AW2*Conversion!$B$3</f>
        <v>584129816340792.5</v>
      </c>
      <c r="AX2" s="42">
        <f>'Residential-Appliances'!AX2*Conversion!$B$3</f>
        <v>588279558439581.88</v>
      </c>
      <c r="AY2" s="42">
        <f>'Residential-Appliances'!AY2*Conversion!$B$3</f>
        <v>592534146082004.88</v>
      </c>
      <c r="AZ2" s="42">
        <f>'Residential-Appliances'!AZ2*Conversion!$B$3</f>
        <v>596896301808207.25</v>
      </c>
      <c r="BA2" s="42">
        <f>'Residential-Appliances'!BA2*Conversion!$B$3</f>
        <v>601368818928954.25</v>
      </c>
    </row>
    <row r="3" spans="1:53" x14ac:dyDescent="0.2">
      <c r="A3" s="1" t="s">
        <v>13</v>
      </c>
      <c r="B3" s="15">
        <f>'Residential-Appliances'!B3*Conversion!$B$3</f>
        <v>0</v>
      </c>
      <c r="C3" s="15">
        <f>'Residential-Appliances'!C3*Conversion!$B$3</f>
        <v>0</v>
      </c>
      <c r="D3" s="15">
        <f>'Residential-Appliances'!D3*Conversion!$B$3</f>
        <v>0</v>
      </c>
      <c r="E3" s="4">
        <f>'Residential-Appliances'!E3*Conversion!$B$3</f>
        <v>0</v>
      </c>
      <c r="F3" s="4">
        <f>'Residential-Appliances'!F3*Conversion!$B$3</f>
        <v>0</v>
      </c>
      <c r="G3" s="4">
        <f>'Residential-Appliances'!G3*Conversion!$B$3</f>
        <v>0</v>
      </c>
      <c r="H3" s="4">
        <f>'Residential-Appliances'!H3*Conversion!$B$3</f>
        <v>0</v>
      </c>
      <c r="I3" s="4">
        <f>'Residential-Appliances'!I3*Conversion!$B$3</f>
        <v>0</v>
      </c>
      <c r="J3" s="4">
        <f>'Residential-Appliances'!J3*Conversion!$B$3</f>
        <v>0</v>
      </c>
      <c r="K3" s="4">
        <f>'Residential-Appliances'!K3*Conversion!$B$3</f>
        <v>0</v>
      </c>
      <c r="L3" s="4">
        <f>'Residential-Appliances'!L3*Conversion!$B$3</f>
        <v>0</v>
      </c>
      <c r="M3" s="4">
        <f>'Residential-Appliances'!M3*Conversion!$B$3</f>
        <v>0</v>
      </c>
      <c r="N3" s="4">
        <f>'Residential-Appliances'!N3*Conversion!$B$3</f>
        <v>0</v>
      </c>
      <c r="O3" s="4">
        <f>'Residential-Appliances'!O3*Conversion!$B$3</f>
        <v>0</v>
      </c>
      <c r="P3" s="4">
        <f>'Residential-Appliances'!P3*Conversion!$B$3</f>
        <v>0</v>
      </c>
      <c r="Q3" s="4">
        <f>'Residential-Appliances'!Q3*Conversion!$B$3</f>
        <v>0</v>
      </c>
      <c r="R3" s="4">
        <f>'Residential-Appliances'!R3*Conversion!$B$3</f>
        <v>0</v>
      </c>
      <c r="S3" s="4">
        <f>'Residential-Appliances'!S3*Conversion!$B$3</f>
        <v>0</v>
      </c>
      <c r="T3" s="4">
        <f>'Residential-Appliances'!T3*Conversion!$B$3</f>
        <v>0</v>
      </c>
      <c r="U3" s="4">
        <f>'Residential-Appliances'!U3*Conversion!$B$3</f>
        <v>0</v>
      </c>
      <c r="V3" s="4">
        <f>'Residential-Appliances'!V3*Conversion!$B$3</f>
        <v>0</v>
      </c>
      <c r="W3" s="4">
        <f>'Residential-Appliances'!W3*Conversion!$B$3</f>
        <v>0</v>
      </c>
      <c r="X3" s="4">
        <f>'Residential-Appliances'!X3*Conversion!$B$3</f>
        <v>0</v>
      </c>
      <c r="Y3" s="4">
        <f>'Residential-Appliances'!Y3*Conversion!$B$3</f>
        <v>0</v>
      </c>
      <c r="Z3" s="4">
        <f>'Residential-Appliances'!Z3*Conversion!$B$3</f>
        <v>0</v>
      </c>
      <c r="AA3" s="4">
        <f>'Residential-Appliances'!AA3*Conversion!$B$3</f>
        <v>0</v>
      </c>
      <c r="AB3" s="4">
        <f>'Residential-Appliances'!AB3*Conversion!$B$3</f>
        <v>0</v>
      </c>
      <c r="AC3" s="4">
        <f>'Residential-Appliances'!AC3*Conversion!$B$3</f>
        <v>0</v>
      </c>
      <c r="AD3" s="4">
        <f>'Residential-Appliances'!AD3*Conversion!$B$3</f>
        <v>0</v>
      </c>
      <c r="AE3" s="4">
        <f>'Residential-Appliances'!AE3*Conversion!$B$3</f>
        <v>0</v>
      </c>
      <c r="AF3" s="4">
        <f>'Residential-Appliances'!AF3*Conversion!$B$3</f>
        <v>0</v>
      </c>
      <c r="AG3" s="4">
        <f>'Residential-Appliances'!AG3*Conversion!$B$3</f>
        <v>0</v>
      </c>
      <c r="AH3" s="4">
        <f>'Residential-Appliances'!AH3*Conversion!$B$3</f>
        <v>0</v>
      </c>
      <c r="AI3" s="4">
        <f>'Residential-Appliances'!AI3*Conversion!$B$3</f>
        <v>0</v>
      </c>
      <c r="AJ3" s="4">
        <f>'Residential-Appliances'!AJ3*Conversion!$B$3</f>
        <v>0</v>
      </c>
      <c r="AK3" s="4">
        <f>'Residential-Appliances'!AK3*Conversion!$B$3</f>
        <v>0</v>
      </c>
      <c r="AL3" s="4">
        <f>'Residential-Appliances'!AL3*Conversion!$B$3</f>
        <v>0</v>
      </c>
      <c r="AM3" s="4">
        <f>'Residential-Appliances'!AM3*Conversion!$B$3</f>
        <v>0</v>
      </c>
      <c r="AN3" s="4">
        <f>'Residential-Appliances'!AN3*Conversion!$B$3</f>
        <v>0</v>
      </c>
      <c r="AO3" s="4">
        <f>'Residential-Appliances'!AO3*Conversion!$B$3</f>
        <v>0</v>
      </c>
      <c r="AP3" s="4">
        <f>'Residential-Appliances'!AP3*Conversion!$B$3</f>
        <v>0</v>
      </c>
      <c r="AQ3" s="4">
        <f>'Residential-Appliances'!AQ3*Conversion!$B$3</f>
        <v>0</v>
      </c>
      <c r="AR3" s="42">
        <f>'Residential-Appliances'!AR3*Conversion!$B$3</f>
        <v>0</v>
      </c>
      <c r="AS3" s="42">
        <f>'Residential-Appliances'!AS3*Conversion!$B$3</f>
        <v>0</v>
      </c>
      <c r="AT3" s="42">
        <f>'Residential-Appliances'!AT3*Conversion!$B$3</f>
        <v>0</v>
      </c>
      <c r="AU3" s="42">
        <f>'Residential-Appliances'!AU3*Conversion!$B$3</f>
        <v>0</v>
      </c>
      <c r="AV3" s="42">
        <f>'Residential-Appliances'!AV3*Conversion!$B$3</f>
        <v>0</v>
      </c>
      <c r="AW3" s="42">
        <f>'Residential-Appliances'!AW3*Conversion!$B$3</f>
        <v>0</v>
      </c>
      <c r="AX3" s="42">
        <f>'Residential-Appliances'!AX3*Conversion!$B$3</f>
        <v>0</v>
      </c>
      <c r="AY3" s="42">
        <f>'Residential-Appliances'!AY3*Conversion!$B$3</f>
        <v>0</v>
      </c>
      <c r="AZ3" s="42">
        <f>'Residential-Appliances'!AZ3*Conversion!$B$3</f>
        <v>0</v>
      </c>
      <c r="BA3" s="42">
        <f>'Residential-Appliances'!BA3*Conversion!$B$3</f>
        <v>0</v>
      </c>
    </row>
    <row r="4" spans="1:53" x14ac:dyDescent="0.2">
      <c r="A4" s="1" t="s">
        <v>14</v>
      </c>
      <c r="B4" s="15">
        <f>'Residential-Appliances'!$H15*Conversion!$B$3</f>
        <v>787142857142.88953</v>
      </c>
      <c r="C4" s="15">
        <f>'Residential-Appliances'!$H16*Conversion!$B$3</f>
        <v>1150178571428.5552</v>
      </c>
      <c r="D4" s="15">
        <f>'Residential-Appliances'!$H17*Conversion!$B$3</f>
        <v>1513214285714.2209</v>
      </c>
      <c r="E4" s="4">
        <f>'Residential-Appliances'!E4*Conversion!$B$3</f>
        <v>1995000000000</v>
      </c>
      <c r="F4" s="4">
        <f>'Residential-Appliances'!F4*Conversion!$B$3</f>
        <v>2280000000000</v>
      </c>
      <c r="G4" s="4">
        <f>'Residential-Appliances'!G4*Conversion!$B$3</f>
        <v>2565000000000</v>
      </c>
      <c r="H4" s="4">
        <f>'Residential-Appliances'!H4*Conversion!$B$3</f>
        <v>2850000000000</v>
      </c>
      <c r="I4" s="4">
        <f>'Residential-Appliances'!I4*Conversion!$B$3</f>
        <v>3230000000000</v>
      </c>
      <c r="J4" s="4">
        <f>'Residential-Appliances'!J4*Conversion!$B$3</f>
        <v>3610000000000</v>
      </c>
      <c r="K4" s="4">
        <f>'Residential-Appliances'!K4*Conversion!$B$3</f>
        <v>4085000000000</v>
      </c>
      <c r="L4" s="4">
        <f>'Residential-Appliances'!L4*Conversion!$B$3</f>
        <v>4560000000000</v>
      </c>
      <c r="M4" s="4">
        <f>'Residential-Appliances'!M4*Conversion!$B$3</f>
        <v>5130000000000</v>
      </c>
      <c r="N4" s="4">
        <f>'Residential-Appliances'!N4*Conversion!$B$3</f>
        <v>5795000000000</v>
      </c>
      <c r="O4" s="4">
        <f>'Residential-Appliances'!O4*Conversion!$B$3</f>
        <v>6555000000000</v>
      </c>
      <c r="P4" s="4">
        <f>'Residential-Appliances'!P4*Conversion!$B$3</f>
        <v>7315000000000</v>
      </c>
      <c r="Q4" s="4">
        <f>'Residential-Appliances'!Q4*Conversion!$B$3</f>
        <v>8265000000000</v>
      </c>
      <c r="R4" s="4">
        <f>'Residential-Appliances'!R4*Conversion!$B$3</f>
        <v>9310000000000</v>
      </c>
      <c r="S4" s="4">
        <f>'Residential-Appliances'!S4*Conversion!$B$3</f>
        <v>10450000000000</v>
      </c>
      <c r="T4" s="4">
        <f>'Residential-Appliances'!T4*Conversion!$B$3</f>
        <v>11780000000000</v>
      </c>
      <c r="U4" s="4">
        <f>'Residential-Appliances'!U4*Conversion!$B$3</f>
        <v>13300000000000</v>
      </c>
      <c r="V4" s="4">
        <f>'Residential-Appliances'!V4*Conversion!$B$3</f>
        <v>15010000000000</v>
      </c>
      <c r="W4" s="4">
        <f>'Residential-Appliances'!W4*Conversion!$B$3</f>
        <v>15760500000000</v>
      </c>
      <c r="X4" s="4">
        <f>'Residential-Appliances'!X4*Conversion!$B$3</f>
        <v>16520500000000</v>
      </c>
      <c r="Y4" s="4">
        <f>'Residential-Appliances'!Y4*Conversion!$B$3</f>
        <v>17280500000000</v>
      </c>
      <c r="Z4" s="4">
        <f>'Residential-Appliances'!Z4*Conversion!$B$3</f>
        <v>18040500000000</v>
      </c>
      <c r="AA4" s="4">
        <f>'Residential-Appliances'!AA4*Conversion!$B$3</f>
        <v>18791000000000</v>
      </c>
      <c r="AB4" s="4">
        <f>'Residential-Appliances'!AB4*Conversion!$B$3</f>
        <v>19551000000000</v>
      </c>
      <c r="AC4" s="4">
        <f>'Residential-Appliances'!AC4*Conversion!$B$3</f>
        <v>20292000000000</v>
      </c>
      <c r="AD4" s="4">
        <f>'Residential-Appliances'!AD4*Conversion!$B$3</f>
        <v>21023500000000</v>
      </c>
      <c r="AE4" s="4">
        <f>'Residential-Appliances'!AE4*Conversion!$B$3</f>
        <v>21736000000000</v>
      </c>
      <c r="AF4" s="4">
        <f>'Residential-Appliances'!AF4*Conversion!$B$3</f>
        <v>22429500000000</v>
      </c>
      <c r="AG4" s="4">
        <f>'Residential-Appliances'!AG4*Conversion!$B$3</f>
        <v>23104000000000</v>
      </c>
      <c r="AH4" s="4">
        <f>'Residential-Appliances'!AH4*Conversion!$B$3</f>
        <v>23750000000000</v>
      </c>
      <c r="AI4" s="4">
        <f>'Residential-Appliances'!AI4*Conversion!$B$3</f>
        <v>24367500000000</v>
      </c>
      <c r="AJ4" s="4">
        <f>'Residential-Appliances'!AJ4*Conversion!$B$3</f>
        <v>24947000000000</v>
      </c>
      <c r="AK4" s="4">
        <f>'Residential-Appliances'!AK4*Conversion!$B$3</f>
        <v>25498000000000</v>
      </c>
      <c r="AL4" s="4">
        <f>'Residential-Appliances'!AL4*Conversion!$B$3</f>
        <v>26011000000000</v>
      </c>
      <c r="AM4" s="4">
        <f>'Residential-Appliances'!AM4*Conversion!$B$3</f>
        <v>26476500000000</v>
      </c>
      <c r="AN4" s="4">
        <f>'Residential-Appliances'!AN4*Conversion!$B$3</f>
        <v>26904000000000</v>
      </c>
      <c r="AO4" s="4">
        <f>'Residential-Appliances'!AO4*Conversion!$B$3</f>
        <v>27274500000000</v>
      </c>
      <c r="AP4" s="4">
        <f>'Residential-Appliances'!AP4*Conversion!$B$3</f>
        <v>27607000000000</v>
      </c>
      <c r="AQ4" s="4">
        <f>'Residential-Appliances'!AQ4*Conversion!$B$3</f>
        <v>27882500000000</v>
      </c>
      <c r="AR4" s="42">
        <f>'Residential-Appliances'!AR4*Conversion!$B$3</f>
        <v>28160749311768.758</v>
      </c>
      <c r="AS4" s="42">
        <f>'Residential-Appliances'!AS4*Conversion!$B$3</f>
        <v>28441775371659.09</v>
      </c>
      <c r="AT4" s="42">
        <f>'Residential-Appliances'!AT4*Conversion!$B$3</f>
        <v>28725605889820.863</v>
      </c>
      <c r="AU4" s="42">
        <f>'Residential-Appliances'!AU4*Conversion!$B$3</f>
        <v>29012268852933.328</v>
      </c>
      <c r="AV4" s="42">
        <f>'Residential-Appliances'!AV4*Conversion!$B$3</f>
        <v>29301792526964.668</v>
      </c>
      <c r="AW4" s="42">
        <f>'Residential-Appliances'!AW4*Conversion!$B$3</f>
        <v>29594205459959.152</v>
      </c>
      <c r="AX4" s="42">
        <f>'Residential-Appliances'!AX4*Conversion!$B$3</f>
        <v>29889536484852.07</v>
      </c>
      <c r="AY4" s="42">
        <f>'Residential-Appliances'!AY4*Conversion!$B$3</f>
        <v>30187814722312.746</v>
      </c>
      <c r="AZ4" s="42">
        <f>'Residential-Appliances'!AZ4*Conversion!$B$3</f>
        <v>30489069583615.941</v>
      </c>
      <c r="BA4" s="42">
        <f>'Residential-Appliances'!BA4*Conversion!$B$3</f>
        <v>30793330773541.914</v>
      </c>
    </row>
    <row r="5" spans="1:53" x14ac:dyDescent="0.2">
      <c r="A5" s="1" t="s">
        <v>15</v>
      </c>
      <c r="B5" s="15">
        <f>'Residential-Appliances'!B5*Conversion!$B$3</f>
        <v>0</v>
      </c>
      <c r="C5" s="15">
        <f>'Residential-Appliances'!C5*Conversion!$B$3</f>
        <v>0</v>
      </c>
      <c r="D5" s="15">
        <f>'Residential-Appliances'!D5*Conversion!$B$3</f>
        <v>0</v>
      </c>
      <c r="E5" s="4">
        <f>'Residential-Appliances'!E5*Conversion!$B$3</f>
        <v>0</v>
      </c>
      <c r="F5" s="4">
        <f>'Residential-Appliances'!F5*Conversion!$B$3</f>
        <v>0</v>
      </c>
      <c r="G5" s="4">
        <f>'Residential-Appliances'!G5*Conversion!$B$3</f>
        <v>0</v>
      </c>
      <c r="H5" s="4">
        <f>'Residential-Appliances'!H5*Conversion!$B$3</f>
        <v>0</v>
      </c>
      <c r="I5" s="4">
        <f>'Residential-Appliances'!I5*Conversion!$B$3</f>
        <v>0</v>
      </c>
      <c r="J5" s="4">
        <f>'Residential-Appliances'!J5*Conversion!$B$3</f>
        <v>0</v>
      </c>
      <c r="K5" s="4">
        <f>'Residential-Appliances'!K5*Conversion!$B$3</f>
        <v>0</v>
      </c>
      <c r="L5" s="4">
        <f>'Residential-Appliances'!L5*Conversion!$B$3</f>
        <v>0</v>
      </c>
      <c r="M5" s="4">
        <f>'Residential-Appliances'!M5*Conversion!$B$3</f>
        <v>0</v>
      </c>
      <c r="N5" s="4">
        <f>'Residential-Appliances'!N5*Conversion!$B$3</f>
        <v>0</v>
      </c>
      <c r="O5" s="4">
        <f>'Residential-Appliances'!O5*Conversion!$B$3</f>
        <v>0</v>
      </c>
      <c r="P5" s="4">
        <f>'Residential-Appliances'!P5*Conversion!$B$3</f>
        <v>0</v>
      </c>
      <c r="Q5" s="4">
        <f>'Residential-Appliances'!Q5*Conversion!$B$3</f>
        <v>0</v>
      </c>
      <c r="R5" s="4">
        <f>'Residential-Appliances'!R5*Conversion!$B$3</f>
        <v>0</v>
      </c>
      <c r="S5" s="4">
        <f>'Residential-Appliances'!S5*Conversion!$B$3</f>
        <v>0</v>
      </c>
      <c r="T5" s="4">
        <f>'Residential-Appliances'!T5*Conversion!$B$3</f>
        <v>0</v>
      </c>
      <c r="U5" s="4">
        <f>'Residential-Appliances'!U5*Conversion!$B$3</f>
        <v>0</v>
      </c>
      <c r="V5" s="4">
        <f>'Residential-Appliances'!V5*Conversion!$B$3</f>
        <v>0</v>
      </c>
      <c r="W5" s="4">
        <f>'Residential-Appliances'!W5*Conversion!$B$3</f>
        <v>0</v>
      </c>
      <c r="X5" s="4">
        <f>'Residential-Appliances'!X5*Conversion!$B$3</f>
        <v>0</v>
      </c>
      <c r="Y5" s="4">
        <f>'Residential-Appliances'!Y5*Conversion!$B$3</f>
        <v>0</v>
      </c>
      <c r="Z5" s="4">
        <f>'Residential-Appliances'!Z5*Conversion!$B$3</f>
        <v>0</v>
      </c>
      <c r="AA5" s="4">
        <f>'Residential-Appliances'!AA5*Conversion!$B$3</f>
        <v>0</v>
      </c>
      <c r="AB5" s="4">
        <f>'Residential-Appliances'!AB5*Conversion!$B$3</f>
        <v>0</v>
      </c>
      <c r="AC5" s="4">
        <f>'Residential-Appliances'!AC5*Conversion!$B$3</f>
        <v>0</v>
      </c>
      <c r="AD5" s="4">
        <f>'Residential-Appliances'!AD5*Conversion!$B$3</f>
        <v>0</v>
      </c>
      <c r="AE5" s="4">
        <f>'Residential-Appliances'!AE5*Conversion!$B$3</f>
        <v>0</v>
      </c>
      <c r="AF5" s="4">
        <f>'Residential-Appliances'!AF5*Conversion!$B$3</f>
        <v>0</v>
      </c>
      <c r="AG5" s="4">
        <f>'Residential-Appliances'!AG5*Conversion!$B$3</f>
        <v>0</v>
      </c>
      <c r="AH5" s="4">
        <f>'Residential-Appliances'!AH5*Conversion!$B$3</f>
        <v>0</v>
      </c>
      <c r="AI5" s="4">
        <f>'Residential-Appliances'!AI5*Conversion!$B$3</f>
        <v>0</v>
      </c>
      <c r="AJ5" s="4">
        <f>'Residential-Appliances'!AJ5*Conversion!$B$3</f>
        <v>0</v>
      </c>
      <c r="AK5" s="4">
        <f>'Residential-Appliances'!AK5*Conversion!$B$3</f>
        <v>0</v>
      </c>
      <c r="AL5" s="4">
        <f>'Residential-Appliances'!AL5*Conversion!$B$3</f>
        <v>0</v>
      </c>
      <c r="AM5" s="4">
        <f>'Residential-Appliances'!AM5*Conversion!$B$3</f>
        <v>0</v>
      </c>
      <c r="AN5" s="4">
        <f>'Residential-Appliances'!AN5*Conversion!$B$3</f>
        <v>0</v>
      </c>
      <c r="AO5" s="4">
        <f>'Residential-Appliances'!AO5*Conversion!$B$3</f>
        <v>0</v>
      </c>
      <c r="AP5" s="4">
        <f>'Residential-Appliances'!AP5*Conversion!$B$3</f>
        <v>0</v>
      </c>
      <c r="AQ5" s="4">
        <f>'Residential-Appliances'!AQ5*Conversion!$B$3</f>
        <v>0</v>
      </c>
      <c r="AR5" s="42">
        <f>'Residential-Appliances'!AR5*Conversion!$B$3</f>
        <v>0</v>
      </c>
      <c r="AS5" s="42">
        <f>'Residential-Appliances'!AS5*Conversion!$B$3</f>
        <v>0</v>
      </c>
      <c r="AT5" s="42">
        <f>'Residential-Appliances'!AT5*Conversion!$B$3</f>
        <v>0</v>
      </c>
      <c r="AU5" s="42">
        <f>'Residential-Appliances'!AU5*Conversion!$B$3</f>
        <v>0</v>
      </c>
      <c r="AV5" s="42">
        <f>'Residential-Appliances'!AV5*Conversion!$B$3</f>
        <v>0</v>
      </c>
      <c r="AW5" s="42">
        <f>'Residential-Appliances'!AW5*Conversion!$B$3</f>
        <v>0</v>
      </c>
      <c r="AX5" s="42">
        <f>'Residential-Appliances'!AX5*Conversion!$B$3</f>
        <v>0</v>
      </c>
      <c r="AY5" s="42">
        <f>'Residential-Appliances'!AY5*Conversion!$B$3</f>
        <v>0</v>
      </c>
      <c r="AZ5" s="42">
        <f>'Residential-Appliances'!AZ5*Conversion!$B$3</f>
        <v>0</v>
      </c>
      <c r="BA5" s="42">
        <f>'Residential-Appliances'!BA5*Conversion!$B$3</f>
        <v>0</v>
      </c>
    </row>
    <row r="6" spans="1:53" x14ac:dyDescent="0.2">
      <c r="A6" s="1" t="s">
        <v>16</v>
      </c>
      <c r="B6" s="15">
        <f>'Residential-Appliances'!B6*Conversion!$B$3</f>
        <v>0</v>
      </c>
      <c r="C6" s="15">
        <f>'Residential-Appliances'!C6*Conversion!$B$3</f>
        <v>0</v>
      </c>
      <c r="D6" s="15">
        <f>'Residential-Appliances'!D6*Conversion!$B$3</f>
        <v>0</v>
      </c>
      <c r="E6" s="4">
        <f>'Residential-Appliances'!E6*Conversion!$B$3</f>
        <v>0</v>
      </c>
      <c r="F6" s="4">
        <f>'Residential-Appliances'!F6*Conversion!$B$3</f>
        <v>0</v>
      </c>
      <c r="G6" s="4">
        <f>'Residential-Appliances'!G6*Conversion!$B$3</f>
        <v>0</v>
      </c>
      <c r="H6" s="4">
        <f>'Residential-Appliances'!H6*Conversion!$B$3</f>
        <v>0</v>
      </c>
      <c r="I6" s="4">
        <f>'Residential-Appliances'!I6*Conversion!$B$3</f>
        <v>0</v>
      </c>
      <c r="J6" s="4">
        <f>'Residential-Appliances'!J6*Conversion!$B$3</f>
        <v>0</v>
      </c>
      <c r="K6" s="4">
        <f>'Residential-Appliances'!K6*Conversion!$B$3</f>
        <v>0</v>
      </c>
      <c r="L6" s="4">
        <f>'Residential-Appliances'!L6*Conversion!$B$3</f>
        <v>0</v>
      </c>
      <c r="M6" s="4">
        <f>'Residential-Appliances'!M6*Conversion!$B$3</f>
        <v>0</v>
      </c>
      <c r="N6" s="4">
        <f>'Residential-Appliances'!N6*Conversion!$B$3</f>
        <v>0</v>
      </c>
      <c r="O6" s="4">
        <f>'Residential-Appliances'!O6*Conversion!$B$3</f>
        <v>0</v>
      </c>
      <c r="P6" s="4">
        <f>'Residential-Appliances'!P6*Conversion!$B$3</f>
        <v>0</v>
      </c>
      <c r="Q6" s="4">
        <f>'Residential-Appliances'!Q6*Conversion!$B$3</f>
        <v>0</v>
      </c>
      <c r="R6" s="4">
        <f>'Residential-Appliances'!R6*Conversion!$B$3</f>
        <v>0</v>
      </c>
      <c r="S6" s="4">
        <f>'Residential-Appliances'!S6*Conversion!$B$3</f>
        <v>0</v>
      </c>
      <c r="T6" s="4">
        <f>'Residential-Appliances'!T6*Conversion!$B$3</f>
        <v>0</v>
      </c>
      <c r="U6" s="4">
        <f>'Residential-Appliances'!U6*Conversion!$B$3</f>
        <v>0</v>
      </c>
      <c r="V6" s="4">
        <f>'Residential-Appliances'!V6*Conversion!$B$3</f>
        <v>0</v>
      </c>
      <c r="W6" s="4">
        <f>'Residential-Appliances'!W6*Conversion!$B$3</f>
        <v>0</v>
      </c>
      <c r="X6" s="4">
        <f>'Residential-Appliances'!X6*Conversion!$B$3</f>
        <v>0</v>
      </c>
      <c r="Y6" s="4">
        <f>'Residential-Appliances'!Y6*Conversion!$B$3</f>
        <v>0</v>
      </c>
      <c r="Z6" s="4">
        <f>'Residential-Appliances'!Z6*Conversion!$B$3</f>
        <v>0</v>
      </c>
      <c r="AA6" s="4">
        <f>'Residential-Appliances'!AA6*Conversion!$B$3</f>
        <v>0</v>
      </c>
      <c r="AB6" s="4">
        <f>'Residential-Appliances'!AB6*Conversion!$B$3</f>
        <v>0</v>
      </c>
      <c r="AC6" s="4">
        <f>'Residential-Appliances'!AC6*Conversion!$B$3</f>
        <v>0</v>
      </c>
      <c r="AD6" s="4">
        <f>'Residential-Appliances'!AD6*Conversion!$B$3</f>
        <v>0</v>
      </c>
      <c r="AE6" s="4">
        <f>'Residential-Appliances'!AE6*Conversion!$B$3</f>
        <v>0</v>
      </c>
      <c r="AF6" s="4">
        <f>'Residential-Appliances'!AF6*Conversion!$B$3</f>
        <v>0</v>
      </c>
      <c r="AG6" s="4">
        <f>'Residential-Appliances'!AG6*Conversion!$B$3</f>
        <v>0</v>
      </c>
      <c r="AH6" s="4">
        <f>'Residential-Appliances'!AH6*Conversion!$B$3</f>
        <v>0</v>
      </c>
      <c r="AI6" s="4">
        <f>'Residential-Appliances'!AI6*Conversion!$B$3</f>
        <v>0</v>
      </c>
      <c r="AJ6" s="4">
        <f>'Residential-Appliances'!AJ6*Conversion!$B$3</f>
        <v>0</v>
      </c>
      <c r="AK6" s="4">
        <f>'Residential-Appliances'!AK6*Conversion!$B$3</f>
        <v>0</v>
      </c>
      <c r="AL6" s="4">
        <f>'Residential-Appliances'!AL6*Conversion!$B$3</f>
        <v>0</v>
      </c>
      <c r="AM6" s="4">
        <f>'Residential-Appliances'!AM6*Conversion!$B$3</f>
        <v>0</v>
      </c>
      <c r="AN6" s="4">
        <f>'Residential-Appliances'!AN6*Conversion!$B$3</f>
        <v>0</v>
      </c>
      <c r="AO6" s="4">
        <f>'Residential-Appliances'!AO6*Conversion!$B$3</f>
        <v>0</v>
      </c>
      <c r="AP6" s="4">
        <f>'Residential-Appliances'!AP6*Conversion!$B$3</f>
        <v>0</v>
      </c>
      <c r="AQ6" s="4">
        <f>'Residential-Appliances'!AQ6*Conversion!$B$3</f>
        <v>0</v>
      </c>
      <c r="AR6" s="42">
        <f>'Residential-Appliances'!AR6*Conversion!$B$3</f>
        <v>0</v>
      </c>
      <c r="AS6" s="42">
        <f>'Residential-Appliances'!AS6*Conversion!$B$3</f>
        <v>0</v>
      </c>
      <c r="AT6" s="42">
        <f>'Residential-Appliances'!AT6*Conversion!$B$3</f>
        <v>0</v>
      </c>
      <c r="AU6" s="42">
        <f>'Residential-Appliances'!AU6*Conversion!$B$3</f>
        <v>0</v>
      </c>
      <c r="AV6" s="42">
        <f>'Residential-Appliances'!AV6*Conversion!$B$3</f>
        <v>0</v>
      </c>
      <c r="AW6" s="42">
        <f>'Residential-Appliances'!AW6*Conversion!$B$3</f>
        <v>0</v>
      </c>
      <c r="AX6" s="42">
        <f>'Residential-Appliances'!AX6*Conversion!$B$3</f>
        <v>0</v>
      </c>
      <c r="AY6" s="42">
        <f>'Residential-Appliances'!AY6*Conversion!$B$3</f>
        <v>0</v>
      </c>
      <c r="AZ6" s="42">
        <f>'Residential-Appliances'!AZ6*Conversion!$B$3</f>
        <v>0</v>
      </c>
      <c r="BA6" s="42">
        <f>'Residential-Appliances'!BA6*Conversion!$B$3</f>
        <v>0</v>
      </c>
    </row>
    <row r="7" spans="1:53" x14ac:dyDescent="0.2">
      <c r="A7" s="1" t="s">
        <v>17</v>
      </c>
      <c r="B7" s="15">
        <f>'Residential-Appliances'!$M15*Conversion!$B$3</f>
        <v>124079384321579.94</v>
      </c>
      <c r="C7" s="15">
        <f>'Residential-Appliances'!$M16*Conversion!$B$3</f>
        <v>113972695977096.75</v>
      </c>
      <c r="D7" s="15">
        <f>'Residential-Appliances'!$M17*Conversion!$B$3</f>
        <v>103866007632613.56</v>
      </c>
      <c r="E7" s="4">
        <f>'Residential-Appliances'!E7*Conversion!$B$3</f>
        <v>93963081041181.266</v>
      </c>
      <c r="F7" s="4">
        <f>'Residential-Appliances'!F7*Conversion!$B$3</f>
        <v>83245107437545.766</v>
      </c>
      <c r="G7" s="4">
        <f>'Residential-Appliances'!G7*Conversion!$B$3</f>
        <v>73749704352214.656</v>
      </c>
      <c r="H7" s="4">
        <f>'Residential-Appliances'!H7*Conversion!$B$3</f>
        <v>65337416391537.398</v>
      </c>
      <c r="I7" s="4">
        <f>'Residential-Appliances'!I7*Conversion!$B$3</f>
        <v>57884695504496.992</v>
      </c>
      <c r="J7" s="4">
        <f>'Residential-Appliances'!J7*Conversion!$B$3</f>
        <v>51282086457826.469</v>
      </c>
      <c r="K7" s="4">
        <f>'Residential-Appliances'!K7*Conversion!$B$3</f>
        <v>45432619294540.883</v>
      </c>
      <c r="L7" s="4">
        <f>'Residential-Appliances'!L7*Conversion!$B$3</f>
        <v>40250385164540.828</v>
      </c>
      <c r="M7" s="4">
        <f>'Residential-Appliances'!M7*Conversion!$B$3</f>
        <v>35659274609372.148</v>
      </c>
      <c r="N7" s="4">
        <f>'Residential-Appliances'!N7*Conversion!$B$3</f>
        <v>31591859769496.836</v>
      </c>
      <c r="O7" s="4">
        <f>'Residential-Appliances'!O7*Conversion!$B$3</f>
        <v>27988404096514.27</v>
      </c>
      <c r="P7" s="4">
        <f>'Residential-Appliances'!P7*Conversion!$B$3</f>
        <v>24795985025676.055</v>
      </c>
      <c r="Q7" s="4">
        <f>'Residential-Appliances'!Q7*Conversion!$B$3</f>
        <v>21967716723267.699</v>
      </c>
      <c r="R7" s="4">
        <f>'Residential-Appliances'!R7*Conversion!$B$3</f>
        <v>19462061493354.348</v>
      </c>
      <c r="S7" s="4">
        <f>'Residential-Appliances'!S7*Conversion!$B$3</f>
        <v>17242219730608.938</v>
      </c>
      <c r="T7" s="4">
        <f>'Residential-Appliances'!T7*Conversion!$B$3</f>
        <v>15275589459594.521</v>
      </c>
      <c r="U7" s="4">
        <f>'Residential-Appliances'!U7*Conversion!$B$3</f>
        <v>13533287522912.102</v>
      </c>
      <c r="V7" s="4">
        <f>'Residential-Appliances'!V7*Conversion!$B$3</f>
        <v>11989725386069.859</v>
      </c>
      <c r="W7" s="4">
        <f>'Residential-Appliances'!W7*Conversion!$B$3</f>
        <v>10622233329082.441</v>
      </c>
      <c r="X7" s="4">
        <f>'Residential-Appliances'!X7*Conversion!$B$3</f>
        <v>9410727505456.7969</v>
      </c>
      <c r="Y7" s="4">
        <f>'Residential-Appliances'!Y7*Conversion!$B$3</f>
        <v>8337414978802.0732</v>
      </c>
      <c r="Z7" s="4">
        <f>'Residential-Appliances'!Z7*Conversion!$B$3</f>
        <v>7386532405065.7383</v>
      </c>
      <c r="AA7" s="4">
        <f>'Residential-Appliances'!AA7*Conversion!$B$3</f>
        <v>6544114522537.8311</v>
      </c>
      <c r="AB7" s="4">
        <f>'Residential-Appliances'!AB7*Conversion!$B$3</f>
        <v>5797789049539.3848</v>
      </c>
      <c r="AC7" s="4">
        <f>'Residential-Appliances'!AC7*Conversion!$B$3</f>
        <v>5136594977548.6553</v>
      </c>
      <c r="AD7" s="4">
        <f>'Residential-Appliances'!AD7*Conversion!$B$3</f>
        <v>4550821591116.8477</v>
      </c>
      <c r="AE7" s="4">
        <f>'Residential-Appliances'!AE7*Conversion!$B$3</f>
        <v>4031865850329.5474</v>
      </c>
      <c r="AF7" s="4">
        <f>'Residential-Appliances'!AF7*Conversion!$B$3</f>
        <v>3572106041252.1802</v>
      </c>
      <c r="AG7" s="4">
        <f>'Residential-Appliances'!AG7*Conversion!$B$3</f>
        <v>3164789838717.9795</v>
      </c>
      <c r="AH7" s="4">
        <f>'Residential-Appliances'!AH7*Conversion!$B$3</f>
        <v>2803935137484.2905</v>
      </c>
      <c r="AI7" s="4">
        <f>'Residential-Appliances'!AI7*Conversion!$B$3</f>
        <v>2484242195306.1577</v>
      </c>
      <c r="AJ7" s="4">
        <f>'Residential-Appliances'!AJ7*Conversion!$B$3</f>
        <v>2201015797609.0732</v>
      </c>
      <c r="AK7" s="4">
        <f>'Residential-Appliances'!AK7*Conversion!$B$3</f>
        <v>1950096300625.5005</v>
      </c>
      <c r="AL7" s="4">
        <f>'Residential-Appliances'!AL7*Conversion!$B$3</f>
        <v>1727798540253.7852</v>
      </c>
      <c r="AM7" s="4">
        <f>'Residential-Appliances'!AM7*Conversion!$B$3</f>
        <v>1530857709418.5154</v>
      </c>
      <c r="AN7" s="4">
        <f>'Residential-Appliances'!AN7*Conversion!$B$3</f>
        <v>1356381409054.7461</v>
      </c>
      <c r="AO7" s="4">
        <f>'Residential-Appliances'!AO7*Conversion!$B$3</f>
        <v>1201807168507.8601</v>
      </c>
      <c r="AP7" s="4">
        <f>'Residential-Appliances'!AP7*Conversion!$B$3</f>
        <v>1064864811467.8782</v>
      </c>
      <c r="AQ7" s="4">
        <f>'Residential-Appliances'!AQ7*Conversion!$B$3</f>
        <v>943543114721.32861</v>
      </c>
      <c r="AR7" s="42">
        <f>'Residential-Appliances'!AR7*Conversion!$B$3</f>
        <v>836060272127.72351</v>
      </c>
      <c r="AS7" s="42">
        <f>'Residential-Appliances'!AS7*Conversion!$B$3</f>
        <v>740837721300.95227</v>
      </c>
      <c r="AT7" s="42">
        <f>'Residential-Appliances'!AT7*Conversion!$B$3</f>
        <v>656476962393.2699</v>
      </c>
      <c r="AU7" s="42">
        <f>'Residential-Appliances'!AU7*Conversion!$B$3</f>
        <v>581739018826.14526</v>
      </c>
      <c r="AV7" s="42">
        <f>'Residential-Appliances'!AV7*Conversion!$B$3</f>
        <v>515526240882.54449</v>
      </c>
      <c r="AW7" s="42">
        <f>'Residential-Appliances'!AW7*Conversion!$B$3</f>
        <v>456866184916.49261</v>
      </c>
      <c r="AX7" s="42">
        <f>'Residential-Appliances'!AX7*Conversion!$B$3</f>
        <v>404897331419.60522</v>
      </c>
      <c r="AY7" s="42">
        <f>'Residential-Appliances'!AY7*Conversion!$B$3</f>
        <v>358856432190.92102</v>
      </c>
      <c r="AZ7" s="42">
        <f>'Residential-Appliances'!AZ7*Conversion!$B$3</f>
        <v>318067300782.42419</v>
      </c>
      <c r="BA7" s="42">
        <f>'Residential-Appliances'!BA7*Conversion!$B$3</f>
        <v>281930881589.52344</v>
      </c>
    </row>
    <row r="8" spans="1:53" x14ac:dyDescent="0.2">
      <c r="A8" s="1" t="s">
        <v>18</v>
      </c>
      <c r="B8" s="15">
        <f>'Residential-Appliances'!$R15*Conversion!$B$3</f>
        <v>12046732463715.111</v>
      </c>
      <c r="C8" s="15">
        <f>'Residential-Appliances'!$R16*Conversion!$B$3</f>
        <v>11304995931852.377</v>
      </c>
      <c r="D8" s="15">
        <f>'Residential-Appliances'!$R17*Conversion!$B$3</f>
        <v>10563259399989.641</v>
      </c>
      <c r="E8" s="4">
        <f>'Residential-Appliances'!E8*Conversion!$B$3</f>
        <v>9911516929137.916</v>
      </c>
      <c r="F8" s="4">
        <f>'Residential-Appliances'!F8*Conversion!$B$3</f>
        <v>8899798214241.6035</v>
      </c>
      <c r="G8" s="4">
        <f>'Residential-Appliances'!G8*Conversion!$B$3</f>
        <v>8428043865412.332</v>
      </c>
      <c r="H8" s="4">
        <f>'Residential-Appliances'!H8*Conversion!$B$3</f>
        <v>7981295944850.5293</v>
      </c>
      <c r="I8" s="4">
        <f>'Residential-Appliances'!I8*Conversion!$B$3</f>
        <v>7558228929100.499</v>
      </c>
      <c r="J8" s="4">
        <f>'Residential-Appliances'!J8*Conversion!$B$3</f>
        <v>7157587557137.1885</v>
      </c>
      <c r="K8" s="4">
        <f>'Residential-Appliances'!K8*Conversion!$B$3</f>
        <v>6778183105943.8594</v>
      </c>
      <c r="L8" s="4">
        <f>'Residential-Appliances'!L8*Conversion!$B$3</f>
        <v>6418889863511.3281</v>
      </c>
      <c r="M8" s="4">
        <f>'Residential-Appliances'!M8*Conversion!$B$3</f>
        <v>6078641788794.0967</v>
      </c>
      <c r="N8" s="4">
        <f>'Residential-Appliances'!N8*Conversion!$B$3</f>
        <v>5756429348713.1357</v>
      </c>
      <c r="O8" s="4">
        <f>'Residential-Appliances'!O8*Conversion!$B$3</f>
        <v>5451296522820.7158</v>
      </c>
      <c r="P8" s="4">
        <f>'Residential-Appliances'!P8*Conversion!$B$3</f>
        <v>5162337966739.8232</v>
      </c>
      <c r="Q8" s="4">
        <f>'Residential-Appliances'!Q8*Conversion!$B$3</f>
        <v>4888696325962.0771</v>
      </c>
      <c r="R8" s="4">
        <f>'Residential-Appliances'!R8*Conversion!$B$3</f>
        <v>4629559692033.9316</v>
      </c>
      <c r="S8" s="4">
        <f>'Residential-Appliances'!S8*Conversion!$B$3</f>
        <v>4384159193583.6626</v>
      </c>
      <c r="T8" s="4">
        <f>'Residential-Appliances'!T8*Conversion!$B$3</f>
        <v>4151766715041.4795</v>
      </c>
      <c r="U8" s="4">
        <f>'Residential-Appliances'!U8*Conversion!$B$3</f>
        <v>3931692736284.1616</v>
      </c>
      <c r="V8" s="4">
        <f>'Residential-Appliances'!V8*Conversion!$B$3</f>
        <v>3723284286794.3252</v>
      </c>
      <c r="W8" s="4">
        <f>'Residential-Appliances'!W8*Conversion!$B$3</f>
        <v>3525923008264.1909</v>
      </c>
      <c r="X8" s="4">
        <f>'Residential-Appliances'!X8*Conversion!$B$3</f>
        <v>3339023319895.5229</v>
      </c>
      <c r="Y8" s="4">
        <f>'Residential-Appliances'!Y8*Conversion!$B$3</f>
        <v>3162030680952.0459</v>
      </c>
      <c r="Z8" s="4">
        <f>'Residential-Appliances'!Z8*Conversion!$B$3</f>
        <v>2994419945409.3394</v>
      </c>
      <c r="AA8" s="4">
        <f>'Residential-Appliances'!AA8*Conversion!$B$3</f>
        <v>2835693803820.2593</v>
      </c>
      <c r="AB8" s="4">
        <f>'Residential-Appliances'!AB8*Conversion!$B$3</f>
        <v>2685381307772.9087</v>
      </c>
      <c r="AC8" s="4">
        <f>'Residential-Appliances'!AC8*Conversion!$B$3</f>
        <v>2543036472563.106</v>
      </c>
      <c r="AD8" s="4">
        <f>'Residential-Appliances'!AD8*Conversion!$B$3</f>
        <v>2408236953935.4443</v>
      </c>
      <c r="AE8" s="4">
        <f>'Residential-Appliances'!AE8*Conversion!$B$3</f>
        <v>2280582794966.7168</v>
      </c>
      <c r="AF8" s="4">
        <f>'Residential-Appliances'!AF8*Conversion!$B$3</f>
        <v>2159695239373.7012</v>
      </c>
      <c r="AG8" s="4">
        <f>'Residential-Appliances'!AG8*Conversion!$B$3</f>
        <v>2045215607724.2964</v>
      </c>
      <c r="AH8" s="4">
        <f>'Residential-Appliances'!AH8*Conversion!$B$3</f>
        <v>1936804233217.6826</v>
      </c>
      <c r="AI8" s="4">
        <f>'Residential-Appliances'!AI8*Conversion!$B$3</f>
        <v>1834139453875.9146</v>
      </c>
      <c r="AJ8" s="4">
        <f>'Residential-Appliances'!AJ8*Conversion!$B$3</f>
        <v>1736916658156.7158</v>
      </c>
      <c r="AK8" s="4">
        <f>'Residential-Appliances'!AK8*Conversion!$B$3</f>
        <v>1644847381155.7812</v>
      </c>
      <c r="AL8" s="4">
        <f>'Residential-Appliances'!AL8*Conversion!$B$3</f>
        <v>1557658448716.9578</v>
      </c>
      <c r="AM8" s="4">
        <f>'Residential-Appliances'!AM8*Conversion!$B$3</f>
        <v>1475091166910.8389</v>
      </c>
      <c r="AN8" s="4">
        <f>'Residential-Appliances'!AN8*Conversion!$B$3</f>
        <v>1396900554476.9226</v>
      </c>
      <c r="AO8" s="4">
        <f>'Residential-Appliances'!AO8*Conversion!$B$3</f>
        <v>1322854615951.937</v>
      </c>
      <c r="AP8" s="4">
        <f>'Residential-Appliances'!AP8*Conversion!$B$3</f>
        <v>1252733653327.6877</v>
      </c>
      <c r="AQ8" s="4">
        <f>'Residential-Appliances'!AQ8*Conversion!$B$3</f>
        <v>1186329614196.0576</v>
      </c>
      <c r="AR8" s="42">
        <f>'Residential-Appliances'!AR8*Conversion!$B$3</f>
        <v>1123445474447.0952</v>
      </c>
      <c r="AS8" s="42">
        <f>'Residential-Appliances'!AS8*Conversion!$B$3</f>
        <v>1063894653688.6115</v>
      </c>
      <c r="AT8" s="42">
        <f>'Residential-Appliances'!AT8*Conversion!$B$3</f>
        <v>1007500461652.8115</v>
      </c>
      <c r="AU8" s="42">
        <f>'Residential-Appliances'!AU8*Conversion!$B$3</f>
        <v>954095573947.42126</v>
      </c>
      <c r="AV8" s="42">
        <f>'Residential-Appliances'!AV8*Conversion!$B$3</f>
        <v>903521535595.83313</v>
      </c>
      <c r="AW8" s="42">
        <f>'Residential-Appliances'!AW8*Conversion!$B$3</f>
        <v>855628290893.2561</v>
      </c>
      <c r="AX8" s="42">
        <f>'Residential-Appliances'!AX8*Conversion!$B$3</f>
        <v>810273738183.92346</v>
      </c>
      <c r="AY8" s="42">
        <f>'Residential-Appliances'!AY8*Conversion!$B$3</f>
        <v>767323308238.36255</v>
      </c>
      <c r="AZ8" s="42">
        <f>'Residential-Appliances'!AZ8*Conversion!$B$3</f>
        <v>726649564979.75159</v>
      </c>
      <c r="BA8" s="42">
        <f>'Residential-Appliances'!BA8*Conversion!$B$3</f>
        <v>688131827374.6969</v>
      </c>
    </row>
    <row r="9" spans="1:53" x14ac:dyDescent="0.2">
      <c r="A9" s="1" t="s">
        <v>19</v>
      </c>
      <c r="B9" s="15">
        <f>'Residential-Appliances'!B9*Conversion!$B$3</f>
        <v>0</v>
      </c>
      <c r="C9" s="15">
        <f>'Residential-Appliances'!C9*Conversion!$B$3</f>
        <v>0</v>
      </c>
      <c r="D9" s="15">
        <f>'Residential-Appliances'!D9*Conversion!$B$3</f>
        <v>0</v>
      </c>
      <c r="E9" s="4">
        <f>'Residential-Appliances'!E9*Conversion!$B$3</f>
        <v>0</v>
      </c>
      <c r="F9" s="4">
        <f>'Residential-Appliances'!F9*Conversion!$B$3</f>
        <v>0</v>
      </c>
      <c r="G9" s="4">
        <f>'Residential-Appliances'!G9*Conversion!$B$3</f>
        <v>0</v>
      </c>
      <c r="H9" s="4">
        <f>'Residential-Appliances'!H9*Conversion!$B$3</f>
        <v>0</v>
      </c>
      <c r="I9" s="4">
        <f>'Residential-Appliances'!I9*Conversion!$B$3</f>
        <v>0</v>
      </c>
      <c r="J9" s="4">
        <f>'Residential-Appliances'!J9*Conversion!$B$3</f>
        <v>0</v>
      </c>
      <c r="K9" s="4">
        <f>'Residential-Appliances'!K9*Conversion!$B$3</f>
        <v>0</v>
      </c>
      <c r="L9" s="4">
        <f>'Residential-Appliances'!L9*Conversion!$B$3</f>
        <v>0</v>
      </c>
      <c r="M9" s="4">
        <f>'Residential-Appliances'!M9*Conversion!$B$3</f>
        <v>0</v>
      </c>
      <c r="N9" s="4">
        <f>'Residential-Appliances'!N9*Conversion!$B$3</f>
        <v>0</v>
      </c>
      <c r="O9" s="4">
        <f>'Residential-Appliances'!O9*Conversion!$B$3</f>
        <v>0</v>
      </c>
      <c r="P9" s="4">
        <f>'Residential-Appliances'!P9*Conversion!$B$3</f>
        <v>0</v>
      </c>
      <c r="Q9" s="4">
        <f>'Residential-Appliances'!Q9*Conversion!$B$3</f>
        <v>0</v>
      </c>
      <c r="R9" s="4">
        <f>'Residential-Appliances'!R9*Conversion!$B$3</f>
        <v>0</v>
      </c>
      <c r="S9" s="4">
        <f>'Residential-Appliances'!S9*Conversion!$B$3</f>
        <v>0</v>
      </c>
      <c r="T9" s="4">
        <f>'Residential-Appliances'!T9*Conversion!$B$3</f>
        <v>0</v>
      </c>
      <c r="U9" s="4">
        <f>'Residential-Appliances'!U9*Conversion!$B$3</f>
        <v>0</v>
      </c>
      <c r="V9" s="4">
        <f>'Residential-Appliances'!V9*Conversion!$B$3</f>
        <v>0</v>
      </c>
      <c r="W9" s="4">
        <f>'Residential-Appliances'!W9*Conversion!$B$3</f>
        <v>0</v>
      </c>
      <c r="X9" s="4">
        <f>'Residential-Appliances'!X9*Conversion!$B$3</f>
        <v>0</v>
      </c>
      <c r="Y9" s="4">
        <f>'Residential-Appliances'!Y9*Conversion!$B$3</f>
        <v>0</v>
      </c>
      <c r="Z9" s="4">
        <f>'Residential-Appliances'!Z9*Conversion!$B$3</f>
        <v>0</v>
      </c>
      <c r="AA9" s="4">
        <f>'Residential-Appliances'!AA9*Conversion!$B$3</f>
        <v>0</v>
      </c>
      <c r="AB9" s="4">
        <f>'Residential-Appliances'!AB9*Conversion!$B$3</f>
        <v>0</v>
      </c>
      <c r="AC9" s="4">
        <f>'Residential-Appliances'!AC9*Conversion!$B$3</f>
        <v>0</v>
      </c>
      <c r="AD9" s="4">
        <f>'Residential-Appliances'!AD9*Conversion!$B$3</f>
        <v>0</v>
      </c>
      <c r="AE9" s="4">
        <f>'Residential-Appliances'!AE9*Conversion!$B$3</f>
        <v>0</v>
      </c>
      <c r="AF9" s="4">
        <f>'Residential-Appliances'!AF9*Conversion!$B$3</f>
        <v>0</v>
      </c>
      <c r="AG9" s="4">
        <f>'Residential-Appliances'!AG9*Conversion!$B$3</f>
        <v>0</v>
      </c>
      <c r="AH9" s="4">
        <f>'Residential-Appliances'!AH9*Conversion!$B$3</f>
        <v>0</v>
      </c>
      <c r="AI9" s="4">
        <f>'Residential-Appliances'!AI9*Conversion!$B$3</f>
        <v>0</v>
      </c>
      <c r="AJ9" s="4">
        <f>'Residential-Appliances'!AJ9*Conversion!$B$3</f>
        <v>0</v>
      </c>
      <c r="AK9" s="4">
        <f>'Residential-Appliances'!AK9*Conversion!$B$3</f>
        <v>0</v>
      </c>
      <c r="AL9" s="4">
        <f>'Residential-Appliances'!AL9*Conversion!$B$3</f>
        <v>0</v>
      </c>
      <c r="AM9" s="4">
        <f>'Residential-Appliances'!AM9*Conversion!$B$3</f>
        <v>0</v>
      </c>
      <c r="AN9" s="4">
        <f>'Residential-Appliances'!AN9*Conversion!$B$3</f>
        <v>0</v>
      </c>
      <c r="AO9" s="4">
        <f>'Residential-Appliances'!AO9*Conversion!$B$3</f>
        <v>0</v>
      </c>
      <c r="AP9" s="4">
        <f>'Residential-Appliances'!AP9*Conversion!$B$3</f>
        <v>0</v>
      </c>
      <c r="AQ9" s="4">
        <f>'Residential-Appliances'!AQ9*Conversion!$B$3</f>
        <v>0</v>
      </c>
      <c r="AR9" s="42">
        <f>'Residential-Appliances'!AR9*Conversion!$B$3</f>
        <v>0</v>
      </c>
      <c r="AS9" s="42">
        <f>'Residential-Appliances'!AS9*Conversion!$B$3</f>
        <v>0</v>
      </c>
      <c r="AT9" s="42">
        <f>'Residential-Appliances'!AT9*Conversion!$B$3</f>
        <v>0</v>
      </c>
      <c r="AU9" s="42">
        <f>'Residential-Appliances'!AU9*Conversion!$B$3</f>
        <v>0</v>
      </c>
      <c r="AV9" s="42">
        <f>'Residential-Appliances'!AV9*Conversion!$B$3</f>
        <v>0</v>
      </c>
      <c r="AW9" s="42">
        <f>'Residential-Appliances'!AW9*Conversion!$B$3</f>
        <v>0</v>
      </c>
      <c r="AX9" s="42">
        <f>'Residential-Appliances'!AX9*Conversion!$B$3</f>
        <v>0</v>
      </c>
      <c r="AY9" s="42">
        <f>'Residential-Appliances'!AY9*Conversion!$B$3</f>
        <v>0</v>
      </c>
      <c r="AZ9" s="42">
        <f>'Residential-Appliances'!AZ9*Conversion!$B$3</f>
        <v>0</v>
      </c>
      <c r="BA9" s="42">
        <f>'Residential-Appliances'!BA9*Conversion!$B$3</f>
        <v>0</v>
      </c>
    </row>
    <row r="10" spans="1:53" x14ac:dyDescent="0.2">
      <c r="A10" s="1" t="s">
        <v>20</v>
      </c>
      <c r="B10" s="15">
        <f>'Residential-Appliances'!$W15*Conversion!$B$3</f>
        <v>2185000000000</v>
      </c>
      <c r="C10" s="15">
        <f>'Residential-Appliances'!$W16*Conversion!$B$3</f>
        <v>2850000000000</v>
      </c>
      <c r="D10" s="15">
        <f>'Residential-Appliances'!$W17*Conversion!$B$3</f>
        <v>3515000000000</v>
      </c>
      <c r="E10" s="4">
        <f>'Residential-Appliances'!E10*Conversion!$B$3</f>
        <v>4180000000000</v>
      </c>
      <c r="F10" s="4">
        <f>'Residential-Appliances'!F10*Conversion!$B$3</f>
        <v>4845000000000</v>
      </c>
      <c r="G10" s="4">
        <f>'Residential-Appliances'!G10*Conversion!$B$3</f>
        <v>5510000000000</v>
      </c>
      <c r="H10" s="4">
        <f>'Residential-Appliances'!H10*Conversion!$B$3</f>
        <v>6175000000000</v>
      </c>
      <c r="I10" s="4">
        <f>'Residential-Appliances'!I10*Conversion!$B$3</f>
        <v>6840000000000</v>
      </c>
      <c r="J10" s="4">
        <f>'Residential-Appliances'!J10*Conversion!$B$3</f>
        <v>7505000000000</v>
      </c>
      <c r="K10" s="4">
        <f>'Residential-Appliances'!K10*Conversion!$B$3</f>
        <v>8170000000000</v>
      </c>
      <c r="L10" s="4">
        <f>'Residential-Appliances'!L10*Conversion!$B$3</f>
        <v>8835000000000</v>
      </c>
      <c r="M10" s="4">
        <f>'Residential-Appliances'!M10*Conversion!$B$3</f>
        <v>9500000000000</v>
      </c>
      <c r="N10" s="4">
        <f>'Residential-Appliances'!N10*Conversion!$B$3</f>
        <v>10165000000000</v>
      </c>
      <c r="O10" s="4">
        <f>'Residential-Appliances'!O10*Conversion!$B$3</f>
        <v>10830000000000</v>
      </c>
      <c r="P10" s="4">
        <f>'Residential-Appliances'!P10*Conversion!$B$3</f>
        <v>11495000000000</v>
      </c>
      <c r="Q10" s="4">
        <f>'Residential-Appliances'!Q10*Conversion!$B$3</f>
        <v>12160000000000</v>
      </c>
      <c r="R10" s="4">
        <f>'Residential-Appliances'!R10*Conversion!$B$3</f>
        <v>12825000000000</v>
      </c>
      <c r="S10" s="4">
        <f>'Residential-Appliances'!S10*Conversion!$B$3</f>
        <v>13490000000000</v>
      </c>
      <c r="T10" s="4">
        <f>'Residential-Appliances'!T10*Conversion!$B$3</f>
        <v>14155000000000</v>
      </c>
      <c r="U10" s="4">
        <f>'Residential-Appliances'!U10*Conversion!$B$3</f>
        <v>14820000000000</v>
      </c>
      <c r="V10" s="4">
        <f>'Residential-Appliances'!V10*Conversion!$B$3</f>
        <v>15485000000000</v>
      </c>
      <c r="W10" s="4">
        <f>'Residential-Appliances'!W10*Conversion!$B$3</f>
        <v>16150000000000</v>
      </c>
      <c r="X10" s="4">
        <f>'Residential-Appliances'!X10*Conversion!$B$3</f>
        <v>16815000000000</v>
      </c>
      <c r="Y10" s="4">
        <f>'Residential-Appliances'!Y10*Conversion!$B$3</f>
        <v>17480000000000</v>
      </c>
      <c r="Z10" s="4">
        <f>'Residential-Appliances'!Z10*Conversion!$B$3</f>
        <v>18145000000000</v>
      </c>
      <c r="AA10" s="4">
        <f>'Residential-Appliances'!AA10*Conversion!$B$3</f>
        <v>18810000000000</v>
      </c>
      <c r="AB10" s="4">
        <f>'Residential-Appliances'!AB10*Conversion!$B$3</f>
        <v>19475000000000</v>
      </c>
      <c r="AC10" s="4">
        <f>'Residential-Appliances'!AC10*Conversion!$B$3</f>
        <v>20140000000000</v>
      </c>
      <c r="AD10" s="4">
        <f>'Residential-Appliances'!AD10*Conversion!$B$3</f>
        <v>20805000000000</v>
      </c>
      <c r="AE10" s="4">
        <f>'Residential-Appliances'!AE10*Conversion!$B$3</f>
        <v>21470000000000</v>
      </c>
      <c r="AF10" s="4">
        <f>'Residential-Appliances'!AF10*Conversion!$B$3</f>
        <v>22135000000000</v>
      </c>
      <c r="AG10" s="4">
        <f>'Residential-Appliances'!AG10*Conversion!$B$3</f>
        <v>22800000000000</v>
      </c>
      <c r="AH10" s="4">
        <f>'Residential-Appliances'!AH10*Conversion!$B$3</f>
        <v>23465000000000</v>
      </c>
      <c r="AI10" s="4">
        <f>'Residential-Appliances'!AI10*Conversion!$B$3</f>
        <v>24130000000000</v>
      </c>
      <c r="AJ10" s="4">
        <f>'Residential-Appliances'!AJ10*Conversion!$B$3</f>
        <v>24795000000000</v>
      </c>
      <c r="AK10" s="4">
        <f>'Residential-Appliances'!AK10*Conversion!$B$3</f>
        <v>25460000000000</v>
      </c>
      <c r="AL10" s="4">
        <f>'Residential-Appliances'!AL10*Conversion!$B$3</f>
        <v>26125000000000</v>
      </c>
      <c r="AM10" s="4">
        <f>'Residential-Appliances'!AM10*Conversion!$B$3</f>
        <v>26790000000000</v>
      </c>
      <c r="AN10" s="4">
        <f>'Residential-Appliances'!AN10*Conversion!$B$3</f>
        <v>27455000000000</v>
      </c>
      <c r="AO10" s="4">
        <f>'Residential-Appliances'!AO10*Conversion!$B$3</f>
        <v>28120000000000</v>
      </c>
      <c r="AP10" s="4">
        <f>'Residential-Appliances'!AP10*Conversion!$B$3</f>
        <v>28785000000000</v>
      </c>
      <c r="AQ10" s="4">
        <f>'Residential-Appliances'!AQ10*Conversion!$B$3</f>
        <v>29450000000000</v>
      </c>
      <c r="AR10" s="42">
        <f>'Residential-Appliances'!AR10*Conversion!$B$3</f>
        <v>30130363036303.633</v>
      </c>
      <c r="AS10" s="42">
        <f>'Residential-Appliances'!AS10*Conversion!$B$3</f>
        <v>30826444030541.664</v>
      </c>
      <c r="AT10" s="42">
        <f>'Residential-Appliances'!AT10*Conversion!$B$3</f>
        <v>31538606103854.508</v>
      </c>
      <c r="AU10" s="42">
        <f>'Residential-Appliances'!AU10*Conversion!$B$3</f>
        <v>32267220766319.797</v>
      </c>
      <c r="AV10" s="42">
        <f>'Residential-Appliances'!AV10*Conversion!$B$3</f>
        <v>33012668110756.219</v>
      </c>
      <c r="AW10" s="42">
        <f>'Residential-Appliances'!AW10*Conversion!$B$3</f>
        <v>33775337011004.715</v>
      </c>
      <c r="AX10" s="42">
        <f>'Residential-Appliances'!AX10*Conversion!$B$3</f>
        <v>34555625324790.297</v>
      </c>
      <c r="AY10" s="42">
        <f>'Residential-Appliances'!AY10*Conversion!$B$3</f>
        <v>35353940101270.602</v>
      </c>
      <c r="AZ10" s="42">
        <f>'Residential-Appliances'!AZ10*Conversion!$B$3</f>
        <v>36170697793379.164</v>
      </c>
      <c r="BA10" s="42">
        <f>'Residential-Appliances'!BA10*Conversion!$B$3</f>
        <v>37006324475074.391</v>
      </c>
    </row>
    <row r="11" spans="1:53" x14ac:dyDescent="0.2">
      <c r="A11" s="1" t="s">
        <v>21</v>
      </c>
      <c r="B11" s="15">
        <f>'Residential-Appliances'!B11*Conversion!$B$3</f>
        <v>0</v>
      </c>
      <c r="C11" s="15">
        <f>'Residential-Appliances'!C11*Conversion!$B$3</f>
        <v>0</v>
      </c>
      <c r="D11" s="15">
        <f>'Residential-Appliances'!D11*Conversion!$B$3</f>
        <v>0</v>
      </c>
      <c r="E11" s="4">
        <f>'Residential-Appliances'!E11*Conversion!$B$3</f>
        <v>0</v>
      </c>
      <c r="F11" s="4">
        <f>'Residential-Appliances'!F11*Conversion!$B$3</f>
        <v>0</v>
      </c>
      <c r="G11" s="4">
        <f>'Residential-Appliances'!G11*Conversion!$B$3</f>
        <v>0</v>
      </c>
      <c r="H11" s="4">
        <f>'Residential-Appliances'!H11*Conversion!$B$3</f>
        <v>0</v>
      </c>
      <c r="I11" s="4">
        <f>'Residential-Appliances'!I11*Conversion!$B$3</f>
        <v>0</v>
      </c>
      <c r="J11" s="4">
        <f>'Residential-Appliances'!J11*Conversion!$B$3</f>
        <v>0</v>
      </c>
      <c r="K11" s="4">
        <f>'Residential-Appliances'!K11*Conversion!$B$3</f>
        <v>0</v>
      </c>
      <c r="L11" s="4">
        <f>'Residential-Appliances'!L11*Conversion!$B$3</f>
        <v>0</v>
      </c>
      <c r="M11" s="4">
        <f>'Residential-Appliances'!M11*Conversion!$B$3</f>
        <v>0</v>
      </c>
      <c r="N11" s="4">
        <f>'Residential-Appliances'!N11*Conversion!$B$3</f>
        <v>0</v>
      </c>
      <c r="O11" s="4">
        <f>'Residential-Appliances'!O11*Conversion!$B$3</f>
        <v>0</v>
      </c>
      <c r="P11" s="4">
        <f>'Residential-Appliances'!P11*Conversion!$B$3</f>
        <v>0</v>
      </c>
      <c r="Q11" s="4">
        <f>'Residential-Appliances'!Q11*Conversion!$B$3</f>
        <v>0</v>
      </c>
      <c r="R11" s="4">
        <f>'Residential-Appliances'!R11*Conversion!$B$3</f>
        <v>0</v>
      </c>
      <c r="S11" s="4">
        <f>'Residential-Appliances'!S11*Conversion!$B$3</f>
        <v>0</v>
      </c>
      <c r="T11" s="4">
        <f>'Residential-Appliances'!T11*Conversion!$B$3</f>
        <v>0</v>
      </c>
      <c r="U11" s="4">
        <f>'Residential-Appliances'!U11*Conversion!$B$3</f>
        <v>0</v>
      </c>
      <c r="V11" s="4">
        <f>'Residential-Appliances'!V11*Conversion!$B$3</f>
        <v>0</v>
      </c>
      <c r="W11" s="4">
        <f>'Residential-Appliances'!W11*Conversion!$B$3</f>
        <v>0</v>
      </c>
      <c r="X11" s="4">
        <f>'Residential-Appliances'!X11*Conversion!$B$3</f>
        <v>0</v>
      </c>
      <c r="Y11" s="4">
        <f>'Residential-Appliances'!Y11*Conversion!$B$3</f>
        <v>0</v>
      </c>
      <c r="Z11" s="4">
        <f>'Residential-Appliances'!Z11*Conversion!$B$3</f>
        <v>0</v>
      </c>
      <c r="AA11" s="4">
        <f>'Residential-Appliances'!AA11*Conversion!$B$3</f>
        <v>0</v>
      </c>
      <c r="AB11" s="4">
        <f>'Residential-Appliances'!AB11*Conversion!$B$3</f>
        <v>0</v>
      </c>
      <c r="AC11" s="4">
        <f>'Residential-Appliances'!AC11*Conversion!$B$3</f>
        <v>0</v>
      </c>
      <c r="AD11" s="4">
        <f>'Residential-Appliances'!AD11*Conversion!$B$3</f>
        <v>0</v>
      </c>
      <c r="AE11" s="4">
        <f>'Residential-Appliances'!AE11*Conversion!$B$3</f>
        <v>0</v>
      </c>
      <c r="AF11" s="4">
        <f>'Residential-Appliances'!AF11*Conversion!$B$3</f>
        <v>0</v>
      </c>
      <c r="AG11" s="4">
        <f>'Residential-Appliances'!AG11*Conversion!$B$3</f>
        <v>0</v>
      </c>
      <c r="AH11" s="4">
        <f>'Residential-Appliances'!AH11*Conversion!$B$3</f>
        <v>0</v>
      </c>
      <c r="AI11" s="4">
        <f>'Residential-Appliances'!AI11*Conversion!$B$3</f>
        <v>0</v>
      </c>
      <c r="AJ11" s="4">
        <f>'Residential-Appliances'!AJ11*Conversion!$B$3</f>
        <v>0</v>
      </c>
      <c r="AK11" s="4">
        <f>'Residential-Appliances'!AK11*Conversion!$B$3</f>
        <v>0</v>
      </c>
      <c r="AL11" s="4">
        <f>'Residential-Appliances'!AL11*Conversion!$B$3</f>
        <v>0</v>
      </c>
      <c r="AM11" s="4">
        <f>'Residential-Appliances'!AM11*Conversion!$B$3</f>
        <v>0</v>
      </c>
      <c r="AN11" s="4">
        <f>'Residential-Appliances'!AN11*Conversion!$B$3</f>
        <v>0</v>
      </c>
      <c r="AO11" s="4">
        <f>'Residential-Appliances'!AO11*Conversion!$B$3</f>
        <v>0</v>
      </c>
      <c r="AP11" s="4">
        <f>'Residential-Appliances'!AP11*Conversion!$B$3</f>
        <v>0</v>
      </c>
      <c r="AQ11" s="4">
        <f>'Residential-Appliances'!AQ11*Conversion!$B$3</f>
        <v>0</v>
      </c>
      <c r="AR11" s="42">
        <f>'Residential-Appliances'!AR11*Conversion!$B$3</f>
        <v>0</v>
      </c>
      <c r="AS11" s="42">
        <f>'Residential-Appliances'!AS11*Conversion!$B$3</f>
        <v>0</v>
      </c>
      <c r="AT11" s="42">
        <f>'Residential-Appliances'!AT11*Conversion!$B$3</f>
        <v>0</v>
      </c>
      <c r="AU11" s="42">
        <f>'Residential-Appliances'!AU11*Conversion!$B$3</f>
        <v>0</v>
      </c>
      <c r="AV11" s="42">
        <f>'Residential-Appliances'!AV11*Conversion!$B$3</f>
        <v>0</v>
      </c>
      <c r="AW11" s="42">
        <f>'Residential-Appliances'!AW11*Conversion!$B$3</f>
        <v>0</v>
      </c>
      <c r="AX11" s="42">
        <f>'Residential-Appliances'!AX11*Conversion!$B$3</f>
        <v>0</v>
      </c>
      <c r="AY11" s="42">
        <f>'Residential-Appliances'!AY11*Conversion!$B$3</f>
        <v>0</v>
      </c>
      <c r="AZ11" s="42">
        <f>'Residential-Appliances'!AZ11*Conversion!$B$3</f>
        <v>0</v>
      </c>
      <c r="BA11" s="42">
        <f>'Residential-Appliances'!BA11*Conversion!$B$3</f>
        <v>0</v>
      </c>
    </row>
  </sheetData>
  <pageMargins left="0.7" right="0.7" top="0.75" bottom="0.75" header="0.3" footer="0.3"/>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7204-BD07-F344-9EBC-56E09DC6A74B}">
  <sheetPr>
    <tabColor theme="3" tint="0.249977111117893"/>
  </sheetPr>
  <dimension ref="A1:BA11"/>
  <sheetViews>
    <sheetView topLeftCell="AE1" workbookViewId="0">
      <selection activeCell="AR1" sqref="AR1:BA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C2</f>
        <v>0</v>
      </c>
      <c r="C2" s="4">
        <f>'Residential-Other'!B2*Conversion!$B$3</f>
        <v>0</v>
      </c>
      <c r="D2" s="4">
        <f>'Residential-Other'!C2*Conversion!$B$3</f>
        <v>0</v>
      </c>
      <c r="E2" s="4">
        <f>'Residential-Other'!D2*Conversion!$B$3</f>
        <v>0</v>
      </c>
      <c r="F2" s="4">
        <f>'Residential-Other'!E2*Conversion!$B$3</f>
        <v>0</v>
      </c>
      <c r="G2" s="4">
        <f>'Residential-Other'!F2*Conversion!$B$3</f>
        <v>0</v>
      </c>
      <c r="H2" s="4">
        <f>'Residential-Other'!G2*Conversion!$B$3</f>
        <v>0</v>
      </c>
      <c r="I2" s="4">
        <f>'Residential-Other'!H2*Conversion!$B$3</f>
        <v>0</v>
      </c>
      <c r="J2" s="4">
        <f>'Residential-Other'!I2*Conversion!$B$3</f>
        <v>0</v>
      </c>
      <c r="K2" s="4">
        <f>'Residential-Other'!J2*Conversion!$B$3</f>
        <v>0</v>
      </c>
      <c r="L2" s="4">
        <f>'Residential-Other'!K2*Conversion!$B$3</f>
        <v>0</v>
      </c>
      <c r="M2" s="4">
        <f>'Residential-Other'!L2*Conversion!$B$3</f>
        <v>0</v>
      </c>
      <c r="N2" s="4">
        <f>'Residential-Other'!M2*Conversion!$B$3</f>
        <v>0</v>
      </c>
      <c r="O2" s="4">
        <f>'Residential-Other'!N2*Conversion!$B$3</f>
        <v>0</v>
      </c>
      <c r="P2" s="4">
        <f>'Residential-Other'!O2*Conversion!$B$3</f>
        <v>0</v>
      </c>
      <c r="Q2" s="4">
        <f>'Residential-Other'!P2*Conversion!$B$3</f>
        <v>0</v>
      </c>
      <c r="R2" s="4">
        <f>'Residential-Other'!Q2*Conversion!$B$3</f>
        <v>0</v>
      </c>
      <c r="S2" s="4">
        <f>'Residential-Other'!R2*Conversion!$B$3</f>
        <v>0</v>
      </c>
      <c r="T2" s="4">
        <f>'Residential-Other'!S2*Conversion!$B$3</f>
        <v>0</v>
      </c>
      <c r="U2" s="4">
        <f>'Residential-Other'!T2*Conversion!$B$3</f>
        <v>0</v>
      </c>
      <c r="V2" s="4">
        <f>'Residential-Other'!U2*Conversion!$B$3</f>
        <v>0</v>
      </c>
      <c r="W2" s="4">
        <f>'Residential-Other'!V2*Conversion!$B$3</f>
        <v>0</v>
      </c>
      <c r="X2" s="4">
        <f>'Residential-Other'!W2*Conversion!$B$3</f>
        <v>0</v>
      </c>
      <c r="Y2" s="4">
        <f>'Residential-Other'!X2*Conversion!$B$3</f>
        <v>0</v>
      </c>
      <c r="Z2" s="4">
        <f>'Residential-Other'!Y2*Conversion!$B$3</f>
        <v>0</v>
      </c>
      <c r="AA2" s="4">
        <f>'Residential-Other'!Z2*Conversion!$B$3</f>
        <v>0</v>
      </c>
      <c r="AB2" s="4">
        <f>'Residential-Other'!AA2*Conversion!$B$3</f>
        <v>0</v>
      </c>
      <c r="AC2" s="4">
        <f>'Residential-Other'!AB2*Conversion!$B$3</f>
        <v>0</v>
      </c>
      <c r="AD2" s="4">
        <f>'Residential-Other'!AC2*Conversion!$B$3</f>
        <v>0</v>
      </c>
      <c r="AE2" s="4">
        <f>'Residential-Other'!AD2*Conversion!$B$3</f>
        <v>0</v>
      </c>
      <c r="AF2" s="4">
        <f>'Residential-Other'!AE2*Conversion!$B$3</f>
        <v>0</v>
      </c>
      <c r="AG2" s="4">
        <f>'Residential-Other'!AF2*Conversion!$B$3</f>
        <v>0</v>
      </c>
      <c r="AH2" s="4">
        <f>'Residential-Other'!AG2*Conversion!$B$3</f>
        <v>0</v>
      </c>
      <c r="AI2" s="4">
        <f>'Residential-Other'!AH2*Conversion!$B$3</f>
        <v>0</v>
      </c>
      <c r="AJ2" s="4">
        <f>'Residential-Other'!AI2*Conversion!$B$3</f>
        <v>0</v>
      </c>
      <c r="AK2" s="4">
        <f>'Residential-Other'!AJ2*Conversion!$B$3</f>
        <v>0</v>
      </c>
      <c r="AL2" s="4">
        <f>'Residential-Other'!AK2*Conversion!$B$3</f>
        <v>0</v>
      </c>
      <c r="AM2" s="4">
        <f>'Residential-Other'!AL2*Conversion!$B$3</f>
        <v>0</v>
      </c>
      <c r="AN2" s="4">
        <f>'Residential-Other'!AM2*Conversion!$B$3</f>
        <v>0</v>
      </c>
      <c r="AO2" s="4">
        <f>'Residential-Other'!AN2*Conversion!$B$3</f>
        <v>0</v>
      </c>
      <c r="AP2" s="4">
        <f>'Residential-Other'!AO2*Conversion!$B$3</f>
        <v>0</v>
      </c>
      <c r="AQ2" s="4">
        <f>'Residential-Other'!AP2*Conversion!$B$3</f>
        <v>0</v>
      </c>
      <c r="AR2" s="42">
        <f>'Residential-Other'!AQ2*Conversion!$B$3</f>
        <v>0</v>
      </c>
      <c r="AS2" s="42">
        <f>'Residential-Other'!AR2*Conversion!$B$3</f>
        <v>0</v>
      </c>
      <c r="AT2" s="42">
        <f>'Residential-Other'!AS2*Conversion!$B$3</f>
        <v>0</v>
      </c>
      <c r="AU2" s="42">
        <f>'Residential-Other'!AT2*Conversion!$B$3</f>
        <v>0</v>
      </c>
      <c r="AV2" s="42">
        <f>'Residential-Other'!AU2*Conversion!$B$3</f>
        <v>0</v>
      </c>
      <c r="AW2" s="42">
        <f>'Residential-Other'!AV2*Conversion!$B$3</f>
        <v>0</v>
      </c>
      <c r="AX2" s="42">
        <f>'Residential-Other'!AW2*Conversion!$B$3</f>
        <v>0</v>
      </c>
      <c r="AY2" s="42">
        <f>'Residential-Other'!AX2*Conversion!$B$3</f>
        <v>0</v>
      </c>
      <c r="AZ2" s="42">
        <f>'Residential-Other'!AY2*Conversion!$B$3</f>
        <v>0</v>
      </c>
      <c r="BA2" s="42">
        <f>'Residential-Other'!AZ2*Conversion!$B$3</f>
        <v>0</v>
      </c>
    </row>
    <row r="3" spans="1:53" x14ac:dyDescent="0.2">
      <c r="A3" s="1" t="s">
        <v>13</v>
      </c>
      <c r="B3" s="15">
        <f t="shared" ref="B3:B11" si="1">C3</f>
        <v>0</v>
      </c>
      <c r="C3" s="4">
        <f>'Residential-Other'!B3*Conversion!$B$3</f>
        <v>0</v>
      </c>
      <c r="D3" s="4">
        <f>'Residential-Other'!C3*Conversion!$B$3</f>
        <v>0</v>
      </c>
      <c r="E3" s="4">
        <f>'Residential-Other'!D3*Conversion!$B$3</f>
        <v>0</v>
      </c>
      <c r="F3" s="4">
        <f>'Residential-Other'!E3*Conversion!$B$3</f>
        <v>0</v>
      </c>
      <c r="G3" s="4">
        <f>'Residential-Other'!F3*Conversion!$B$3</f>
        <v>0</v>
      </c>
      <c r="H3" s="4">
        <f>'Residential-Other'!G3*Conversion!$B$3</f>
        <v>0</v>
      </c>
      <c r="I3" s="4">
        <f>'Residential-Other'!H3*Conversion!$B$3</f>
        <v>0</v>
      </c>
      <c r="J3" s="4">
        <f>'Residential-Other'!I3*Conversion!$B$3</f>
        <v>0</v>
      </c>
      <c r="K3" s="4">
        <f>'Residential-Other'!J3*Conversion!$B$3</f>
        <v>0</v>
      </c>
      <c r="L3" s="4">
        <f>'Residential-Other'!K3*Conversion!$B$3</f>
        <v>0</v>
      </c>
      <c r="M3" s="4">
        <f>'Residential-Other'!L3*Conversion!$B$3</f>
        <v>0</v>
      </c>
      <c r="N3" s="4">
        <f>'Residential-Other'!M3*Conversion!$B$3</f>
        <v>0</v>
      </c>
      <c r="O3" s="4">
        <f>'Residential-Other'!N3*Conversion!$B$3</f>
        <v>0</v>
      </c>
      <c r="P3" s="4">
        <f>'Residential-Other'!O3*Conversion!$B$3</f>
        <v>0</v>
      </c>
      <c r="Q3" s="4">
        <f>'Residential-Other'!P3*Conversion!$B$3</f>
        <v>0</v>
      </c>
      <c r="R3" s="4">
        <f>'Residential-Other'!Q3*Conversion!$B$3</f>
        <v>0</v>
      </c>
      <c r="S3" s="4">
        <f>'Residential-Other'!R3*Conversion!$B$3</f>
        <v>0</v>
      </c>
      <c r="T3" s="4">
        <f>'Residential-Other'!S3*Conversion!$B$3</f>
        <v>0</v>
      </c>
      <c r="U3" s="4">
        <f>'Residential-Other'!T3*Conversion!$B$3</f>
        <v>0</v>
      </c>
      <c r="V3" s="4">
        <f>'Residential-Other'!U3*Conversion!$B$3</f>
        <v>0</v>
      </c>
      <c r="W3" s="4">
        <f>'Residential-Other'!V3*Conversion!$B$3</f>
        <v>0</v>
      </c>
      <c r="X3" s="4">
        <f>'Residential-Other'!W3*Conversion!$B$3</f>
        <v>0</v>
      </c>
      <c r="Y3" s="4">
        <f>'Residential-Other'!X3*Conversion!$B$3</f>
        <v>0</v>
      </c>
      <c r="Z3" s="4">
        <f>'Residential-Other'!Y3*Conversion!$B$3</f>
        <v>0</v>
      </c>
      <c r="AA3" s="4">
        <f>'Residential-Other'!Z3*Conversion!$B$3</f>
        <v>0</v>
      </c>
      <c r="AB3" s="4">
        <f>'Residential-Other'!AA3*Conversion!$B$3</f>
        <v>0</v>
      </c>
      <c r="AC3" s="4">
        <f>'Residential-Other'!AB3*Conversion!$B$3</f>
        <v>0</v>
      </c>
      <c r="AD3" s="4">
        <f>'Residential-Other'!AC3*Conversion!$B$3</f>
        <v>0</v>
      </c>
      <c r="AE3" s="4">
        <f>'Residential-Other'!AD3*Conversion!$B$3</f>
        <v>0</v>
      </c>
      <c r="AF3" s="4">
        <f>'Residential-Other'!AE3*Conversion!$B$3</f>
        <v>0</v>
      </c>
      <c r="AG3" s="4">
        <f>'Residential-Other'!AF3*Conversion!$B$3</f>
        <v>0</v>
      </c>
      <c r="AH3" s="4">
        <f>'Residential-Other'!AG3*Conversion!$B$3</f>
        <v>0</v>
      </c>
      <c r="AI3" s="4">
        <f>'Residential-Other'!AH3*Conversion!$B$3</f>
        <v>0</v>
      </c>
      <c r="AJ3" s="4">
        <f>'Residential-Other'!AI3*Conversion!$B$3</f>
        <v>0</v>
      </c>
      <c r="AK3" s="4">
        <f>'Residential-Other'!AJ3*Conversion!$B$3</f>
        <v>0</v>
      </c>
      <c r="AL3" s="4">
        <f>'Residential-Other'!AK3*Conversion!$B$3</f>
        <v>0</v>
      </c>
      <c r="AM3" s="4">
        <f>'Residential-Other'!AL3*Conversion!$B$3</f>
        <v>0</v>
      </c>
      <c r="AN3" s="4">
        <f>'Residential-Other'!AM3*Conversion!$B$3</f>
        <v>0</v>
      </c>
      <c r="AO3" s="4">
        <f>'Residential-Other'!AN3*Conversion!$B$3</f>
        <v>0</v>
      </c>
      <c r="AP3" s="4">
        <f>'Residential-Other'!AO3*Conversion!$B$3</f>
        <v>0</v>
      </c>
      <c r="AQ3" s="4">
        <f>'Residential-Other'!AP3*Conversion!$B$3</f>
        <v>0</v>
      </c>
      <c r="AR3" s="42">
        <f>'Residential-Other'!AQ3*Conversion!$B$3</f>
        <v>0</v>
      </c>
      <c r="AS3" s="42">
        <f>'Residential-Other'!AR3*Conversion!$B$3</f>
        <v>0</v>
      </c>
      <c r="AT3" s="42">
        <f>'Residential-Other'!AS3*Conversion!$B$3</f>
        <v>0</v>
      </c>
      <c r="AU3" s="42">
        <f>'Residential-Other'!AT3*Conversion!$B$3</f>
        <v>0</v>
      </c>
      <c r="AV3" s="42">
        <f>'Residential-Other'!AU3*Conversion!$B$3</f>
        <v>0</v>
      </c>
      <c r="AW3" s="42">
        <f>'Residential-Other'!AV3*Conversion!$B$3</f>
        <v>0</v>
      </c>
      <c r="AX3" s="42">
        <f>'Residential-Other'!AW3*Conversion!$B$3</f>
        <v>0</v>
      </c>
      <c r="AY3" s="42">
        <f>'Residential-Other'!AX3*Conversion!$B$3</f>
        <v>0</v>
      </c>
      <c r="AZ3" s="42">
        <f>'Residential-Other'!AY3*Conversion!$B$3</f>
        <v>0</v>
      </c>
      <c r="BA3" s="42">
        <f>'Residential-Other'!AZ3*Conversion!$B$3</f>
        <v>0</v>
      </c>
    </row>
    <row r="4" spans="1:53" x14ac:dyDescent="0.2">
      <c r="A4" s="1" t="s">
        <v>14</v>
      </c>
      <c r="B4" s="15">
        <f t="shared" si="1"/>
        <v>0</v>
      </c>
      <c r="C4" s="4">
        <f>'Residential-Other'!B4*Conversion!$B$3</f>
        <v>0</v>
      </c>
      <c r="D4" s="4">
        <f>'Residential-Other'!C4*Conversion!$B$3</f>
        <v>0</v>
      </c>
      <c r="E4" s="4">
        <f>'Residential-Other'!D4*Conversion!$B$3</f>
        <v>0</v>
      </c>
      <c r="F4" s="4">
        <f>'Residential-Other'!E4*Conversion!$B$3</f>
        <v>0</v>
      </c>
      <c r="G4" s="4">
        <f>'Residential-Other'!F4*Conversion!$B$3</f>
        <v>0</v>
      </c>
      <c r="H4" s="4">
        <f>'Residential-Other'!G4*Conversion!$B$3</f>
        <v>0</v>
      </c>
      <c r="I4" s="4">
        <f>'Residential-Other'!H4*Conversion!$B$3</f>
        <v>0</v>
      </c>
      <c r="J4" s="4">
        <f>'Residential-Other'!I4*Conversion!$B$3</f>
        <v>0</v>
      </c>
      <c r="K4" s="4">
        <f>'Residential-Other'!J4*Conversion!$B$3</f>
        <v>0</v>
      </c>
      <c r="L4" s="4">
        <f>'Residential-Other'!K4*Conversion!$B$3</f>
        <v>0</v>
      </c>
      <c r="M4" s="4">
        <f>'Residential-Other'!L4*Conversion!$B$3</f>
        <v>0</v>
      </c>
      <c r="N4" s="4">
        <f>'Residential-Other'!M4*Conversion!$B$3</f>
        <v>0</v>
      </c>
      <c r="O4" s="4">
        <f>'Residential-Other'!N4*Conversion!$B$3</f>
        <v>0</v>
      </c>
      <c r="P4" s="4">
        <f>'Residential-Other'!O4*Conversion!$B$3</f>
        <v>0</v>
      </c>
      <c r="Q4" s="4">
        <f>'Residential-Other'!P4*Conversion!$B$3</f>
        <v>0</v>
      </c>
      <c r="R4" s="4">
        <f>'Residential-Other'!Q4*Conversion!$B$3</f>
        <v>0</v>
      </c>
      <c r="S4" s="4">
        <f>'Residential-Other'!R4*Conversion!$B$3</f>
        <v>0</v>
      </c>
      <c r="T4" s="4">
        <f>'Residential-Other'!S4*Conversion!$B$3</f>
        <v>0</v>
      </c>
      <c r="U4" s="4">
        <f>'Residential-Other'!T4*Conversion!$B$3</f>
        <v>0</v>
      </c>
      <c r="V4" s="4">
        <f>'Residential-Other'!U4*Conversion!$B$3</f>
        <v>0</v>
      </c>
      <c r="W4" s="4">
        <f>'Residential-Other'!V4*Conversion!$B$3</f>
        <v>0</v>
      </c>
      <c r="X4" s="4">
        <f>'Residential-Other'!W4*Conversion!$B$3</f>
        <v>0</v>
      </c>
      <c r="Y4" s="4">
        <f>'Residential-Other'!X4*Conversion!$B$3</f>
        <v>0</v>
      </c>
      <c r="Z4" s="4">
        <f>'Residential-Other'!Y4*Conversion!$B$3</f>
        <v>0</v>
      </c>
      <c r="AA4" s="4">
        <f>'Residential-Other'!Z4*Conversion!$B$3</f>
        <v>0</v>
      </c>
      <c r="AB4" s="4">
        <f>'Residential-Other'!AA4*Conversion!$B$3</f>
        <v>0</v>
      </c>
      <c r="AC4" s="4">
        <f>'Residential-Other'!AB4*Conversion!$B$3</f>
        <v>0</v>
      </c>
      <c r="AD4" s="4">
        <f>'Residential-Other'!AC4*Conversion!$B$3</f>
        <v>0</v>
      </c>
      <c r="AE4" s="4">
        <f>'Residential-Other'!AD4*Conversion!$B$3</f>
        <v>0</v>
      </c>
      <c r="AF4" s="4">
        <f>'Residential-Other'!AE4*Conversion!$B$3</f>
        <v>0</v>
      </c>
      <c r="AG4" s="4">
        <f>'Residential-Other'!AF4*Conversion!$B$3</f>
        <v>0</v>
      </c>
      <c r="AH4" s="4">
        <f>'Residential-Other'!AG4*Conversion!$B$3</f>
        <v>0</v>
      </c>
      <c r="AI4" s="4">
        <f>'Residential-Other'!AH4*Conversion!$B$3</f>
        <v>0</v>
      </c>
      <c r="AJ4" s="4">
        <f>'Residential-Other'!AI4*Conversion!$B$3</f>
        <v>0</v>
      </c>
      <c r="AK4" s="4">
        <f>'Residential-Other'!AJ4*Conversion!$B$3</f>
        <v>0</v>
      </c>
      <c r="AL4" s="4">
        <f>'Residential-Other'!AK4*Conversion!$B$3</f>
        <v>0</v>
      </c>
      <c r="AM4" s="4">
        <f>'Residential-Other'!AL4*Conversion!$B$3</f>
        <v>0</v>
      </c>
      <c r="AN4" s="4">
        <f>'Residential-Other'!AM4*Conversion!$B$3</f>
        <v>0</v>
      </c>
      <c r="AO4" s="4">
        <f>'Residential-Other'!AN4*Conversion!$B$3</f>
        <v>0</v>
      </c>
      <c r="AP4" s="4">
        <f>'Residential-Other'!AO4*Conversion!$B$3</f>
        <v>0</v>
      </c>
      <c r="AQ4" s="4">
        <f>'Residential-Other'!AP4*Conversion!$B$3</f>
        <v>0</v>
      </c>
      <c r="AR4" s="42">
        <f>'Residential-Other'!AQ4*Conversion!$B$3</f>
        <v>0</v>
      </c>
      <c r="AS4" s="42">
        <f>'Residential-Other'!AR4*Conversion!$B$3</f>
        <v>0</v>
      </c>
      <c r="AT4" s="42">
        <f>'Residential-Other'!AS4*Conversion!$B$3</f>
        <v>0</v>
      </c>
      <c r="AU4" s="42">
        <f>'Residential-Other'!AT4*Conversion!$B$3</f>
        <v>0</v>
      </c>
      <c r="AV4" s="42">
        <f>'Residential-Other'!AU4*Conversion!$B$3</f>
        <v>0</v>
      </c>
      <c r="AW4" s="42">
        <f>'Residential-Other'!AV4*Conversion!$B$3</f>
        <v>0</v>
      </c>
      <c r="AX4" s="42">
        <f>'Residential-Other'!AW4*Conversion!$B$3</f>
        <v>0</v>
      </c>
      <c r="AY4" s="42">
        <f>'Residential-Other'!AX4*Conversion!$B$3</f>
        <v>0</v>
      </c>
      <c r="AZ4" s="42">
        <f>'Residential-Other'!AY4*Conversion!$B$3</f>
        <v>0</v>
      </c>
      <c r="BA4" s="42">
        <f>'Residential-Other'!AZ4*Conversion!$B$3</f>
        <v>0</v>
      </c>
    </row>
    <row r="5" spans="1:53" x14ac:dyDescent="0.2">
      <c r="A5" s="1" t="s">
        <v>15</v>
      </c>
      <c r="B5" s="15">
        <f t="shared" si="1"/>
        <v>0</v>
      </c>
      <c r="C5" s="4">
        <f>'Residential-Other'!B5*Conversion!$B$3</f>
        <v>0</v>
      </c>
      <c r="D5" s="4">
        <f>'Residential-Other'!C5*Conversion!$B$3</f>
        <v>0</v>
      </c>
      <c r="E5" s="4">
        <f>'Residential-Other'!D5*Conversion!$B$3</f>
        <v>0</v>
      </c>
      <c r="F5" s="4">
        <f>'Residential-Other'!E5*Conversion!$B$3</f>
        <v>0</v>
      </c>
      <c r="G5" s="4">
        <f>'Residential-Other'!F5*Conversion!$B$3</f>
        <v>0</v>
      </c>
      <c r="H5" s="4">
        <f>'Residential-Other'!G5*Conversion!$B$3</f>
        <v>0</v>
      </c>
      <c r="I5" s="4">
        <f>'Residential-Other'!H5*Conversion!$B$3</f>
        <v>0</v>
      </c>
      <c r="J5" s="4">
        <f>'Residential-Other'!I5*Conversion!$B$3</f>
        <v>0</v>
      </c>
      <c r="K5" s="4">
        <f>'Residential-Other'!J5*Conversion!$B$3</f>
        <v>0</v>
      </c>
      <c r="L5" s="4">
        <f>'Residential-Other'!K5*Conversion!$B$3</f>
        <v>0</v>
      </c>
      <c r="M5" s="4">
        <f>'Residential-Other'!L5*Conversion!$B$3</f>
        <v>0</v>
      </c>
      <c r="N5" s="4">
        <f>'Residential-Other'!M5*Conversion!$B$3</f>
        <v>0</v>
      </c>
      <c r="O5" s="4">
        <f>'Residential-Other'!N5*Conversion!$B$3</f>
        <v>0</v>
      </c>
      <c r="P5" s="4">
        <f>'Residential-Other'!O5*Conversion!$B$3</f>
        <v>0</v>
      </c>
      <c r="Q5" s="4">
        <f>'Residential-Other'!P5*Conversion!$B$3</f>
        <v>0</v>
      </c>
      <c r="R5" s="4">
        <f>'Residential-Other'!Q5*Conversion!$B$3</f>
        <v>0</v>
      </c>
      <c r="S5" s="4">
        <f>'Residential-Other'!R5*Conversion!$B$3</f>
        <v>0</v>
      </c>
      <c r="T5" s="4">
        <f>'Residential-Other'!S5*Conversion!$B$3</f>
        <v>0</v>
      </c>
      <c r="U5" s="4">
        <f>'Residential-Other'!T5*Conversion!$B$3</f>
        <v>0</v>
      </c>
      <c r="V5" s="4">
        <f>'Residential-Other'!U5*Conversion!$B$3</f>
        <v>0</v>
      </c>
      <c r="W5" s="4">
        <f>'Residential-Other'!V5*Conversion!$B$3</f>
        <v>0</v>
      </c>
      <c r="X5" s="4">
        <f>'Residential-Other'!W5*Conversion!$B$3</f>
        <v>0</v>
      </c>
      <c r="Y5" s="4">
        <f>'Residential-Other'!X5*Conversion!$B$3</f>
        <v>0</v>
      </c>
      <c r="Z5" s="4">
        <f>'Residential-Other'!Y5*Conversion!$B$3</f>
        <v>0</v>
      </c>
      <c r="AA5" s="4">
        <f>'Residential-Other'!Z5*Conversion!$B$3</f>
        <v>0</v>
      </c>
      <c r="AB5" s="4">
        <f>'Residential-Other'!AA5*Conversion!$B$3</f>
        <v>0</v>
      </c>
      <c r="AC5" s="4">
        <f>'Residential-Other'!AB5*Conversion!$B$3</f>
        <v>0</v>
      </c>
      <c r="AD5" s="4">
        <f>'Residential-Other'!AC5*Conversion!$B$3</f>
        <v>0</v>
      </c>
      <c r="AE5" s="4">
        <f>'Residential-Other'!AD5*Conversion!$B$3</f>
        <v>0</v>
      </c>
      <c r="AF5" s="4">
        <f>'Residential-Other'!AE5*Conversion!$B$3</f>
        <v>0</v>
      </c>
      <c r="AG5" s="4">
        <f>'Residential-Other'!AF5*Conversion!$B$3</f>
        <v>0</v>
      </c>
      <c r="AH5" s="4">
        <f>'Residential-Other'!AG5*Conversion!$B$3</f>
        <v>0</v>
      </c>
      <c r="AI5" s="4">
        <f>'Residential-Other'!AH5*Conversion!$B$3</f>
        <v>0</v>
      </c>
      <c r="AJ5" s="4">
        <f>'Residential-Other'!AI5*Conversion!$B$3</f>
        <v>0</v>
      </c>
      <c r="AK5" s="4">
        <f>'Residential-Other'!AJ5*Conversion!$B$3</f>
        <v>0</v>
      </c>
      <c r="AL5" s="4">
        <f>'Residential-Other'!AK5*Conversion!$B$3</f>
        <v>0</v>
      </c>
      <c r="AM5" s="4">
        <f>'Residential-Other'!AL5*Conversion!$B$3</f>
        <v>0</v>
      </c>
      <c r="AN5" s="4">
        <f>'Residential-Other'!AM5*Conversion!$B$3</f>
        <v>0</v>
      </c>
      <c r="AO5" s="4">
        <f>'Residential-Other'!AN5*Conversion!$B$3</f>
        <v>0</v>
      </c>
      <c r="AP5" s="4">
        <f>'Residential-Other'!AO5*Conversion!$B$3</f>
        <v>0</v>
      </c>
      <c r="AQ5" s="4">
        <f>'Residential-Other'!AP5*Conversion!$B$3</f>
        <v>0</v>
      </c>
      <c r="AR5" s="42">
        <f>'Residential-Other'!AQ5*Conversion!$B$3</f>
        <v>0</v>
      </c>
      <c r="AS5" s="42">
        <f>'Residential-Other'!AR5*Conversion!$B$3</f>
        <v>0</v>
      </c>
      <c r="AT5" s="42">
        <f>'Residential-Other'!AS5*Conversion!$B$3</f>
        <v>0</v>
      </c>
      <c r="AU5" s="42">
        <f>'Residential-Other'!AT5*Conversion!$B$3</f>
        <v>0</v>
      </c>
      <c r="AV5" s="42">
        <f>'Residential-Other'!AU5*Conversion!$B$3</f>
        <v>0</v>
      </c>
      <c r="AW5" s="42">
        <f>'Residential-Other'!AV5*Conversion!$B$3</f>
        <v>0</v>
      </c>
      <c r="AX5" s="42">
        <f>'Residential-Other'!AW5*Conversion!$B$3</f>
        <v>0</v>
      </c>
      <c r="AY5" s="42">
        <f>'Residential-Other'!AX5*Conversion!$B$3</f>
        <v>0</v>
      </c>
      <c r="AZ5" s="42">
        <f>'Residential-Other'!AY5*Conversion!$B$3</f>
        <v>0</v>
      </c>
      <c r="BA5" s="42">
        <f>'Residential-Other'!AZ5*Conversion!$B$3</f>
        <v>0</v>
      </c>
    </row>
    <row r="6" spans="1:53" x14ac:dyDescent="0.2">
      <c r="A6" s="1" t="s">
        <v>16</v>
      </c>
      <c r="B6" s="15">
        <f t="shared" si="1"/>
        <v>0</v>
      </c>
      <c r="C6" s="4">
        <f>'Residential-Other'!B6*Conversion!$B$3</f>
        <v>0</v>
      </c>
      <c r="D6" s="4">
        <f>'Residential-Other'!C6*Conversion!$B$3</f>
        <v>0</v>
      </c>
      <c r="E6" s="4">
        <f>'Residential-Other'!D6*Conversion!$B$3</f>
        <v>0</v>
      </c>
      <c r="F6" s="4">
        <f>'Residential-Other'!E6*Conversion!$B$3</f>
        <v>0</v>
      </c>
      <c r="G6" s="4">
        <f>'Residential-Other'!F6*Conversion!$B$3</f>
        <v>0</v>
      </c>
      <c r="H6" s="4">
        <f>'Residential-Other'!G6*Conversion!$B$3</f>
        <v>0</v>
      </c>
      <c r="I6" s="4">
        <f>'Residential-Other'!H6*Conversion!$B$3</f>
        <v>0</v>
      </c>
      <c r="J6" s="4">
        <f>'Residential-Other'!I6*Conversion!$B$3</f>
        <v>0</v>
      </c>
      <c r="K6" s="4">
        <f>'Residential-Other'!J6*Conversion!$B$3</f>
        <v>0</v>
      </c>
      <c r="L6" s="4">
        <f>'Residential-Other'!K6*Conversion!$B$3</f>
        <v>0</v>
      </c>
      <c r="M6" s="4">
        <f>'Residential-Other'!L6*Conversion!$B$3</f>
        <v>0</v>
      </c>
      <c r="N6" s="4">
        <f>'Residential-Other'!M6*Conversion!$B$3</f>
        <v>0</v>
      </c>
      <c r="O6" s="4">
        <f>'Residential-Other'!N6*Conversion!$B$3</f>
        <v>0</v>
      </c>
      <c r="P6" s="4">
        <f>'Residential-Other'!O6*Conversion!$B$3</f>
        <v>0</v>
      </c>
      <c r="Q6" s="4">
        <f>'Residential-Other'!P6*Conversion!$B$3</f>
        <v>0</v>
      </c>
      <c r="R6" s="4">
        <f>'Residential-Other'!Q6*Conversion!$B$3</f>
        <v>0</v>
      </c>
      <c r="S6" s="4">
        <f>'Residential-Other'!R6*Conversion!$B$3</f>
        <v>0</v>
      </c>
      <c r="T6" s="4">
        <f>'Residential-Other'!S6*Conversion!$B$3</f>
        <v>0</v>
      </c>
      <c r="U6" s="4">
        <f>'Residential-Other'!T6*Conversion!$B$3</f>
        <v>0</v>
      </c>
      <c r="V6" s="4">
        <f>'Residential-Other'!U6*Conversion!$B$3</f>
        <v>0</v>
      </c>
      <c r="W6" s="4">
        <f>'Residential-Other'!V6*Conversion!$B$3</f>
        <v>0</v>
      </c>
      <c r="X6" s="4">
        <f>'Residential-Other'!W6*Conversion!$B$3</f>
        <v>0</v>
      </c>
      <c r="Y6" s="4">
        <f>'Residential-Other'!X6*Conversion!$B$3</f>
        <v>0</v>
      </c>
      <c r="Z6" s="4">
        <f>'Residential-Other'!Y6*Conversion!$B$3</f>
        <v>0</v>
      </c>
      <c r="AA6" s="4">
        <f>'Residential-Other'!Z6*Conversion!$B$3</f>
        <v>0</v>
      </c>
      <c r="AB6" s="4">
        <f>'Residential-Other'!AA6*Conversion!$B$3</f>
        <v>0</v>
      </c>
      <c r="AC6" s="4">
        <f>'Residential-Other'!AB6*Conversion!$B$3</f>
        <v>0</v>
      </c>
      <c r="AD6" s="4">
        <f>'Residential-Other'!AC6*Conversion!$B$3</f>
        <v>0</v>
      </c>
      <c r="AE6" s="4">
        <f>'Residential-Other'!AD6*Conversion!$B$3</f>
        <v>0</v>
      </c>
      <c r="AF6" s="4">
        <f>'Residential-Other'!AE6*Conversion!$B$3</f>
        <v>0</v>
      </c>
      <c r="AG6" s="4">
        <f>'Residential-Other'!AF6*Conversion!$B$3</f>
        <v>0</v>
      </c>
      <c r="AH6" s="4">
        <f>'Residential-Other'!AG6*Conversion!$B$3</f>
        <v>0</v>
      </c>
      <c r="AI6" s="4">
        <f>'Residential-Other'!AH6*Conversion!$B$3</f>
        <v>0</v>
      </c>
      <c r="AJ6" s="4">
        <f>'Residential-Other'!AI6*Conversion!$B$3</f>
        <v>0</v>
      </c>
      <c r="AK6" s="4">
        <f>'Residential-Other'!AJ6*Conversion!$B$3</f>
        <v>0</v>
      </c>
      <c r="AL6" s="4">
        <f>'Residential-Other'!AK6*Conversion!$B$3</f>
        <v>0</v>
      </c>
      <c r="AM6" s="4">
        <f>'Residential-Other'!AL6*Conversion!$B$3</f>
        <v>0</v>
      </c>
      <c r="AN6" s="4">
        <f>'Residential-Other'!AM6*Conversion!$B$3</f>
        <v>0</v>
      </c>
      <c r="AO6" s="4">
        <f>'Residential-Other'!AN6*Conversion!$B$3</f>
        <v>0</v>
      </c>
      <c r="AP6" s="4">
        <f>'Residential-Other'!AO6*Conversion!$B$3</f>
        <v>0</v>
      </c>
      <c r="AQ6" s="4">
        <f>'Residential-Other'!AP6*Conversion!$B$3</f>
        <v>0</v>
      </c>
      <c r="AR6" s="42">
        <f>'Residential-Other'!AQ6*Conversion!$B$3</f>
        <v>0</v>
      </c>
      <c r="AS6" s="42">
        <f>'Residential-Other'!AR6*Conversion!$B$3</f>
        <v>0</v>
      </c>
      <c r="AT6" s="42">
        <f>'Residential-Other'!AS6*Conversion!$B$3</f>
        <v>0</v>
      </c>
      <c r="AU6" s="42">
        <f>'Residential-Other'!AT6*Conversion!$B$3</f>
        <v>0</v>
      </c>
      <c r="AV6" s="42">
        <f>'Residential-Other'!AU6*Conversion!$B$3</f>
        <v>0</v>
      </c>
      <c r="AW6" s="42">
        <f>'Residential-Other'!AV6*Conversion!$B$3</f>
        <v>0</v>
      </c>
      <c r="AX6" s="42">
        <f>'Residential-Other'!AW6*Conversion!$B$3</f>
        <v>0</v>
      </c>
      <c r="AY6" s="42">
        <f>'Residential-Other'!AX6*Conversion!$B$3</f>
        <v>0</v>
      </c>
      <c r="AZ6" s="42">
        <f>'Residential-Other'!AY6*Conversion!$B$3</f>
        <v>0</v>
      </c>
      <c r="BA6" s="42">
        <f>'Residential-Other'!AZ6*Conversion!$B$3</f>
        <v>0</v>
      </c>
    </row>
    <row r="7" spans="1:53" x14ac:dyDescent="0.2">
      <c r="A7" s="1" t="s">
        <v>17</v>
      </c>
      <c r="B7" s="15">
        <f t="shared" si="1"/>
        <v>0</v>
      </c>
      <c r="C7" s="4">
        <f>'Residential-Other'!B7*Conversion!$B$3</f>
        <v>0</v>
      </c>
      <c r="D7" s="4">
        <f>'Residential-Other'!C7*Conversion!$B$3</f>
        <v>0</v>
      </c>
      <c r="E7" s="4">
        <f>'Residential-Other'!D7*Conversion!$B$3</f>
        <v>0</v>
      </c>
      <c r="F7" s="4">
        <f>'Residential-Other'!E7*Conversion!$B$3</f>
        <v>0</v>
      </c>
      <c r="G7" s="4">
        <f>'Residential-Other'!F7*Conversion!$B$3</f>
        <v>0</v>
      </c>
      <c r="H7" s="4">
        <f>'Residential-Other'!G7*Conversion!$B$3</f>
        <v>0</v>
      </c>
      <c r="I7" s="4">
        <f>'Residential-Other'!H7*Conversion!$B$3</f>
        <v>0</v>
      </c>
      <c r="J7" s="4">
        <f>'Residential-Other'!I7*Conversion!$B$3</f>
        <v>0</v>
      </c>
      <c r="K7" s="4">
        <f>'Residential-Other'!J7*Conversion!$B$3</f>
        <v>0</v>
      </c>
      <c r="L7" s="4">
        <f>'Residential-Other'!K7*Conversion!$B$3</f>
        <v>0</v>
      </c>
      <c r="M7" s="4">
        <f>'Residential-Other'!L7*Conversion!$B$3</f>
        <v>0</v>
      </c>
      <c r="N7" s="4">
        <f>'Residential-Other'!M7*Conversion!$B$3</f>
        <v>0</v>
      </c>
      <c r="O7" s="4">
        <f>'Residential-Other'!N7*Conversion!$B$3</f>
        <v>0</v>
      </c>
      <c r="P7" s="4">
        <f>'Residential-Other'!O7*Conversion!$B$3</f>
        <v>0</v>
      </c>
      <c r="Q7" s="4">
        <f>'Residential-Other'!P7*Conversion!$B$3</f>
        <v>0</v>
      </c>
      <c r="R7" s="4">
        <f>'Residential-Other'!Q7*Conversion!$B$3</f>
        <v>0</v>
      </c>
      <c r="S7" s="4">
        <f>'Residential-Other'!R7*Conversion!$B$3</f>
        <v>0</v>
      </c>
      <c r="T7" s="4">
        <f>'Residential-Other'!S7*Conversion!$B$3</f>
        <v>0</v>
      </c>
      <c r="U7" s="4">
        <f>'Residential-Other'!T7*Conversion!$B$3</f>
        <v>0</v>
      </c>
      <c r="V7" s="4">
        <f>'Residential-Other'!U7*Conversion!$B$3</f>
        <v>0</v>
      </c>
      <c r="W7" s="4">
        <f>'Residential-Other'!V7*Conversion!$B$3</f>
        <v>0</v>
      </c>
      <c r="X7" s="4">
        <f>'Residential-Other'!W7*Conversion!$B$3</f>
        <v>0</v>
      </c>
      <c r="Y7" s="4">
        <f>'Residential-Other'!X7*Conversion!$B$3</f>
        <v>0</v>
      </c>
      <c r="Z7" s="4">
        <f>'Residential-Other'!Y7*Conversion!$B$3</f>
        <v>0</v>
      </c>
      <c r="AA7" s="4">
        <f>'Residential-Other'!Z7*Conversion!$B$3</f>
        <v>0</v>
      </c>
      <c r="AB7" s="4">
        <f>'Residential-Other'!AA7*Conversion!$B$3</f>
        <v>0</v>
      </c>
      <c r="AC7" s="4">
        <f>'Residential-Other'!AB7*Conversion!$B$3</f>
        <v>0</v>
      </c>
      <c r="AD7" s="4">
        <f>'Residential-Other'!AC7*Conversion!$B$3</f>
        <v>0</v>
      </c>
      <c r="AE7" s="4">
        <f>'Residential-Other'!AD7*Conversion!$B$3</f>
        <v>0</v>
      </c>
      <c r="AF7" s="4">
        <f>'Residential-Other'!AE7*Conversion!$B$3</f>
        <v>0</v>
      </c>
      <c r="AG7" s="4">
        <f>'Residential-Other'!AF7*Conversion!$B$3</f>
        <v>0</v>
      </c>
      <c r="AH7" s="4">
        <f>'Residential-Other'!AG7*Conversion!$B$3</f>
        <v>0</v>
      </c>
      <c r="AI7" s="4">
        <f>'Residential-Other'!AH7*Conversion!$B$3</f>
        <v>0</v>
      </c>
      <c r="AJ7" s="4">
        <f>'Residential-Other'!AI7*Conversion!$B$3</f>
        <v>0</v>
      </c>
      <c r="AK7" s="4">
        <f>'Residential-Other'!AJ7*Conversion!$B$3</f>
        <v>0</v>
      </c>
      <c r="AL7" s="4">
        <f>'Residential-Other'!AK7*Conversion!$B$3</f>
        <v>0</v>
      </c>
      <c r="AM7" s="4">
        <f>'Residential-Other'!AL7*Conversion!$B$3</f>
        <v>0</v>
      </c>
      <c r="AN7" s="4">
        <f>'Residential-Other'!AM7*Conversion!$B$3</f>
        <v>0</v>
      </c>
      <c r="AO7" s="4">
        <f>'Residential-Other'!AN7*Conversion!$B$3</f>
        <v>0</v>
      </c>
      <c r="AP7" s="4">
        <f>'Residential-Other'!AO7*Conversion!$B$3</f>
        <v>0</v>
      </c>
      <c r="AQ7" s="4">
        <f>'Residential-Other'!AP7*Conversion!$B$3</f>
        <v>0</v>
      </c>
      <c r="AR7" s="42">
        <f>'Residential-Other'!AQ7*Conversion!$B$3</f>
        <v>0</v>
      </c>
      <c r="AS7" s="42">
        <f>'Residential-Other'!AR7*Conversion!$B$3</f>
        <v>0</v>
      </c>
      <c r="AT7" s="42">
        <f>'Residential-Other'!AS7*Conversion!$B$3</f>
        <v>0</v>
      </c>
      <c r="AU7" s="42">
        <f>'Residential-Other'!AT7*Conversion!$B$3</f>
        <v>0</v>
      </c>
      <c r="AV7" s="42">
        <f>'Residential-Other'!AU7*Conversion!$B$3</f>
        <v>0</v>
      </c>
      <c r="AW7" s="42">
        <f>'Residential-Other'!AV7*Conversion!$B$3</f>
        <v>0</v>
      </c>
      <c r="AX7" s="42">
        <f>'Residential-Other'!AW7*Conversion!$B$3</f>
        <v>0</v>
      </c>
      <c r="AY7" s="42">
        <f>'Residential-Other'!AX7*Conversion!$B$3</f>
        <v>0</v>
      </c>
      <c r="AZ7" s="42">
        <f>'Residential-Other'!AY7*Conversion!$B$3</f>
        <v>0</v>
      </c>
      <c r="BA7" s="42">
        <f>'Residential-Other'!AZ7*Conversion!$B$3</f>
        <v>0</v>
      </c>
    </row>
    <row r="8" spans="1:53" x14ac:dyDescent="0.2">
      <c r="A8" s="1" t="s">
        <v>18</v>
      </c>
      <c r="B8" s="15">
        <f t="shared" si="1"/>
        <v>0</v>
      </c>
      <c r="C8" s="4">
        <f>'Residential-Other'!B8*Conversion!$B$3</f>
        <v>0</v>
      </c>
      <c r="D8" s="4">
        <f>'Residential-Other'!C8*Conversion!$B$3</f>
        <v>0</v>
      </c>
      <c r="E8" s="4">
        <f>'Residential-Other'!D8*Conversion!$B$3</f>
        <v>0</v>
      </c>
      <c r="F8" s="4">
        <f>'Residential-Other'!E8*Conversion!$B$3</f>
        <v>0</v>
      </c>
      <c r="G8" s="4">
        <f>'Residential-Other'!F8*Conversion!$B$3</f>
        <v>0</v>
      </c>
      <c r="H8" s="4">
        <f>'Residential-Other'!G8*Conversion!$B$3</f>
        <v>0</v>
      </c>
      <c r="I8" s="4">
        <f>'Residential-Other'!H8*Conversion!$B$3</f>
        <v>0</v>
      </c>
      <c r="J8" s="4">
        <f>'Residential-Other'!I8*Conversion!$B$3</f>
        <v>0</v>
      </c>
      <c r="K8" s="4">
        <f>'Residential-Other'!J8*Conversion!$B$3</f>
        <v>0</v>
      </c>
      <c r="L8" s="4">
        <f>'Residential-Other'!K8*Conversion!$B$3</f>
        <v>0</v>
      </c>
      <c r="M8" s="4">
        <f>'Residential-Other'!L8*Conversion!$B$3</f>
        <v>0</v>
      </c>
      <c r="N8" s="4">
        <f>'Residential-Other'!M8*Conversion!$B$3</f>
        <v>0</v>
      </c>
      <c r="O8" s="4">
        <f>'Residential-Other'!N8*Conversion!$B$3</f>
        <v>0</v>
      </c>
      <c r="P8" s="4">
        <f>'Residential-Other'!O8*Conversion!$B$3</f>
        <v>0</v>
      </c>
      <c r="Q8" s="4">
        <f>'Residential-Other'!P8*Conversion!$B$3</f>
        <v>0</v>
      </c>
      <c r="R8" s="4">
        <f>'Residential-Other'!Q8*Conversion!$B$3</f>
        <v>0</v>
      </c>
      <c r="S8" s="4">
        <f>'Residential-Other'!R8*Conversion!$B$3</f>
        <v>0</v>
      </c>
      <c r="T8" s="4">
        <f>'Residential-Other'!S8*Conversion!$B$3</f>
        <v>0</v>
      </c>
      <c r="U8" s="4">
        <f>'Residential-Other'!T8*Conversion!$B$3</f>
        <v>0</v>
      </c>
      <c r="V8" s="4">
        <f>'Residential-Other'!U8*Conversion!$B$3</f>
        <v>0</v>
      </c>
      <c r="W8" s="4">
        <f>'Residential-Other'!V8*Conversion!$B$3</f>
        <v>0</v>
      </c>
      <c r="X8" s="4">
        <f>'Residential-Other'!W8*Conversion!$B$3</f>
        <v>0</v>
      </c>
      <c r="Y8" s="4">
        <f>'Residential-Other'!X8*Conversion!$B$3</f>
        <v>0</v>
      </c>
      <c r="Z8" s="4">
        <f>'Residential-Other'!Y8*Conversion!$B$3</f>
        <v>0</v>
      </c>
      <c r="AA8" s="4">
        <f>'Residential-Other'!Z8*Conversion!$B$3</f>
        <v>0</v>
      </c>
      <c r="AB8" s="4">
        <f>'Residential-Other'!AA8*Conversion!$B$3</f>
        <v>0</v>
      </c>
      <c r="AC8" s="4">
        <f>'Residential-Other'!AB8*Conversion!$B$3</f>
        <v>0</v>
      </c>
      <c r="AD8" s="4">
        <f>'Residential-Other'!AC8*Conversion!$B$3</f>
        <v>0</v>
      </c>
      <c r="AE8" s="4">
        <f>'Residential-Other'!AD8*Conversion!$B$3</f>
        <v>0</v>
      </c>
      <c r="AF8" s="4">
        <f>'Residential-Other'!AE8*Conversion!$B$3</f>
        <v>0</v>
      </c>
      <c r="AG8" s="4">
        <f>'Residential-Other'!AF8*Conversion!$B$3</f>
        <v>0</v>
      </c>
      <c r="AH8" s="4">
        <f>'Residential-Other'!AG8*Conversion!$B$3</f>
        <v>0</v>
      </c>
      <c r="AI8" s="4">
        <f>'Residential-Other'!AH8*Conversion!$B$3</f>
        <v>0</v>
      </c>
      <c r="AJ8" s="4">
        <f>'Residential-Other'!AI8*Conversion!$B$3</f>
        <v>0</v>
      </c>
      <c r="AK8" s="4">
        <f>'Residential-Other'!AJ8*Conversion!$B$3</f>
        <v>0</v>
      </c>
      <c r="AL8" s="4">
        <f>'Residential-Other'!AK8*Conversion!$B$3</f>
        <v>0</v>
      </c>
      <c r="AM8" s="4">
        <f>'Residential-Other'!AL8*Conversion!$B$3</f>
        <v>0</v>
      </c>
      <c r="AN8" s="4">
        <f>'Residential-Other'!AM8*Conversion!$B$3</f>
        <v>0</v>
      </c>
      <c r="AO8" s="4">
        <f>'Residential-Other'!AN8*Conversion!$B$3</f>
        <v>0</v>
      </c>
      <c r="AP8" s="4">
        <f>'Residential-Other'!AO8*Conversion!$B$3</f>
        <v>0</v>
      </c>
      <c r="AQ8" s="4">
        <f>'Residential-Other'!AP8*Conversion!$B$3</f>
        <v>0</v>
      </c>
      <c r="AR8" s="42">
        <f>'Residential-Other'!AQ8*Conversion!$B$3</f>
        <v>0</v>
      </c>
      <c r="AS8" s="42">
        <f>'Residential-Other'!AR8*Conversion!$B$3</f>
        <v>0</v>
      </c>
      <c r="AT8" s="42">
        <f>'Residential-Other'!AS8*Conversion!$B$3</f>
        <v>0</v>
      </c>
      <c r="AU8" s="42">
        <f>'Residential-Other'!AT8*Conversion!$B$3</f>
        <v>0</v>
      </c>
      <c r="AV8" s="42">
        <f>'Residential-Other'!AU8*Conversion!$B$3</f>
        <v>0</v>
      </c>
      <c r="AW8" s="42">
        <f>'Residential-Other'!AV8*Conversion!$B$3</f>
        <v>0</v>
      </c>
      <c r="AX8" s="42">
        <f>'Residential-Other'!AW8*Conversion!$B$3</f>
        <v>0</v>
      </c>
      <c r="AY8" s="42">
        <f>'Residential-Other'!AX8*Conversion!$B$3</f>
        <v>0</v>
      </c>
      <c r="AZ8" s="42">
        <f>'Residential-Other'!AY8*Conversion!$B$3</f>
        <v>0</v>
      </c>
      <c r="BA8" s="42">
        <f>'Residential-Other'!AZ8*Conversion!$B$3</f>
        <v>0</v>
      </c>
    </row>
    <row r="9" spans="1:53" x14ac:dyDescent="0.2">
      <c r="A9" s="1" t="s">
        <v>19</v>
      </c>
      <c r="B9" s="15">
        <f t="shared" si="1"/>
        <v>0</v>
      </c>
      <c r="C9" s="4">
        <f>'Residential-Other'!B9*Conversion!$B$3</f>
        <v>0</v>
      </c>
      <c r="D9" s="4">
        <f>'Residential-Other'!C9*Conversion!$B$3</f>
        <v>0</v>
      </c>
      <c r="E9" s="4">
        <f>'Residential-Other'!D9*Conversion!$B$3</f>
        <v>0</v>
      </c>
      <c r="F9" s="4">
        <f>'Residential-Other'!E9*Conversion!$B$3</f>
        <v>0</v>
      </c>
      <c r="G9" s="4">
        <f>'Residential-Other'!F9*Conversion!$B$3</f>
        <v>0</v>
      </c>
      <c r="H9" s="4">
        <f>'Residential-Other'!G9*Conversion!$B$3</f>
        <v>0</v>
      </c>
      <c r="I9" s="4">
        <f>'Residential-Other'!H9*Conversion!$B$3</f>
        <v>0</v>
      </c>
      <c r="J9" s="4">
        <f>'Residential-Other'!I9*Conversion!$B$3</f>
        <v>0</v>
      </c>
      <c r="K9" s="4">
        <f>'Residential-Other'!J9*Conversion!$B$3</f>
        <v>0</v>
      </c>
      <c r="L9" s="4">
        <f>'Residential-Other'!K9*Conversion!$B$3</f>
        <v>0</v>
      </c>
      <c r="M9" s="4">
        <f>'Residential-Other'!L9*Conversion!$B$3</f>
        <v>0</v>
      </c>
      <c r="N9" s="4">
        <f>'Residential-Other'!M9*Conversion!$B$3</f>
        <v>0</v>
      </c>
      <c r="O9" s="4">
        <f>'Residential-Other'!N9*Conversion!$B$3</f>
        <v>0</v>
      </c>
      <c r="P9" s="4">
        <f>'Residential-Other'!O9*Conversion!$B$3</f>
        <v>0</v>
      </c>
      <c r="Q9" s="4">
        <f>'Residential-Other'!P9*Conversion!$B$3</f>
        <v>0</v>
      </c>
      <c r="R9" s="4">
        <f>'Residential-Other'!Q9*Conversion!$B$3</f>
        <v>0</v>
      </c>
      <c r="S9" s="4">
        <f>'Residential-Other'!R9*Conversion!$B$3</f>
        <v>0</v>
      </c>
      <c r="T9" s="4">
        <f>'Residential-Other'!S9*Conversion!$B$3</f>
        <v>0</v>
      </c>
      <c r="U9" s="4">
        <f>'Residential-Other'!T9*Conversion!$B$3</f>
        <v>0</v>
      </c>
      <c r="V9" s="4">
        <f>'Residential-Other'!U9*Conversion!$B$3</f>
        <v>0</v>
      </c>
      <c r="W9" s="4">
        <f>'Residential-Other'!V9*Conversion!$B$3</f>
        <v>0</v>
      </c>
      <c r="X9" s="4">
        <f>'Residential-Other'!W9*Conversion!$B$3</f>
        <v>0</v>
      </c>
      <c r="Y9" s="4">
        <f>'Residential-Other'!X9*Conversion!$B$3</f>
        <v>0</v>
      </c>
      <c r="Z9" s="4">
        <f>'Residential-Other'!Y9*Conversion!$B$3</f>
        <v>0</v>
      </c>
      <c r="AA9" s="4">
        <f>'Residential-Other'!Z9*Conversion!$B$3</f>
        <v>0</v>
      </c>
      <c r="AB9" s="4">
        <f>'Residential-Other'!AA9*Conversion!$B$3</f>
        <v>0</v>
      </c>
      <c r="AC9" s="4">
        <f>'Residential-Other'!AB9*Conversion!$B$3</f>
        <v>0</v>
      </c>
      <c r="AD9" s="4">
        <f>'Residential-Other'!AC9*Conversion!$B$3</f>
        <v>0</v>
      </c>
      <c r="AE9" s="4">
        <f>'Residential-Other'!AD9*Conversion!$B$3</f>
        <v>0</v>
      </c>
      <c r="AF9" s="4">
        <f>'Residential-Other'!AE9*Conversion!$B$3</f>
        <v>0</v>
      </c>
      <c r="AG9" s="4">
        <f>'Residential-Other'!AF9*Conversion!$B$3</f>
        <v>0</v>
      </c>
      <c r="AH9" s="4">
        <f>'Residential-Other'!AG9*Conversion!$B$3</f>
        <v>0</v>
      </c>
      <c r="AI9" s="4">
        <f>'Residential-Other'!AH9*Conversion!$B$3</f>
        <v>0</v>
      </c>
      <c r="AJ9" s="4">
        <f>'Residential-Other'!AI9*Conversion!$B$3</f>
        <v>0</v>
      </c>
      <c r="AK9" s="4">
        <f>'Residential-Other'!AJ9*Conversion!$B$3</f>
        <v>0</v>
      </c>
      <c r="AL9" s="4">
        <f>'Residential-Other'!AK9*Conversion!$B$3</f>
        <v>0</v>
      </c>
      <c r="AM9" s="4">
        <f>'Residential-Other'!AL9*Conversion!$B$3</f>
        <v>0</v>
      </c>
      <c r="AN9" s="4">
        <f>'Residential-Other'!AM9*Conversion!$B$3</f>
        <v>0</v>
      </c>
      <c r="AO9" s="4">
        <f>'Residential-Other'!AN9*Conversion!$B$3</f>
        <v>0</v>
      </c>
      <c r="AP9" s="4">
        <f>'Residential-Other'!AO9*Conversion!$B$3</f>
        <v>0</v>
      </c>
      <c r="AQ9" s="4">
        <f>'Residential-Other'!AP9*Conversion!$B$3</f>
        <v>0</v>
      </c>
      <c r="AR9" s="42">
        <f>'Residential-Other'!AQ9*Conversion!$B$3</f>
        <v>0</v>
      </c>
      <c r="AS9" s="42">
        <f>'Residential-Other'!AR9*Conversion!$B$3</f>
        <v>0</v>
      </c>
      <c r="AT9" s="42">
        <f>'Residential-Other'!AS9*Conversion!$B$3</f>
        <v>0</v>
      </c>
      <c r="AU9" s="42">
        <f>'Residential-Other'!AT9*Conversion!$B$3</f>
        <v>0</v>
      </c>
      <c r="AV9" s="42">
        <f>'Residential-Other'!AU9*Conversion!$B$3</f>
        <v>0</v>
      </c>
      <c r="AW9" s="42">
        <f>'Residential-Other'!AV9*Conversion!$B$3</f>
        <v>0</v>
      </c>
      <c r="AX9" s="42">
        <f>'Residential-Other'!AW9*Conversion!$B$3</f>
        <v>0</v>
      </c>
      <c r="AY9" s="42">
        <f>'Residential-Other'!AX9*Conversion!$B$3</f>
        <v>0</v>
      </c>
      <c r="AZ9" s="42">
        <f>'Residential-Other'!AY9*Conversion!$B$3</f>
        <v>0</v>
      </c>
      <c r="BA9" s="42">
        <f>'Residential-Other'!AZ9*Conversion!$B$3</f>
        <v>0</v>
      </c>
    </row>
    <row r="10" spans="1:53" x14ac:dyDescent="0.2">
      <c r="A10" s="1" t="s">
        <v>20</v>
      </c>
      <c r="B10" s="15">
        <f t="shared" si="1"/>
        <v>0</v>
      </c>
      <c r="C10" s="4">
        <f>'Residential-Other'!B10*Conversion!$B$3</f>
        <v>0</v>
      </c>
      <c r="D10" s="4">
        <f>'Residential-Other'!C10*Conversion!$B$3</f>
        <v>0</v>
      </c>
      <c r="E10" s="4">
        <f>'Residential-Other'!D10*Conversion!$B$3</f>
        <v>0</v>
      </c>
      <c r="F10" s="4">
        <f>'Residential-Other'!E10*Conversion!$B$3</f>
        <v>0</v>
      </c>
      <c r="G10" s="4">
        <f>'Residential-Other'!F10*Conversion!$B$3</f>
        <v>0</v>
      </c>
      <c r="H10" s="4">
        <f>'Residential-Other'!G10*Conversion!$B$3</f>
        <v>0</v>
      </c>
      <c r="I10" s="4">
        <f>'Residential-Other'!H10*Conversion!$B$3</f>
        <v>0</v>
      </c>
      <c r="J10" s="4">
        <f>'Residential-Other'!I10*Conversion!$B$3</f>
        <v>0</v>
      </c>
      <c r="K10" s="4">
        <f>'Residential-Other'!J10*Conversion!$B$3</f>
        <v>0</v>
      </c>
      <c r="L10" s="4">
        <f>'Residential-Other'!K10*Conversion!$B$3</f>
        <v>0</v>
      </c>
      <c r="M10" s="4">
        <f>'Residential-Other'!L10*Conversion!$B$3</f>
        <v>0</v>
      </c>
      <c r="N10" s="4">
        <f>'Residential-Other'!M10*Conversion!$B$3</f>
        <v>0</v>
      </c>
      <c r="O10" s="4">
        <f>'Residential-Other'!N10*Conversion!$B$3</f>
        <v>0</v>
      </c>
      <c r="P10" s="4">
        <f>'Residential-Other'!O10*Conversion!$B$3</f>
        <v>0</v>
      </c>
      <c r="Q10" s="4">
        <f>'Residential-Other'!P10*Conversion!$B$3</f>
        <v>0</v>
      </c>
      <c r="R10" s="4">
        <f>'Residential-Other'!Q10*Conversion!$B$3</f>
        <v>0</v>
      </c>
      <c r="S10" s="4">
        <f>'Residential-Other'!R10*Conversion!$B$3</f>
        <v>0</v>
      </c>
      <c r="T10" s="4">
        <f>'Residential-Other'!S10*Conversion!$B$3</f>
        <v>0</v>
      </c>
      <c r="U10" s="4">
        <f>'Residential-Other'!T10*Conversion!$B$3</f>
        <v>0</v>
      </c>
      <c r="V10" s="4">
        <f>'Residential-Other'!U10*Conversion!$B$3</f>
        <v>0</v>
      </c>
      <c r="W10" s="4">
        <f>'Residential-Other'!V10*Conversion!$B$3</f>
        <v>0</v>
      </c>
      <c r="X10" s="4">
        <f>'Residential-Other'!W10*Conversion!$B$3</f>
        <v>0</v>
      </c>
      <c r="Y10" s="4">
        <f>'Residential-Other'!X10*Conversion!$B$3</f>
        <v>0</v>
      </c>
      <c r="Z10" s="4">
        <f>'Residential-Other'!Y10*Conversion!$B$3</f>
        <v>0</v>
      </c>
      <c r="AA10" s="4">
        <f>'Residential-Other'!Z10*Conversion!$B$3</f>
        <v>0</v>
      </c>
      <c r="AB10" s="4">
        <f>'Residential-Other'!AA10*Conversion!$B$3</f>
        <v>0</v>
      </c>
      <c r="AC10" s="4">
        <f>'Residential-Other'!AB10*Conversion!$B$3</f>
        <v>0</v>
      </c>
      <c r="AD10" s="4">
        <f>'Residential-Other'!AC10*Conversion!$B$3</f>
        <v>0</v>
      </c>
      <c r="AE10" s="4">
        <f>'Residential-Other'!AD10*Conversion!$B$3</f>
        <v>0</v>
      </c>
      <c r="AF10" s="4">
        <f>'Residential-Other'!AE10*Conversion!$B$3</f>
        <v>0</v>
      </c>
      <c r="AG10" s="4">
        <f>'Residential-Other'!AF10*Conversion!$B$3</f>
        <v>0</v>
      </c>
      <c r="AH10" s="4">
        <f>'Residential-Other'!AG10*Conversion!$B$3</f>
        <v>0</v>
      </c>
      <c r="AI10" s="4">
        <f>'Residential-Other'!AH10*Conversion!$B$3</f>
        <v>0</v>
      </c>
      <c r="AJ10" s="4">
        <f>'Residential-Other'!AI10*Conversion!$B$3</f>
        <v>0</v>
      </c>
      <c r="AK10" s="4">
        <f>'Residential-Other'!AJ10*Conversion!$B$3</f>
        <v>0</v>
      </c>
      <c r="AL10" s="4">
        <f>'Residential-Other'!AK10*Conversion!$B$3</f>
        <v>0</v>
      </c>
      <c r="AM10" s="4">
        <f>'Residential-Other'!AL10*Conversion!$B$3</f>
        <v>0</v>
      </c>
      <c r="AN10" s="4">
        <f>'Residential-Other'!AM10*Conversion!$B$3</f>
        <v>0</v>
      </c>
      <c r="AO10" s="4">
        <f>'Residential-Other'!AN10*Conversion!$B$3</f>
        <v>0</v>
      </c>
      <c r="AP10" s="4">
        <f>'Residential-Other'!AO10*Conversion!$B$3</f>
        <v>0</v>
      </c>
      <c r="AQ10" s="4">
        <f>'Residential-Other'!AP10*Conversion!$B$3</f>
        <v>0</v>
      </c>
      <c r="AR10" s="42">
        <f>'Residential-Other'!AQ10*Conversion!$B$3</f>
        <v>0</v>
      </c>
      <c r="AS10" s="42">
        <f>'Residential-Other'!AR10*Conversion!$B$3</f>
        <v>0</v>
      </c>
      <c r="AT10" s="42">
        <f>'Residential-Other'!AS10*Conversion!$B$3</f>
        <v>0</v>
      </c>
      <c r="AU10" s="42">
        <f>'Residential-Other'!AT10*Conversion!$B$3</f>
        <v>0</v>
      </c>
      <c r="AV10" s="42">
        <f>'Residential-Other'!AU10*Conversion!$B$3</f>
        <v>0</v>
      </c>
      <c r="AW10" s="42">
        <f>'Residential-Other'!AV10*Conversion!$B$3</f>
        <v>0</v>
      </c>
      <c r="AX10" s="42">
        <f>'Residential-Other'!AW10*Conversion!$B$3</f>
        <v>0</v>
      </c>
      <c r="AY10" s="42">
        <f>'Residential-Other'!AX10*Conversion!$B$3</f>
        <v>0</v>
      </c>
      <c r="AZ10" s="42">
        <f>'Residential-Other'!AY10*Conversion!$B$3</f>
        <v>0</v>
      </c>
      <c r="BA10" s="42">
        <f>'Residential-Other'!AZ10*Conversion!$B$3</f>
        <v>0</v>
      </c>
    </row>
    <row r="11" spans="1:53" x14ac:dyDescent="0.2">
      <c r="A11" s="1" t="s">
        <v>21</v>
      </c>
      <c r="B11" s="15">
        <f t="shared" si="1"/>
        <v>0</v>
      </c>
      <c r="C11" s="4">
        <f>'Residential-Other'!B11*Conversion!$B$3</f>
        <v>0</v>
      </c>
      <c r="D11" s="4">
        <f>'Residential-Other'!C11*Conversion!$B$3</f>
        <v>0</v>
      </c>
      <c r="E11" s="4">
        <f>'Residential-Other'!D11*Conversion!$B$3</f>
        <v>0</v>
      </c>
      <c r="F11" s="4">
        <f>'Residential-Other'!E11*Conversion!$B$3</f>
        <v>0</v>
      </c>
      <c r="G11" s="4">
        <f>'Residential-Other'!F11*Conversion!$B$3</f>
        <v>0</v>
      </c>
      <c r="H11" s="4">
        <f>'Residential-Other'!G11*Conversion!$B$3</f>
        <v>0</v>
      </c>
      <c r="I11" s="4">
        <f>'Residential-Other'!H11*Conversion!$B$3</f>
        <v>0</v>
      </c>
      <c r="J11" s="4">
        <f>'Residential-Other'!I11*Conversion!$B$3</f>
        <v>0</v>
      </c>
      <c r="K11" s="4">
        <f>'Residential-Other'!J11*Conversion!$B$3</f>
        <v>0</v>
      </c>
      <c r="L11" s="4">
        <f>'Residential-Other'!K11*Conversion!$B$3</f>
        <v>0</v>
      </c>
      <c r="M11" s="4">
        <f>'Residential-Other'!L11*Conversion!$B$3</f>
        <v>0</v>
      </c>
      <c r="N11" s="4">
        <f>'Residential-Other'!M11*Conversion!$B$3</f>
        <v>0</v>
      </c>
      <c r="O11" s="4">
        <f>'Residential-Other'!N11*Conversion!$B$3</f>
        <v>0</v>
      </c>
      <c r="P11" s="4">
        <f>'Residential-Other'!O11*Conversion!$B$3</f>
        <v>0</v>
      </c>
      <c r="Q11" s="4">
        <f>'Residential-Other'!P11*Conversion!$B$3</f>
        <v>0</v>
      </c>
      <c r="R11" s="4">
        <f>'Residential-Other'!Q11*Conversion!$B$3</f>
        <v>0</v>
      </c>
      <c r="S11" s="4">
        <f>'Residential-Other'!R11*Conversion!$B$3</f>
        <v>0</v>
      </c>
      <c r="T11" s="4">
        <f>'Residential-Other'!S11*Conversion!$B$3</f>
        <v>0</v>
      </c>
      <c r="U11" s="4">
        <f>'Residential-Other'!T11*Conversion!$B$3</f>
        <v>0</v>
      </c>
      <c r="V11" s="4">
        <f>'Residential-Other'!U11*Conversion!$B$3</f>
        <v>0</v>
      </c>
      <c r="W11" s="4">
        <f>'Residential-Other'!V11*Conversion!$B$3</f>
        <v>0</v>
      </c>
      <c r="X11" s="4">
        <f>'Residential-Other'!W11*Conversion!$B$3</f>
        <v>0</v>
      </c>
      <c r="Y11" s="4">
        <f>'Residential-Other'!X11*Conversion!$B$3</f>
        <v>0</v>
      </c>
      <c r="Z11" s="4">
        <f>'Residential-Other'!Y11*Conversion!$B$3</f>
        <v>0</v>
      </c>
      <c r="AA11" s="4">
        <f>'Residential-Other'!Z11*Conversion!$B$3</f>
        <v>0</v>
      </c>
      <c r="AB11" s="4">
        <f>'Residential-Other'!AA11*Conversion!$B$3</f>
        <v>0</v>
      </c>
      <c r="AC11" s="4">
        <f>'Residential-Other'!AB11*Conversion!$B$3</f>
        <v>0</v>
      </c>
      <c r="AD11" s="4">
        <f>'Residential-Other'!AC11*Conversion!$B$3</f>
        <v>0</v>
      </c>
      <c r="AE11" s="4">
        <f>'Residential-Other'!AD11*Conversion!$B$3</f>
        <v>0</v>
      </c>
      <c r="AF11" s="4">
        <f>'Residential-Other'!AE11*Conversion!$B$3</f>
        <v>0</v>
      </c>
      <c r="AG11" s="4">
        <f>'Residential-Other'!AF11*Conversion!$B$3</f>
        <v>0</v>
      </c>
      <c r="AH11" s="4">
        <f>'Residential-Other'!AG11*Conversion!$B$3</f>
        <v>0</v>
      </c>
      <c r="AI11" s="4">
        <f>'Residential-Other'!AH11*Conversion!$B$3</f>
        <v>0</v>
      </c>
      <c r="AJ11" s="4">
        <f>'Residential-Other'!AI11*Conversion!$B$3</f>
        <v>0</v>
      </c>
      <c r="AK11" s="4">
        <f>'Residential-Other'!AJ11*Conversion!$B$3</f>
        <v>0</v>
      </c>
      <c r="AL11" s="4">
        <f>'Residential-Other'!AK11*Conversion!$B$3</f>
        <v>0</v>
      </c>
      <c r="AM11" s="4">
        <f>'Residential-Other'!AL11*Conversion!$B$3</f>
        <v>0</v>
      </c>
      <c r="AN11" s="4">
        <f>'Residential-Other'!AM11*Conversion!$B$3</f>
        <v>0</v>
      </c>
      <c r="AO11" s="4">
        <f>'Residential-Other'!AN11*Conversion!$B$3</f>
        <v>0</v>
      </c>
      <c r="AP11" s="4">
        <f>'Residential-Other'!AO11*Conversion!$B$3</f>
        <v>0</v>
      </c>
      <c r="AQ11" s="4">
        <f>'Residential-Other'!AP11*Conversion!$B$3</f>
        <v>0</v>
      </c>
      <c r="AR11" s="42">
        <f>'Residential-Other'!AQ11*Conversion!$B$3</f>
        <v>0</v>
      </c>
      <c r="AS11" s="42">
        <f>'Residential-Other'!AR11*Conversion!$B$3</f>
        <v>0</v>
      </c>
      <c r="AT11" s="42">
        <f>'Residential-Other'!AS11*Conversion!$B$3</f>
        <v>0</v>
      </c>
      <c r="AU11" s="42">
        <f>'Residential-Other'!AT11*Conversion!$B$3</f>
        <v>0</v>
      </c>
      <c r="AV11" s="42">
        <f>'Residential-Other'!AU11*Conversion!$B$3</f>
        <v>0</v>
      </c>
      <c r="AW11" s="42">
        <f>'Residential-Other'!AV11*Conversion!$B$3</f>
        <v>0</v>
      </c>
      <c r="AX11" s="42">
        <f>'Residential-Other'!AW11*Conversion!$B$3</f>
        <v>0</v>
      </c>
      <c r="AY11" s="42">
        <f>'Residential-Other'!AX11*Conversion!$B$3</f>
        <v>0</v>
      </c>
      <c r="AZ11" s="42">
        <f>'Residential-Other'!AY11*Conversion!$B$3</f>
        <v>0</v>
      </c>
      <c r="BA11" s="42">
        <f>'Residential-Other'!AZ11*Conversion!$B$3</f>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E7C5-B793-3645-AB8D-F9EDF61DA927}">
  <sheetPr>
    <tabColor theme="3" tint="0.249977111117893"/>
  </sheetPr>
  <dimension ref="A1:BA11"/>
  <sheetViews>
    <sheetView topLeftCell="AI1" workbookViewId="0">
      <selection activeCell="AR2" sqref="AR2: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12">
        <f>AQ1+1</f>
        <v>2061</v>
      </c>
      <c r="AS1" s="12">
        <f t="shared" ref="AS1:AZ1" si="0">AR1+1</f>
        <v>2062</v>
      </c>
      <c r="AT1" s="12">
        <f t="shared" si="0"/>
        <v>2063</v>
      </c>
      <c r="AU1" s="12">
        <f t="shared" si="0"/>
        <v>2064</v>
      </c>
      <c r="AV1" s="12">
        <f t="shared" si="0"/>
        <v>2065</v>
      </c>
      <c r="AW1" s="12">
        <f t="shared" si="0"/>
        <v>2066</v>
      </c>
      <c r="AX1" s="12">
        <f>AW1+1</f>
        <v>2067</v>
      </c>
      <c r="AY1" s="12">
        <f t="shared" si="0"/>
        <v>2068</v>
      </c>
      <c r="AZ1" s="12">
        <f t="shared" si="0"/>
        <v>2069</v>
      </c>
      <c r="BA1" s="12">
        <f>AZ1+1</f>
        <v>2070</v>
      </c>
    </row>
    <row r="2" spans="1:5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13</v>
      </c>
      <c r="B3" s="15">
        <f t="shared" ref="B3:B11" si="1">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14</v>
      </c>
      <c r="B4" s="15">
        <f t="shared" si="1"/>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15</v>
      </c>
      <c r="B5" s="15">
        <f t="shared" si="1"/>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16</v>
      </c>
      <c r="B6" s="15">
        <f t="shared" si="1"/>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17</v>
      </c>
      <c r="B7" s="15">
        <f t="shared" si="1"/>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18</v>
      </c>
      <c r="B8" s="15">
        <f t="shared" si="1"/>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19</v>
      </c>
      <c r="B9" s="15">
        <f t="shared" si="1"/>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20</v>
      </c>
      <c r="B10" s="15">
        <f t="shared" si="1"/>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21</v>
      </c>
      <c r="B11" s="15">
        <f t="shared" si="1"/>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FBBD-6562-E84C-BDCD-A04F0DA2FA83}">
  <sheetPr>
    <tabColor theme="3" tint="0.249977111117893"/>
  </sheetPr>
  <dimension ref="A1:BA11"/>
  <sheetViews>
    <sheetView topLeftCell="AE1" workbookViewId="0">
      <selection activeCell="AS24" sqref="AS24"/>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13</v>
      </c>
      <c r="B3" s="15">
        <f t="shared" ref="B3:B11" si="1">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14</v>
      </c>
      <c r="B4" s="15">
        <f t="shared" si="1"/>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15</v>
      </c>
      <c r="B5" s="15">
        <f t="shared" si="1"/>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16</v>
      </c>
      <c r="B6" s="15">
        <f t="shared" si="1"/>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17</v>
      </c>
      <c r="B7" s="15">
        <f t="shared" si="1"/>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18</v>
      </c>
      <c r="B8" s="15">
        <f t="shared" si="1"/>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19</v>
      </c>
      <c r="B9" s="15">
        <f t="shared" si="1"/>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20</v>
      </c>
      <c r="B10" s="15">
        <f t="shared" si="1"/>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21</v>
      </c>
      <c r="B11" s="15">
        <f t="shared" si="1"/>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1F01-9ABC-B449-8504-860C0CE3D9A4}">
  <sheetPr>
    <tabColor theme="3" tint="0.249977111117893"/>
  </sheetPr>
  <dimension ref="A1:BA11"/>
  <sheetViews>
    <sheetView topLeftCell="AH1" workbookViewId="0">
      <selection activeCell="AR1" sqref="AR1: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13</v>
      </c>
      <c r="B3" s="15">
        <f t="shared" ref="B3:B11" si="1">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14</v>
      </c>
      <c r="B4" s="15">
        <f t="shared" si="1"/>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15</v>
      </c>
      <c r="B5" s="15">
        <f t="shared" si="1"/>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16</v>
      </c>
      <c r="B6" s="15">
        <f t="shared" si="1"/>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17</v>
      </c>
      <c r="B7" s="15">
        <f t="shared" si="1"/>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18</v>
      </c>
      <c r="B8" s="15">
        <f t="shared" si="1"/>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19</v>
      </c>
      <c r="B9" s="15">
        <f t="shared" si="1"/>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20</v>
      </c>
      <c r="B10" s="15">
        <f t="shared" si="1"/>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21</v>
      </c>
      <c r="B11" s="15">
        <f t="shared" si="1"/>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99DC-B002-3049-8991-262FA7BDF6A4}">
  <sheetPr>
    <tabColor theme="3" tint="0.249977111117893"/>
  </sheetPr>
  <dimension ref="A1:BA11"/>
  <sheetViews>
    <sheetView topLeftCell="AH1" workbookViewId="0">
      <selection activeCell="AQ27" sqref="AQ27"/>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13</v>
      </c>
      <c r="B3" s="15">
        <f t="shared" ref="B3:B11" si="1">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14</v>
      </c>
      <c r="B4" s="15">
        <f t="shared" si="1"/>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15</v>
      </c>
      <c r="B5" s="15">
        <f t="shared" si="1"/>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16</v>
      </c>
      <c r="B6" s="15">
        <f t="shared" si="1"/>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17</v>
      </c>
      <c r="B7" s="15">
        <f t="shared" si="1"/>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18</v>
      </c>
      <c r="B8" s="15">
        <f t="shared" si="1"/>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19</v>
      </c>
      <c r="B9" s="15">
        <f t="shared" si="1"/>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20</v>
      </c>
      <c r="B10" s="15">
        <f t="shared" si="1"/>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21</v>
      </c>
      <c r="B11" s="15">
        <f t="shared" si="1"/>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556B-1454-614D-9C14-C3790B9102F2}">
  <sheetPr>
    <tabColor theme="3" tint="0.249977111117893"/>
  </sheetPr>
  <dimension ref="A1:BA11"/>
  <sheetViews>
    <sheetView topLeftCell="AC1" workbookViewId="0">
      <selection activeCell="AR1" sqref="AR1: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13</v>
      </c>
      <c r="B3" s="15">
        <f t="shared" ref="B3:B11" si="1">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14</v>
      </c>
      <c r="B4" s="15">
        <f t="shared" si="1"/>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15</v>
      </c>
      <c r="B5" s="15">
        <f t="shared" si="1"/>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16</v>
      </c>
      <c r="B6" s="15">
        <f t="shared" si="1"/>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17</v>
      </c>
      <c r="B7" s="15">
        <f t="shared" si="1"/>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18</v>
      </c>
      <c r="B8" s="15">
        <f t="shared" si="1"/>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19</v>
      </c>
      <c r="B9" s="15">
        <f t="shared" si="1"/>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20</v>
      </c>
      <c r="B10" s="15">
        <f t="shared" si="1"/>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21</v>
      </c>
      <c r="B11" s="15">
        <f t="shared" si="1"/>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52C5-CB0D-3A4C-A0F3-671BE08C56C4}">
  <sheetPr>
    <tabColor theme="3" tint="0.249977111117893"/>
  </sheetPr>
  <dimension ref="A1:BA11"/>
  <sheetViews>
    <sheetView topLeftCell="AK1" workbookViewId="0">
      <selection activeCell="AR1" sqref="AR1: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C2</f>
        <v>0</v>
      </c>
      <c r="C2" s="4">
        <f>'Commercial-Heating'!C2*Conversion!$B$3</f>
        <v>0</v>
      </c>
      <c r="D2" s="4">
        <f>'Commercial-Heating'!D2*Conversion!$B$3</f>
        <v>0</v>
      </c>
      <c r="E2" s="4">
        <f>'Commercial-Heating'!E2*Conversion!$B$3</f>
        <v>0</v>
      </c>
      <c r="F2" s="4">
        <f>'Commercial-Heating'!F2*Conversion!$B$3</f>
        <v>0</v>
      </c>
      <c r="G2" s="4">
        <f>'Commercial-Heating'!G2*Conversion!$B$3</f>
        <v>0</v>
      </c>
      <c r="H2" s="4">
        <f>'Commercial-Heating'!H2*Conversion!$B$3</f>
        <v>0</v>
      </c>
      <c r="I2" s="4">
        <f>'Commercial-Heating'!I2*Conversion!$B$3</f>
        <v>0</v>
      </c>
      <c r="J2" s="4">
        <f>'Commercial-Heating'!J2*Conversion!$B$3</f>
        <v>0</v>
      </c>
      <c r="K2" s="4">
        <f>'Commercial-Heating'!K2*Conversion!$B$3</f>
        <v>0</v>
      </c>
      <c r="L2" s="4">
        <f>'Commercial-Heating'!L2*Conversion!$B$3</f>
        <v>0</v>
      </c>
      <c r="M2" s="4">
        <f>'Commercial-Heating'!M2*Conversion!$B$3</f>
        <v>0</v>
      </c>
      <c r="N2" s="4">
        <f>'Commercial-Heating'!N2*Conversion!$B$3</f>
        <v>0</v>
      </c>
      <c r="O2" s="4">
        <f>'Commercial-Heating'!O2*Conversion!$B$3</f>
        <v>0</v>
      </c>
      <c r="P2" s="4">
        <f>'Commercial-Heating'!P2*Conversion!$B$3</f>
        <v>0</v>
      </c>
      <c r="Q2" s="4">
        <f>'Commercial-Heating'!Q2*Conversion!$B$3</f>
        <v>0</v>
      </c>
      <c r="R2" s="4">
        <f>'Commercial-Heating'!R2*Conversion!$B$3</f>
        <v>0</v>
      </c>
      <c r="S2" s="4">
        <f>'Commercial-Heating'!S2*Conversion!$B$3</f>
        <v>0</v>
      </c>
      <c r="T2" s="4">
        <f>'Commercial-Heating'!T2*Conversion!$B$3</f>
        <v>0</v>
      </c>
      <c r="U2" s="4">
        <f>'Commercial-Heating'!U2*Conversion!$B$3</f>
        <v>0</v>
      </c>
      <c r="V2" s="4">
        <f>'Commercial-Heating'!V2*Conversion!$B$3</f>
        <v>0</v>
      </c>
      <c r="W2" s="4">
        <f>'Commercial-Heating'!W2*Conversion!$B$3</f>
        <v>0</v>
      </c>
      <c r="X2" s="4">
        <f>'Commercial-Heating'!X2*Conversion!$B$3</f>
        <v>0</v>
      </c>
      <c r="Y2" s="4">
        <f>'Commercial-Heating'!Y2*Conversion!$B$3</f>
        <v>0</v>
      </c>
      <c r="Z2" s="4">
        <f>'Commercial-Heating'!Z2*Conversion!$B$3</f>
        <v>0</v>
      </c>
      <c r="AA2" s="4">
        <f>'Commercial-Heating'!AA2*Conversion!$B$3</f>
        <v>0</v>
      </c>
      <c r="AB2" s="4">
        <f>'Commercial-Heating'!AB2*Conversion!$B$3</f>
        <v>0</v>
      </c>
      <c r="AC2" s="4">
        <f>'Commercial-Heating'!AC2*Conversion!$B$3</f>
        <v>0</v>
      </c>
      <c r="AD2" s="4">
        <f>'Commercial-Heating'!AD2*Conversion!$B$3</f>
        <v>0</v>
      </c>
      <c r="AE2" s="4">
        <f>'Commercial-Heating'!AE2*Conversion!$B$3</f>
        <v>0</v>
      </c>
      <c r="AF2" s="4">
        <f>'Commercial-Heating'!AF2*Conversion!$B$3</f>
        <v>0</v>
      </c>
      <c r="AG2" s="4">
        <f>'Commercial-Heating'!AG2*Conversion!$B$3</f>
        <v>0</v>
      </c>
      <c r="AH2" s="4">
        <f>'Commercial-Heating'!AH2*Conversion!$B$3</f>
        <v>0</v>
      </c>
      <c r="AI2" s="4">
        <f>'Commercial-Heating'!AI2*Conversion!$B$3</f>
        <v>0</v>
      </c>
      <c r="AJ2" s="4">
        <f>'Commercial-Heating'!AJ2*Conversion!$B$3</f>
        <v>0</v>
      </c>
      <c r="AK2" s="4">
        <f>'Commercial-Heating'!AK2*Conversion!$B$3</f>
        <v>0</v>
      </c>
      <c r="AL2" s="4">
        <f>'Commercial-Heating'!AL2*Conversion!$B$3</f>
        <v>0</v>
      </c>
      <c r="AM2" s="4">
        <f>'Commercial-Heating'!AM2*Conversion!$B$3</f>
        <v>0</v>
      </c>
      <c r="AN2" s="4">
        <f>'Commercial-Heating'!AN2*Conversion!$B$3</f>
        <v>0</v>
      </c>
      <c r="AO2" s="4">
        <f>'Commercial-Heating'!AO2*Conversion!$B$3</f>
        <v>0</v>
      </c>
      <c r="AP2" s="4">
        <f>'Commercial-Heating'!AP2*Conversion!$B$3</f>
        <v>0</v>
      </c>
      <c r="AQ2" s="4">
        <f>'Commercial-Heating'!AQ2*Conversion!$B$3</f>
        <v>0</v>
      </c>
      <c r="AR2" s="42">
        <f>'Commercial-Heating'!AR2*Conversion!$B$3</f>
        <v>0</v>
      </c>
      <c r="AS2" s="42">
        <f>'Commercial-Heating'!AS2*Conversion!$B$3</f>
        <v>0</v>
      </c>
      <c r="AT2" s="42">
        <f>'Commercial-Heating'!AT2*Conversion!$B$3</f>
        <v>0</v>
      </c>
      <c r="AU2" s="42">
        <f>'Commercial-Heating'!AU2*Conversion!$B$3</f>
        <v>0</v>
      </c>
      <c r="AV2" s="42">
        <f>'Commercial-Heating'!AV2*Conversion!$B$3</f>
        <v>0</v>
      </c>
      <c r="AW2" s="42">
        <f>'Commercial-Heating'!AW2*Conversion!$B$3</f>
        <v>0</v>
      </c>
      <c r="AX2" s="42">
        <f>'Commercial-Heating'!AX2*Conversion!$B$3</f>
        <v>0</v>
      </c>
      <c r="AY2" s="42">
        <f>'Commercial-Heating'!AY2*Conversion!$B$3</f>
        <v>0</v>
      </c>
      <c r="AZ2" s="42">
        <f>'Commercial-Heating'!AZ2*Conversion!$B$3</f>
        <v>0</v>
      </c>
      <c r="BA2" s="42">
        <f>'Commercial-Heating'!BA2*Conversion!$B$3</f>
        <v>0</v>
      </c>
    </row>
    <row r="3" spans="1:53" x14ac:dyDescent="0.2">
      <c r="A3" s="1" t="s">
        <v>13</v>
      </c>
      <c r="B3" s="15">
        <f t="shared" ref="B3:B11" si="1">C3</f>
        <v>0</v>
      </c>
      <c r="C3" s="4">
        <f>'Commercial-Heating'!C3*Conversion!$B$3</f>
        <v>0</v>
      </c>
      <c r="D3" s="4">
        <f>'Commercial-Heating'!D3*Conversion!$B$3</f>
        <v>0</v>
      </c>
      <c r="E3" s="4">
        <f>'Commercial-Heating'!E3*Conversion!$B$3</f>
        <v>0</v>
      </c>
      <c r="F3" s="4">
        <f>'Commercial-Heating'!F3*Conversion!$B$3</f>
        <v>0</v>
      </c>
      <c r="G3" s="4">
        <f>'Commercial-Heating'!G3*Conversion!$B$3</f>
        <v>0</v>
      </c>
      <c r="H3" s="4">
        <f>'Commercial-Heating'!H3*Conversion!$B$3</f>
        <v>0</v>
      </c>
      <c r="I3" s="4">
        <f>'Commercial-Heating'!I3*Conversion!$B$3</f>
        <v>0</v>
      </c>
      <c r="J3" s="4">
        <f>'Commercial-Heating'!J3*Conversion!$B$3</f>
        <v>0</v>
      </c>
      <c r="K3" s="4">
        <f>'Commercial-Heating'!K3*Conversion!$B$3</f>
        <v>0</v>
      </c>
      <c r="L3" s="4">
        <f>'Commercial-Heating'!L3*Conversion!$B$3</f>
        <v>0</v>
      </c>
      <c r="M3" s="4">
        <f>'Commercial-Heating'!M3*Conversion!$B$3</f>
        <v>0</v>
      </c>
      <c r="N3" s="4">
        <f>'Commercial-Heating'!N3*Conversion!$B$3</f>
        <v>0</v>
      </c>
      <c r="O3" s="4">
        <f>'Commercial-Heating'!O3*Conversion!$B$3</f>
        <v>0</v>
      </c>
      <c r="P3" s="4">
        <f>'Commercial-Heating'!P3*Conversion!$B$3</f>
        <v>0</v>
      </c>
      <c r="Q3" s="4">
        <f>'Commercial-Heating'!Q3*Conversion!$B$3</f>
        <v>0</v>
      </c>
      <c r="R3" s="4">
        <f>'Commercial-Heating'!R3*Conversion!$B$3</f>
        <v>0</v>
      </c>
      <c r="S3" s="4">
        <f>'Commercial-Heating'!S3*Conversion!$B$3</f>
        <v>0</v>
      </c>
      <c r="T3" s="4">
        <f>'Commercial-Heating'!T3*Conversion!$B$3</f>
        <v>0</v>
      </c>
      <c r="U3" s="4">
        <f>'Commercial-Heating'!U3*Conversion!$B$3</f>
        <v>0</v>
      </c>
      <c r="V3" s="4">
        <f>'Commercial-Heating'!V3*Conversion!$B$3</f>
        <v>0</v>
      </c>
      <c r="W3" s="4">
        <f>'Commercial-Heating'!W3*Conversion!$B$3</f>
        <v>0</v>
      </c>
      <c r="X3" s="4">
        <f>'Commercial-Heating'!X3*Conversion!$B$3</f>
        <v>0</v>
      </c>
      <c r="Y3" s="4">
        <f>'Commercial-Heating'!Y3*Conversion!$B$3</f>
        <v>0</v>
      </c>
      <c r="Z3" s="4">
        <f>'Commercial-Heating'!Z3*Conversion!$B$3</f>
        <v>0</v>
      </c>
      <c r="AA3" s="4">
        <f>'Commercial-Heating'!AA3*Conversion!$B$3</f>
        <v>0</v>
      </c>
      <c r="AB3" s="4">
        <f>'Commercial-Heating'!AB3*Conversion!$B$3</f>
        <v>0</v>
      </c>
      <c r="AC3" s="4">
        <f>'Commercial-Heating'!AC3*Conversion!$B$3</f>
        <v>0</v>
      </c>
      <c r="AD3" s="4">
        <f>'Commercial-Heating'!AD3*Conversion!$B$3</f>
        <v>0</v>
      </c>
      <c r="AE3" s="4">
        <f>'Commercial-Heating'!AE3*Conversion!$B$3</f>
        <v>0</v>
      </c>
      <c r="AF3" s="4">
        <f>'Commercial-Heating'!AF3*Conversion!$B$3</f>
        <v>0</v>
      </c>
      <c r="AG3" s="4">
        <f>'Commercial-Heating'!AG3*Conversion!$B$3</f>
        <v>0</v>
      </c>
      <c r="AH3" s="4">
        <f>'Commercial-Heating'!AH3*Conversion!$B$3</f>
        <v>0</v>
      </c>
      <c r="AI3" s="4">
        <f>'Commercial-Heating'!AI3*Conversion!$B$3</f>
        <v>0</v>
      </c>
      <c r="AJ3" s="4">
        <f>'Commercial-Heating'!AJ3*Conversion!$B$3</f>
        <v>0</v>
      </c>
      <c r="AK3" s="4">
        <f>'Commercial-Heating'!AK3*Conversion!$B$3</f>
        <v>0</v>
      </c>
      <c r="AL3" s="4">
        <f>'Commercial-Heating'!AL3*Conversion!$B$3</f>
        <v>0</v>
      </c>
      <c r="AM3" s="4">
        <f>'Commercial-Heating'!AM3*Conversion!$B$3</f>
        <v>0</v>
      </c>
      <c r="AN3" s="4">
        <f>'Commercial-Heating'!AN3*Conversion!$B$3</f>
        <v>0</v>
      </c>
      <c r="AO3" s="4">
        <f>'Commercial-Heating'!AO3*Conversion!$B$3</f>
        <v>0</v>
      </c>
      <c r="AP3" s="4">
        <f>'Commercial-Heating'!AP3*Conversion!$B$3</f>
        <v>0</v>
      </c>
      <c r="AQ3" s="4">
        <f>'Commercial-Heating'!AQ3*Conversion!$B$3</f>
        <v>0</v>
      </c>
      <c r="AR3" s="42">
        <f>'Commercial-Heating'!AR3*Conversion!$B$3</f>
        <v>0</v>
      </c>
      <c r="AS3" s="42">
        <f>'Commercial-Heating'!AS3*Conversion!$B$3</f>
        <v>0</v>
      </c>
      <c r="AT3" s="42">
        <f>'Commercial-Heating'!AT3*Conversion!$B$3</f>
        <v>0</v>
      </c>
      <c r="AU3" s="42">
        <f>'Commercial-Heating'!AU3*Conversion!$B$3</f>
        <v>0</v>
      </c>
      <c r="AV3" s="42">
        <f>'Commercial-Heating'!AV3*Conversion!$B$3</f>
        <v>0</v>
      </c>
      <c r="AW3" s="42">
        <f>'Commercial-Heating'!AW3*Conversion!$B$3</f>
        <v>0</v>
      </c>
      <c r="AX3" s="42">
        <f>'Commercial-Heating'!AX3*Conversion!$B$3</f>
        <v>0</v>
      </c>
      <c r="AY3" s="42">
        <f>'Commercial-Heating'!AY3*Conversion!$B$3</f>
        <v>0</v>
      </c>
      <c r="AZ3" s="42">
        <f>'Commercial-Heating'!AZ3*Conversion!$B$3</f>
        <v>0</v>
      </c>
      <c r="BA3" s="42">
        <f>'Commercial-Heating'!BA3*Conversion!$B$3</f>
        <v>0</v>
      </c>
    </row>
    <row r="4" spans="1:53" x14ac:dyDescent="0.2">
      <c r="A4" s="1" t="s">
        <v>14</v>
      </c>
      <c r="B4" s="15">
        <f t="shared" si="1"/>
        <v>0</v>
      </c>
      <c r="C4" s="4">
        <f>'Commercial-Heating'!C4*Conversion!$B$3</f>
        <v>0</v>
      </c>
      <c r="D4" s="4">
        <f>'Commercial-Heating'!D4*Conversion!$B$3</f>
        <v>0</v>
      </c>
      <c r="E4" s="4">
        <f>'Commercial-Heating'!E4*Conversion!$B$3</f>
        <v>0</v>
      </c>
      <c r="F4" s="4">
        <f>'Commercial-Heating'!F4*Conversion!$B$3</f>
        <v>0</v>
      </c>
      <c r="G4" s="4">
        <f>'Commercial-Heating'!G4*Conversion!$B$3</f>
        <v>0</v>
      </c>
      <c r="H4" s="4">
        <f>'Commercial-Heating'!H4*Conversion!$B$3</f>
        <v>0</v>
      </c>
      <c r="I4" s="4">
        <f>'Commercial-Heating'!I4*Conversion!$B$3</f>
        <v>0</v>
      </c>
      <c r="J4" s="4">
        <f>'Commercial-Heating'!J4*Conversion!$B$3</f>
        <v>0</v>
      </c>
      <c r="K4" s="4">
        <f>'Commercial-Heating'!K4*Conversion!$B$3</f>
        <v>0</v>
      </c>
      <c r="L4" s="4">
        <f>'Commercial-Heating'!L4*Conversion!$B$3</f>
        <v>0</v>
      </c>
      <c r="M4" s="4">
        <f>'Commercial-Heating'!M4*Conversion!$B$3</f>
        <v>0</v>
      </c>
      <c r="N4" s="4">
        <f>'Commercial-Heating'!N4*Conversion!$B$3</f>
        <v>0</v>
      </c>
      <c r="O4" s="4">
        <f>'Commercial-Heating'!O4*Conversion!$B$3</f>
        <v>0</v>
      </c>
      <c r="P4" s="4">
        <f>'Commercial-Heating'!P4*Conversion!$B$3</f>
        <v>0</v>
      </c>
      <c r="Q4" s="4">
        <f>'Commercial-Heating'!Q4*Conversion!$B$3</f>
        <v>0</v>
      </c>
      <c r="R4" s="4">
        <f>'Commercial-Heating'!R4*Conversion!$B$3</f>
        <v>0</v>
      </c>
      <c r="S4" s="4">
        <f>'Commercial-Heating'!S4*Conversion!$B$3</f>
        <v>0</v>
      </c>
      <c r="T4" s="4">
        <f>'Commercial-Heating'!T4*Conversion!$B$3</f>
        <v>0</v>
      </c>
      <c r="U4" s="4">
        <f>'Commercial-Heating'!U4*Conversion!$B$3</f>
        <v>0</v>
      </c>
      <c r="V4" s="4">
        <f>'Commercial-Heating'!V4*Conversion!$B$3</f>
        <v>0</v>
      </c>
      <c r="W4" s="4">
        <f>'Commercial-Heating'!W4*Conversion!$B$3</f>
        <v>0</v>
      </c>
      <c r="X4" s="4">
        <f>'Commercial-Heating'!X4*Conversion!$B$3</f>
        <v>0</v>
      </c>
      <c r="Y4" s="4">
        <f>'Commercial-Heating'!Y4*Conversion!$B$3</f>
        <v>0</v>
      </c>
      <c r="Z4" s="4">
        <f>'Commercial-Heating'!Z4*Conversion!$B$3</f>
        <v>0</v>
      </c>
      <c r="AA4" s="4">
        <f>'Commercial-Heating'!AA4*Conversion!$B$3</f>
        <v>0</v>
      </c>
      <c r="AB4" s="4">
        <f>'Commercial-Heating'!AB4*Conversion!$B$3</f>
        <v>0</v>
      </c>
      <c r="AC4" s="4">
        <f>'Commercial-Heating'!AC4*Conversion!$B$3</f>
        <v>0</v>
      </c>
      <c r="AD4" s="4">
        <f>'Commercial-Heating'!AD4*Conversion!$B$3</f>
        <v>0</v>
      </c>
      <c r="AE4" s="4">
        <f>'Commercial-Heating'!AE4*Conversion!$B$3</f>
        <v>0</v>
      </c>
      <c r="AF4" s="4">
        <f>'Commercial-Heating'!AF4*Conversion!$B$3</f>
        <v>0</v>
      </c>
      <c r="AG4" s="4">
        <f>'Commercial-Heating'!AG4*Conversion!$B$3</f>
        <v>0</v>
      </c>
      <c r="AH4" s="4">
        <f>'Commercial-Heating'!AH4*Conversion!$B$3</f>
        <v>0</v>
      </c>
      <c r="AI4" s="4">
        <f>'Commercial-Heating'!AI4*Conversion!$B$3</f>
        <v>0</v>
      </c>
      <c r="AJ4" s="4">
        <f>'Commercial-Heating'!AJ4*Conversion!$B$3</f>
        <v>0</v>
      </c>
      <c r="AK4" s="4">
        <f>'Commercial-Heating'!AK4*Conversion!$B$3</f>
        <v>0</v>
      </c>
      <c r="AL4" s="4">
        <f>'Commercial-Heating'!AL4*Conversion!$B$3</f>
        <v>0</v>
      </c>
      <c r="AM4" s="4">
        <f>'Commercial-Heating'!AM4*Conversion!$B$3</f>
        <v>0</v>
      </c>
      <c r="AN4" s="4">
        <f>'Commercial-Heating'!AN4*Conversion!$B$3</f>
        <v>0</v>
      </c>
      <c r="AO4" s="4">
        <f>'Commercial-Heating'!AO4*Conversion!$B$3</f>
        <v>0</v>
      </c>
      <c r="AP4" s="4">
        <f>'Commercial-Heating'!AP4*Conversion!$B$3</f>
        <v>0</v>
      </c>
      <c r="AQ4" s="4">
        <f>'Commercial-Heating'!AQ4*Conversion!$B$3</f>
        <v>0</v>
      </c>
      <c r="AR4" s="42">
        <f>'Commercial-Heating'!AR4*Conversion!$B$3</f>
        <v>0</v>
      </c>
      <c r="AS4" s="42">
        <f>'Commercial-Heating'!AS4*Conversion!$B$3</f>
        <v>0</v>
      </c>
      <c r="AT4" s="42">
        <f>'Commercial-Heating'!AT4*Conversion!$B$3</f>
        <v>0</v>
      </c>
      <c r="AU4" s="42">
        <f>'Commercial-Heating'!AU4*Conversion!$B$3</f>
        <v>0</v>
      </c>
      <c r="AV4" s="42">
        <f>'Commercial-Heating'!AV4*Conversion!$B$3</f>
        <v>0</v>
      </c>
      <c r="AW4" s="42">
        <f>'Commercial-Heating'!AW4*Conversion!$B$3</f>
        <v>0</v>
      </c>
      <c r="AX4" s="42">
        <f>'Commercial-Heating'!AX4*Conversion!$B$3</f>
        <v>0</v>
      </c>
      <c r="AY4" s="42">
        <f>'Commercial-Heating'!AY4*Conversion!$B$3</f>
        <v>0</v>
      </c>
      <c r="AZ4" s="42">
        <f>'Commercial-Heating'!AZ4*Conversion!$B$3</f>
        <v>0</v>
      </c>
      <c r="BA4" s="42">
        <f>'Commercial-Heating'!BA4*Conversion!$B$3</f>
        <v>0</v>
      </c>
    </row>
    <row r="5" spans="1:53" x14ac:dyDescent="0.2">
      <c r="A5" s="1" t="s">
        <v>15</v>
      </c>
      <c r="B5" s="15">
        <f t="shared" si="1"/>
        <v>0</v>
      </c>
      <c r="C5" s="4">
        <f>'Commercial-Heating'!C5*Conversion!$B$3</f>
        <v>0</v>
      </c>
      <c r="D5" s="4">
        <f>'Commercial-Heating'!D5*Conversion!$B$3</f>
        <v>0</v>
      </c>
      <c r="E5" s="4">
        <f>'Commercial-Heating'!E5*Conversion!$B$3</f>
        <v>0</v>
      </c>
      <c r="F5" s="4">
        <f>'Commercial-Heating'!F5*Conversion!$B$3</f>
        <v>0</v>
      </c>
      <c r="G5" s="4">
        <f>'Commercial-Heating'!G5*Conversion!$B$3</f>
        <v>0</v>
      </c>
      <c r="H5" s="4">
        <f>'Commercial-Heating'!H5*Conversion!$B$3</f>
        <v>0</v>
      </c>
      <c r="I5" s="4">
        <f>'Commercial-Heating'!I5*Conversion!$B$3</f>
        <v>0</v>
      </c>
      <c r="J5" s="4">
        <f>'Commercial-Heating'!J5*Conversion!$B$3</f>
        <v>0</v>
      </c>
      <c r="K5" s="4">
        <f>'Commercial-Heating'!K5*Conversion!$B$3</f>
        <v>0</v>
      </c>
      <c r="L5" s="4">
        <f>'Commercial-Heating'!L5*Conversion!$B$3</f>
        <v>0</v>
      </c>
      <c r="M5" s="4">
        <f>'Commercial-Heating'!M5*Conversion!$B$3</f>
        <v>0</v>
      </c>
      <c r="N5" s="4">
        <f>'Commercial-Heating'!N5*Conversion!$B$3</f>
        <v>0</v>
      </c>
      <c r="O5" s="4">
        <f>'Commercial-Heating'!O5*Conversion!$B$3</f>
        <v>0</v>
      </c>
      <c r="P5" s="4">
        <f>'Commercial-Heating'!P5*Conversion!$B$3</f>
        <v>0</v>
      </c>
      <c r="Q5" s="4">
        <f>'Commercial-Heating'!Q5*Conversion!$B$3</f>
        <v>0</v>
      </c>
      <c r="R5" s="4">
        <f>'Commercial-Heating'!R5*Conversion!$B$3</f>
        <v>0</v>
      </c>
      <c r="S5" s="4">
        <f>'Commercial-Heating'!S5*Conversion!$B$3</f>
        <v>0</v>
      </c>
      <c r="T5" s="4">
        <f>'Commercial-Heating'!T5*Conversion!$B$3</f>
        <v>0</v>
      </c>
      <c r="U5" s="4">
        <f>'Commercial-Heating'!U5*Conversion!$B$3</f>
        <v>0</v>
      </c>
      <c r="V5" s="4">
        <f>'Commercial-Heating'!V5*Conversion!$B$3</f>
        <v>0</v>
      </c>
      <c r="W5" s="4">
        <f>'Commercial-Heating'!W5*Conversion!$B$3</f>
        <v>0</v>
      </c>
      <c r="X5" s="4">
        <f>'Commercial-Heating'!X5*Conversion!$B$3</f>
        <v>0</v>
      </c>
      <c r="Y5" s="4">
        <f>'Commercial-Heating'!Y5*Conversion!$B$3</f>
        <v>0</v>
      </c>
      <c r="Z5" s="4">
        <f>'Commercial-Heating'!Z5*Conversion!$B$3</f>
        <v>0</v>
      </c>
      <c r="AA5" s="4">
        <f>'Commercial-Heating'!AA5*Conversion!$B$3</f>
        <v>0</v>
      </c>
      <c r="AB5" s="4">
        <f>'Commercial-Heating'!AB5*Conversion!$B$3</f>
        <v>0</v>
      </c>
      <c r="AC5" s="4">
        <f>'Commercial-Heating'!AC5*Conversion!$B$3</f>
        <v>0</v>
      </c>
      <c r="AD5" s="4">
        <f>'Commercial-Heating'!AD5*Conversion!$B$3</f>
        <v>0</v>
      </c>
      <c r="AE5" s="4">
        <f>'Commercial-Heating'!AE5*Conversion!$B$3</f>
        <v>0</v>
      </c>
      <c r="AF5" s="4">
        <f>'Commercial-Heating'!AF5*Conversion!$B$3</f>
        <v>0</v>
      </c>
      <c r="AG5" s="4">
        <f>'Commercial-Heating'!AG5*Conversion!$B$3</f>
        <v>0</v>
      </c>
      <c r="AH5" s="4">
        <f>'Commercial-Heating'!AH5*Conversion!$B$3</f>
        <v>0</v>
      </c>
      <c r="AI5" s="4">
        <f>'Commercial-Heating'!AI5*Conversion!$B$3</f>
        <v>0</v>
      </c>
      <c r="AJ5" s="4">
        <f>'Commercial-Heating'!AJ5*Conversion!$B$3</f>
        <v>0</v>
      </c>
      <c r="AK5" s="4">
        <f>'Commercial-Heating'!AK5*Conversion!$B$3</f>
        <v>0</v>
      </c>
      <c r="AL5" s="4">
        <f>'Commercial-Heating'!AL5*Conversion!$B$3</f>
        <v>0</v>
      </c>
      <c r="AM5" s="4">
        <f>'Commercial-Heating'!AM5*Conversion!$B$3</f>
        <v>0</v>
      </c>
      <c r="AN5" s="4">
        <f>'Commercial-Heating'!AN5*Conversion!$B$3</f>
        <v>0</v>
      </c>
      <c r="AO5" s="4">
        <f>'Commercial-Heating'!AO5*Conversion!$B$3</f>
        <v>0</v>
      </c>
      <c r="AP5" s="4">
        <f>'Commercial-Heating'!AP5*Conversion!$B$3</f>
        <v>0</v>
      </c>
      <c r="AQ5" s="4">
        <f>'Commercial-Heating'!AQ5*Conversion!$B$3</f>
        <v>0</v>
      </c>
      <c r="AR5" s="42">
        <f>'Commercial-Heating'!AR5*Conversion!$B$3</f>
        <v>0</v>
      </c>
      <c r="AS5" s="42">
        <f>'Commercial-Heating'!AS5*Conversion!$B$3</f>
        <v>0</v>
      </c>
      <c r="AT5" s="42">
        <f>'Commercial-Heating'!AT5*Conversion!$B$3</f>
        <v>0</v>
      </c>
      <c r="AU5" s="42">
        <f>'Commercial-Heating'!AU5*Conversion!$B$3</f>
        <v>0</v>
      </c>
      <c r="AV5" s="42">
        <f>'Commercial-Heating'!AV5*Conversion!$B$3</f>
        <v>0</v>
      </c>
      <c r="AW5" s="42">
        <f>'Commercial-Heating'!AW5*Conversion!$B$3</f>
        <v>0</v>
      </c>
      <c r="AX5" s="42">
        <f>'Commercial-Heating'!AX5*Conversion!$B$3</f>
        <v>0</v>
      </c>
      <c r="AY5" s="42">
        <f>'Commercial-Heating'!AY5*Conversion!$B$3</f>
        <v>0</v>
      </c>
      <c r="AZ5" s="42">
        <f>'Commercial-Heating'!AZ5*Conversion!$B$3</f>
        <v>0</v>
      </c>
      <c r="BA5" s="42">
        <f>'Commercial-Heating'!BA5*Conversion!$B$3</f>
        <v>0</v>
      </c>
    </row>
    <row r="6" spans="1:53" x14ac:dyDescent="0.2">
      <c r="A6" s="1" t="s">
        <v>16</v>
      </c>
      <c r="B6" s="15">
        <f t="shared" si="1"/>
        <v>0</v>
      </c>
      <c r="C6" s="4">
        <f>'Commercial-Heating'!C6*Conversion!$B$3</f>
        <v>0</v>
      </c>
      <c r="D6" s="4">
        <f>'Commercial-Heating'!D6*Conversion!$B$3</f>
        <v>0</v>
      </c>
      <c r="E6" s="4">
        <f>'Commercial-Heating'!E6*Conversion!$B$3</f>
        <v>0</v>
      </c>
      <c r="F6" s="4">
        <f>'Commercial-Heating'!F6*Conversion!$B$3</f>
        <v>0</v>
      </c>
      <c r="G6" s="4">
        <f>'Commercial-Heating'!G6*Conversion!$B$3</f>
        <v>0</v>
      </c>
      <c r="H6" s="4">
        <f>'Commercial-Heating'!H6*Conversion!$B$3</f>
        <v>0</v>
      </c>
      <c r="I6" s="4">
        <f>'Commercial-Heating'!I6*Conversion!$B$3</f>
        <v>0</v>
      </c>
      <c r="J6" s="4">
        <f>'Commercial-Heating'!J6*Conversion!$B$3</f>
        <v>0</v>
      </c>
      <c r="K6" s="4">
        <f>'Commercial-Heating'!K6*Conversion!$B$3</f>
        <v>0</v>
      </c>
      <c r="L6" s="4">
        <f>'Commercial-Heating'!L6*Conversion!$B$3</f>
        <v>0</v>
      </c>
      <c r="M6" s="4">
        <f>'Commercial-Heating'!M6*Conversion!$B$3</f>
        <v>0</v>
      </c>
      <c r="N6" s="4">
        <f>'Commercial-Heating'!N6*Conversion!$B$3</f>
        <v>0</v>
      </c>
      <c r="O6" s="4">
        <f>'Commercial-Heating'!O6*Conversion!$B$3</f>
        <v>0</v>
      </c>
      <c r="P6" s="4">
        <f>'Commercial-Heating'!P6*Conversion!$B$3</f>
        <v>0</v>
      </c>
      <c r="Q6" s="4">
        <f>'Commercial-Heating'!Q6*Conversion!$B$3</f>
        <v>0</v>
      </c>
      <c r="R6" s="4">
        <f>'Commercial-Heating'!R6*Conversion!$B$3</f>
        <v>0</v>
      </c>
      <c r="S6" s="4">
        <f>'Commercial-Heating'!S6*Conversion!$B$3</f>
        <v>0</v>
      </c>
      <c r="T6" s="4">
        <f>'Commercial-Heating'!T6*Conversion!$B$3</f>
        <v>0</v>
      </c>
      <c r="U6" s="4">
        <f>'Commercial-Heating'!U6*Conversion!$B$3</f>
        <v>0</v>
      </c>
      <c r="V6" s="4">
        <f>'Commercial-Heating'!V6*Conversion!$B$3</f>
        <v>0</v>
      </c>
      <c r="W6" s="4">
        <f>'Commercial-Heating'!W6*Conversion!$B$3</f>
        <v>0</v>
      </c>
      <c r="X6" s="4">
        <f>'Commercial-Heating'!X6*Conversion!$B$3</f>
        <v>0</v>
      </c>
      <c r="Y6" s="4">
        <f>'Commercial-Heating'!Y6*Conversion!$B$3</f>
        <v>0</v>
      </c>
      <c r="Z6" s="4">
        <f>'Commercial-Heating'!Z6*Conversion!$B$3</f>
        <v>0</v>
      </c>
      <c r="AA6" s="4">
        <f>'Commercial-Heating'!AA6*Conversion!$B$3</f>
        <v>0</v>
      </c>
      <c r="AB6" s="4">
        <f>'Commercial-Heating'!AB6*Conversion!$B$3</f>
        <v>0</v>
      </c>
      <c r="AC6" s="4">
        <f>'Commercial-Heating'!AC6*Conversion!$B$3</f>
        <v>0</v>
      </c>
      <c r="AD6" s="4">
        <f>'Commercial-Heating'!AD6*Conversion!$B$3</f>
        <v>0</v>
      </c>
      <c r="AE6" s="4">
        <f>'Commercial-Heating'!AE6*Conversion!$B$3</f>
        <v>0</v>
      </c>
      <c r="AF6" s="4">
        <f>'Commercial-Heating'!AF6*Conversion!$B$3</f>
        <v>0</v>
      </c>
      <c r="AG6" s="4">
        <f>'Commercial-Heating'!AG6*Conversion!$B$3</f>
        <v>0</v>
      </c>
      <c r="AH6" s="4">
        <f>'Commercial-Heating'!AH6*Conversion!$B$3</f>
        <v>0</v>
      </c>
      <c r="AI6" s="4">
        <f>'Commercial-Heating'!AI6*Conversion!$B$3</f>
        <v>0</v>
      </c>
      <c r="AJ6" s="4">
        <f>'Commercial-Heating'!AJ6*Conversion!$B$3</f>
        <v>0</v>
      </c>
      <c r="AK6" s="4">
        <f>'Commercial-Heating'!AK6*Conversion!$B$3</f>
        <v>0</v>
      </c>
      <c r="AL6" s="4">
        <f>'Commercial-Heating'!AL6*Conversion!$B$3</f>
        <v>0</v>
      </c>
      <c r="AM6" s="4">
        <f>'Commercial-Heating'!AM6*Conversion!$B$3</f>
        <v>0</v>
      </c>
      <c r="AN6" s="4">
        <f>'Commercial-Heating'!AN6*Conversion!$B$3</f>
        <v>0</v>
      </c>
      <c r="AO6" s="4">
        <f>'Commercial-Heating'!AO6*Conversion!$B$3</f>
        <v>0</v>
      </c>
      <c r="AP6" s="4">
        <f>'Commercial-Heating'!AP6*Conversion!$B$3</f>
        <v>0</v>
      </c>
      <c r="AQ6" s="4">
        <f>'Commercial-Heating'!AQ6*Conversion!$B$3</f>
        <v>0</v>
      </c>
      <c r="AR6" s="42">
        <f>'Commercial-Heating'!AR6*Conversion!$B$3</f>
        <v>0</v>
      </c>
      <c r="AS6" s="42">
        <f>'Commercial-Heating'!AS6*Conversion!$B$3</f>
        <v>0</v>
      </c>
      <c r="AT6" s="42">
        <f>'Commercial-Heating'!AT6*Conversion!$B$3</f>
        <v>0</v>
      </c>
      <c r="AU6" s="42">
        <f>'Commercial-Heating'!AU6*Conversion!$B$3</f>
        <v>0</v>
      </c>
      <c r="AV6" s="42">
        <f>'Commercial-Heating'!AV6*Conversion!$B$3</f>
        <v>0</v>
      </c>
      <c r="AW6" s="42">
        <f>'Commercial-Heating'!AW6*Conversion!$B$3</f>
        <v>0</v>
      </c>
      <c r="AX6" s="42">
        <f>'Commercial-Heating'!AX6*Conversion!$B$3</f>
        <v>0</v>
      </c>
      <c r="AY6" s="42">
        <f>'Commercial-Heating'!AY6*Conversion!$B$3</f>
        <v>0</v>
      </c>
      <c r="AZ6" s="42">
        <f>'Commercial-Heating'!AZ6*Conversion!$B$3</f>
        <v>0</v>
      </c>
      <c r="BA6" s="42">
        <f>'Commercial-Heating'!BA6*Conversion!$B$3</f>
        <v>0</v>
      </c>
    </row>
    <row r="7" spans="1:53" x14ac:dyDescent="0.2">
      <c r="A7" s="1" t="s">
        <v>17</v>
      </c>
      <c r="B7" s="15">
        <f t="shared" si="1"/>
        <v>0</v>
      </c>
      <c r="C7" s="4">
        <f>'Commercial-Heating'!C7*Conversion!$B$3</f>
        <v>0</v>
      </c>
      <c r="D7" s="4">
        <f>'Commercial-Heating'!D7*Conversion!$B$3</f>
        <v>0</v>
      </c>
      <c r="E7" s="4">
        <f>'Commercial-Heating'!E7*Conversion!$B$3</f>
        <v>0</v>
      </c>
      <c r="F7" s="4">
        <f>'Commercial-Heating'!F7*Conversion!$B$3</f>
        <v>0</v>
      </c>
      <c r="G7" s="4">
        <f>'Commercial-Heating'!G7*Conversion!$B$3</f>
        <v>0</v>
      </c>
      <c r="H7" s="4">
        <f>'Commercial-Heating'!H7*Conversion!$B$3</f>
        <v>0</v>
      </c>
      <c r="I7" s="4">
        <f>'Commercial-Heating'!I7*Conversion!$B$3</f>
        <v>0</v>
      </c>
      <c r="J7" s="4">
        <f>'Commercial-Heating'!J7*Conversion!$B$3</f>
        <v>0</v>
      </c>
      <c r="K7" s="4">
        <f>'Commercial-Heating'!K7*Conversion!$B$3</f>
        <v>0</v>
      </c>
      <c r="L7" s="4">
        <f>'Commercial-Heating'!L7*Conversion!$B$3</f>
        <v>0</v>
      </c>
      <c r="M7" s="4">
        <f>'Commercial-Heating'!M7*Conversion!$B$3</f>
        <v>0</v>
      </c>
      <c r="N7" s="4">
        <f>'Commercial-Heating'!N7*Conversion!$B$3</f>
        <v>0</v>
      </c>
      <c r="O7" s="4">
        <f>'Commercial-Heating'!O7*Conversion!$B$3</f>
        <v>0</v>
      </c>
      <c r="P7" s="4">
        <f>'Commercial-Heating'!P7*Conversion!$B$3</f>
        <v>0</v>
      </c>
      <c r="Q7" s="4">
        <f>'Commercial-Heating'!Q7*Conversion!$B$3</f>
        <v>0</v>
      </c>
      <c r="R7" s="4">
        <f>'Commercial-Heating'!R7*Conversion!$B$3</f>
        <v>0</v>
      </c>
      <c r="S7" s="4">
        <f>'Commercial-Heating'!S7*Conversion!$B$3</f>
        <v>0</v>
      </c>
      <c r="T7" s="4">
        <f>'Commercial-Heating'!T7*Conversion!$B$3</f>
        <v>0</v>
      </c>
      <c r="U7" s="4">
        <f>'Commercial-Heating'!U7*Conversion!$B$3</f>
        <v>0</v>
      </c>
      <c r="V7" s="4">
        <f>'Commercial-Heating'!V7*Conversion!$B$3</f>
        <v>0</v>
      </c>
      <c r="W7" s="4">
        <f>'Commercial-Heating'!W7*Conversion!$B$3</f>
        <v>0</v>
      </c>
      <c r="X7" s="4">
        <f>'Commercial-Heating'!X7*Conversion!$B$3</f>
        <v>0</v>
      </c>
      <c r="Y7" s="4">
        <f>'Commercial-Heating'!Y7*Conversion!$B$3</f>
        <v>0</v>
      </c>
      <c r="Z7" s="4">
        <f>'Commercial-Heating'!Z7*Conversion!$B$3</f>
        <v>0</v>
      </c>
      <c r="AA7" s="4">
        <f>'Commercial-Heating'!AA7*Conversion!$B$3</f>
        <v>0</v>
      </c>
      <c r="AB7" s="4">
        <f>'Commercial-Heating'!AB7*Conversion!$B$3</f>
        <v>0</v>
      </c>
      <c r="AC7" s="4">
        <f>'Commercial-Heating'!AC7*Conversion!$B$3</f>
        <v>0</v>
      </c>
      <c r="AD7" s="4">
        <f>'Commercial-Heating'!AD7*Conversion!$B$3</f>
        <v>0</v>
      </c>
      <c r="AE7" s="4">
        <f>'Commercial-Heating'!AE7*Conversion!$B$3</f>
        <v>0</v>
      </c>
      <c r="AF7" s="4">
        <f>'Commercial-Heating'!AF7*Conversion!$B$3</f>
        <v>0</v>
      </c>
      <c r="AG7" s="4">
        <f>'Commercial-Heating'!AG7*Conversion!$B$3</f>
        <v>0</v>
      </c>
      <c r="AH7" s="4">
        <f>'Commercial-Heating'!AH7*Conversion!$B$3</f>
        <v>0</v>
      </c>
      <c r="AI7" s="4">
        <f>'Commercial-Heating'!AI7*Conversion!$B$3</f>
        <v>0</v>
      </c>
      <c r="AJ7" s="4">
        <f>'Commercial-Heating'!AJ7*Conversion!$B$3</f>
        <v>0</v>
      </c>
      <c r="AK7" s="4">
        <f>'Commercial-Heating'!AK7*Conversion!$B$3</f>
        <v>0</v>
      </c>
      <c r="AL7" s="4">
        <f>'Commercial-Heating'!AL7*Conversion!$B$3</f>
        <v>0</v>
      </c>
      <c r="AM7" s="4">
        <f>'Commercial-Heating'!AM7*Conversion!$B$3</f>
        <v>0</v>
      </c>
      <c r="AN7" s="4">
        <f>'Commercial-Heating'!AN7*Conversion!$B$3</f>
        <v>0</v>
      </c>
      <c r="AO7" s="4">
        <f>'Commercial-Heating'!AO7*Conversion!$B$3</f>
        <v>0</v>
      </c>
      <c r="AP7" s="4">
        <f>'Commercial-Heating'!AP7*Conversion!$B$3</f>
        <v>0</v>
      </c>
      <c r="AQ7" s="4">
        <f>'Commercial-Heating'!AQ7*Conversion!$B$3</f>
        <v>0</v>
      </c>
      <c r="AR7" s="42">
        <f>'Commercial-Heating'!AR7*Conversion!$B$3</f>
        <v>0</v>
      </c>
      <c r="AS7" s="42">
        <f>'Commercial-Heating'!AS7*Conversion!$B$3</f>
        <v>0</v>
      </c>
      <c r="AT7" s="42">
        <f>'Commercial-Heating'!AT7*Conversion!$B$3</f>
        <v>0</v>
      </c>
      <c r="AU7" s="42">
        <f>'Commercial-Heating'!AU7*Conversion!$B$3</f>
        <v>0</v>
      </c>
      <c r="AV7" s="42">
        <f>'Commercial-Heating'!AV7*Conversion!$B$3</f>
        <v>0</v>
      </c>
      <c r="AW7" s="42">
        <f>'Commercial-Heating'!AW7*Conversion!$B$3</f>
        <v>0</v>
      </c>
      <c r="AX7" s="42">
        <f>'Commercial-Heating'!AX7*Conversion!$B$3</f>
        <v>0</v>
      </c>
      <c r="AY7" s="42">
        <f>'Commercial-Heating'!AY7*Conversion!$B$3</f>
        <v>0</v>
      </c>
      <c r="AZ7" s="42">
        <f>'Commercial-Heating'!AZ7*Conversion!$B$3</f>
        <v>0</v>
      </c>
      <c r="BA7" s="42">
        <f>'Commercial-Heating'!BA7*Conversion!$B$3</f>
        <v>0</v>
      </c>
    </row>
    <row r="8" spans="1:53" x14ac:dyDescent="0.2">
      <c r="A8" s="1" t="s">
        <v>18</v>
      </c>
      <c r="B8" s="15">
        <f t="shared" si="1"/>
        <v>0</v>
      </c>
      <c r="C8" s="4">
        <f>'Commercial-Heating'!C8*Conversion!$B$3</f>
        <v>0</v>
      </c>
      <c r="D8" s="4">
        <f>'Commercial-Heating'!D8*Conversion!$B$3</f>
        <v>0</v>
      </c>
      <c r="E8" s="4">
        <f>'Commercial-Heating'!E8*Conversion!$B$3</f>
        <v>0</v>
      </c>
      <c r="F8" s="4">
        <f>'Commercial-Heating'!F8*Conversion!$B$3</f>
        <v>0</v>
      </c>
      <c r="G8" s="4">
        <f>'Commercial-Heating'!G8*Conversion!$B$3</f>
        <v>0</v>
      </c>
      <c r="H8" s="4">
        <f>'Commercial-Heating'!H8*Conversion!$B$3</f>
        <v>0</v>
      </c>
      <c r="I8" s="4">
        <f>'Commercial-Heating'!I8*Conversion!$B$3</f>
        <v>0</v>
      </c>
      <c r="J8" s="4">
        <f>'Commercial-Heating'!J8*Conversion!$B$3</f>
        <v>0</v>
      </c>
      <c r="K8" s="4">
        <f>'Commercial-Heating'!K8*Conversion!$B$3</f>
        <v>0</v>
      </c>
      <c r="L8" s="4">
        <f>'Commercial-Heating'!L8*Conversion!$B$3</f>
        <v>0</v>
      </c>
      <c r="M8" s="4">
        <f>'Commercial-Heating'!M8*Conversion!$B$3</f>
        <v>0</v>
      </c>
      <c r="N8" s="4">
        <f>'Commercial-Heating'!N8*Conversion!$B$3</f>
        <v>0</v>
      </c>
      <c r="O8" s="4">
        <f>'Commercial-Heating'!O8*Conversion!$B$3</f>
        <v>0</v>
      </c>
      <c r="P8" s="4">
        <f>'Commercial-Heating'!P8*Conversion!$B$3</f>
        <v>0</v>
      </c>
      <c r="Q8" s="4">
        <f>'Commercial-Heating'!Q8*Conversion!$B$3</f>
        <v>0</v>
      </c>
      <c r="R8" s="4">
        <f>'Commercial-Heating'!R8*Conversion!$B$3</f>
        <v>0</v>
      </c>
      <c r="S8" s="4">
        <f>'Commercial-Heating'!S8*Conversion!$B$3</f>
        <v>0</v>
      </c>
      <c r="T8" s="4">
        <f>'Commercial-Heating'!T8*Conversion!$B$3</f>
        <v>0</v>
      </c>
      <c r="U8" s="4">
        <f>'Commercial-Heating'!U8*Conversion!$B$3</f>
        <v>0</v>
      </c>
      <c r="V8" s="4">
        <f>'Commercial-Heating'!V8*Conversion!$B$3</f>
        <v>0</v>
      </c>
      <c r="W8" s="4">
        <f>'Commercial-Heating'!W8*Conversion!$B$3</f>
        <v>0</v>
      </c>
      <c r="X8" s="4">
        <f>'Commercial-Heating'!X8*Conversion!$B$3</f>
        <v>0</v>
      </c>
      <c r="Y8" s="4">
        <f>'Commercial-Heating'!Y8*Conversion!$B$3</f>
        <v>0</v>
      </c>
      <c r="Z8" s="4">
        <f>'Commercial-Heating'!Z8*Conversion!$B$3</f>
        <v>0</v>
      </c>
      <c r="AA8" s="4">
        <f>'Commercial-Heating'!AA8*Conversion!$B$3</f>
        <v>0</v>
      </c>
      <c r="AB8" s="4">
        <f>'Commercial-Heating'!AB8*Conversion!$B$3</f>
        <v>0</v>
      </c>
      <c r="AC8" s="4">
        <f>'Commercial-Heating'!AC8*Conversion!$B$3</f>
        <v>0</v>
      </c>
      <c r="AD8" s="4">
        <f>'Commercial-Heating'!AD8*Conversion!$B$3</f>
        <v>0</v>
      </c>
      <c r="AE8" s="4">
        <f>'Commercial-Heating'!AE8*Conversion!$B$3</f>
        <v>0</v>
      </c>
      <c r="AF8" s="4">
        <f>'Commercial-Heating'!AF8*Conversion!$B$3</f>
        <v>0</v>
      </c>
      <c r="AG8" s="4">
        <f>'Commercial-Heating'!AG8*Conversion!$B$3</f>
        <v>0</v>
      </c>
      <c r="AH8" s="4">
        <f>'Commercial-Heating'!AH8*Conversion!$B$3</f>
        <v>0</v>
      </c>
      <c r="AI8" s="4">
        <f>'Commercial-Heating'!AI8*Conversion!$B$3</f>
        <v>0</v>
      </c>
      <c r="AJ8" s="4">
        <f>'Commercial-Heating'!AJ8*Conversion!$B$3</f>
        <v>0</v>
      </c>
      <c r="AK8" s="4">
        <f>'Commercial-Heating'!AK8*Conversion!$B$3</f>
        <v>0</v>
      </c>
      <c r="AL8" s="4">
        <f>'Commercial-Heating'!AL8*Conversion!$B$3</f>
        <v>0</v>
      </c>
      <c r="AM8" s="4">
        <f>'Commercial-Heating'!AM8*Conversion!$B$3</f>
        <v>0</v>
      </c>
      <c r="AN8" s="4">
        <f>'Commercial-Heating'!AN8*Conversion!$B$3</f>
        <v>0</v>
      </c>
      <c r="AO8" s="4">
        <f>'Commercial-Heating'!AO8*Conversion!$B$3</f>
        <v>0</v>
      </c>
      <c r="AP8" s="4">
        <f>'Commercial-Heating'!AP8*Conversion!$B$3</f>
        <v>0</v>
      </c>
      <c r="AQ8" s="4">
        <f>'Commercial-Heating'!AQ8*Conversion!$B$3</f>
        <v>0</v>
      </c>
      <c r="AR8" s="42">
        <f>'Commercial-Heating'!AR8*Conversion!$B$3</f>
        <v>0</v>
      </c>
      <c r="AS8" s="42">
        <f>'Commercial-Heating'!AS8*Conversion!$B$3</f>
        <v>0</v>
      </c>
      <c r="AT8" s="42">
        <f>'Commercial-Heating'!AT8*Conversion!$B$3</f>
        <v>0</v>
      </c>
      <c r="AU8" s="42">
        <f>'Commercial-Heating'!AU8*Conversion!$B$3</f>
        <v>0</v>
      </c>
      <c r="AV8" s="42">
        <f>'Commercial-Heating'!AV8*Conversion!$B$3</f>
        <v>0</v>
      </c>
      <c r="AW8" s="42">
        <f>'Commercial-Heating'!AW8*Conversion!$B$3</f>
        <v>0</v>
      </c>
      <c r="AX8" s="42">
        <f>'Commercial-Heating'!AX8*Conversion!$B$3</f>
        <v>0</v>
      </c>
      <c r="AY8" s="42">
        <f>'Commercial-Heating'!AY8*Conversion!$B$3</f>
        <v>0</v>
      </c>
      <c r="AZ8" s="42">
        <f>'Commercial-Heating'!AZ8*Conversion!$B$3</f>
        <v>0</v>
      </c>
      <c r="BA8" s="42">
        <f>'Commercial-Heating'!BA8*Conversion!$B$3</f>
        <v>0</v>
      </c>
    </row>
    <row r="9" spans="1:53" x14ac:dyDescent="0.2">
      <c r="A9" s="1" t="s">
        <v>19</v>
      </c>
      <c r="B9" s="15">
        <f t="shared" si="1"/>
        <v>0</v>
      </c>
      <c r="C9" s="4">
        <f>'Commercial-Heating'!C9*Conversion!$B$3</f>
        <v>0</v>
      </c>
      <c r="D9" s="4">
        <f>'Commercial-Heating'!D9*Conversion!$B$3</f>
        <v>0</v>
      </c>
      <c r="E9" s="4">
        <f>'Commercial-Heating'!E9*Conversion!$B$3</f>
        <v>0</v>
      </c>
      <c r="F9" s="4">
        <f>'Commercial-Heating'!F9*Conversion!$B$3</f>
        <v>0</v>
      </c>
      <c r="G9" s="4">
        <f>'Commercial-Heating'!G9*Conversion!$B$3</f>
        <v>0</v>
      </c>
      <c r="H9" s="4">
        <f>'Commercial-Heating'!H9*Conversion!$B$3</f>
        <v>0</v>
      </c>
      <c r="I9" s="4">
        <f>'Commercial-Heating'!I9*Conversion!$B$3</f>
        <v>0</v>
      </c>
      <c r="J9" s="4">
        <f>'Commercial-Heating'!J9*Conversion!$B$3</f>
        <v>0</v>
      </c>
      <c r="K9" s="4">
        <f>'Commercial-Heating'!K9*Conversion!$B$3</f>
        <v>0</v>
      </c>
      <c r="L9" s="4">
        <f>'Commercial-Heating'!L9*Conversion!$B$3</f>
        <v>0</v>
      </c>
      <c r="M9" s="4">
        <f>'Commercial-Heating'!M9*Conversion!$B$3</f>
        <v>0</v>
      </c>
      <c r="N9" s="4">
        <f>'Commercial-Heating'!N9*Conversion!$B$3</f>
        <v>0</v>
      </c>
      <c r="O9" s="4">
        <f>'Commercial-Heating'!O9*Conversion!$B$3</f>
        <v>0</v>
      </c>
      <c r="P9" s="4">
        <f>'Commercial-Heating'!P9*Conversion!$B$3</f>
        <v>0</v>
      </c>
      <c r="Q9" s="4">
        <f>'Commercial-Heating'!Q9*Conversion!$B$3</f>
        <v>0</v>
      </c>
      <c r="R9" s="4">
        <f>'Commercial-Heating'!R9*Conversion!$B$3</f>
        <v>0</v>
      </c>
      <c r="S9" s="4">
        <f>'Commercial-Heating'!S9*Conversion!$B$3</f>
        <v>0</v>
      </c>
      <c r="T9" s="4">
        <f>'Commercial-Heating'!T9*Conversion!$B$3</f>
        <v>0</v>
      </c>
      <c r="U9" s="4">
        <f>'Commercial-Heating'!U9*Conversion!$B$3</f>
        <v>0</v>
      </c>
      <c r="V9" s="4">
        <f>'Commercial-Heating'!V9*Conversion!$B$3</f>
        <v>0</v>
      </c>
      <c r="W9" s="4">
        <f>'Commercial-Heating'!W9*Conversion!$B$3</f>
        <v>0</v>
      </c>
      <c r="X9" s="4">
        <f>'Commercial-Heating'!X9*Conversion!$B$3</f>
        <v>0</v>
      </c>
      <c r="Y9" s="4">
        <f>'Commercial-Heating'!Y9*Conversion!$B$3</f>
        <v>0</v>
      </c>
      <c r="Z9" s="4">
        <f>'Commercial-Heating'!Z9*Conversion!$B$3</f>
        <v>0</v>
      </c>
      <c r="AA9" s="4">
        <f>'Commercial-Heating'!AA9*Conversion!$B$3</f>
        <v>0</v>
      </c>
      <c r="AB9" s="4">
        <f>'Commercial-Heating'!AB9*Conversion!$B$3</f>
        <v>0</v>
      </c>
      <c r="AC9" s="4">
        <f>'Commercial-Heating'!AC9*Conversion!$B$3</f>
        <v>0</v>
      </c>
      <c r="AD9" s="4">
        <f>'Commercial-Heating'!AD9*Conversion!$B$3</f>
        <v>0</v>
      </c>
      <c r="AE9" s="4">
        <f>'Commercial-Heating'!AE9*Conversion!$B$3</f>
        <v>0</v>
      </c>
      <c r="AF9" s="4">
        <f>'Commercial-Heating'!AF9*Conversion!$B$3</f>
        <v>0</v>
      </c>
      <c r="AG9" s="4">
        <f>'Commercial-Heating'!AG9*Conversion!$B$3</f>
        <v>0</v>
      </c>
      <c r="AH9" s="4">
        <f>'Commercial-Heating'!AH9*Conversion!$B$3</f>
        <v>0</v>
      </c>
      <c r="AI9" s="4">
        <f>'Commercial-Heating'!AI9*Conversion!$B$3</f>
        <v>0</v>
      </c>
      <c r="AJ9" s="4">
        <f>'Commercial-Heating'!AJ9*Conversion!$B$3</f>
        <v>0</v>
      </c>
      <c r="AK9" s="4">
        <f>'Commercial-Heating'!AK9*Conversion!$B$3</f>
        <v>0</v>
      </c>
      <c r="AL9" s="4">
        <f>'Commercial-Heating'!AL9*Conversion!$B$3</f>
        <v>0</v>
      </c>
      <c r="AM9" s="4">
        <f>'Commercial-Heating'!AM9*Conversion!$B$3</f>
        <v>0</v>
      </c>
      <c r="AN9" s="4">
        <f>'Commercial-Heating'!AN9*Conversion!$B$3</f>
        <v>0</v>
      </c>
      <c r="AO9" s="4">
        <f>'Commercial-Heating'!AO9*Conversion!$B$3</f>
        <v>0</v>
      </c>
      <c r="AP9" s="4">
        <f>'Commercial-Heating'!AP9*Conversion!$B$3</f>
        <v>0</v>
      </c>
      <c r="AQ9" s="4">
        <f>'Commercial-Heating'!AQ9*Conversion!$B$3</f>
        <v>0</v>
      </c>
      <c r="AR9" s="42">
        <f>'Commercial-Heating'!AR9*Conversion!$B$3</f>
        <v>0</v>
      </c>
      <c r="AS9" s="42">
        <f>'Commercial-Heating'!AS9*Conversion!$B$3</f>
        <v>0</v>
      </c>
      <c r="AT9" s="42">
        <f>'Commercial-Heating'!AT9*Conversion!$B$3</f>
        <v>0</v>
      </c>
      <c r="AU9" s="42">
        <f>'Commercial-Heating'!AU9*Conversion!$B$3</f>
        <v>0</v>
      </c>
      <c r="AV9" s="42">
        <f>'Commercial-Heating'!AV9*Conversion!$B$3</f>
        <v>0</v>
      </c>
      <c r="AW9" s="42">
        <f>'Commercial-Heating'!AW9*Conversion!$B$3</f>
        <v>0</v>
      </c>
      <c r="AX9" s="42">
        <f>'Commercial-Heating'!AX9*Conversion!$B$3</f>
        <v>0</v>
      </c>
      <c r="AY9" s="42">
        <f>'Commercial-Heating'!AY9*Conversion!$B$3</f>
        <v>0</v>
      </c>
      <c r="AZ9" s="42">
        <f>'Commercial-Heating'!AZ9*Conversion!$B$3</f>
        <v>0</v>
      </c>
      <c r="BA9" s="42">
        <f>'Commercial-Heating'!BA9*Conversion!$B$3</f>
        <v>0</v>
      </c>
    </row>
    <row r="10" spans="1:53" x14ac:dyDescent="0.2">
      <c r="A10" s="1" t="s">
        <v>20</v>
      </c>
      <c r="B10" s="15">
        <f t="shared" si="1"/>
        <v>0</v>
      </c>
      <c r="C10" s="4">
        <f>'Commercial-Heating'!C10*Conversion!$B$3</f>
        <v>0</v>
      </c>
      <c r="D10" s="4">
        <f>'Commercial-Heating'!D10*Conversion!$B$3</f>
        <v>0</v>
      </c>
      <c r="E10" s="4">
        <f>'Commercial-Heating'!E10*Conversion!$B$3</f>
        <v>0</v>
      </c>
      <c r="F10" s="4">
        <f>'Commercial-Heating'!F10*Conversion!$B$3</f>
        <v>0</v>
      </c>
      <c r="G10" s="4">
        <f>'Commercial-Heating'!G10*Conversion!$B$3</f>
        <v>0</v>
      </c>
      <c r="H10" s="4">
        <f>'Commercial-Heating'!H10*Conversion!$B$3</f>
        <v>0</v>
      </c>
      <c r="I10" s="4">
        <f>'Commercial-Heating'!I10*Conversion!$B$3</f>
        <v>0</v>
      </c>
      <c r="J10" s="4">
        <f>'Commercial-Heating'!J10*Conversion!$B$3</f>
        <v>0</v>
      </c>
      <c r="K10" s="4">
        <f>'Commercial-Heating'!K10*Conversion!$B$3</f>
        <v>0</v>
      </c>
      <c r="L10" s="4">
        <f>'Commercial-Heating'!L10*Conversion!$B$3</f>
        <v>0</v>
      </c>
      <c r="M10" s="4">
        <f>'Commercial-Heating'!M10*Conversion!$B$3</f>
        <v>0</v>
      </c>
      <c r="N10" s="4">
        <f>'Commercial-Heating'!N10*Conversion!$B$3</f>
        <v>0</v>
      </c>
      <c r="O10" s="4">
        <f>'Commercial-Heating'!O10*Conversion!$B$3</f>
        <v>0</v>
      </c>
      <c r="P10" s="4">
        <f>'Commercial-Heating'!P10*Conversion!$B$3</f>
        <v>0</v>
      </c>
      <c r="Q10" s="4">
        <f>'Commercial-Heating'!Q10*Conversion!$B$3</f>
        <v>0</v>
      </c>
      <c r="R10" s="4">
        <f>'Commercial-Heating'!R10*Conversion!$B$3</f>
        <v>0</v>
      </c>
      <c r="S10" s="4">
        <f>'Commercial-Heating'!S10*Conversion!$B$3</f>
        <v>0</v>
      </c>
      <c r="T10" s="4">
        <f>'Commercial-Heating'!T10*Conversion!$B$3</f>
        <v>0</v>
      </c>
      <c r="U10" s="4">
        <f>'Commercial-Heating'!U10*Conversion!$B$3</f>
        <v>0</v>
      </c>
      <c r="V10" s="4">
        <f>'Commercial-Heating'!V10*Conversion!$B$3</f>
        <v>0</v>
      </c>
      <c r="W10" s="4">
        <f>'Commercial-Heating'!W10*Conversion!$B$3</f>
        <v>0</v>
      </c>
      <c r="X10" s="4">
        <f>'Commercial-Heating'!X10*Conversion!$B$3</f>
        <v>0</v>
      </c>
      <c r="Y10" s="4">
        <f>'Commercial-Heating'!Y10*Conversion!$B$3</f>
        <v>0</v>
      </c>
      <c r="Z10" s="4">
        <f>'Commercial-Heating'!Z10*Conversion!$B$3</f>
        <v>0</v>
      </c>
      <c r="AA10" s="4">
        <f>'Commercial-Heating'!AA10*Conversion!$B$3</f>
        <v>0</v>
      </c>
      <c r="AB10" s="4">
        <f>'Commercial-Heating'!AB10*Conversion!$B$3</f>
        <v>0</v>
      </c>
      <c r="AC10" s="4">
        <f>'Commercial-Heating'!AC10*Conversion!$B$3</f>
        <v>0</v>
      </c>
      <c r="AD10" s="4">
        <f>'Commercial-Heating'!AD10*Conversion!$B$3</f>
        <v>0</v>
      </c>
      <c r="AE10" s="4">
        <f>'Commercial-Heating'!AE10*Conversion!$B$3</f>
        <v>0</v>
      </c>
      <c r="AF10" s="4">
        <f>'Commercial-Heating'!AF10*Conversion!$B$3</f>
        <v>0</v>
      </c>
      <c r="AG10" s="4">
        <f>'Commercial-Heating'!AG10*Conversion!$B$3</f>
        <v>0</v>
      </c>
      <c r="AH10" s="4">
        <f>'Commercial-Heating'!AH10*Conversion!$B$3</f>
        <v>0</v>
      </c>
      <c r="AI10" s="4">
        <f>'Commercial-Heating'!AI10*Conversion!$B$3</f>
        <v>0</v>
      </c>
      <c r="AJ10" s="4">
        <f>'Commercial-Heating'!AJ10*Conversion!$B$3</f>
        <v>0</v>
      </c>
      <c r="AK10" s="4">
        <f>'Commercial-Heating'!AK10*Conversion!$B$3</f>
        <v>0</v>
      </c>
      <c r="AL10" s="4">
        <f>'Commercial-Heating'!AL10*Conversion!$B$3</f>
        <v>0</v>
      </c>
      <c r="AM10" s="4">
        <f>'Commercial-Heating'!AM10*Conversion!$B$3</f>
        <v>0</v>
      </c>
      <c r="AN10" s="4">
        <f>'Commercial-Heating'!AN10*Conversion!$B$3</f>
        <v>0</v>
      </c>
      <c r="AO10" s="4">
        <f>'Commercial-Heating'!AO10*Conversion!$B$3</f>
        <v>0</v>
      </c>
      <c r="AP10" s="4">
        <f>'Commercial-Heating'!AP10*Conversion!$B$3</f>
        <v>0</v>
      </c>
      <c r="AQ10" s="4">
        <f>'Commercial-Heating'!AQ10*Conversion!$B$3</f>
        <v>0</v>
      </c>
      <c r="AR10" s="42">
        <f>'Commercial-Heating'!AR10*Conversion!$B$3</f>
        <v>0</v>
      </c>
      <c r="AS10" s="42">
        <f>'Commercial-Heating'!AS10*Conversion!$B$3</f>
        <v>0</v>
      </c>
      <c r="AT10" s="42">
        <f>'Commercial-Heating'!AT10*Conversion!$B$3</f>
        <v>0</v>
      </c>
      <c r="AU10" s="42">
        <f>'Commercial-Heating'!AU10*Conversion!$B$3</f>
        <v>0</v>
      </c>
      <c r="AV10" s="42">
        <f>'Commercial-Heating'!AV10*Conversion!$B$3</f>
        <v>0</v>
      </c>
      <c r="AW10" s="42">
        <f>'Commercial-Heating'!AW10*Conversion!$B$3</f>
        <v>0</v>
      </c>
      <c r="AX10" s="42">
        <f>'Commercial-Heating'!AX10*Conversion!$B$3</f>
        <v>0</v>
      </c>
      <c r="AY10" s="42">
        <f>'Commercial-Heating'!AY10*Conversion!$B$3</f>
        <v>0</v>
      </c>
      <c r="AZ10" s="42">
        <f>'Commercial-Heating'!AZ10*Conversion!$B$3</f>
        <v>0</v>
      </c>
      <c r="BA10" s="42">
        <f>'Commercial-Heating'!BA10*Conversion!$B$3</f>
        <v>0</v>
      </c>
    </row>
    <row r="11" spans="1:53" x14ac:dyDescent="0.2">
      <c r="A11" s="1" t="s">
        <v>21</v>
      </c>
      <c r="B11" s="15">
        <f t="shared" si="1"/>
        <v>0</v>
      </c>
      <c r="C11" s="4">
        <f>'Commercial-Heating'!C11*Conversion!$B$3</f>
        <v>0</v>
      </c>
      <c r="D11" s="4">
        <f>'Commercial-Heating'!D11*Conversion!$B$3</f>
        <v>0</v>
      </c>
      <c r="E11" s="4">
        <f>'Commercial-Heating'!E11*Conversion!$B$3</f>
        <v>0</v>
      </c>
      <c r="F11" s="4">
        <f>'Commercial-Heating'!F11*Conversion!$B$3</f>
        <v>0</v>
      </c>
      <c r="G11" s="4">
        <f>'Commercial-Heating'!G11*Conversion!$B$3</f>
        <v>0</v>
      </c>
      <c r="H11" s="4">
        <f>'Commercial-Heating'!H11*Conversion!$B$3</f>
        <v>0</v>
      </c>
      <c r="I11" s="4">
        <f>'Commercial-Heating'!I11*Conversion!$B$3</f>
        <v>0</v>
      </c>
      <c r="J11" s="4">
        <f>'Commercial-Heating'!J11*Conversion!$B$3</f>
        <v>0</v>
      </c>
      <c r="K11" s="4">
        <f>'Commercial-Heating'!K11*Conversion!$B$3</f>
        <v>0</v>
      </c>
      <c r="L11" s="4">
        <f>'Commercial-Heating'!L11*Conversion!$B$3</f>
        <v>0</v>
      </c>
      <c r="M11" s="4">
        <f>'Commercial-Heating'!M11*Conversion!$B$3</f>
        <v>0</v>
      </c>
      <c r="N11" s="4">
        <f>'Commercial-Heating'!N11*Conversion!$B$3</f>
        <v>0</v>
      </c>
      <c r="O11" s="4">
        <f>'Commercial-Heating'!O11*Conversion!$B$3</f>
        <v>0</v>
      </c>
      <c r="P11" s="4">
        <f>'Commercial-Heating'!P11*Conversion!$B$3</f>
        <v>0</v>
      </c>
      <c r="Q11" s="4">
        <f>'Commercial-Heating'!Q11*Conversion!$B$3</f>
        <v>0</v>
      </c>
      <c r="R11" s="4">
        <f>'Commercial-Heating'!R11*Conversion!$B$3</f>
        <v>0</v>
      </c>
      <c r="S11" s="4">
        <f>'Commercial-Heating'!S11*Conversion!$B$3</f>
        <v>0</v>
      </c>
      <c r="T11" s="4">
        <f>'Commercial-Heating'!T11*Conversion!$B$3</f>
        <v>0</v>
      </c>
      <c r="U11" s="4">
        <f>'Commercial-Heating'!U11*Conversion!$B$3</f>
        <v>0</v>
      </c>
      <c r="V11" s="4">
        <f>'Commercial-Heating'!V11*Conversion!$B$3</f>
        <v>0</v>
      </c>
      <c r="W11" s="4">
        <f>'Commercial-Heating'!W11*Conversion!$B$3</f>
        <v>0</v>
      </c>
      <c r="X11" s="4">
        <f>'Commercial-Heating'!X11*Conversion!$B$3</f>
        <v>0</v>
      </c>
      <c r="Y11" s="4">
        <f>'Commercial-Heating'!Y11*Conversion!$B$3</f>
        <v>0</v>
      </c>
      <c r="Z11" s="4">
        <f>'Commercial-Heating'!Z11*Conversion!$B$3</f>
        <v>0</v>
      </c>
      <c r="AA11" s="4">
        <f>'Commercial-Heating'!AA11*Conversion!$B$3</f>
        <v>0</v>
      </c>
      <c r="AB11" s="4">
        <f>'Commercial-Heating'!AB11*Conversion!$B$3</f>
        <v>0</v>
      </c>
      <c r="AC11" s="4">
        <f>'Commercial-Heating'!AC11*Conversion!$B$3</f>
        <v>0</v>
      </c>
      <c r="AD11" s="4">
        <f>'Commercial-Heating'!AD11*Conversion!$B$3</f>
        <v>0</v>
      </c>
      <c r="AE11" s="4">
        <f>'Commercial-Heating'!AE11*Conversion!$B$3</f>
        <v>0</v>
      </c>
      <c r="AF11" s="4">
        <f>'Commercial-Heating'!AF11*Conversion!$B$3</f>
        <v>0</v>
      </c>
      <c r="AG11" s="4">
        <f>'Commercial-Heating'!AG11*Conversion!$B$3</f>
        <v>0</v>
      </c>
      <c r="AH11" s="4">
        <f>'Commercial-Heating'!AH11*Conversion!$B$3</f>
        <v>0</v>
      </c>
      <c r="AI11" s="4">
        <f>'Commercial-Heating'!AI11*Conversion!$B$3</f>
        <v>0</v>
      </c>
      <c r="AJ11" s="4">
        <f>'Commercial-Heating'!AJ11*Conversion!$B$3</f>
        <v>0</v>
      </c>
      <c r="AK11" s="4">
        <f>'Commercial-Heating'!AK11*Conversion!$B$3</f>
        <v>0</v>
      </c>
      <c r="AL11" s="4">
        <f>'Commercial-Heating'!AL11*Conversion!$B$3</f>
        <v>0</v>
      </c>
      <c r="AM11" s="4">
        <f>'Commercial-Heating'!AM11*Conversion!$B$3</f>
        <v>0</v>
      </c>
      <c r="AN11" s="4">
        <f>'Commercial-Heating'!AN11*Conversion!$B$3</f>
        <v>0</v>
      </c>
      <c r="AO11" s="4">
        <f>'Commercial-Heating'!AO11*Conversion!$B$3</f>
        <v>0</v>
      </c>
      <c r="AP11" s="4">
        <f>'Commercial-Heating'!AP11*Conversion!$B$3</f>
        <v>0</v>
      </c>
      <c r="AQ11" s="4">
        <f>'Commercial-Heating'!AQ11*Conversion!$B$3</f>
        <v>0</v>
      </c>
      <c r="AR11" s="42">
        <f>'Commercial-Heating'!AR11*Conversion!$B$3</f>
        <v>0</v>
      </c>
      <c r="AS11" s="42">
        <f>'Commercial-Heating'!AS11*Conversion!$B$3</f>
        <v>0</v>
      </c>
      <c r="AT11" s="42">
        <f>'Commercial-Heating'!AT11*Conversion!$B$3</f>
        <v>0</v>
      </c>
      <c r="AU11" s="42">
        <f>'Commercial-Heating'!AU11*Conversion!$B$3</f>
        <v>0</v>
      </c>
      <c r="AV11" s="42">
        <f>'Commercial-Heating'!AV11*Conversion!$B$3</f>
        <v>0</v>
      </c>
      <c r="AW11" s="42">
        <f>'Commercial-Heating'!AW11*Conversion!$B$3</f>
        <v>0</v>
      </c>
      <c r="AX11" s="42">
        <f>'Commercial-Heating'!AX11*Conversion!$B$3</f>
        <v>0</v>
      </c>
      <c r="AY11" s="42">
        <f>'Commercial-Heating'!AY11*Conversion!$B$3</f>
        <v>0</v>
      </c>
      <c r="AZ11" s="42">
        <f>'Commercial-Heating'!AZ11*Conversion!$B$3</f>
        <v>0</v>
      </c>
      <c r="BA11" s="42">
        <f>'Commercial-Heating'!BA11*Conversion!$B$3</f>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D170-4F75-1942-AA9F-35D4887DAA8A}">
  <sheetPr>
    <tabColor theme="3" tint="0.249977111117893"/>
  </sheetPr>
  <dimension ref="A1:BA11"/>
  <sheetViews>
    <sheetView topLeftCell="AC1" workbookViewId="0">
      <selection activeCell="AR1" sqref="AR1: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4">
        <f>'Commercial-Cooling'!B2*Conversion!$B$3</f>
        <v>137594899798916.86</v>
      </c>
      <c r="C2" s="4">
        <f>'Commercial-Cooling'!C2*Conversion!$B$3</f>
        <v>141677934245869.12</v>
      </c>
      <c r="D2" s="4">
        <f>'Commercial-Cooling'!D2*Conversion!$B$3</f>
        <v>145760968692823.16</v>
      </c>
      <c r="E2" s="4">
        <f>'Commercial-Cooling'!E2*Conversion!$B$3</f>
        <v>151147032518432.38</v>
      </c>
      <c r="F2" s="4">
        <f>'Commercial-Cooling'!F2*Conversion!$B$3</f>
        <v>155584130308490.88</v>
      </c>
      <c r="G2" s="4">
        <f>'Commercial-Cooling'!G2*Conversion!$B$3</f>
        <v>158424084158615.12</v>
      </c>
      <c r="H2" s="4">
        <f>'Commercial-Cooling'!H2*Conversion!$B$3</f>
        <v>161392420184167.25</v>
      </c>
      <c r="I2" s="4">
        <f>'Commercial-Cooling'!I2*Conversion!$B$3</f>
        <v>165159693867817.28</v>
      </c>
      <c r="J2" s="4">
        <f>'Commercial-Cooling'!J2*Conversion!$B$3</f>
        <v>169074088306221.88</v>
      </c>
      <c r="K2" s="4">
        <f>'Commercial-Cooling'!K2*Conversion!$B$3</f>
        <v>173144059693429.44</v>
      </c>
      <c r="L2" s="4">
        <f>'Commercial-Cooling'!L2*Conversion!$B$3</f>
        <v>177378575742153.5</v>
      </c>
      <c r="M2" s="4">
        <f>'Commercial-Cooling'!M2*Conversion!$B$3</f>
        <v>181787147049263.69</v>
      </c>
      <c r="N2" s="4">
        <f>'Commercial-Cooling'!N2*Conversion!$B$3</f>
        <v>186208284131435.38</v>
      </c>
      <c r="O2" s="4">
        <f>'Commercial-Cooling'!O2*Conversion!$B$3</f>
        <v>190823432229659.91</v>
      </c>
      <c r="P2" s="4">
        <f>'Commercial-Cooling'!P2*Conversion!$B$3</f>
        <v>195643938865038.84</v>
      </c>
      <c r="Q2" s="4">
        <f>'Commercial-Cooling'!Q2*Conversion!$B$3</f>
        <v>200681840624768.34</v>
      </c>
      <c r="R2" s="4">
        <f>'Commercial-Cooling'!R2*Conversion!$B$3</f>
        <v>205949905557499</v>
      </c>
      <c r="S2" s="4">
        <f>'Commercial-Cooling'!S2*Conversion!$B$3</f>
        <v>211286020970767.38</v>
      </c>
      <c r="T2" s="4">
        <f>'Commercial-Cooling'!T2*Conversion!$B$3</f>
        <v>216879373985092.16</v>
      </c>
      <c r="U2" s="4">
        <f>'Commercial-Cooling'!U2*Conversion!$B$3</f>
        <v>222745208625843.59</v>
      </c>
      <c r="V2" s="4">
        <f>'Commercial-Cooling'!V2*Conversion!$B$3</f>
        <v>228899698052800.81</v>
      </c>
      <c r="W2" s="4">
        <f>'Commercial-Cooling'!W2*Conversion!$B$3</f>
        <v>235360001911701.28</v>
      </c>
      <c r="X2" s="4">
        <f>'Commercial-Cooling'!X2*Conversion!$B$3</f>
        <v>241970474378869.59</v>
      </c>
      <c r="Y2" s="4">
        <f>'Commercial-Cooling'!Y2*Conversion!$B$3</f>
        <v>248923466977081.25</v>
      </c>
      <c r="Z2" s="4">
        <f>'Commercial-Cooling'!Z2*Conversion!$B$3</f>
        <v>256239479846473.56</v>
      </c>
      <c r="AA2" s="4">
        <f>'Commercial-Cooling'!AA2*Conversion!$B$3</f>
        <v>263940267131349.16</v>
      </c>
      <c r="AB2" s="4">
        <f>'Commercial-Cooling'!AB2*Conversion!$B$3</f>
        <v>272048914625798.78</v>
      </c>
      <c r="AC2" s="4">
        <f>'Commercial-Cooling'!AC2*Conversion!$B$3</f>
        <v>280421148425099.59</v>
      </c>
      <c r="AD2" s="4">
        <f>'Commercial-Cooling'!AD2*Conversion!$B$3</f>
        <v>289250956836972.62</v>
      </c>
      <c r="AE2" s="4">
        <f>'Commercial-Cooling'!AE2*Conversion!$B$3</f>
        <v>298565936607689.19</v>
      </c>
      <c r="AF2" s="4">
        <f>'Commercial-Cooling'!AF2*Conversion!$B$3</f>
        <v>308395378456772.94</v>
      </c>
      <c r="AG2" s="4">
        <f>'Commercial-Cooling'!AG2*Conversion!$B$3</f>
        <v>318770372277627.19</v>
      </c>
      <c r="AH2" s="4">
        <f>'Commercial-Cooling'!AH2*Conversion!$B$3</f>
        <v>329310790168668.88</v>
      </c>
      <c r="AI2" s="4">
        <f>'Commercial-Cooling'!AI2*Conversion!$B$3</f>
        <v>340462886564828.88</v>
      </c>
      <c r="AJ2" s="4">
        <f>'Commercial-Cooling'!AJ2*Conversion!$B$3</f>
        <v>352263848178479.06</v>
      </c>
      <c r="AK2" s="4">
        <f>'Commercial-Cooling'!AK2*Conversion!$B$3</f>
        <v>364753151986048.5</v>
      </c>
      <c r="AL2" s="4">
        <f>'Commercial-Cooling'!AL2*Conversion!$B$3</f>
        <v>377972707865609.88</v>
      </c>
      <c r="AM2" s="4">
        <f>'Commercial-Cooling'!AM2*Conversion!$B$3</f>
        <v>391967010201872.31</v>
      </c>
      <c r="AN2" s="4">
        <f>'Commercial-Cooling'!AN2*Conversion!$B$3</f>
        <v>406783299026747.88</v>
      </c>
      <c r="AO2" s="4">
        <f>'Commercial-Cooling'!AO2*Conversion!$B$3</f>
        <v>422471731299880.44</v>
      </c>
      <c r="AP2" s="4">
        <f>'Commercial-Cooling'!AP2*Conversion!$B$3</f>
        <v>439085562972079.62</v>
      </c>
      <c r="AQ2" s="4">
        <f>'Commercial-Cooling'!AQ2*Conversion!$B$3</f>
        <v>456681342515618.62</v>
      </c>
      <c r="AR2" s="42">
        <f>'Commercial-Cooling'!AR2*Conversion!$B$3</f>
        <v>475320809879401.62</v>
      </c>
      <c r="AS2" s="42">
        <f>'Commercial-Cooling'!AS2*Conversion!$B$3</f>
        <v>495067737403200.94</v>
      </c>
      <c r="AT2" s="42">
        <f>'Commercial-Cooling'!AT2*Conversion!$B$3</f>
        <v>515989846896151.19</v>
      </c>
      <c r="AU2" s="42">
        <f>'Commercial-Cooling'!AU2*Conversion!$B$3</f>
        <v>538159056790391.5</v>
      </c>
      <c r="AV2" s="42">
        <f>'Commercial-Cooling'!AV2*Conversion!$B$3</f>
        <v>561651744894867.5</v>
      </c>
      <c r="AW2" s="42">
        <f>'Commercial-Cooling'!AW2*Conversion!$B$3</f>
        <v>586549027740923</v>
      </c>
      <c r="AX2" s="42">
        <f>'Commercial-Cooling'!AX2*Conversion!$B$3</f>
        <v>612937057574697.88</v>
      </c>
      <c r="AY2" s="42">
        <f>'Commercial-Cooling'!AY2*Conversion!$B$3</f>
        <v>640907338118820.62</v>
      </c>
      <c r="AZ2" s="42">
        <f>'Commercial-Cooling'!AZ2*Conversion!$B$3</f>
        <v>670557060297673.75</v>
      </c>
      <c r="BA2" s="42">
        <f>'Commercial-Cooling'!BA2*Conversion!$B$3</f>
        <v>701989459196923.75</v>
      </c>
    </row>
    <row r="3" spans="1:53" x14ac:dyDescent="0.2">
      <c r="A3" s="1" t="s">
        <v>13</v>
      </c>
      <c r="B3" s="4">
        <f>'Commercial-Cooling'!B3*Conversion!$B$3</f>
        <v>0</v>
      </c>
      <c r="C3" s="4">
        <f>'Commercial-Cooling'!C3*Conversion!$B$3</f>
        <v>0</v>
      </c>
      <c r="D3" s="4">
        <f>'Commercial-Cooling'!D3*Conversion!$B$3</f>
        <v>0</v>
      </c>
      <c r="E3" s="4">
        <f>'Commercial-Cooling'!E3*Conversion!$B$3</f>
        <v>0</v>
      </c>
      <c r="F3" s="4">
        <f>'Commercial-Cooling'!F3*Conversion!$B$3</f>
        <v>0</v>
      </c>
      <c r="G3" s="4">
        <f>'Commercial-Cooling'!G3*Conversion!$B$3</f>
        <v>0</v>
      </c>
      <c r="H3" s="4">
        <f>'Commercial-Cooling'!H3*Conversion!$B$3</f>
        <v>0</v>
      </c>
      <c r="I3" s="4">
        <f>'Commercial-Cooling'!I3*Conversion!$B$3</f>
        <v>0</v>
      </c>
      <c r="J3" s="4">
        <f>'Commercial-Cooling'!J3*Conversion!$B$3</f>
        <v>0</v>
      </c>
      <c r="K3" s="4">
        <f>'Commercial-Cooling'!K3*Conversion!$B$3</f>
        <v>0</v>
      </c>
      <c r="L3" s="4">
        <f>'Commercial-Cooling'!L3*Conversion!$B$3</f>
        <v>0</v>
      </c>
      <c r="M3" s="4">
        <f>'Commercial-Cooling'!M3*Conversion!$B$3</f>
        <v>0</v>
      </c>
      <c r="N3" s="4">
        <f>'Commercial-Cooling'!N3*Conversion!$B$3</f>
        <v>0</v>
      </c>
      <c r="O3" s="4">
        <f>'Commercial-Cooling'!O3*Conversion!$B$3</f>
        <v>0</v>
      </c>
      <c r="P3" s="4">
        <f>'Commercial-Cooling'!P3*Conversion!$B$3</f>
        <v>0</v>
      </c>
      <c r="Q3" s="4">
        <f>'Commercial-Cooling'!Q3*Conversion!$B$3</f>
        <v>0</v>
      </c>
      <c r="R3" s="4">
        <f>'Commercial-Cooling'!R3*Conversion!$B$3</f>
        <v>0</v>
      </c>
      <c r="S3" s="4">
        <f>'Commercial-Cooling'!S3*Conversion!$B$3</f>
        <v>0</v>
      </c>
      <c r="T3" s="4">
        <f>'Commercial-Cooling'!T3*Conversion!$B$3</f>
        <v>0</v>
      </c>
      <c r="U3" s="4">
        <f>'Commercial-Cooling'!U3*Conversion!$B$3</f>
        <v>0</v>
      </c>
      <c r="V3" s="4">
        <f>'Commercial-Cooling'!V3*Conversion!$B$3</f>
        <v>0</v>
      </c>
      <c r="W3" s="4">
        <f>'Commercial-Cooling'!W3*Conversion!$B$3</f>
        <v>0</v>
      </c>
      <c r="X3" s="4">
        <f>'Commercial-Cooling'!X3*Conversion!$B$3</f>
        <v>0</v>
      </c>
      <c r="Y3" s="4">
        <f>'Commercial-Cooling'!Y3*Conversion!$B$3</f>
        <v>0</v>
      </c>
      <c r="Z3" s="4">
        <f>'Commercial-Cooling'!Z3*Conversion!$B$3</f>
        <v>0</v>
      </c>
      <c r="AA3" s="4">
        <f>'Commercial-Cooling'!AA3*Conversion!$B$3</f>
        <v>0</v>
      </c>
      <c r="AB3" s="4">
        <f>'Commercial-Cooling'!AB3*Conversion!$B$3</f>
        <v>0</v>
      </c>
      <c r="AC3" s="4">
        <f>'Commercial-Cooling'!AC3*Conversion!$B$3</f>
        <v>0</v>
      </c>
      <c r="AD3" s="4">
        <f>'Commercial-Cooling'!AD3*Conversion!$B$3</f>
        <v>0</v>
      </c>
      <c r="AE3" s="4">
        <f>'Commercial-Cooling'!AE3*Conversion!$B$3</f>
        <v>0</v>
      </c>
      <c r="AF3" s="4">
        <f>'Commercial-Cooling'!AF3*Conversion!$B$3</f>
        <v>0</v>
      </c>
      <c r="AG3" s="4">
        <f>'Commercial-Cooling'!AG3*Conversion!$B$3</f>
        <v>0</v>
      </c>
      <c r="AH3" s="4">
        <f>'Commercial-Cooling'!AH3*Conversion!$B$3</f>
        <v>0</v>
      </c>
      <c r="AI3" s="4">
        <f>'Commercial-Cooling'!AI3*Conversion!$B$3</f>
        <v>0</v>
      </c>
      <c r="AJ3" s="4">
        <f>'Commercial-Cooling'!AJ3*Conversion!$B$3</f>
        <v>0</v>
      </c>
      <c r="AK3" s="4">
        <f>'Commercial-Cooling'!AK3*Conversion!$B$3</f>
        <v>0</v>
      </c>
      <c r="AL3" s="4">
        <f>'Commercial-Cooling'!AL3*Conversion!$B$3</f>
        <v>0</v>
      </c>
      <c r="AM3" s="4">
        <f>'Commercial-Cooling'!AM3*Conversion!$B$3</f>
        <v>0</v>
      </c>
      <c r="AN3" s="4">
        <f>'Commercial-Cooling'!AN3*Conversion!$B$3</f>
        <v>0</v>
      </c>
      <c r="AO3" s="4">
        <f>'Commercial-Cooling'!AO3*Conversion!$B$3</f>
        <v>0</v>
      </c>
      <c r="AP3" s="4">
        <f>'Commercial-Cooling'!AP3*Conversion!$B$3</f>
        <v>0</v>
      </c>
      <c r="AQ3" s="4">
        <f>'Commercial-Cooling'!AQ3*Conversion!$B$3</f>
        <v>0</v>
      </c>
      <c r="AR3" s="42">
        <f>'Commercial-Cooling'!AR3*Conversion!$B$3</f>
        <v>0</v>
      </c>
      <c r="AS3" s="42">
        <f>'Commercial-Cooling'!AS3*Conversion!$B$3</f>
        <v>0</v>
      </c>
      <c r="AT3" s="42">
        <f>'Commercial-Cooling'!AT3*Conversion!$B$3</f>
        <v>0</v>
      </c>
      <c r="AU3" s="42">
        <f>'Commercial-Cooling'!AU3*Conversion!$B$3</f>
        <v>0</v>
      </c>
      <c r="AV3" s="42">
        <f>'Commercial-Cooling'!AV3*Conversion!$B$3</f>
        <v>0</v>
      </c>
      <c r="AW3" s="42">
        <f>'Commercial-Cooling'!AW3*Conversion!$B$3</f>
        <v>0</v>
      </c>
      <c r="AX3" s="42">
        <f>'Commercial-Cooling'!AX3*Conversion!$B$3</f>
        <v>0</v>
      </c>
      <c r="AY3" s="42">
        <f>'Commercial-Cooling'!AY3*Conversion!$B$3</f>
        <v>0</v>
      </c>
      <c r="AZ3" s="42">
        <f>'Commercial-Cooling'!AZ3*Conversion!$B$3</f>
        <v>0</v>
      </c>
      <c r="BA3" s="42">
        <f>'Commercial-Cooling'!BA3*Conversion!$B$3</f>
        <v>0</v>
      </c>
    </row>
    <row r="4" spans="1:53" x14ac:dyDescent="0.2">
      <c r="A4" s="1" t="s">
        <v>14</v>
      </c>
      <c r="B4" s="4">
        <f>'Commercial-Cooling'!B4*Conversion!$B$3</f>
        <v>0</v>
      </c>
      <c r="C4" s="4">
        <f>'Commercial-Cooling'!C4*Conversion!$B$3</f>
        <v>0</v>
      </c>
      <c r="D4" s="4">
        <f>'Commercial-Cooling'!D4*Conversion!$B$3</f>
        <v>0</v>
      </c>
      <c r="E4" s="4">
        <f>'Commercial-Cooling'!E4*Conversion!$B$3</f>
        <v>0</v>
      </c>
      <c r="F4" s="4">
        <f>'Commercial-Cooling'!F4*Conversion!$B$3</f>
        <v>0</v>
      </c>
      <c r="G4" s="4">
        <f>'Commercial-Cooling'!G4*Conversion!$B$3</f>
        <v>0</v>
      </c>
      <c r="H4" s="4">
        <f>'Commercial-Cooling'!H4*Conversion!$B$3</f>
        <v>0</v>
      </c>
      <c r="I4" s="4">
        <f>'Commercial-Cooling'!I4*Conversion!$B$3</f>
        <v>0</v>
      </c>
      <c r="J4" s="4">
        <f>'Commercial-Cooling'!J4*Conversion!$B$3</f>
        <v>0</v>
      </c>
      <c r="K4" s="4">
        <f>'Commercial-Cooling'!K4*Conversion!$B$3</f>
        <v>0</v>
      </c>
      <c r="L4" s="4">
        <f>'Commercial-Cooling'!L4*Conversion!$B$3</f>
        <v>0</v>
      </c>
      <c r="M4" s="4">
        <f>'Commercial-Cooling'!M4*Conversion!$B$3</f>
        <v>0</v>
      </c>
      <c r="N4" s="4">
        <f>'Commercial-Cooling'!N4*Conversion!$B$3</f>
        <v>0</v>
      </c>
      <c r="O4" s="4">
        <f>'Commercial-Cooling'!O4*Conversion!$B$3</f>
        <v>0</v>
      </c>
      <c r="P4" s="4">
        <f>'Commercial-Cooling'!P4*Conversion!$B$3</f>
        <v>0</v>
      </c>
      <c r="Q4" s="4">
        <f>'Commercial-Cooling'!Q4*Conversion!$B$3</f>
        <v>0</v>
      </c>
      <c r="R4" s="4">
        <f>'Commercial-Cooling'!R4*Conversion!$B$3</f>
        <v>0</v>
      </c>
      <c r="S4" s="4">
        <f>'Commercial-Cooling'!S4*Conversion!$B$3</f>
        <v>0</v>
      </c>
      <c r="T4" s="4">
        <f>'Commercial-Cooling'!T4*Conversion!$B$3</f>
        <v>0</v>
      </c>
      <c r="U4" s="4">
        <f>'Commercial-Cooling'!U4*Conversion!$B$3</f>
        <v>0</v>
      </c>
      <c r="V4" s="4">
        <f>'Commercial-Cooling'!V4*Conversion!$B$3</f>
        <v>0</v>
      </c>
      <c r="W4" s="4">
        <f>'Commercial-Cooling'!W4*Conversion!$B$3</f>
        <v>0</v>
      </c>
      <c r="X4" s="4">
        <f>'Commercial-Cooling'!X4*Conversion!$B$3</f>
        <v>0</v>
      </c>
      <c r="Y4" s="4">
        <f>'Commercial-Cooling'!Y4*Conversion!$B$3</f>
        <v>0</v>
      </c>
      <c r="Z4" s="4">
        <f>'Commercial-Cooling'!Z4*Conversion!$B$3</f>
        <v>0</v>
      </c>
      <c r="AA4" s="4">
        <f>'Commercial-Cooling'!AA4*Conversion!$B$3</f>
        <v>0</v>
      </c>
      <c r="AB4" s="4">
        <f>'Commercial-Cooling'!AB4*Conversion!$B$3</f>
        <v>0</v>
      </c>
      <c r="AC4" s="4">
        <f>'Commercial-Cooling'!AC4*Conversion!$B$3</f>
        <v>0</v>
      </c>
      <c r="AD4" s="4">
        <f>'Commercial-Cooling'!AD4*Conversion!$B$3</f>
        <v>0</v>
      </c>
      <c r="AE4" s="4">
        <f>'Commercial-Cooling'!AE4*Conversion!$B$3</f>
        <v>0</v>
      </c>
      <c r="AF4" s="4">
        <f>'Commercial-Cooling'!AF4*Conversion!$B$3</f>
        <v>0</v>
      </c>
      <c r="AG4" s="4">
        <f>'Commercial-Cooling'!AG4*Conversion!$B$3</f>
        <v>0</v>
      </c>
      <c r="AH4" s="4">
        <f>'Commercial-Cooling'!AH4*Conversion!$B$3</f>
        <v>0</v>
      </c>
      <c r="AI4" s="4">
        <f>'Commercial-Cooling'!AI4*Conversion!$B$3</f>
        <v>0</v>
      </c>
      <c r="AJ4" s="4">
        <f>'Commercial-Cooling'!AJ4*Conversion!$B$3</f>
        <v>0</v>
      </c>
      <c r="AK4" s="4">
        <f>'Commercial-Cooling'!AK4*Conversion!$B$3</f>
        <v>0</v>
      </c>
      <c r="AL4" s="4">
        <f>'Commercial-Cooling'!AL4*Conversion!$B$3</f>
        <v>0</v>
      </c>
      <c r="AM4" s="4">
        <f>'Commercial-Cooling'!AM4*Conversion!$B$3</f>
        <v>0</v>
      </c>
      <c r="AN4" s="4">
        <f>'Commercial-Cooling'!AN4*Conversion!$B$3</f>
        <v>0</v>
      </c>
      <c r="AO4" s="4">
        <f>'Commercial-Cooling'!AO4*Conversion!$B$3</f>
        <v>0</v>
      </c>
      <c r="AP4" s="4">
        <f>'Commercial-Cooling'!AP4*Conversion!$B$3</f>
        <v>0</v>
      </c>
      <c r="AQ4" s="4">
        <f>'Commercial-Cooling'!AQ4*Conversion!$B$3</f>
        <v>0</v>
      </c>
      <c r="AR4" s="42">
        <f>'Commercial-Cooling'!AR4*Conversion!$B$3</f>
        <v>0</v>
      </c>
      <c r="AS4" s="42">
        <f>'Commercial-Cooling'!AS4*Conversion!$B$3</f>
        <v>0</v>
      </c>
      <c r="AT4" s="42">
        <f>'Commercial-Cooling'!AT4*Conversion!$B$3</f>
        <v>0</v>
      </c>
      <c r="AU4" s="42">
        <f>'Commercial-Cooling'!AU4*Conversion!$B$3</f>
        <v>0</v>
      </c>
      <c r="AV4" s="42">
        <f>'Commercial-Cooling'!AV4*Conversion!$B$3</f>
        <v>0</v>
      </c>
      <c r="AW4" s="42">
        <f>'Commercial-Cooling'!AW4*Conversion!$B$3</f>
        <v>0</v>
      </c>
      <c r="AX4" s="42">
        <f>'Commercial-Cooling'!AX4*Conversion!$B$3</f>
        <v>0</v>
      </c>
      <c r="AY4" s="42">
        <f>'Commercial-Cooling'!AY4*Conversion!$B$3</f>
        <v>0</v>
      </c>
      <c r="AZ4" s="42">
        <f>'Commercial-Cooling'!AZ4*Conversion!$B$3</f>
        <v>0</v>
      </c>
      <c r="BA4" s="42">
        <f>'Commercial-Cooling'!BA4*Conversion!$B$3</f>
        <v>0</v>
      </c>
    </row>
    <row r="5" spans="1:53" x14ac:dyDescent="0.2">
      <c r="A5" s="1" t="s">
        <v>15</v>
      </c>
      <c r="B5" s="4">
        <f>'Commercial-Cooling'!B5*Conversion!$B$3</f>
        <v>0</v>
      </c>
      <c r="C5" s="4">
        <f>'Commercial-Cooling'!C5*Conversion!$B$3</f>
        <v>0</v>
      </c>
      <c r="D5" s="4">
        <f>'Commercial-Cooling'!D5*Conversion!$B$3</f>
        <v>0</v>
      </c>
      <c r="E5" s="4">
        <f>'Commercial-Cooling'!E5*Conversion!$B$3</f>
        <v>0</v>
      </c>
      <c r="F5" s="4">
        <f>'Commercial-Cooling'!F5*Conversion!$B$3</f>
        <v>0</v>
      </c>
      <c r="G5" s="4">
        <f>'Commercial-Cooling'!G5*Conversion!$B$3</f>
        <v>0</v>
      </c>
      <c r="H5" s="4">
        <f>'Commercial-Cooling'!H5*Conversion!$B$3</f>
        <v>0</v>
      </c>
      <c r="I5" s="4">
        <f>'Commercial-Cooling'!I5*Conversion!$B$3</f>
        <v>0</v>
      </c>
      <c r="J5" s="4">
        <f>'Commercial-Cooling'!J5*Conversion!$B$3</f>
        <v>0</v>
      </c>
      <c r="K5" s="4">
        <f>'Commercial-Cooling'!K5*Conversion!$B$3</f>
        <v>0</v>
      </c>
      <c r="L5" s="4">
        <f>'Commercial-Cooling'!L5*Conversion!$B$3</f>
        <v>0</v>
      </c>
      <c r="M5" s="4">
        <f>'Commercial-Cooling'!M5*Conversion!$B$3</f>
        <v>0</v>
      </c>
      <c r="N5" s="4">
        <f>'Commercial-Cooling'!N5*Conversion!$B$3</f>
        <v>0</v>
      </c>
      <c r="O5" s="4">
        <f>'Commercial-Cooling'!O5*Conversion!$B$3</f>
        <v>0</v>
      </c>
      <c r="P5" s="4">
        <f>'Commercial-Cooling'!P5*Conversion!$B$3</f>
        <v>0</v>
      </c>
      <c r="Q5" s="4">
        <f>'Commercial-Cooling'!Q5*Conversion!$B$3</f>
        <v>0</v>
      </c>
      <c r="R5" s="4">
        <f>'Commercial-Cooling'!R5*Conversion!$B$3</f>
        <v>0</v>
      </c>
      <c r="S5" s="4">
        <f>'Commercial-Cooling'!S5*Conversion!$B$3</f>
        <v>0</v>
      </c>
      <c r="T5" s="4">
        <f>'Commercial-Cooling'!T5*Conversion!$B$3</f>
        <v>0</v>
      </c>
      <c r="U5" s="4">
        <f>'Commercial-Cooling'!U5*Conversion!$B$3</f>
        <v>0</v>
      </c>
      <c r="V5" s="4">
        <f>'Commercial-Cooling'!V5*Conversion!$B$3</f>
        <v>0</v>
      </c>
      <c r="W5" s="4">
        <f>'Commercial-Cooling'!W5*Conversion!$B$3</f>
        <v>0</v>
      </c>
      <c r="X5" s="4">
        <f>'Commercial-Cooling'!X5*Conversion!$B$3</f>
        <v>0</v>
      </c>
      <c r="Y5" s="4">
        <f>'Commercial-Cooling'!Y5*Conversion!$B$3</f>
        <v>0</v>
      </c>
      <c r="Z5" s="4">
        <f>'Commercial-Cooling'!Z5*Conversion!$B$3</f>
        <v>0</v>
      </c>
      <c r="AA5" s="4">
        <f>'Commercial-Cooling'!AA5*Conversion!$B$3</f>
        <v>0</v>
      </c>
      <c r="AB5" s="4">
        <f>'Commercial-Cooling'!AB5*Conversion!$B$3</f>
        <v>0</v>
      </c>
      <c r="AC5" s="4">
        <f>'Commercial-Cooling'!AC5*Conversion!$B$3</f>
        <v>0</v>
      </c>
      <c r="AD5" s="4">
        <f>'Commercial-Cooling'!AD5*Conversion!$B$3</f>
        <v>0</v>
      </c>
      <c r="AE5" s="4">
        <f>'Commercial-Cooling'!AE5*Conversion!$B$3</f>
        <v>0</v>
      </c>
      <c r="AF5" s="4">
        <f>'Commercial-Cooling'!AF5*Conversion!$B$3</f>
        <v>0</v>
      </c>
      <c r="AG5" s="4">
        <f>'Commercial-Cooling'!AG5*Conversion!$B$3</f>
        <v>0</v>
      </c>
      <c r="AH5" s="4">
        <f>'Commercial-Cooling'!AH5*Conversion!$B$3</f>
        <v>0</v>
      </c>
      <c r="AI5" s="4">
        <f>'Commercial-Cooling'!AI5*Conversion!$B$3</f>
        <v>0</v>
      </c>
      <c r="AJ5" s="4">
        <f>'Commercial-Cooling'!AJ5*Conversion!$B$3</f>
        <v>0</v>
      </c>
      <c r="AK5" s="4">
        <f>'Commercial-Cooling'!AK5*Conversion!$B$3</f>
        <v>0</v>
      </c>
      <c r="AL5" s="4">
        <f>'Commercial-Cooling'!AL5*Conversion!$B$3</f>
        <v>0</v>
      </c>
      <c r="AM5" s="4">
        <f>'Commercial-Cooling'!AM5*Conversion!$B$3</f>
        <v>0</v>
      </c>
      <c r="AN5" s="4">
        <f>'Commercial-Cooling'!AN5*Conversion!$B$3</f>
        <v>0</v>
      </c>
      <c r="AO5" s="4">
        <f>'Commercial-Cooling'!AO5*Conversion!$B$3</f>
        <v>0</v>
      </c>
      <c r="AP5" s="4">
        <f>'Commercial-Cooling'!AP5*Conversion!$B$3</f>
        <v>0</v>
      </c>
      <c r="AQ5" s="4">
        <f>'Commercial-Cooling'!AQ5*Conversion!$B$3</f>
        <v>0</v>
      </c>
      <c r="AR5" s="42">
        <f>'Commercial-Cooling'!AR5*Conversion!$B$3</f>
        <v>0</v>
      </c>
      <c r="AS5" s="42">
        <f>'Commercial-Cooling'!AS5*Conversion!$B$3</f>
        <v>0</v>
      </c>
      <c r="AT5" s="42">
        <f>'Commercial-Cooling'!AT5*Conversion!$B$3</f>
        <v>0</v>
      </c>
      <c r="AU5" s="42">
        <f>'Commercial-Cooling'!AU5*Conversion!$B$3</f>
        <v>0</v>
      </c>
      <c r="AV5" s="42">
        <f>'Commercial-Cooling'!AV5*Conversion!$B$3</f>
        <v>0</v>
      </c>
      <c r="AW5" s="42">
        <f>'Commercial-Cooling'!AW5*Conversion!$B$3</f>
        <v>0</v>
      </c>
      <c r="AX5" s="42">
        <f>'Commercial-Cooling'!AX5*Conversion!$B$3</f>
        <v>0</v>
      </c>
      <c r="AY5" s="42">
        <f>'Commercial-Cooling'!AY5*Conversion!$B$3</f>
        <v>0</v>
      </c>
      <c r="AZ5" s="42">
        <f>'Commercial-Cooling'!AZ5*Conversion!$B$3</f>
        <v>0</v>
      </c>
      <c r="BA5" s="42">
        <f>'Commercial-Cooling'!BA5*Conversion!$B$3</f>
        <v>0</v>
      </c>
    </row>
    <row r="6" spans="1:53" x14ac:dyDescent="0.2">
      <c r="A6" s="1" t="s">
        <v>16</v>
      </c>
      <c r="B6" s="4">
        <f>'Commercial-Cooling'!B6*Conversion!$B$3</f>
        <v>0</v>
      </c>
      <c r="C6" s="4">
        <f>'Commercial-Cooling'!C6*Conversion!$B$3</f>
        <v>0</v>
      </c>
      <c r="D6" s="4">
        <f>'Commercial-Cooling'!D6*Conversion!$B$3</f>
        <v>0</v>
      </c>
      <c r="E6" s="4">
        <f>'Commercial-Cooling'!E6*Conversion!$B$3</f>
        <v>0</v>
      </c>
      <c r="F6" s="4">
        <f>'Commercial-Cooling'!F6*Conversion!$B$3</f>
        <v>0</v>
      </c>
      <c r="G6" s="4">
        <f>'Commercial-Cooling'!G6*Conversion!$B$3</f>
        <v>0</v>
      </c>
      <c r="H6" s="4">
        <f>'Commercial-Cooling'!H6*Conversion!$B$3</f>
        <v>0</v>
      </c>
      <c r="I6" s="4">
        <f>'Commercial-Cooling'!I6*Conversion!$B$3</f>
        <v>0</v>
      </c>
      <c r="J6" s="4">
        <f>'Commercial-Cooling'!J6*Conversion!$B$3</f>
        <v>0</v>
      </c>
      <c r="K6" s="4">
        <f>'Commercial-Cooling'!K6*Conversion!$B$3</f>
        <v>0</v>
      </c>
      <c r="L6" s="4">
        <f>'Commercial-Cooling'!L6*Conversion!$B$3</f>
        <v>0</v>
      </c>
      <c r="M6" s="4">
        <f>'Commercial-Cooling'!M6*Conversion!$B$3</f>
        <v>0</v>
      </c>
      <c r="N6" s="4">
        <f>'Commercial-Cooling'!N6*Conversion!$B$3</f>
        <v>0</v>
      </c>
      <c r="O6" s="4">
        <f>'Commercial-Cooling'!O6*Conversion!$B$3</f>
        <v>0</v>
      </c>
      <c r="P6" s="4">
        <f>'Commercial-Cooling'!P6*Conversion!$B$3</f>
        <v>0</v>
      </c>
      <c r="Q6" s="4">
        <f>'Commercial-Cooling'!Q6*Conversion!$B$3</f>
        <v>0</v>
      </c>
      <c r="R6" s="4">
        <f>'Commercial-Cooling'!R6*Conversion!$B$3</f>
        <v>0</v>
      </c>
      <c r="S6" s="4">
        <f>'Commercial-Cooling'!S6*Conversion!$B$3</f>
        <v>0</v>
      </c>
      <c r="T6" s="4">
        <f>'Commercial-Cooling'!T6*Conversion!$B$3</f>
        <v>0</v>
      </c>
      <c r="U6" s="4">
        <f>'Commercial-Cooling'!U6*Conversion!$B$3</f>
        <v>0</v>
      </c>
      <c r="V6" s="4">
        <f>'Commercial-Cooling'!V6*Conversion!$B$3</f>
        <v>0</v>
      </c>
      <c r="W6" s="4">
        <f>'Commercial-Cooling'!W6*Conversion!$B$3</f>
        <v>0</v>
      </c>
      <c r="X6" s="4">
        <f>'Commercial-Cooling'!X6*Conversion!$B$3</f>
        <v>0</v>
      </c>
      <c r="Y6" s="4">
        <f>'Commercial-Cooling'!Y6*Conversion!$B$3</f>
        <v>0</v>
      </c>
      <c r="Z6" s="4">
        <f>'Commercial-Cooling'!Z6*Conversion!$B$3</f>
        <v>0</v>
      </c>
      <c r="AA6" s="4">
        <f>'Commercial-Cooling'!AA6*Conversion!$B$3</f>
        <v>0</v>
      </c>
      <c r="AB6" s="4">
        <f>'Commercial-Cooling'!AB6*Conversion!$B$3</f>
        <v>0</v>
      </c>
      <c r="AC6" s="4">
        <f>'Commercial-Cooling'!AC6*Conversion!$B$3</f>
        <v>0</v>
      </c>
      <c r="AD6" s="4">
        <f>'Commercial-Cooling'!AD6*Conversion!$B$3</f>
        <v>0</v>
      </c>
      <c r="AE6" s="4">
        <f>'Commercial-Cooling'!AE6*Conversion!$B$3</f>
        <v>0</v>
      </c>
      <c r="AF6" s="4">
        <f>'Commercial-Cooling'!AF6*Conversion!$B$3</f>
        <v>0</v>
      </c>
      <c r="AG6" s="4">
        <f>'Commercial-Cooling'!AG6*Conversion!$B$3</f>
        <v>0</v>
      </c>
      <c r="AH6" s="4">
        <f>'Commercial-Cooling'!AH6*Conversion!$B$3</f>
        <v>0</v>
      </c>
      <c r="AI6" s="4">
        <f>'Commercial-Cooling'!AI6*Conversion!$B$3</f>
        <v>0</v>
      </c>
      <c r="AJ6" s="4">
        <f>'Commercial-Cooling'!AJ6*Conversion!$B$3</f>
        <v>0</v>
      </c>
      <c r="AK6" s="4">
        <f>'Commercial-Cooling'!AK6*Conversion!$B$3</f>
        <v>0</v>
      </c>
      <c r="AL6" s="4">
        <f>'Commercial-Cooling'!AL6*Conversion!$B$3</f>
        <v>0</v>
      </c>
      <c r="AM6" s="4">
        <f>'Commercial-Cooling'!AM6*Conversion!$B$3</f>
        <v>0</v>
      </c>
      <c r="AN6" s="4">
        <f>'Commercial-Cooling'!AN6*Conversion!$B$3</f>
        <v>0</v>
      </c>
      <c r="AO6" s="4">
        <f>'Commercial-Cooling'!AO6*Conversion!$B$3</f>
        <v>0</v>
      </c>
      <c r="AP6" s="4">
        <f>'Commercial-Cooling'!AP6*Conversion!$B$3</f>
        <v>0</v>
      </c>
      <c r="AQ6" s="4">
        <f>'Commercial-Cooling'!AQ6*Conversion!$B$3</f>
        <v>0</v>
      </c>
      <c r="AR6" s="42">
        <f>'Commercial-Cooling'!AR6*Conversion!$B$3</f>
        <v>0</v>
      </c>
      <c r="AS6" s="42">
        <f>'Commercial-Cooling'!AS6*Conversion!$B$3</f>
        <v>0</v>
      </c>
      <c r="AT6" s="42">
        <f>'Commercial-Cooling'!AT6*Conversion!$B$3</f>
        <v>0</v>
      </c>
      <c r="AU6" s="42">
        <f>'Commercial-Cooling'!AU6*Conversion!$B$3</f>
        <v>0</v>
      </c>
      <c r="AV6" s="42">
        <f>'Commercial-Cooling'!AV6*Conversion!$B$3</f>
        <v>0</v>
      </c>
      <c r="AW6" s="42">
        <f>'Commercial-Cooling'!AW6*Conversion!$B$3</f>
        <v>0</v>
      </c>
      <c r="AX6" s="42">
        <f>'Commercial-Cooling'!AX6*Conversion!$B$3</f>
        <v>0</v>
      </c>
      <c r="AY6" s="42">
        <f>'Commercial-Cooling'!AY6*Conversion!$B$3</f>
        <v>0</v>
      </c>
      <c r="AZ6" s="42">
        <f>'Commercial-Cooling'!AZ6*Conversion!$B$3</f>
        <v>0</v>
      </c>
      <c r="BA6" s="42">
        <f>'Commercial-Cooling'!BA6*Conversion!$B$3</f>
        <v>0</v>
      </c>
    </row>
    <row r="7" spans="1:53" x14ac:dyDescent="0.2">
      <c r="A7" s="1" t="s">
        <v>17</v>
      </c>
      <c r="B7" s="4">
        <f>'Commercial-Cooling'!B7*Conversion!$B$3</f>
        <v>0</v>
      </c>
      <c r="C7" s="4">
        <f>'Commercial-Cooling'!C7*Conversion!$B$3</f>
        <v>0</v>
      </c>
      <c r="D7" s="4">
        <f>'Commercial-Cooling'!D7*Conversion!$B$3</f>
        <v>0</v>
      </c>
      <c r="E7" s="4">
        <f>'Commercial-Cooling'!E7*Conversion!$B$3</f>
        <v>0</v>
      </c>
      <c r="F7" s="4">
        <f>'Commercial-Cooling'!F7*Conversion!$B$3</f>
        <v>0</v>
      </c>
      <c r="G7" s="4">
        <f>'Commercial-Cooling'!G7*Conversion!$B$3</f>
        <v>0</v>
      </c>
      <c r="H7" s="4">
        <f>'Commercial-Cooling'!H7*Conversion!$B$3</f>
        <v>0</v>
      </c>
      <c r="I7" s="4">
        <f>'Commercial-Cooling'!I7*Conversion!$B$3</f>
        <v>0</v>
      </c>
      <c r="J7" s="4">
        <f>'Commercial-Cooling'!J7*Conversion!$B$3</f>
        <v>0</v>
      </c>
      <c r="K7" s="4">
        <f>'Commercial-Cooling'!K7*Conversion!$B$3</f>
        <v>0</v>
      </c>
      <c r="L7" s="4">
        <f>'Commercial-Cooling'!L7*Conversion!$B$3</f>
        <v>0</v>
      </c>
      <c r="M7" s="4">
        <f>'Commercial-Cooling'!M7*Conversion!$B$3</f>
        <v>0</v>
      </c>
      <c r="N7" s="4">
        <f>'Commercial-Cooling'!N7*Conversion!$B$3</f>
        <v>0</v>
      </c>
      <c r="O7" s="4">
        <f>'Commercial-Cooling'!O7*Conversion!$B$3</f>
        <v>0</v>
      </c>
      <c r="P7" s="4">
        <f>'Commercial-Cooling'!P7*Conversion!$B$3</f>
        <v>0</v>
      </c>
      <c r="Q7" s="4">
        <f>'Commercial-Cooling'!Q7*Conversion!$B$3</f>
        <v>0</v>
      </c>
      <c r="R7" s="4">
        <f>'Commercial-Cooling'!R7*Conversion!$B$3</f>
        <v>0</v>
      </c>
      <c r="S7" s="4">
        <f>'Commercial-Cooling'!S7*Conversion!$B$3</f>
        <v>0</v>
      </c>
      <c r="T7" s="4">
        <f>'Commercial-Cooling'!T7*Conversion!$B$3</f>
        <v>0</v>
      </c>
      <c r="U7" s="4">
        <f>'Commercial-Cooling'!U7*Conversion!$B$3</f>
        <v>0</v>
      </c>
      <c r="V7" s="4">
        <f>'Commercial-Cooling'!V7*Conversion!$B$3</f>
        <v>0</v>
      </c>
      <c r="W7" s="4">
        <f>'Commercial-Cooling'!W7*Conversion!$B$3</f>
        <v>0</v>
      </c>
      <c r="X7" s="4">
        <f>'Commercial-Cooling'!X7*Conversion!$B$3</f>
        <v>0</v>
      </c>
      <c r="Y7" s="4">
        <f>'Commercial-Cooling'!Y7*Conversion!$B$3</f>
        <v>0</v>
      </c>
      <c r="Z7" s="4">
        <f>'Commercial-Cooling'!Z7*Conversion!$B$3</f>
        <v>0</v>
      </c>
      <c r="AA7" s="4">
        <f>'Commercial-Cooling'!AA7*Conversion!$B$3</f>
        <v>0</v>
      </c>
      <c r="AB7" s="4">
        <f>'Commercial-Cooling'!AB7*Conversion!$B$3</f>
        <v>0</v>
      </c>
      <c r="AC7" s="4">
        <f>'Commercial-Cooling'!AC7*Conversion!$B$3</f>
        <v>0</v>
      </c>
      <c r="AD7" s="4">
        <f>'Commercial-Cooling'!AD7*Conversion!$B$3</f>
        <v>0</v>
      </c>
      <c r="AE7" s="4">
        <f>'Commercial-Cooling'!AE7*Conversion!$B$3</f>
        <v>0</v>
      </c>
      <c r="AF7" s="4">
        <f>'Commercial-Cooling'!AF7*Conversion!$B$3</f>
        <v>0</v>
      </c>
      <c r="AG7" s="4">
        <f>'Commercial-Cooling'!AG7*Conversion!$B$3</f>
        <v>0</v>
      </c>
      <c r="AH7" s="4">
        <f>'Commercial-Cooling'!AH7*Conversion!$B$3</f>
        <v>0</v>
      </c>
      <c r="AI7" s="4">
        <f>'Commercial-Cooling'!AI7*Conversion!$B$3</f>
        <v>0</v>
      </c>
      <c r="AJ7" s="4">
        <f>'Commercial-Cooling'!AJ7*Conversion!$B$3</f>
        <v>0</v>
      </c>
      <c r="AK7" s="4">
        <f>'Commercial-Cooling'!AK7*Conversion!$B$3</f>
        <v>0</v>
      </c>
      <c r="AL7" s="4">
        <f>'Commercial-Cooling'!AL7*Conversion!$B$3</f>
        <v>0</v>
      </c>
      <c r="AM7" s="4">
        <f>'Commercial-Cooling'!AM7*Conversion!$B$3</f>
        <v>0</v>
      </c>
      <c r="AN7" s="4">
        <f>'Commercial-Cooling'!AN7*Conversion!$B$3</f>
        <v>0</v>
      </c>
      <c r="AO7" s="4">
        <f>'Commercial-Cooling'!AO7*Conversion!$B$3</f>
        <v>0</v>
      </c>
      <c r="AP7" s="4">
        <f>'Commercial-Cooling'!AP7*Conversion!$B$3</f>
        <v>0</v>
      </c>
      <c r="AQ7" s="4">
        <f>'Commercial-Cooling'!AQ7*Conversion!$B$3</f>
        <v>0</v>
      </c>
      <c r="AR7" s="42">
        <f>'Commercial-Cooling'!AR7*Conversion!$B$3</f>
        <v>0</v>
      </c>
      <c r="AS7" s="42">
        <f>'Commercial-Cooling'!AS7*Conversion!$B$3</f>
        <v>0</v>
      </c>
      <c r="AT7" s="42">
        <f>'Commercial-Cooling'!AT7*Conversion!$B$3</f>
        <v>0</v>
      </c>
      <c r="AU7" s="42">
        <f>'Commercial-Cooling'!AU7*Conversion!$B$3</f>
        <v>0</v>
      </c>
      <c r="AV7" s="42">
        <f>'Commercial-Cooling'!AV7*Conversion!$B$3</f>
        <v>0</v>
      </c>
      <c r="AW7" s="42">
        <f>'Commercial-Cooling'!AW7*Conversion!$B$3</f>
        <v>0</v>
      </c>
      <c r="AX7" s="42">
        <f>'Commercial-Cooling'!AX7*Conversion!$B$3</f>
        <v>0</v>
      </c>
      <c r="AY7" s="42">
        <f>'Commercial-Cooling'!AY7*Conversion!$B$3</f>
        <v>0</v>
      </c>
      <c r="AZ7" s="42">
        <f>'Commercial-Cooling'!AZ7*Conversion!$B$3</f>
        <v>0</v>
      </c>
      <c r="BA7" s="42">
        <f>'Commercial-Cooling'!BA7*Conversion!$B$3</f>
        <v>0</v>
      </c>
    </row>
    <row r="8" spans="1:53" x14ac:dyDescent="0.2">
      <c r="A8" s="1" t="s">
        <v>18</v>
      </c>
      <c r="B8" s="4">
        <f>'Commercial-Cooling'!B8*Conversion!$B$3</f>
        <v>0</v>
      </c>
      <c r="C8" s="4">
        <f>'Commercial-Cooling'!C8*Conversion!$B$3</f>
        <v>0</v>
      </c>
      <c r="D8" s="4">
        <f>'Commercial-Cooling'!D8*Conversion!$B$3</f>
        <v>0</v>
      </c>
      <c r="E8" s="4">
        <f>'Commercial-Cooling'!E8*Conversion!$B$3</f>
        <v>0</v>
      </c>
      <c r="F8" s="4">
        <f>'Commercial-Cooling'!F8*Conversion!$B$3</f>
        <v>0</v>
      </c>
      <c r="G8" s="4">
        <f>'Commercial-Cooling'!G8*Conversion!$B$3</f>
        <v>0</v>
      </c>
      <c r="H8" s="4">
        <f>'Commercial-Cooling'!H8*Conversion!$B$3</f>
        <v>0</v>
      </c>
      <c r="I8" s="4">
        <f>'Commercial-Cooling'!I8*Conversion!$B$3</f>
        <v>0</v>
      </c>
      <c r="J8" s="4">
        <f>'Commercial-Cooling'!J8*Conversion!$B$3</f>
        <v>0</v>
      </c>
      <c r="K8" s="4">
        <f>'Commercial-Cooling'!K8*Conversion!$B$3</f>
        <v>0</v>
      </c>
      <c r="L8" s="4">
        <f>'Commercial-Cooling'!L8*Conversion!$B$3</f>
        <v>0</v>
      </c>
      <c r="M8" s="4">
        <f>'Commercial-Cooling'!M8*Conversion!$B$3</f>
        <v>0</v>
      </c>
      <c r="N8" s="4">
        <f>'Commercial-Cooling'!N8*Conversion!$B$3</f>
        <v>0</v>
      </c>
      <c r="O8" s="4">
        <f>'Commercial-Cooling'!O8*Conversion!$B$3</f>
        <v>0</v>
      </c>
      <c r="P8" s="4">
        <f>'Commercial-Cooling'!P8*Conversion!$B$3</f>
        <v>0</v>
      </c>
      <c r="Q8" s="4">
        <f>'Commercial-Cooling'!Q8*Conversion!$B$3</f>
        <v>0</v>
      </c>
      <c r="R8" s="4">
        <f>'Commercial-Cooling'!R8*Conversion!$B$3</f>
        <v>0</v>
      </c>
      <c r="S8" s="4">
        <f>'Commercial-Cooling'!S8*Conversion!$B$3</f>
        <v>0</v>
      </c>
      <c r="T8" s="4">
        <f>'Commercial-Cooling'!T8*Conversion!$B$3</f>
        <v>0</v>
      </c>
      <c r="U8" s="4">
        <f>'Commercial-Cooling'!U8*Conversion!$B$3</f>
        <v>0</v>
      </c>
      <c r="V8" s="4">
        <f>'Commercial-Cooling'!V8*Conversion!$B$3</f>
        <v>0</v>
      </c>
      <c r="W8" s="4">
        <f>'Commercial-Cooling'!W8*Conversion!$B$3</f>
        <v>0</v>
      </c>
      <c r="X8" s="4">
        <f>'Commercial-Cooling'!X8*Conversion!$B$3</f>
        <v>0</v>
      </c>
      <c r="Y8" s="4">
        <f>'Commercial-Cooling'!Y8*Conversion!$B$3</f>
        <v>0</v>
      </c>
      <c r="Z8" s="4">
        <f>'Commercial-Cooling'!Z8*Conversion!$B$3</f>
        <v>0</v>
      </c>
      <c r="AA8" s="4">
        <f>'Commercial-Cooling'!AA8*Conversion!$B$3</f>
        <v>0</v>
      </c>
      <c r="AB8" s="4">
        <f>'Commercial-Cooling'!AB8*Conversion!$B$3</f>
        <v>0</v>
      </c>
      <c r="AC8" s="4">
        <f>'Commercial-Cooling'!AC8*Conversion!$B$3</f>
        <v>0</v>
      </c>
      <c r="AD8" s="4">
        <f>'Commercial-Cooling'!AD8*Conversion!$B$3</f>
        <v>0</v>
      </c>
      <c r="AE8" s="4">
        <f>'Commercial-Cooling'!AE8*Conversion!$B$3</f>
        <v>0</v>
      </c>
      <c r="AF8" s="4">
        <f>'Commercial-Cooling'!AF8*Conversion!$B$3</f>
        <v>0</v>
      </c>
      <c r="AG8" s="4">
        <f>'Commercial-Cooling'!AG8*Conversion!$B$3</f>
        <v>0</v>
      </c>
      <c r="AH8" s="4">
        <f>'Commercial-Cooling'!AH8*Conversion!$B$3</f>
        <v>0</v>
      </c>
      <c r="AI8" s="4">
        <f>'Commercial-Cooling'!AI8*Conversion!$B$3</f>
        <v>0</v>
      </c>
      <c r="AJ8" s="4">
        <f>'Commercial-Cooling'!AJ8*Conversion!$B$3</f>
        <v>0</v>
      </c>
      <c r="AK8" s="4">
        <f>'Commercial-Cooling'!AK8*Conversion!$B$3</f>
        <v>0</v>
      </c>
      <c r="AL8" s="4">
        <f>'Commercial-Cooling'!AL8*Conversion!$B$3</f>
        <v>0</v>
      </c>
      <c r="AM8" s="4">
        <f>'Commercial-Cooling'!AM8*Conversion!$B$3</f>
        <v>0</v>
      </c>
      <c r="AN8" s="4">
        <f>'Commercial-Cooling'!AN8*Conversion!$B$3</f>
        <v>0</v>
      </c>
      <c r="AO8" s="4">
        <f>'Commercial-Cooling'!AO8*Conversion!$B$3</f>
        <v>0</v>
      </c>
      <c r="AP8" s="4">
        <f>'Commercial-Cooling'!AP8*Conversion!$B$3</f>
        <v>0</v>
      </c>
      <c r="AQ8" s="4">
        <f>'Commercial-Cooling'!AQ8*Conversion!$B$3</f>
        <v>0</v>
      </c>
      <c r="AR8" s="42">
        <f>'Commercial-Cooling'!AR8*Conversion!$B$3</f>
        <v>0</v>
      </c>
      <c r="AS8" s="42">
        <f>'Commercial-Cooling'!AS8*Conversion!$B$3</f>
        <v>0</v>
      </c>
      <c r="AT8" s="42">
        <f>'Commercial-Cooling'!AT8*Conversion!$B$3</f>
        <v>0</v>
      </c>
      <c r="AU8" s="42">
        <f>'Commercial-Cooling'!AU8*Conversion!$B$3</f>
        <v>0</v>
      </c>
      <c r="AV8" s="42">
        <f>'Commercial-Cooling'!AV8*Conversion!$B$3</f>
        <v>0</v>
      </c>
      <c r="AW8" s="42">
        <f>'Commercial-Cooling'!AW8*Conversion!$B$3</f>
        <v>0</v>
      </c>
      <c r="AX8" s="42">
        <f>'Commercial-Cooling'!AX8*Conversion!$B$3</f>
        <v>0</v>
      </c>
      <c r="AY8" s="42">
        <f>'Commercial-Cooling'!AY8*Conversion!$B$3</f>
        <v>0</v>
      </c>
      <c r="AZ8" s="42">
        <f>'Commercial-Cooling'!AZ8*Conversion!$B$3</f>
        <v>0</v>
      </c>
      <c r="BA8" s="42">
        <f>'Commercial-Cooling'!BA8*Conversion!$B$3</f>
        <v>0</v>
      </c>
    </row>
    <row r="9" spans="1:53" x14ac:dyDescent="0.2">
      <c r="A9" s="1" t="s">
        <v>19</v>
      </c>
      <c r="B9" s="4">
        <f>'Commercial-Cooling'!B9*Conversion!$B$3</f>
        <v>0</v>
      </c>
      <c r="C9" s="4">
        <f>'Commercial-Cooling'!C9*Conversion!$B$3</f>
        <v>0</v>
      </c>
      <c r="D9" s="4">
        <f>'Commercial-Cooling'!D9*Conversion!$B$3</f>
        <v>0</v>
      </c>
      <c r="E9" s="4">
        <f>'Commercial-Cooling'!E9*Conversion!$B$3</f>
        <v>0</v>
      </c>
      <c r="F9" s="4">
        <f>'Commercial-Cooling'!F9*Conversion!$B$3</f>
        <v>0</v>
      </c>
      <c r="G9" s="4">
        <f>'Commercial-Cooling'!G9*Conversion!$B$3</f>
        <v>0</v>
      </c>
      <c r="H9" s="4">
        <f>'Commercial-Cooling'!H9*Conversion!$B$3</f>
        <v>0</v>
      </c>
      <c r="I9" s="4">
        <f>'Commercial-Cooling'!I9*Conversion!$B$3</f>
        <v>0</v>
      </c>
      <c r="J9" s="4">
        <f>'Commercial-Cooling'!J9*Conversion!$B$3</f>
        <v>0</v>
      </c>
      <c r="K9" s="4">
        <f>'Commercial-Cooling'!K9*Conversion!$B$3</f>
        <v>0</v>
      </c>
      <c r="L9" s="4">
        <f>'Commercial-Cooling'!L9*Conversion!$B$3</f>
        <v>0</v>
      </c>
      <c r="M9" s="4">
        <f>'Commercial-Cooling'!M9*Conversion!$B$3</f>
        <v>0</v>
      </c>
      <c r="N9" s="4">
        <f>'Commercial-Cooling'!N9*Conversion!$B$3</f>
        <v>0</v>
      </c>
      <c r="O9" s="4">
        <f>'Commercial-Cooling'!O9*Conversion!$B$3</f>
        <v>0</v>
      </c>
      <c r="P9" s="4">
        <f>'Commercial-Cooling'!P9*Conversion!$B$3</f>
        <v>0</v>
      </c>
      <c r="Q9" s="4">
        <f>'Commercial-Cooling'!Q9*Conversion!$B$3</f>
        <v>0</v>
      </c>
      <c r="R9" s="4">
        <f>'Commercial-Cooling'!R9*Conversion!$B$3</f>
        <v>0</v>
      </c>
      <c r="S9" s="4">
        <f>'Commercial-Cooling'!S9*Conversion!$B$3</f>
        <v>0</v>
      </c>
      <c r="T9" s="4">
        <f>'Commercial-Cooling'!T9*Conversion!$B$3</f>
        <v>0</v>
      </c>
      <c r="U9" s="4">
        <f>'Commercial-Cooling'!U9*Conversion!$B$3</f>
        <v>0</v>
      </c>
      <c r="V9" s="4">
        <f>'Commercial-Cooling'!V9*Conversion!$B$3</f>
        <v>0</v>
      </c>
      <c r="W9" s="4">
        <f>'Commercial-Cooling'!W9*Conversion!$B$3</f>
        <v>0</v>
      </c>
      <c r="X9" s="4">
        <f>'Commercial-Cooling'!X9*Conversion!$B$3</f>
        <v>0</v>
      </c>
      <c r="Y9" s="4">
        <f>'Commercial-Cooling'!Y9*Conversion!$B$3</f>
        <v>0</v>
      </c>
      <c r="Z9" s="4">
        <f>'Commercial-Cooling'!Z9*Conversion!$B$3</f>
        <v>0</v>
      </c>
      <c r="AA9" s="4">
        <f>'Commercial-Cooling'!AA9*Conversion!$B$3</f>
        <v>0</v>
      </c>
      <c r="AB9" s="4">
        <f>'Commercial-Cooling'!AB9*Conversion!$B$3</f>
        <v>0</v>
      </c>
      <c r="AC9" s="4">
        <f>'Commercial-Cooling'!AC9*Conversion!$B$3</f>
        <v>0</v>
      </c>
      <c r="AD9" s="4">
        <f>'Commercial-Cooling'!AD9*Conversion!$B$3</f>
        <v>0</v>
      </c>
      <c r="AE9" s="4">
        <f>'Commercial-Cooling'!AE9*Conversion!$B$3</f>
        <v>0</v>
      </c>
      <c r="AF9" s="4">
        <f>'Commercial-Cooling'!AF9*Conversion!$B$3</f>
        <v>0</v>
      </c>
      <c r="AG9" s="4">
        <f>'Commercial-Cooling'!AG9*Conversion!$B$3</f>
        <v>0</v>
      </c>
      <c r="AH9" s="4">
        <f>'Commercial-Cooling'!AH9*Conversion!$B$3</f>
        <v>0</v>
      </c>
      <c r="AI9" s="4">
        <f>'Commercial-Cooling'!AI9*Conversion!$B$3</f>
        <v>0</v>
      </c>
      <c r="AJ9" s="4">
        <f>'Commercial-Cooling'!AJ9*Conversion!$B$3</f>
        <v>0</v>
      </c>
      <c r="AK9" s="4">
        <f>'Commercial-Cooling'!AK9*Conversion!$B$3</f>
        <v>0</v>
      </c>
      <c r="AL9" s="4">
        <f>'Commercial-Cooling'!AL9*Conversion!$B$3</f>
        <v>0</v>
      </c>
      <c r="AM9" s="4">
        <f>'Commercial-Cooling'!AM9*Conversion!$B$3</f>
        <v>0</v>
      </c>
      <c r="AN9" s="4">
        <f>'Commercial-Cooling'!AN9*Conversion!$B$3</f>
        <v>0</v>
      </c>
      <c r="AO9" s="4">
        <f>'Commercial-Cooling'!AO9*Conversion!$B$3</f>
        <v>0</v>
      </c>
      <c r="AP9" s="4">
        <f>'Commercial-Cooling'!AP9*Conversion!$B$3</f>
        <v>0</v>
      </c>
      <c r="AQ9" s="4">
        <f>'Commercial-Cooling'!AQ9*Conversion!$B$3</f>
        <v>0</v>
      </c>
      <c r="AR9" s="42">
        <f>'Commercial-Cooling'!AR9*Conversion!$B$3</f>
        <v>0</v>
      </c>
      <c r="AS9" s="42">
        <f>'Commercial-Cooling'!AS9*Conversion!$B$3</f>
        <v>0</v>
      </c>
      <c r="AT9" s="42">
        <f>'Commercial-Cooling'!AT9*Conversion!$B$3</f>
        <v>0</v>
      </c>
      <c r="AU9" s="42">
        <f>'Commercial-Cooling'!AU9*Conversion!$B$3</f>
        <v>0</v>
      </c>
      <c r="AV9" s="42">
        <f>'Commercial-Cooling'!AV9*Conversion!$B$3</f>
        <v>0</v>
      </c>
      <c r="AW9" s="42">
        <f>'Commercial-Cooling'!AW9*Conversion!$B$3</f>
        <v>0</v>
      </c>
      <c r="AX9" s="42">
        <f>'Commercial-Cooling'!AX9*Conversion!$B$3</f>
        <v>0</v>
      </c>
      <c r="AY9" s="42">
        <f>'Commercial-Cooling'!AY9*Conversion!$B$3</f>
        <v>0</v>
      </c>
      <c r="AZ9" s="42">
        <f>'Commercial-Cooling'!AZ9*Conversion!$B$3</f>
        <v>0</v>
      </c>
      <c r="BA9" s="42">
        <f>'Commercial-Cooling'!BA9*Conversion!$B$3</f>
        <v>0</v>
      </c>
    </row>
    <row r="10" spans="1:53" x14ac:dyDescent="0.2">
      <c r="A10" s="1" t="s">
        <v>20</v>
      </c>
      <c r="B10" s="4">
        <f>'Commercial-Cooling'!B10*Conversion!$B$3</f>
        <v>0</v>
      </c>
      <c r="C10" s="4">
        <f>'Commercial-Cooling'!C10*Conversion!$B$3</f>
        <v>0</v>
      </c>
      <c r="D10" s="4">
        <f>'Commercial-Cooling'!D10*Conversion!$B$3</f>
        <v>0</v>
      </c>
      <c r="E10" s="4">
        <f>'Commercial-Cooling'!E10*Conversion!$B$3</f>
        <v>0</v>
      </c>
      <c r="F10" s="4">
        <f>'Commercial-Cooling'!F10*Conversion!$B$3</f>
        <v>0</v>
      </c>
      <c r="G10" s="4">
        <f>'Commercial-Cooling'!G10*Conversion!$B$3</f>
        <v>0</v>
      </c>
      <c r="H10" s="4">
        <f>'Commercial-Cooling'!H10*Conversion!$B$3</f>
        <v>0</v>
      </c>
      <c r="I10" s="4">
        <f>'Commercial-Cooling'!I10*Conversion!$B$3</f>
        <v>0</v>
      </c>
      <c r="J10" s="4">
        <f>'Commercial-Cooling'!J10*Conversion!$B$3</f>
        <v>0</v>
      </c>
      <c r="K10" s="4">
        <f>'Commercial-Cooling'!K10*Conversion!$B$3</f>
        <v>0</v>
      </c>
      <c r="L10" s="4">
        <f>'Commercial-Cooling'!L10*Conversion!$B$3</f>
        <v>0</v>
      </c>
      <c r="M10" s="4">
        <f>'Commercial-Cooling'!M10*Conversion!$B$3</f>
        <v>0</v>
      </c>
      <c r="N10" s="4">
        <f>'Commercial-Cooling'!N10*Conversion!$B$3</f>
        <v>0</v>
      </c>
      <c r="O10" s="4">
        <f>'Commercial-Cooling'!O10*Conversion!$B$3</f>
        <v>0</v>
      </c>
      <c r="P10" s="4">
        <f>'Commercial-Cooling'!P10*Conversion!$B$3</f>
        <v>0</v>
      </c>
      <c r="Q10" s="4">
        <f>'Commercial-Cooling'!Q10*Conversion!$B$3</f>
        <v>0</v>
      </c>
      <c r="R10" s="4">
        <f>'Commercial-Cooling'!R10*Conversion!$B$3</f>
        <v>0</v>
      </c>
      <c r="S10" s="4">
        <f>'Commercial-Cooling'!S10*Conversion!$B$3</f>
        <v>0</v>
      </c>
      <c r="T10" s="4">
        <f>'Commercial-Cooling'!T10*Conversion!$B$3</f>
        <v>0</v>
      </c>
      <c r="U10" s="4">
        <f>'Commercial-Cooling'!U10*Conversion!$B$3</f>
        <v>0</v>
      </c>
      <c r="V10" s="4">
        <f>'Commercial-Cooling'!V10*Conversion!$B$3</f>
        <v>0</v>
      </c>
      <c r="W10" s="4">
        <f>'Commercial-Cooling'!W10*Conversion!$B$3</f>
        <v>0</v>
      </c>
      <c r="X10" s="4">
        <f>'Commercial-Cooling'!X10*Conversion!$B$3</f>
        <v>0</v>
      </c>
      <c r="Y10" s="4">
        <f>'Commercial-Cooling'!Y10*Conversion!$B$3</f>
        <v>0</v>
      </c>
      <c r="Z10" s="4">
        <f>'Commercial-Cooling'!Z10*Conversion!$B$3</f>
        <v>0</v>
      </c>
      <c r="AA10" s="4">
        <f>'Commercial-Cooling'!AA10*Conversion!$B$3</f>
        <v>0</v>
      </c>
      <c r="AB10" s="4">
        <f>'Commercial-Cooling'!AB10*Conversion!$B$3</f>
        <v>0</v>
      </c>
      <c r="AC10" s="4">
        <f>'Commercial-Cooling'!AC10*Conversion!$B$3</f>
        <v>0</v>
      </c>
      <c r="AD10" s="4">
        <f>'Commercial-Cooling'!AD10*Conversion!$B$3</f>
        <v>0</v>
      </c>
      <c r="AE10" s="4">
        <f>'Commercial-Cooling'!AE10*Conversion!$B$3</f>
        <v>0</v>
      </c>
      <c r="AF10" s="4">
        <f>'Commercial-Cooling'!AF10*Conversion!$B$3</f>
        <v>0</v>
      </c>
      <c r="AG10" s="4">
        <f>'Commercial-Cooling'!AG10*Conversion!$B$3</f>
        <v>0</v>
      </c>
      <c r="AH10" s="4">
        <f>'Commercial-Cooling'!AH10*Conversion!$B$3</f>
        <v>0</v>
      </c>
      <c r="AI10" s="4">
        <f>'Commercial-Cooling'!AI10*Conversion!$B$3</f>
        <v>0</v>
      </c>
      <c r="AJ10" s="4">
        <f>'Commercial-Cooling'!AJ10*Conversion!$B$3</f>
        <v>0</v>
      </c>
      <c r="AK10" s="4">
        <f>'Commercial-Cooling'!AK10*Conversion!$B$3</f>
        <v>0</v>
      </c>
      <c r="AL10" s="4">
        <f>'Commercial-Cooling'!AL10*Conversion!$B$3</f>
        <v>0</v>
      </c>
      <c r="AM10" s="4">
        <f>'Commercial-Cooling'!AM10*Conversion!$B$3</f>
        <v>0</v>
      </c>
      <c r="AN10" s="4">
        <f>'Commercial-Cooling'!AN10*Conversion!$B$3</f>
        <v>0</v>
      </c>
      <c r="AO10" s="4">
        <f>'Commercial-Cooling'!AO10*Conversion!$B$3</f>
        <v>0</v>
      </c>
      <c r="AP10" s="4">
        <f>'Commercial-Cooling'!AP10*Conversion!$B$3</f>
        <v>0</v>
      </c>
      <c r="AQ10" s="4">
        <f>'Commercial-Cooling'!AQ10*Conversion!$B$3</f>
        <v>0</v>
      </c>
      <c r="AR10" s="42">
        <f>'Commercial-Cooling'!AR10*Conversion!$B$3</f>
        <v>0</v>
      </c>
      <c r="AS10" s="42">
        <f>'Commercial-Cooling'!AS10*Conversion!$B$3</f>
        <v>0</v>
      </c>
      <c r="AT10" s="42">
        <f>'Commercial-Cooling'!AT10*Conversion!$B$3</f>
        <v>0</v>
      </c>
      <c r="AU10" s="42">
        <f>'Commercial-Cooling'!AU10*Conversion!$B$3</f>
        <v>0</v>
      </c>
      <c r="AV10" s="42">
        <f>'Commercial-Cooling'!AV10*Conversion!$B$3</f>
        <v>0</v>
      </c>
      <c r="AW10" s="42">
        <f>'Commercial-Cooling'!AW10*Conversion!$B$3</f>
        <v>0</v>
      </c>
      <c r="AX10" s="42">
        <f>'Commercial-Cooling'!AX10*Conversion!$B$3</f>
        <v>0</v>
      </c>
      <c r="AY10" s="42">
        <f>'Commercial-Cooling'!AY10*Conversion!$B$3</f>
        <v>0</v>
      </c>
      <c r="AZ10" s="42">
        <f>'Commercial-Cooling'!AZ10*Conversion!$B$3</f>
        <v>0</v>
      </c>
      <c r="BA10" s="42">
        <f>'Commercial-Cooling'!BA10*Conversion!$B$3</f>
        <v>0</v>
      </c>
    </row>
    <row r="11" spans="1:53" x14ac:dyDescent="0.2">
      <c r="A11" s="1" t="s">
        <v>21</v>
      </c>
      <c r="B11" s="4">
        <f>'Commercial-Cooling'!B11*Conversion!$B$3</f>
        <v>0</v>
      </c>
      <c r="C11" s="4">
        <f>'Commercial-Cooling'!C11*Conversion!$B$3</f>
        <v>0</v>
      </c>
      <c r="D11" s="4">
        <f>'Commercial-Cooling'!D11*Conversion!$B$3</f>
        <v>0</v>
      </c>
      <c r="E11" s="4">
        <f>'Commercial-Cooling'!E11*Conversion!$B$3</f>
        <v>0</v>
      </c>
      <c r="F11" s="4">
        <f>'Commercial-Cooling'!F11*Conversion!$B$3</f>
        <v>0</v>
      </c>
      <c r="G11" s="4">
        <f>'Commercial-Cooling'!G11*Conversion!$B$3</f>
        <v>0</v>
      </c>
      <c r="H11" s="4">
        <f>'Commercial-Cooling'!H11*Conversion!$B$3</f>
        <v>0</v>
      </c>
      <c r="I11" s="4">
        <f>'Commercial-Cooling'!I11*Conversion!$B$3</f>
        <v>0</v>
      </c>
      <c r="J11" s="4">
        <f>'Commercial-Cooling'!J11*Conversion!$B$3</f>
        <v>0</v>
      </c>
      <c r="K11" s="4">
        <f>'Commercial-Cooling'!K11*Conversion!$B$3</f>
        <v>0</v>
      </c>
      <c r="L11" s="4">
        <f>'Commercial-Cooling'!L11*Conversion!$B$3</f>
        <v>0</v>
      </c>
      <c r="M11" s="4">
        <f>'Commercial-Cooling'!M11*Conversion!$B$3</f>
        <v>0</v>
      </c>
      <c r="N11" s="4">
        <f>'Commercial-Cooling'!N11*Conversion!$B$3</f>
        <v>0</v>
      </c>
      <c r="O11" s="4">
        <f>'Commercial-Cooling'!O11*Conversion!$B$3</f>
        <v>0</v>
      </c>
      <c r="P11" s="4">
        <f>'Commercial-Cooling'!P11*Conversion!$B$3</f>
        <v>0</v>
      </c>
      <c r="Q11" s="4">
        <f>'Commercial-Cooling'!Q11*Conversion!$B$3</f>
        <v>0</v>
      </c>
      <c r="R11" s="4">
        <f>'Commercial-Cooling'!R11*Conversion!$B$3</f>
        <v>0</v>
      </c>
      <c r="S11" s="4">
        <f>'Commercial-Cooling'!S11*Conversion!$B$3</f>
        <v>0</v>
      </c>
      <c r="T11" s="4">
        <f>'Commercial-Cooling'!T11*Conversion!$B$3</f>
        <v>0</v>
      </c>
      <c r="U11" s="4">
        <f>'Commercial-Cooling'!U11*Conversion!$B$3</f>
        <v>0</v>
      </c>
      <c r="V11" s="4">
        <f>'Commercial-Cooling'!V11*Conversion!$B$3</f>
        <v>0</v>
      </c>
      <c r="W11" s="4">
        <f>'Commercial-Cooling'!W11*Conversion!$B$3</f>
        <v>0</v>
      </c>
      <c r="X11" s="4">
        <f>'Commercial-Cooling'!X11*Conversion!$B$3</f>
        <v>0</v>
      </c>
      <c r="Y11" s="4">
        <f>'Commercial-Cooling'!Y11*Conversion!$B$3</f>
        <v>0</v>
      </c>
      <c r="Z11" s="4">
        <f>'Commercial-Cooling'!Z11*Conversion!$B$3</f>
        <v>0</v>
      </c>
      <c r="AA11" s="4">
        <f>'Commercial-Cooling'!AA11*Conversion!$B$3</f>
        <v>0</v>
      </c>
      <c r="AB11" s="4">
        <f>'Commercial-Cooling'!AB11*Conversion!$B$3</f>
        <v>0</v>
      </c>
      <c r="AC11" s="4">
        <f>'Commercial-Cooling'!AC11*Conversion!$B$3</f>
        <v>0</v>
      </c>
      <c r="AD11" s="4">
        <f>'Commercial-Cooling'!AD11*Conversion!$B$3</f>
        <v>0</v>
      </c>
      <c r="AE11" s="4">
        <f>'Commercial-Cooling'!AE11*Conversion!$B$3</f>
        <v>0</v>
      </c>
      <c r="AF11" s="4">
        <f>'Commercial-Cooling'!AF11*Conversion!$B$3</f>
        <v>0</v>
      </c>
      <c r="AG11" s="4">
        <f>'Commercial-Cooling'!AG11*Conversion!$B$3</f>
        <v>0</v>
      </c>
      <c r="AH11" s="4">
        <f>'Commercial-Cooling'!AH11*Conversion!$B$3</f>
        <v>0</v>
      </c>
      <c r="AI11" s="4">
        <f>'Commercial-Cooling'!AI11*Conversion!$B$3</f>
        <v>0</v>
      </c>
      <c r="AJ11" s="4">
        <f>'Commercial-Cooling'!AJ11*Conversion!$B$3</f>
        <v>0</v>
      </c>
      <c r="AK11" s="4">
        <f>'Commercial-Cooling'!AK11*Conversion!$B$3</f>
        <v>0</v>
      </c>
      <c r="AL11" s="4">
        <f>'Commercial-Cooling'!AL11*Conversion!$B$3</f>
        <v>0</v>
      </c>
      <c r="AM11" s="4">
        <f>'Commercial-Cooling'!AM11*Conversion!$B$3</f>
        <v>0</v>
      </c>
      <c r="AN11" s="4">
        <f>'Commercial-Cooling'!AN11*Conversion!$B$3</f>
        <v>0</v>
      </c>
      <c r="AO11" s="4">
        <f>'Commercial-Cooling'!AO11*Conversion!$B$3</f>
        <v>0</v>
      </c>
      <c r="AP11" s="4">
        <f>'Commercial-Cooling'!AP11*Conversion!$B$3</f>
        <v>0</v>
      </c>
      <c r="AQ11" s="4">
        <f>'Commercial-Cooling'!AQ11*Conversion!$B$3</f>
        <v>0</v>
      </c>
      <c r="AR11" s="42">
        <f>'Commercial-Cooling'!AR11*Conversion!$B$3</f>
        <v>0</v>
      </c>
      <c r="AS11" s="42">
        <f>'Commercial-Cooling'!AS11*Conversion!$B$3</f>
        <v>0</v>
      </c>
      <c r="AT11" s="42">
        <f>'Commercial-Cooling'!AT11*Conversion!$B$3</f>
        <v>0</v>
      </c>
      <c r="AU11" s="42">
        <f>'Commercial-Cooling'!AU11*Conversion!$B$3</f>
        <v>0</v>
      </c>
      <c r="AV11" s="42">
        <f>'Commercial-Cooling'!AV11*Conversion!$B$3</f>
        <v>0</v>
      </c>
      <c r="AW11" s="42">
        <f>'Commercial-Cooling'!AW11*Conversion!$B$3</f>
        <v>0</v>
      </c>
      <c r="AX11" s="42">
        <f>'Commercial-Cooling'!AX11*Conversion!$B$3</f>
        <v>0</v>
      </c>
      <c r="AY11" s="42">
        <f>'Commercial-Cooling'!AY11*Conversion!$B$3</f>
        <v>0</v>
      </c>
      <c r="AZ11" s="42">
        <f>'Commercial-Cooling'!AZ11*Conversion!$B$3</f>
        <v>0</v>
      </c>
      <c r="BA11" s="42">
        <f>'Commercial-Cooling'!BA11*Conversion!$B$3</f>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D4EE-D7B5-9E4D-B3AC-59891EED6742}">
  <sheetPr>
    <tabColor theme="3" tint="0.249977111117893"/>
  </sheetPr>
  <dimension ref="A1:BA11"/>
  <sheetViews>
    <sheetView topLeftCell="AF1" workbookViewId="0">
      <selection activeCell="AR1" sqref="AR1: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'Commercial-Lighting'!B2*Conversion!$B$3</f>
        <v>54687646191006.258</v>
      </c>
      <c r="C2" s="15">
        <f>'Commercial-Lighting'!C2*Conversion!$B$3</f>
        <v>56047978889224.055</v>
      </c>
      <c r="D2" s="15">
        <f>'Commercial-Lighting'!D2*Conversion!$B$3</f>
        <v>57408311587441.852</v>
      </c>
      <c r="E2" s="15">
        <f>'Commercial-Lighting'!E2*Conversion!$B$3</f>
        <v>58766364067064.867</v>
      </c>
      <c r="F2" s="15">
        <f>'Commercial-Lighting'!F2*Conversion!$B$3</f>
        <v>60443438751677.352</v>
      </c>
      <c r="G2" s="15">
        <f>'Commercial-Lighting'!G2*Conversion!$B$3</f>
        <v>61493519351646.453</v>
      </c>
      <c r="H2" s="15">
        <f>'Commercial-Lighting'!H2*Conversion!$B$3</f>
        <v>62589296343886.539</v>
      </c>
      <c r="I2" s="15">
        <f>'Commercial-Lighting'!I2*Conversion!$B$3</f>
        <v>63994315598020.477</v>
      </c>
      <c r="J2" s="15">
        <f>'Commercial-Lighting'!J2*Conversion!$B$3</f>
        <v>65451694069525.023</v>
      </c>
      <c r="K2" s="15">
        <f>'Commercial-Lighting'!K2*Conversion!$B$3</f>
        <v>66964373052271.453</v>
      </c>
      <c r="L2" s="15">
        <f>'Commercial-Lighting'!L2*Conversion!$B$3</f>
        <v>68535468601288.141</v>
      </c>
      <c r="M2" s="15">
        <f>'Commercial-Lighting'!M2*Conversion!$B$3</f>
        <v>70168282078417.742</v>
      </c>
      <c r="N2" s="15">
        <f>'Commercial-Lighting'!N2*Conversion!$B$3</f>
        <v>71798798086379.562</v>
      </c>
      <c r="O2" s="15">
        <f>'Commercial-Lighting'!O2*Conversion!$B$3</f>
        <v>73497912635297.781</v>
      </c>
      <c r="P2" s="15">
        <f>'Commercial-Lighting'!P2*Conversion!$B$3</f>
        <v>75269552936264.266</v>
      </c>
      <c r="Q2" s="15">
        <f>'Commercial-Lighting'!Q2*Conversion!$B$3</f>
        <v>77117880554648.391</v>
      </c>
      <c r="R2" s="15">
        <f>'Commercial-Lighting'!R2*Conversion!$B$3</f>
        <v>79047305607456.781</v>
      </c>
      <c r="S2" s="15">
        <f>'Commercial-Lighting'!S2*Conversion!$B$3</f>
        <v>80993390049421.922</v>
      </c>
      <c r="T2" s="15">
        <f>'Commercial-Lighting'!T2*Conversion!$B$3</f>
        <v>83029871797134.5</v>
      </c>
      <c r="U2" s="15">
        <f>'Commercial-Lighting'!U2*Conversion!$B$3</f>
        <v>85162000797817.031</v>
      </c>
      <c r="V2" s="15">
        <f>'Commercial-Lighting'!V2*Conversion!$B$3</f>
        <v>87395341615450</v>
      </c>
      <c r="W2" s="15">
        <f>'Commercial-Lighting'!W2*Conversion!$B$3</f>
        <v>89735792563162.594</v>
      </c>
      <c r="X2" s="15">
        <f>'Commercial-Lighting'!X2*Conversion!$B$3</f>
        <v>92121211186208.828</v>
      </c>
      <c r="Y2" s="15">
        <f>'Commercial-Lighting'!Y2*Conversion!$B$3</f>
        <v>94626300272110.406</v>
      </c>
      <c r="Z2" s="15">
        <f>'Commercial-Lighting'!Z2*Conversion!$B$3</f>
        <v>97258086333710.203</v>
      </c>
      <c r="AA2" s="15">
        <f>'Commercial-Lighting'!AA2*Conversion!$B$3</f>
        <v>100024018706343.78</v>
      </c>
      <c r="AB2" s="15">
        <f>'Commercial-Lighting'!AB2*Conversion!$B$3</f>
        <v>102931995355179.12</v>
      </c>
      <c r="AC2" s="15">
        <f>'Commercial-Lighting'!AC2*Conversion!$B$3</f>
        <v>105924000247409.77</v>
      </c>
      <c r="AD2" s="15">
        <f>'Commercial-Lighting'!AD2*Conversion!$B$3</f>
        <v>109074995475214.55</v>
      </c>
      <c r="AE2" s="15">
        <f>'Commercial-Lighting'!AE2*Conversion!$B$3</f>
        <v>112394396190739.19</v>
      </c>
      <c r="AF2" s="15">
        <f>'Commercial-Lighting'!AF2*Conversion!$B$3</f>
        <v>115892186382378.22</v>
      </c>
      <c r="AG2" s="15">
        <f>'Commercial-Lighting'!AG2*Conversion!$B$3</f>
        <v>119578953717653.42</v>
      </c>
      <c r="AH2" s="15">
        <f>'Commercial-Lighting'!AH2*Conversion!$B$3</f>
        <v>123303431364666.81</v>
      </c>
      <c r="AI2" s="15">
        <f>'Commercial-Lighting'!AI2*Conversion!$B$3</f>
        <v>127239279860079.66</v>
      </c>
      <c r="AJ2" s="15">
        <f>'Commercial-Lighting'!AJ2*Conversion!$B$3</f>
        <v>131399129249981.7</v>
      </c>
      <c r="AK2" s="15">
        <f>'Commercial-Lighting'!AK2*Conversion!$B$3</f>
        <v>135796375626035.17</v>
      </c>
      <c r="AL2" s="15">
        <f>'Commercial-Lighting'!AL2*Conversion!$B$3</f>
        <v>140445228208669.78</v>
      </c>
      <c r="AM2" s="15">
        <f>'Commercial-Lighting'!AM2*Conversion!$B$3</f>
        <v>145360759357520.38</v>
      </c>
      <c r="AN2" s="15">
        <f>'Commercial-Lighting'!AN2*Conversion!$B$3</f>
        <v>150558957692871.91</v>
      </c>
      <c r="AO2" s="15">
        <f>'Commercial-Lighting'!AO2*Conversion!$B$3</f>
        <v>156056784523505.22</v>
      </c>
      <c r="AP2" s="15">
        <f>'Commercial-Lighting'!AP2*Conversion!$B$3</f>
        <v>161872233788706.38</v>
      </c>
      <c r="AQ2" s="15">
        <f>'Commercial-Lighting'!AQ2*Conversion!$B$3</f>
        <v>168024395735362.56</v>
      </c>
      <c r="AR2" s="45">
        <f>'Commercial-Lighting'!AR2*Conversion!$B$3</f>
        <v>174534184951332.03</v>
      </c>
      <c r="AS2" s="45">
        <f>'Commercial-Lighting'!AS2*Conversion!$B$3</f>
        <v>181423094845826.75</v>
      </c>
      <c r="AT2" s="45">
        <f>'Commercial-Lighting'!AT2*Conversion!$B$3</f>
        <v>188713931019404.84</v>
      </c>
      <c r="AU2" s="45">
        <f>'Commercial-Lighting'!AU2*Conversion!$B$3</f>
        <v>196430892384386.81</v>
      </c>
      <c r="AV2" s="45">
        <f>'Commercial-Lighting'!AV2*Conversion!$B$3</f>
        <v>204599657353649.75</v>
      </c>
      <c r="AW2" s="45">
        <f>'Commercial-Lighting'!AW2*Conversion!$B$3</f>
        <v>213247475417288.78</v>
      </c>
      <c r="AX2" s="45">
        <f>'Commercial-Lighting'!AX2*Conversion!$B$3</f>
        <v>222403264446923.31</v>
      </c>
      <c r="AY2" s="45">
        <f>'Commercial-Lighting'!AY2*Conversion!$B$3</f>
        <v>232097714089006.75</v>
      </c>
      <c r="AZ2" s="45">
        <f>'Commercial-Lighting'!AZ2*Conversion!$B$3</f>
        <v>242363395631460.69</v>
      </c>
      <c r="BA2" s="45">
        <f>'Commercial-Lighting'!BA2*Conversion!$B$3</f>
        <v>253234878752382.19</v>
      </c>
    </row>
    <row r="3" spans="1:53" x14ac:dyDescent="0.2">
      <c r="A3" s="1" t="s">
        <v>13</v>
      </c>
      <c r="B3" s="15">
        <f>'Commercial-Lighting'!B3*Conversion!$B$3</f>
        <v>0</v>
      </c>
      <c r="C3" s="15">
        <f>'Commercial-Lighting'!C3*Conversion!$B$3</f>
        <v>0</v>
      </c>
      <c r="D3" s="15">
        <f>'Commercial-Lighting'!D3*Conversion!$B$3</f>
        <v>0</v>
      </c>
      <c r="E3" s="15">
        <f>'Commercial-Lighting'!E3*Conversion!$B$3</f>
        <v>0</v>
      </c>
      <c r="F3" s="15">
        <f>'Commercial-Lighting'!F3*Conversion!$B$3</f>
        <v>0</v>
      </c>
      <c r="G3" s="15">
        <f>'Commercial-Lighting'!G3*Conversion!$B$3</f>
        <v>0</v>
      </c>
      <c r="H3" s="15">
        <f>'Commercial-Lighting'!H3*Conversion!$B$3</f>
        <v>0</v>
      </c>
      <c r="I3" s="15">
        <f>'Commercial-Lighting'!I3*Conversion!$B$3</f>
        <v>0</v>
      </c>
      <c r="J3" s="15">
        <f>'Commercial-Lighting'!J3*Conversion!$B$3</f>
        <v>0</v>
      </c>
      <c r="K3" s="15">
        <f>'Commercial-Lighting'!K3*Conversion!$B$3</f>
        <v>0</v>
      </c>
      <c r="L3" s="15">
        <f>'Commercial-Lighting'!L3*Conversion!$B$3</f>
        <v>0</v>
      </c>
      <c r="M3" s="15">
        <f>'Commercial-Lighting'!M3*Conversion!$B$3</f>
        <v>0</v>
      </c>
      <c r="N3" s="15">
        <f>'Commercial-Lighting'!N3*Conversion!$B$3</f>
        <v>0</v>
      </c>
      <c r="O3" s="15">
        <f>'Commercial-Lighting'!O3*Conversion!$B$3</f>
        <v>0</v>
      </c>
      <c r="P3" s="15">
        <f>'Commercial-Lighting'!P3*Conversion!$B$3</f>
        <v>0</v>
      </c>
      <c r="Q3" s="15">
        <f>'Commercial-Lighting'!Q3*Conversion!$B$3</f>
        <v>0</v>
      </c>
      <c r="R3" s="15">
        <f>'Commercial-Lighting'!R3*Conversion!$B$3</f>
        <v>0</v>
      </c>
      <c r="S3" s="15">
        <f>'Commercial-Lighting'!S3*Conversion!$B$3</f>
        <v>0</v>
      </c>
      <c r="T3" s="15">
        <f>'Commercial-Lighting'!T3*Conversion!$B$3</f>
        <v>0</v>
      </c>
      <c r="U3" s="15">
        <f>'Commercial-Lighting'!U3*Conversion!$B$3</f>
        <v>0</v>
      </c>
      <c r="V3" s="15">
        <f>'Commercial-Lighting'!V3*Conversion!$B$3</f>
        <v>0</v>
      </c>
      <c r="W3" s="15">
        <f>'Commercial-Lighting'!W3*Conversion!$B$3</f>
        <v>0</v>
      </c>
      <c r="X3" s="15">
        <f>'Commercial-Lighting'!X3*Conversion!$B$3</f>
        <v>0</v>
      </c>
      <c r="Y3" s="15">
        <f>'Commercial-Lighting'!Y3*Conversion!$B$3</f>
        <v>0</v>
      </c>
      <c r="Z3" s="15">
        <f>'Commercial-Lighting'!Z3*Conversion!$B$3</f>
        <v>0</v>
      </c>
      <c r="AA3" s="15">
        <f>'Commercial-Lighting'!AA3*Conversion!$B$3</f>
        <v>0</v>
      </c>
      <c r="AB3" s="15">
        <f>'Commercial-Lighting'!AB3*Conversion!$B$3</f>
        <v>0</v>
      </c>
      <c r="AC3" s="15">
        <f>'Commercial-Lighting'!AC3*Conversion!$B$3</f>
        <v>0</v>
      </c>
      <c r="AD3" s="15">
        <f>'Commercial-Lighting'!AD3*Conversion!$B$3</f>
        <v>0</v>
      </c>
      <c r="AE3" s="15">
        <f>'Commercial-Lighting'!AE3*Conversion!$B$3</f>
        <v>0</v>
      </c>
      <c r="AF3" s="15">
        <f>'Commercial-Lighting'!AF3*Conversion!$B$3</f>
        <v>0</v>
      </c>
      <c r="AG3" s="15">
        <f>'Commercial-Lighting'!AG3*Conversion!$B$3</f>
        <v>0</v>
      </c>
      <c r="AH3" s="15">
        <f>'Commercial-Lighting'!AH3*Conversion!$B$3</f>
        <v>0</v>
      </c>
      <c r="AI3" s="15">
        <f>'Commercial-Lighting'!AI3*Conversion!$B$3</f>
        <v>0</v>
      </c>
      <c r="AJ3" s="15">
        <f>'Commercial-Lighting'!AJ3*Conversion!$B$3</f>
        <v>0</v>
      </c>
      <c r="AK3" s="15">
        <f>'Commercial-Lighting'!AK3*Conversion!$B$3</f>
        <v>0</v>
      </c>
      <c r="AL3" s="15">
        <f>'Commercial-Lighting'!AL3*Conversion!$B$3</f>
        <v>0</v>
      </c>
      <c r="AM3" s="15">
        <f>'Commercial-Lighting'!AM3*Conversion!$B$3</f>
        <v>0</v>
      </c>
      <c r="AN3" s="15">
        <f>'Commercial-Lighting'!AN3*Conversion!$B$3</f>
        <v>0</v>
      </c>
      <c r="AO3" s="15">
        <f>'Commercial-Lighting'!AO3*Conversion!$B$3</f>
        <v>0</v>
      </c>
      <c r="AP3" s="15">
        <f>'Commercial-Lighting'!AP3*Conversion!$B$3</f>
        <v>0</v>
      </c>
      <c r="AQ3" s="15">
        <f>'Commercial-Lighting'!AQ3*Conversion!$B$3</f>
        <v>0</v>
      </c>
      <c r="AR3" s="45">
        <f>'Commercial-Lighting'!AR3*Conversion!$B$3</f>
        <v>0</v>
      </c>
      <c r="AS3" s="45">
        <f>'Commercial-Lighting'!AS3*Conversion!$B$3</f>
        <v>0</v>
      </c>
      <c r="AT3" s="45">
        <f>'Commercial-Lighting'!AT3*Conversion!$B$3</f>
        <v>0</v>
      </c>
      <c r="AU3" s="45">
        <f>'Commercial-Lighting'!AU3*Conversion!$B$3</f>
        <v>0</v>
      </c>
      <c r="AV3" s="45">
        <f>'Commercial-Lighting'!AV3*Conversion!$B$3</f>
        <v>0</v>
      </c>
      <c r="AW3" s="45">
        <f>'Commercial-Lighting'!AW3*Conversion!$B$3</f>
        <v>0</v>
      </c>
      <c r="AX3" s="45">
        <f>'Commercial-Lighting'!AX3*Conversion!$B$3</f>
        <v>0</v>
      </c>
      <c r="AY3" s="45">
        <f>'Commercial-Lighting'!AY3*Conversion!$B$3</f>
        <v>0</v>
      </c>
      <c r="AZ3" s="45">
        <f>'Commercial-Lighting'!AZ3*Conversion!$B$3</f>
        <v>0</v>
      </c>
      <c r="BA3" s="45">
        <f>'Commercial-Lighting'!BA3*Conversion!$B$3</f>
        <v>0</v>
      </c>
    </row>
    <row r="4" spans="1:53" x14ac:dyDescent="0.2">
      <c r="A4" s="1" t="s">
        <v>14</v>
      </c>
      <c r="B4" s="15">
        <f>'Commercial-Lighting'!B4*Conversion!$B$3</f>
        <v>0</v>
      </c>
      <c r="C4" s="15">
        <f>'Commercial-Lighting'!C4*Conversion!$B$3</f>
        <v>0</v>
      </c>
      <c r="D4" s="15">
        <f>'Commercial-Lighting'!D4*Conversion!$B$3</f>
        <v>0</v>
      </c>
      <c r="E4" s="15">
        <f>'Commercial-Lighting'!E4*Conversion!$B$3</f>
        <v>0</v>
      </c>
      <c r="F4" s="15">
        <f>'Commercial-Lighting'!F4*Conversion!$B$3</f>
        <v>0</v>
      </c>
      <c r="G4" s="15">
        <f>'Commercial-Lighting'!G4*Conversion!$B$3</f>
        <v>0</v>
      </c>
      <c r="H4" s="15">
        <f>'Commercial-Lighting'!H4*Conversion!$B$3</f>
        <v>0</v>
      </c>
      <c r="I4" s="15">
        <f>'Commercial-Lighting'!I4*Conversion!$B$3</f>
        <v>0</v>
      </c>
      <c r="J4" s="15">
        <f>'Commercial-Lighting'!J4*Conversion!$B$3</f>
        <v>0</v>
      </c>
      <c r="K4" s="15">
        <f>'Commercial-Lighting'!K4*Conversion!$B$3</f>
        <v>0</v>
      </c>
      <c r="L4" s="15">
        <f>'Commercial-Lighting'!L4*Conversion!$B$3</f>
        <v>0</v>
      </c>
      <c r="M4" s="15">
        <f>'Commercial-Lighting'!M4*Conversion!$B$3</f>
        <v>0</v>
      </c>
      <c r="N4" s="15">
        <f>'Commercial-Lighting'!N4*Conversion!$B$3</f>
        <v>0</v>
      </c>
      <c r="O4" s="15">
        <f>'Commercial-Lighting'!O4*Conversion!$B$3</f>
        <v>0</v>
      </c>
      <c r="P4" s="15">
        <f>'Commercial-Lighting'!P4*Conversion!$B$3</f>
        <v>0</v>
      </c>
      <c r="Q4" s="15">
        <f>'Commercial-Lighting'!Q4*Conversion!$B$3</f>
        <v>0</v>
      </c>
      <c r="R4" s="15">
        <f>'Commercial-Lighting'!R4*Conversion!$B$3</f>
        <v>0</v>
      </c>
      <c r="S4" s="15">
        <f>'Commercial-Lighting'!S4*Conversion!$B$3</f>
        <v>0</v>
      </c>
      <c r="T4" s="15">
        <f>'Commercial-Lighting'!T4*Conversion!$B$3</f>
        <v>0</v>
      </c>
      <c r="U4" s="15">
        <f>'Commercial-Lighting'!U4*Conversion!$B$3</f>
        <v>0</v>
      </c>
      <c r="V4" s="15">
        <f>'Commercial-Lighting'!V4*Conversion!$B$3</f>
        <v>0</v>
      </c>
      <c r="W4" s="15">
        <f>'Commercial-Lighting'!W4*Conversion!$B$3</f>
        <v>0</v>
      </c>
      <c r="X4" s="15">
        <f>'Commercial-Lighting'!X4*Conversion!$B$3</f>
        <v>0</v>
      </c>
      <c r="Y4" s="15">
        <f>'Commercial-Lighting'!Y4*Conversion!$B$3</f>
        <v>0</v>
      </c>
      <c r="Z4" s="15">
        <f>'Commercial-Lighting'!Z4*Conversion!$B$3</f>
        <v>0</v>
      </c>
      <c r="AA4" s="15">
        <f>'Commercial-Lighting'!AA4*Conversion!$B$3</f>
        <v>0</v>
      </c>
      <c r="AB4" s="15">
        <f>'Commercial-Lighting'!AB4*Conversion!$B$3</f>
        <v>0</v>
      </c>
      <c r="AC4" s="15">
        <f>'Commercial-Lighting'!AC4*Conversion!$B$3</f>
        <v>0</v>
      </c>
      <c r="AD4" s="15">
        <f>'Commercial-Lighting'!AD4*Conversion!$B$3</f>
        <v>0</v>
      </c>
      <c r="AE4" s="15">
        <f>'Commercial-Lighting'!AE4*Conversion!$B$3</f>
        <v>0</v>
      </c>
      <c r="AF4" s="15">
        <f>'Commercial-Lighting'!AF4*Conversion!$B$3</f>
        <v>0</v>
      </c>
      <c r="AG4" s="15">
        <f>'Commercial-Lighting'!AG4*Conversion!$B$3</f>
        <v>0</v>
      </c>
      <c r="AH4" s="15">
        <f>'Commercial-Lighting'!AH4*Conversion!$B$3</f>
        <v>0</v>
      </c>
      <c r="AI4" s="15">
        <f>'Commercial-Lighting'!AI4*Conversion!$B$3</f>
        <v>0</v>
      </c>
      <c r="AJ4" s="15">
        <f>'Commercial-Lighting'!AJ4*Conversion!$B$3</f>
        <v>0</v>
      </c>
      <c r="AK4" s="15">
        <f>'Commercial-Lighting'!AK4*Conversion!$B$3</f>
        <v>0</v>
      </c>
      <c r="AL4" s="15">
        <f>'Commercial-Lighting'!AL4*Conversion!$B$3</f>
        <v>0</v>
      </c>
      <c r="AM4" s="15">
        <f>'Commercial-Lighting'!AM4*Conversion!$B$3</f>
        <v>0</v>
      </c>
      <c r="AN4" s="15">
        <f>'Commercial-Lighting'!AN4*Conversion!$B$3</f>
        <v>0</v>
      </c>
      <c r="AO4" s="15">
        <f>'Commercial-Lighting'!AO4*Conversion!$B$3</f>
        <v>0</v>
      </c>
      <c r="AP4" s="15">
        <f>'Commercial-Lighting'!AP4*Conversion!$B$3</f>
        <v>0</v>
      </c>
      <c r="AQ4" s="15">
        <f>'Commercial-Lighting'!AQ4*Conversion!$B$3</f>
        <v>0</v>
      </c>
      <c r="AR4" s="45">
        <f>'Commercial-Lighting'!AR4*Conversion!$B$3</f>
        <v>0</v>
      </c>
      <c r="AS4" s="45">
        <f>'Commercial-Lighting'!AS4*Conversion!$B$3</f>
        <v>0</v>
      </c>
      <c r="AT4" s="45">
        <f>'Commercial-Lighting'!AT4*Conversion!$B$3</f>
        <v>0</v>
      </c>
      <c r="AU4" s="45">
        <f>'Commercial-Lighting'!AU4*Conversion!$B$3</f>
        <v>0</v>
      </c>
      <c r="AV4" s="45">
        <f>'Commercial-Lighting'!AV4*Conversion!$B$3</f>
        <v>0</v>
      </c>
      <c r="AW4" s="45">
        <f>'Commercial-Lighting'!AW4*Conversion!$B$3</f>
        <v>0</v>
      </c>
      <c r="AX4" s="45">
        <f>'Commercial-Lighting'!AX4*Conversion!$B$3</f>
        <v>0</v>
      </c>
      <c r="AY4" s="45">
        <f>'Commercial-Lighting'!AY4*Conversion!$B$3</f>
        <v>0</v>
      </c>
      <c r="AZ4" s="45">
        <f>'Commercial-Lighting'!AZ4*Conversion!$B$3</f>
        <v>0</v>
      </c>
      <c r="BA4" s="45">
        <f>'Commercial-Lighting'!BA4*Conversion!$B$3</f>
        <v>0</v>
      </c>
    </row>
    <row r="5" spans="1:53" x14ac:dyDescent="0.2">
      <c r="A5" s="1" t="s">
        <v>15</v>
      </c>
      <c r="B5" s="15">
        <f>'Commercial-Lighting'!B5*Conversion!$B$3</f>
        <v>0</v>
      </c>
      <c r="C5" s="15">
        <f>'Commercial-Lighting'!C5*Conversion!$B$3</f>
        <v>0</v>
      </c>
      <c r="D5" s="15">
        <f>'Commercial-Lighting'!D5*Conversion!$B$3</f>
        <v>0</v>
      </c>
      <c r="E5" s="15">
        <f>'Commercial-Lighting'!E5*Conversion!$B$3</f>
        <v>0</v>
      </c>
      <c r="F5" s="15">
        <f>'Commercial-Lighting'!F5*Conversion!$B$3</f>
        <v>0</v>
      </c>
      <c r="G5" s="15">
        <f>'Commercial-Lighting'!G5*Conversion!$B$3</f>
        <v>0</v>
      </c>
      <c r="H5" s="15">
        <f>'Commercial-Lighting'!H5*Conversion!$B$3</f>
        <v>0</v>
      </c>
      <c r="I5" s="15">
        <f>'Commercial-Lighting'!I5*Conversion!$B$3</f>
        <v>0</v>
      </c>
      <c r="J5" s="15">
        <f>'Commercial-Lighting'!J5*Conversion!$B$3</f>
        <v>0</v>
      </c>
      <c r="K5" s="15">
        <f>'Commercial-Lighting'!K5*Conversion!$B$3</f>
        <v>0</v>
      </c>
      <c r="L5" s="15">
        <f>'Commercial-Lighting'!L5*Conversion!$B$3</f>
        <v>0</v>
      </c>
      <c r="M5" s="15">
        <f>'Commercial-Lighting'!M5*Conversion!$B$3</f>
        <v>0</v>
      </c>
      <c r="N5" s="15">
        <f>'Commercial-Lighting'!N5*Conversion!$B$3</f>
        <v>0</v>
      </c>
      <c r="O5" s="15">
        <f>'Commercial-Lighting'!O5*Conversion!$B$3</f>
        <v>0</v>
      </c>
      <c r="P5" s="15">
        <f>'Commercial-Lighting'!P5*Conversion!$B$3</f>
        <v>0</v>
      </c>
      <c r="Q5" s="15">
        <f>'Commercial-Lighting'!Q5*Conversion!$B$3</f>
        <v>0</v>
      </c>
      <c r="R5" s="15">
        <f>'Commercial-Lighting'!R5*Conversion!$B$3</f>
        <v>0</v>
      </c>
      <c r="S5" s="15">
        <f>'Commercial-Lighting'!S5*Conversion!$B$3</f>
        <v>0</v>
      </c>
      <c r="T5" s="15">
        <f>'Commercial-Lighting'!T5*Conversion!$B$3</f>
        <v>0</v>
      </c>
      <c r="U5" s="15">
        <f>'Commercial-Lighting'!U5*Conversion!$B$3</f>
        <v>0</v>
      </c>
      <c r="V5" s="15">
        <f>'Commercial-Lighting'!V5*Conversion!$B$3</f>
        <v>0</v>
      </c>
      <c r="W5" s="15">
        <f>'Commercial-Lighting'!W5*Conversion!$B$3</f>
        <v>0</v>
      </c>
      <c r="X5" s="15">
        <f>'Commercial-Lighting'!X5*Conversion!$B$3</f>
        <v>0</v>
      </c>
      <c r="Y5" s="15">
        <f>'Commercial-Lighting'!Y5*Conversion!$B$3</f>
        <v>0</v>
      </c>
      <c r="Z5" s="15">
        <f>'Commercial-Lighting'!Z5*Conversion!$B$3</f>
        <v>0</v>
      </c>
      <c r="AA5" s="15">
        <f>'Commercial-Lighting'!AA5*Conversion!$B$3</f>
        <v>0</v>
      </c>
      <c r="AB5" s="15">
        <f>'Commercial-Lighting'!AB5*Conversion!$B$3</f>
        <v>0</v>
      </c>
      <c r="AC5" s="15">
        <f>'Commercial-Lighting'!AC5*Conversion!$B$3</f>
        <v>0</v>
      </c>
      <c r="AD5" s="15">
        <f>'Commercial-Lighting'!AD5*Conversion!$B$3</f>
        <v>0</v>
      </c>
      <c r="AE5" s="15">
        <f>'Commercial-Lighting'!AE5*Conversion!$B$3</f>
        <v>0</v>
      </c>
      <c r="AF5" s="15">
        <f>'Commercial-Lighting'!AF5*Conversion!$B$3</f>
        <v>0</v>
      </c>
      <c r="AG5" s="15">
        <f>'Commercial-Lighting'!AG5*Conversion!$B$3</f>
        <v>0</v>
      </c>
      <c r="AH5" s="15">
        <f>'Commercial-Lighting'!AH5*Conversion!$B$3</f>
        <v>0</v>
      </c>
      <c r="AI5" s="15">
        <f>'Commercial-Lighting'!AI5*Conversion!$B$3</f>
        <v>0</v>
      </c>
      <c r="AJ5" s="15">
        <f>'Commercial-Lighting'!AJ5*Conversion!$B$3</f>
        <v>0</v>
      </c>
      <c r="AK5" s="15">
        <f>'Commercial-Lighting'!AK5*Conversion!$B$3</f>
        <v>0</v>
      </c>
      <c r="AL5" s="15">
        <f>'Commercial-Lighting'!AL5*Conversion!$B$3</f>
        <v>0</v>
      </c>
      <c r="AM5" s="15">
        <f>'Commercial-Lighting'!AM5*Conversion!$B$3</f>
        <v>0</v>
      </c>
      <c r="AN5" s="15">
        <f>'Commercial-Lighting'!AN5*Conversion!$B$3</f>
        <v>0</v>
      </c>
      <c r="AO5" s="15">
        <f>'Commercial-Lighting'!AO5*Conversion!$B$3</f>
        <v>0</v>
      </c>
      <c r="AP5" s="15">
        <f>'Commercial-Lighting'!AP5*Conversion!$B$3</f>
        <v>0</v>
      </c>
      <c r="AQ5" s="15">
        <f>'Commercial-Lighting'!AQ5*Conversion!$B$3</f>
        <v>0</v>
      </c>
      <c r="AR5" s="45">
        <f>'Commercial-Lighting'!AR5*Conversion!$B$3</f>
        <v>0</v>
      </c>
      <c r="AS5" s="45">
        <f>'Commercial-Lighting'!AS5*Conversion!$B$3</f>
        <v>0</v>
      </c>
      <c r="AT5" s="45">
        <f>'Commercial-Lighting'!AT5*Conversion!$B$3</f>
        <v>0</v>
      </c>
      <c r="AU5" s="45">
        <f>'Commercial-Lighting'!AU5*Conversion!$B$3</f>
        <v>0</v>
      </c>
      <c r="AV5" s="45">
        <f>'Commercial-Lighting'!AV5*Conversion!$B$3</f>
        <v>0</v>
      </c>
      <c r="AW5" s="45">
        <f>'Commercial-Lighting'!AW5*Conversion!$B$3</f>
        <v>0</v>
      </c>
      <c r="AX5" s="45">
        <f>'Commercial-Lighting'!AX5*Conversion!$B$3</f>
        <v>0</v>
      </c>
      <c r="AY5" s="45">
        <f>'Commercial-Lighting'!AY5*Conversion!$B$3</f>
        <v>0</v>
      </c>
      <c r="AZ5" s="45">
        <f>'Commercial-Lighting'!AZ5*Conversion!$B$3</f>
        <v>0</v>
      </c>
      <c r="BA5" s="45">
        <f>'Commercial-Lighting'!BA5*Conversion!$B$3</f>
        <v>0</v>
      </c>
    </row>
    <row r="6" spans="1:53" x14ac:dyDescent="0.2">
      <c r="A6" s="1" t="s">
        <v>16</v>
      </c>
      <c r="B6" s="15">
        <f>'Commercial-Lighting'!B6*Conversion!$B$3</f>
        <v>0</v>
      </c>
      <c r="C6" s="15">
        <f>'Commercial-Lighting'!C6*Conversion!$B$3</f>
        <v>0</v>
      </c>
      <c r="D6" s="15">
        <f>'Commercial-Lighting'!D6*Conversion!$B$3</f>
        <v>0</v>
      </c>
      <c r="E6" s="15">
        <f>'Commercial-Lighting'!E6*Conversion!$B$3</f>
        <v>0</v>
      </c>
      <c r="F6" s="15">
        <f>'Commercial-Lighting'!F6*Conversion!$B$3</f>
        <v>0</v>
      </c>
      <c r="G6" s="15">
        <f>'Commercial-Lighting'!G6*Conversion!$B$3</f>
        <v>0</v>
      </c>
      <c r="H6" s="15">
        <f>'Commercial-Lighting'!H6*Conversion!$B$3</f>
        <v>0</v>
      </c>
      <c r="I6" s="15">
        <f>'Commercial-Lighting'!I6*Conversion!$B$3</f>
        <v>0</v>
      </c>
      <c r="J6" s="15">
        <f>'Commercial-Lighting'!J6*Conversion!$B$3</f>
        <v>0</v>
      </c>
      <c r="K6" s="15">
        <f>'Commercial-Lighting'!K6*Conversion!$B$3</f>
        <v>0</v>
      </c>
      <c r="L6" s="15">
        <f>'Commercial-Lighting'!L6*Conversion!$B$3</f>
        <v>0</v>
      </c>
      <c r="M6" s="15">
        <f>'Commercial-Lighting'!M6*Conversion!$B$3</f>
        <v>0</v>
      </c>
      <c r="N6" s="15">
        <f>'Commercial-Lighting'!N6*Conversion!$B$3</f>
        <v>0</v>
      </c>
      <c r="O6" s="15">
        <f>'Commercial-Lighting'!O6*Conversion!$B$3</f>
        <v>0</v>
      </c>
      <c r="P6" s="15">
        <f>'Commercial-Lighting'!P6*Conversion!$B$3</f>
        <v>0</v>
      </c>
      <c r="Q6" s="15">
        <f>'Commercial-Lighting'!Q6*Conversion!$B$3</f>
        <v>0</v>
      </c>
      <c r="R6" s="15">
        <f>'Commercial-Lighting'!R6*Conversion!$B$3</f>
        <v>0</v>
      </c>
      <c r="S6" s="15">
        <f>'Commercial-Lighting'!S6*Conversion!$B$3</f>
        <v>0</v>
      </c>
      <c r="T6" s="15">
        <f>'Commercial-Lighting'!T6*Conversion!$B$3</f>
        <v>0</v>
      </c>
      <c r="U6" s="15">
        <f>'Commercial-Lighting'!U6*Conversion!$B$3</f>
        <v>0</v>
      </c>
      <c r="V6" s="15">
        <f>'Commercial-Lighting'!V6*Conversion!$B$3</f>
        <v>0</v>
      </c>
      <c r="W6" s="15">
        <f>'Commercial-Lighting'!W6*Conversion!$B$3</f>
        <v>0</v>
      </c>
      <c r="X6" s="15">
        <f>'Commercial-Lighting'!X6*Conversion!$B$3</f>
        <v>0</v>
      </c>
      <c r="Y6" s="15">
        <f>'Commercial-Lighting'!Y6*Conversion!$B$3</f>
        <v>0</v>
      </c>
      <c r="Z6" s="15">
        <f>'Commercial-Lighting'!Z6*Conversion!$B$3</f>
        <v>0</v>
      </c>
      <c r="AA6" s="15">
        <f>'Commercial-Lighting'!AA6*Conversion!$B$3</f>
        <v>0</v>
      </c>
      <c r="AB6" s="15">
        <f>'Commercial-Lighting'!AB6*Conversion!$B$3</f>
        <v>0</v>
      </c>
      <c r="AC6" s="15">
        <f>'Commercial-Lighting'!AC6*Conversion!$B$3</f>
        <v>0</v>
      </c>
      <c r="AD6" s="15">
        <f>'Commercial-Lighting'!AD6*Conversion!$B$3</f>
        <v>0</v>
      </c>
      <c r="AE6" s="15">
        <f>'Commercial-Lighting'!AE6*Conversion!$B$3</f>
        <v>0</v>
      </c>
      <c r="AF6" s="15">
        <f>'Commercial-Lighting'!AF6*Conversion!$B$3</f>
        <v>0</v>
      </c>
      <c r="AG6" s="15">
        <f>'Commercial-Lighting'!AG6*Conversion!$B$3</f>
        <v>0</v>
      </c>
      <c r="AH6" s="15">
        <f>'Commercial-Lighting'!AH6*Conversion!$B$3</f>
        <v>0</v>
      </c>
      <c r="AI6" s="15">
        <f>'Commercial-Lighting'!AI6*Conversion!$B$3</f>
        <v>0</v>
      </c>
      <c r="AJ6" s="15">
        <f>'Commercial-Lighting'!AJ6*Conversion!$B$3</f>
        <v>0</v>
      </c>
      <c r="AK6" s="15">
        <f>'Commercial-Lighting'!AK6*Conversion!$B$3</f>
        <v>0</v>
      </c>
      <c r="AL6" s="15">
        <f>'Commercial-Lighting'!AL6*Conversion!$B$3</f>
        <v>0</v>
      </c>
      <c r="AM6" s="15">
        <f>'Commercial-Lighting'!AM6*Conversion!$B$3</f>
        <v>0</v>
      </c>
      <c r="AN6" s="15">
        <f>'Commercial-Lighting'!AN6*Conversion!$B$3</f>
        <v>0</v>
      </c>
      <c r="AO6" s="15">
        <f>'Commercial-Lighting'!AO6*Conversion!$B$3</f>
        <v>0</v>
      </c>
      <c r="AP6" s="15">
        <f>'Commercial-Lighting'!AP6*Conversion!$B$3</f>
        <v>0</v>
      </c>
      <c r="AQ6" s="15">
        <f>'Commercial-Lighting'!AQ6*Conversion!$B$3</f>
        <v>0</v>
      </c>
      <c r="AR6" s="45">
        <f>'Commercial-Lighting'!AR6*Conversion!$B$3</f>
        <v>0</v>
      </c>
      <c r="AS6" s="45">
        <f>'Commercial-Lighting'!AS6*Conversion!$B$3</f>
        <v>0</v>
      </c>
      <c r="AT6" s="45">
        <f>'Commercial-Lighting'!AT6*Conversion!$B$3</f>
        <v>0</v>
      </c>
      <c r="AU6" s="45">
        <f>'Commercial-Lighting'!AU6*Conversion!$B$3</f>
        <v>0</v>
      </c>
      <c r="AV6" s="45">
        <f>'Commercial-Lighting'!AV6*Conversion!$B$3</f>
        <v>0</v>
      </c>
      <c r="AW6" s="45">
        <f>'Commercial-Lighting'!AW6*Conversion!$B$3</f>
        <v>0</v>
      </c>
      <c r="AX6" s="45">
        <f>'Commercial-Lighting'!AX6*Conversion!$B$3</f>
        <v>0</v>
      </c>
      <c r="AY6" s="45">
        <f>'Commercial-Lighting'!AY6*Conversion!$B$3</f>
        <v>0</v>
      </c>
      <c r="AZ6" s="45">
        <f>'Commercial-Lighting'!AZ6*Conversion!$B$3</f>
        <v>0</v>
      </c>
      <c r="BA6" s="45">
        <f>'Commercial-Lighting'!BA6*Conversion!$B$3</f>
        <v>0</v>
      </c>
    </row>
    <row r="7" spans="1:53" x14ac:dyDescent="0.2">
      <c r="A7" s="1" t="s">
        <v>17</v>
      </c>
      <c r="B7" s="15">
        <f>'Commercial-Lighting'!B7*Conversion!$B$3</f>
        <v>0</v>
      </c>
      <c r="C7" s="15">
        <f>'Commercial-Lighting'!C7*Conversion!$B$3</f>
        <v>0</v>
      </c>
      <c r="D7" s="15">
        <f>'Commercial-Lighting'!D7*Conversion!$B$3</f>
        <v>0</v>
      </c>
      <c r="E7" s="15">
        <f>'Commercial-Lighting'!E7*Conversion!$B$3</f>
        <v>0</v>
      </c>
      <c r="F7" s="15">
        <f>'Commercial-Lighting'!F7*Conversion!$B$3</f>
        <v>0</v>
      </c>
      <c r="G7" s="15">
        <f>'Commercial-Lighting'!G7*Conversion!$B$3</f>
        <v>0</v>
      </c>
      <c r="H7" s="15">
        <f>'Commercial-Lighting'!H7*Conversion!$B$3</f>
        <v>0</v>
      </c>
      <c r="I7" s="15">
        <f>'Commercial-Lighting'!I7*Conversion!$B$3</f>
        <v>0</v>
      </c>
      <c r="J7" s="15">
        <f>'Commercial-Lighting'!J7*Conversion!$B$3</f>
        <v>0</v>
      </c>
      <c r="K7" s="15">
        <f>'Commercial-Lighting'!K7*Conversion!$B$3</f>
        <v>0</v>
      </c>
      <c r="L7" s="15">
        <f>'Commercial-Lighting'!L7*Conversion!$B$3</f>
        <v>0</v>
      </c>
      <c r="M7" s="15">
        <f>'Commercial-Lighting'!M7*Conversion!$B$3</f>
        <v>0</v>
      </c>
      <c r="N7" s="15">
        <f>'Commercial-Lighting'!N7*Conversion!$B$3</f>
        <v>0</v>
      </c>
      <c r="O7" s="15">
        <f>'Commercial-Lighting'!O7*Conversion!$B$3</f>
        <v>0</v>
      </c>
      <c r="P7" s="15">
        <f>'Commercial-Lighting'!P7*Conversion!$B$3</f>
        <v>0</v>
      </c>
      <c r="Q7" s="15">
        <f>'Commercial-Lighting'!Q7*Conversion!$B$3</f>
        <v>0</v>
      </c>
      <c r="R7" s="15">
        <f>'Commercial-Lighting'!R7*Conversion!$B$3</f>
        <v>0</v>
      </c>
      <c r="S7" s="15">
        <f>'Commercial-Lighting'!S7*Conversion!$B$3</f>
        <v>0</v>
      </c>
      <c r="T7" s="15">
        <f>'Commercial-Lighting'!T7*Conversion!$B$3</f>
        <v>0</v>
      </c>
      <c r="U7" s="15">
        <f>'Commercial-Lighting'!U7*Conversion!$B$3</f>
        <v>0</v>
      </c>
      <c r="V7" s="15">
        <f>'Commercial-Lighting'!V7*Conversion!$B$3</f>
        <v>0</v>
      </c>
      <c r="W7" s="15">
        <f>'Commercial-Lighting'!W7*Conversion!$B$3</f>
        <v>0</v>
      </c>
      <c r="X7" s="15">
        <f>'Commercial-Lighting'!X7*Conversion!$B$3</f>
        <v>0</v>
      </c>
      <c r="Y7" s="15">
        <f>'Commercial-Lighting'!Y7*Conversion!$B$3</f>
        <v>0</v>
      </c>
      <c r="Z7" s="15">
        <f>'Commercial-Lighting'!Z7*Conversion!$B$3</f>
        <v>0</v>
      </c>
      <c r="AA7" s="15">
        <f>'Commercial-Lighting'!AA7*Conversion!$B$3</f>
        <v>0</v>
      </c>
      <c r="AB7" s="15">
        <f>'Commercial-Lighting'!AB7*Conversion!$B$3</f>
        <v>0</v>
      </c>
      <c r="AC7" s="15">
        <f>'Commercial-Lighting'!AC7*Conversion!$B$3</f>
        <v>0</v>
      </c>
      <c r="AD7" s="15">
        <f>'Commercial-Lighting'!AD7*Conversion!$B$3</f>
        <v>0</v>
      </c>
      <c r="AE7" s="15">
        <f>'Commercial-Lighting'!AE7*Conversion!$B$3</f>
        <v>0</v>
      </c>
      <c r="AF7" s="15">
        <f>'Commercial-Lighting'!AF7*Conversion!$B$3</f>
        <v>0</v>
      </c>
      <c r="AG7" s="15">
        <f>'Commercial-Lighting'!AG7*Conversion!$B$3</f>
        <v>0</v>
      </c>
      <c r="AH7" s="15">
        <f>'Commercial-Lighting'!AH7*Conversion!$B$3</f>
        <v>0</v>
      </c>
      <c r="AI7" s="15">
        <f>'Commercial-Lighting'!AI7*Conversion!$B$3</f>
        <v>0</v>
      </c>
      <c r="AJ7" s="15">
        <f>'Commercial-Lighting'!AJ7*Conversion!$B$3</f>
        <v>0</v>
      </c>
      <c r="AK7" s="15">
        <f>'Commercial-Lighting'!AK7*Conversion!$B$3</f>
        <v>0</v>
      </c>
      <c r="AL7" s="15">
        <f>'Commercial-Lighting'!AL7*Conversion!$B$3</f>
        <v>0</v>
      </c>
      <c r="AM7" s="15">
        <f>'Commercial-Lighting'!AM7*Conversion!$B$3</f>
        <v>0</v>
      </c>
      <c r="AN7" s="15">
        <f>'Commercial-Lighting'!AN7*Conversion!$B$3</f>
        <v>0</v>
      </c>
      <c r="AO7" s="15">
        <f>'Commercial-Lighting'!AO7*Conversion!$B$3</f>
        <v>0</v>
      </c>
      <c r="AP7" s="15">
        <f>'Commercial-Lighting'!AP7*Conversion!$B$3</f>
        <v>0</v>
      </c>
      <c r="AQ7" s="15">
        <f>'Commercial-Lighting'!AQ7*Conversion!$B$3</f>
        <v>0</v>
      </c>
      <c r="AR7" s="45">
        <f>'Commercial-Lighting'!AR7*Conversion!$B$3</f>
        <v>0</v>
      </c>
      <c r="AS7" s="45">
        <f>'Commercial-Lighting'!AS7*Conversion!$B$3</f>
        <v>0</v>
      </c>
      <c r="AT7" s="45">
        <f>'Commercial-Lighting'!AT7*Conversion!$B$3</f>
        <v>0</v>
      </c>
      <c r="AU7" s="45">
        <f>'Commercial-Lighting'!AU7*Conversion!$B$3</f>
        <v>0</v>
      </c>
      <c r="AV7" s="45">
        <f>'Commercial-Lighting'!AV7*Conversion!$B$3</f>
        <v>0</v>
      </c>
      <c r="AW7" s="45">
        <f>'Commercial-Lighting'!AW7*Conversion!$B$3</f>
        <v>0</v>
      </c>
      <c r="AX7" s="45">
        <f>'Commercial-Lighting'!AX7*Conversion!$B$3</f>
        <v>0</v>
      </c>
      <c r="AY7" s="45">
        <f>'Commercial-Lighting'!AY7*Conversion!$B$3</f>
        <v>0</v>
      </c>
      <c r="AZ7" s="45">
        <f>'Commercial-Lighting'!AZ7*Conversion!$B$3</f>
        <v>0</v>
      </c>
      <c r="BA7" s="45">
        <f>'Commercial-Lighting'!BA7*Conversion!$B$3</f>
        <v>0</v>
      </c>
    </row>
    <row r="8" spans="1:53" x14ac:dyDescent="0.2">
      <c r="A8" s="1" t="s">
        <v>18</v>
      </c>
      <c r="B8" s="15">
        <f>'Commercial-Lighting'!B8*Conversion!$B$3</f>
        <v>0</v>
      </c>
      <c r="C8" s="15">
        <f>'Commercial-Lighting'!C8*Conversion!$B$3</f>
        <v>0</v>
      </c>
      <c r="D8" s="15">
        <f>'Commercial-Lighting'!D8*Conversion!$B$3</f>
        <v>0</v>
      </c>
      <c r="E8" s="15">
        <f>'Commercial-Lighting'!E8*Conversion!$B$3</f>
        <v>0</v>
      </c>
      <c r="F8" s="15">
        <f>'Commercial-Lighting'!F8*Conversion!$B$3</f>
        <v>0</v>
      </c>
      <c r="G8" s="15">
        <f>'Commercial-Lighting'!G8*Conversion!$B$3</f>
        <v>0</v>
      </c>
      <c r="H8" s="15">
        <f>'Commercial-Lighting'!H8*Conversion!$B$3</f>
        <v>0</v>
      </c>
      <c r="I8" s="15">
        <f>'Commercial-Lighting'!I8*Conversion!$B$3</f>
        <v>0</v>
      </c>
      <c r="J8" s="15">
        <f>'Commercial-Lighting'!J8*Conversion!$B$3</f>
        <v>0</v>
      </c>
      <c r="K8" s="15">
        <f>'Commercial-Lighting'!K8*Conversion!$B$3</f>
        <v>0</v>
      </c>
      <c r="L8" s="15">
        <f>'Commercial-Lighting'!L8*Conversion!$B$3</f>
        <v>0</v>
      </c>
      <c r="M8" s="15">
        <f>'Commercial-Lighting'!M8*Conversion!$B$3</f>
        <v>0</v>
      </c>
      <c r="N8" s="15">
        <f>'Commercial-Lighting'!N8*Conversion!$B$3</f>
        <v>0</v>
      </c>
      <c r="O8" s="15">
        <f>'Commercial-Lighting'!O8*Conversion!$B$3</f>
        <v>0</v>
      </c>
      <c r="P8" s="15">
        <f>'Commercial-Lighting'!P8*Conversion!$B$3</f>
        <v>0</v>
      </c>
      <c r="Q8" s="15">
        <f>'Commercial-Lighting'!Q8*Conversion!$B$3</f>
        <v>0</v>
      </c>
      <c r="R8" s="15">
        <f>'Commercial-Lighting'!R8*Conversion!$B$3</f>
        <v>0</v>
      </c>
      <c r="S8" s="15">
        <f>'Commercial-Lighting'!S8*Conversion!$B$3</f>
        <v>0</v>
      </c>
      <c r="T8" s="15">
        <f>'Commercial-Lighting'!T8*Conversion!$B$3</f>
        <v>0</v>
      </c>
      <c r="U8" s="15">
        <f>'Commercial-Lighting'!U8*Conversion!$B$3</f>
        <v>0</v>
      </c>
      <c r="V8" s="15">
        <f>'Commercial-Lighting'!V8*Conversion!$B$3</f>
        <v>0</v>
      </c>
      <c r="W8" s="15">
        <f>'Commercial-Lighting'!W8*Conversion!$B$3</f>
        <v>0</v>
      </c>
      <c r="X8" s="15">
        <f>'Commercial-Lighting'!X8*Conversion!$B$3</f>
        <v>0</v>
      </c>
      <c r="Y8" s="15">
        <f>'Commercial-Lighting'!Y8*Conversion!$B$3</f>
        <v>0</v>
      </c>
      <c r="Z8" s="15">
        <f>'Commercial-Lighting'!Z8*Conversion!$B$3</f>
        <v>0</v>
      </c>
      <c r="AA8" s="15">
        <f>'Commercial-Lighting'!AA8*Conversion!$B$3</f>
        <v>0</v>
      </c>
      <c r="AB8" s="15">
        <f>'Commercial-Lighting'!AB8*Conversion!$B$3</f>
        <v>0</v>
      </c>
      <c r="AC8" s="15">
        <f>'Commercial-Lighting'!AC8*Conversion!$B$3</f>
        <v>0</v>
      </c>
      <c r="AD8" s="15">
        <f>'Commercial-Lighting'!AD8*Conversion!$B$3</f>
        <v>0</v>
      </c>
      <c r="AE8" s="15">
        <f>'Commercial-Lighting'!AE8*Conversion!$B$3</f>
        <v>0</v>
      </c>
      <c r="AF8" s="15">
        <f>'Commercial-Lighting'!AF8*Conversion!$B$3</f>
        <v>0</v>
      </c>
      <c r="AG8" s="15">
        <f>'Commercial-Lighting'!AG8*Conversion!$B$3</f>
        <v>0</v>
      </c>
      <c r="AH8" s="15">
        <f>'Commercial-Lighting'!AH8*Conversion!$B$3</f>
        <v>0</v>
      </c>
      <c r="AI8" s="15">
        <f>'Commercial-Lighting'!AI8*Conversion!$B$3</f>
        <v>0</v>
      </c>
      <c r="AJ8" s="15">
        <f>'Commercial-Lighting'!AJ8*Conversion!$B$3</f>
        <v>0</v>
      </c>
      <c r="AK8" s="15">
        <f>'Commercial-Lighting'!AK8*Conversion!$B$3</f>
        <v>0</v>
      </c>
      <c r="AL8" s="15">
        <f>'Commercial-Lighting'!AL8*Conversion!$B$3</f>
        <v>0</v>
      </c>
      <c r="AM8" s="15">
        <f>'Commercial-Lighting'!AM8*Conversion!$B$3</f>
        <v>0</v>
      </c>
      <c r="AN8" s="15">
        <f>'Commercial-Lighting'!AN8*Conversion!$B$3</f>
        <v>0</v>
      </c>
      <c r="AO8" s="15">
        <f>'Commercial-Lighting'!AO8*Conversion!$B$3</f>
        <v>0</v>
      </c>
      <c r="AP8" s="15">
        <f>'Commercial-Lighting'!AP8*Conversion!$B$3</f>
        <v>0</v>
      </c>
      <c r="AQ8" s="15">
        <f>'Commercial-Lighting'!AQ8*Conversion!$B$3</f>
        <v>0</v>
      </c>
      <c r="AR8" s="45">
        <f>'Commercial-Lighting'!AR8*Conversion!$B$3</f>
        <v>0</v>
      </c>
      <c r="AS8" s="45">
        <f>'Commercial-Lighting'!AS8*Conversion!$B$3</f>
        <v>0</v>
      </c>
      <c r="AT8" s="45">
        <f>'Commercial-Lighting'!AT8*Conversion!$B$3</f>
        <v>0</v>
      </c>
      <c r="AU8" s="45">
        <f>'Commercial-Lighting'!AU8*Conversion!$B$3</f>
        <v>0</v>
      </c>
      <c r="AV8" s="45">
        <f>'Commercial-Lighting'!AV8*Conversion!$B$3</f>
        <v>0</v>
      </c>
      <c r="AW8" s="45">
        <f>'Commercial-Lighting'!AW8*Conversion!$B$3</f>
        <v>0</v>
      </c>
      <c r="AX8" s="45">
        <f>'Commercial-Lighting'!AX8*Conversion!$B$3</f>
        <v>0</v>
      </c>
      <c r="AY8" s="45">
        <f>'Commercial-Lighting'!AY8*Conversion!$B$3</f>
        <v>0</v>
      </c>
      <c r="AZ8" s="45">
        <f>'Commercial-Lighting'!AZ8*Conversion!$B$3</f>
        <v>0</v>
      </c>
      <c r="BA8" s="45">
        <f>'Commercial-Lighting'!BA8*Conversion!$B$3</f>
        <v>0</v>
      </c>
    </row>
    <row r="9" spans="1:53" x14ac:dyDescent="0.2">
      <c r="A9" s="1" t="s">
        <v>19</v>
      </c>
      <c r="B9" s="15">
        <f>'Commercial-Lighting'!B9*Conversion!$B$3</f>
        <v>0</v>
      </c>
      <c r="C9" s="15">
        <f>'Commercial-Lighting'!C9*Conversion!$B$3</f>
        <v>0</v>
      </c>
      <c r="D9" s="15">
        <f>'Commercial-Lighting'!D9*Conversion!$B$3</f>
        <v>0</v>
      </c>
      <c r="E9" s="15">
        <f>'Commercial-Lighting'!E9*Conversion!$B$3</f>
        <v>0</v>
      </c>
      <c r="F9" s="15">
        <f>'Commercial-Lighting'!F9*Conversion!$B$3</f>
        <v>0</v>
      </c>
      <c r="G9" s="15">
        <f>'Commercial-Lighting'!G9*Conversion!$B$3</f>
        <v>0</v>
      </c>
      <c r="H9" s="15">
        <f>'Commercial-Lighting'!H9*Conversion!$B$3</f>
        <v>0</v>
      </c>
      <c r="I9" s="15">
        <f>'Commercial-Lighting'!I9*Conversion!$B$3</f>
        <v>0</v>
      </c>
      <c r="J9" s="15">
        <f>'Commercial-Lighting'!J9*Conversion!$B$3</f>
        <v>0</v>
      </c>
      <c r="K9" s="15">
        <f>'Commercial-Lighting'!K9*Conversion!$B$3</f>
        <v>0</v>
      </c>
      <c r="L9" s="15">
        <f>'Commercial-Lighting'!L9*Conversion!$B$3</f>
        <v>0</v>
      </c>
      <c r="M9" s="15">
        <f>'Commercial-Lighting'!M9*Conversion!$B$3</f>
        <v>0</v>
      </c>
      <c r="N9" s="15">
        <f>'Commercial-Lighting'!N9*Conversion!$B$3</f>
        <v>0</v>
      </c>
      <c r="O9" s="15">
        <f>'Commercial-Lighting'!O9*Conversion!$B$3</f>
        <v>0</v>
      </c>
      <c r="P9" s="15">
        <f>'Commercial-Lighting'!P9*Conversion!$B$3</f>
        <v>0</v>
      </c>
      <c r="Q9" s="15">
        <f>'Commercial-Lighting'!Q9*Conversion!$B$3</f>
        <v>0</v>
      </c>
      <c r="R9" s="15">
        <f>'Commercial-Lighting'!R9*Conversion!$B$3</f>
        <v>0</v>
      </c>
      <c r="S9" s="15">
        <f>'Commercial-Lighting'!S9*Conversion!$B$3</f>
        <v>0</v>
      </c>
      <c r="T9" s="15">
        <f>'Commercial-Lighting'!T9*Conversion!$B$3</f>
        <v>0</v>
      </c>
      <c r="U9" s="15">
        <f>'Commercial-Lighting'!U9*Conversion!$B$3</f>
        <v>0</v>
      </c>
      <c r="V9" s="15">
        <f>'Commercial-Lighting'!V9*Conversion!$B$3</f>
        <v>0</v>
      </c>
      <c r="W9" s="15">
        <f>'Commercial-Lighting'!W9*Conversion!$B$3</f>
        <v>0</v>
      </c>
      <c r="X9" s="15">
        <f>'Commercial-Lighting'!X9*Conversion!$B$3</f>
        <v>0</v>
      </c>
      <c r="Y9" s="15">
        <f>'Commercial-Lighting'!Y9*Conversion!$B$3</f>
        <v>0</v>
      </c>
      <c r="Z9" s="15">
        <f>'Commercial-Lighting'!Z9*Conversion!$B$3</f>
        <v>0</v>
      </c>
      <c r="AA9" s="15">
        <f>'Commercial-Lighting'!AA9*Conversion!$B$3</f>
        <v>0</v>
      </c>
      <c r="AB9" s="15">
        <f>'Commercial-Lighting'!AB9*Conversion!$B$3</f>
        <v>0</v>
      </c>
      <c r="AC9" s="15">
        <f>'Commercial-Lighting'!AC9*Conversion!$B$3</f>
        <v>0</v>
      </c>
      <c r="AD9" s="15">
        <f>'Commercial-Lighting'!AD9*Conversion!$B$3</f>
        <v>0</v>
      </c>
      <c r="AE9" s="15">
        <f>'Commercial-Lighting'!AE9*Conversion!$B$3</f>
        <v>0</v>
      </c>
      <c r="AF9" s="15">
        <f>'Commercial-Lighting'!AF9*Conversion!$B$3</f>
        <v>0</v>
      </c>
      <c r="AG9" s="15">
        <f>'Commercial-Lighting'!AG9*Conversion!$B$3</f>
        <v>0</v>
      </c>
      <c r="AH9" s="15">
        <f>'Commercial-Lighting'!AH9*Conversion!$B$3</f>
        <v>0</v>
      </c>
      <c r="AI9" s="15">
        <f>'Commercial-Lighting'!AI9*Conversion!$B$3</f>
        <v>0</v>
      </c>
      <c r="AJ9" s="15">
        <f>'Commercial-Lighting'!AJ9*Conversion!$B$3</f>
        <v>0</v>
      </c>
      <c r="AK9" s="15">
        <f>'Commercial-Lighting'!AK9*Conversion!$B$3</f>
        <v>0</v>
      </c>
      <c r="AL9" s="15">
        <f>'Commercial-Lighting'!AL9*Conversion!$B$3</f>
        <v>0</v>
      </c>
      <c r="AM9" s="15">
        <f>'Commercial-Lighting'!AM9*Conversion!$B$3</f>
        <v>0</v>
      </c>
      <c r="AN9" s="15">
        <f>'Commercial-Lighting'!AN9*Conversion!$B$3</f>
        <v>0</v>
      </c>
      <c r="AO9" s="15">
        <f>'Commercial-Lighting'!AO9*Conversion!$B$3</f>
        <v>0</v>
      </c>
      <c r="AP9" s="15">
        <f>'Commercial-Lighting'!AP9*Conversion!$B$3</f>
        <v>0</v>
      </c>
      <c r="AQ9" s="15">
        <f>'Commercial-Lighting'!AQ9*Conversion!$B$3</f>
        <v>0</v>
      </c>
      <c r="AR9" s="45">
        <f>'Commercial-Lighting'!AR9*Conversion!$B$3</f>
        <v>0</v>
      </c>
      <c r="AS9" s="45">
        <f>'Commercial-Lighting'!AS9*Conversion!$B$3</f>
        <v>0</v>
      </c>
      <c r="AT9" s="45">
        <f>'Commercial-Lighting'!AT9*Conversion!$B$3</f>
        <v>0</v>
      </c>
      <c r="AU9" s="45">
        <f>'Commercial-Lighting'!AU9*Conversion!$B$3</f>
        <v>0</v>
      </c>
      <c r="AV9" s="45">
        <f>'Commercial-Lighting'!AV9*Conversion!$B$3</f>
        <v>0</v>
      </c>
      <c r="AW9" s="45">
        <f>'Commercial-Lighting'!AW9*Conversion!$B$3</f>
        <v>0</v>
      </c>
      <c r="AX9" s="45">
        <f>'Commercial-Lighting'!AX9*Conversion!$B$3</f>
        <v>0</v>
      </c>
      <c r="AY9" s="45">
        <f>'Commercial-Lighting'!AY9*Conversion!$B$3</f>
        <v>0</v>
      </c>
      <c r="AZ9" s="45">
        <f>'Commercial-Lighting'!AZ9*Conversion!$B$3</f>
        <v>0</v>
      </c>
      <c r="BA9" s="45">
        <f>'Commercial-Lighting'!BA9*Conversion!$B$3</f>
        <v>0</v>
      </c>
    </row>
    <row r="10" spans="1:53" x14ac:dyDescent="0.2">
      <c r="A10" s="1" t="s">
        <v>20</v>
      </c>
      <c r="B10" s="15">
        <f>'Commercial-Lighting'!B10*Conversion!$B$3</f>
        <v>0</v>
      </c>
      <c r="C10" s="15">
        <f>'Commercial-Lighting'!C10*Conversion!$B$3</f>
        <v>0</v>
      </c>
      <c r="D10" s="15">
        <f>'Commercial-Lighting'!D10*Conversion!$B$3</f>
        <v>0</v>
      </c>
      <c r="E10" s="15">
        <f>'Commercial-Lighting'!E10*Conversion!$B$3</f>
        <v>0</v>
      </c>
      <c r="F10" s="15">
        <f>'Commercial-Lighting'!F10*Conversion!$B$3</f>
        <v>0</v>
      </c>
      <c r="G10" s="15">
        <f>'Commercial-Lighting'!G10*Conversion!$B$3</f>
        <v>0</v>
      </c>
      <c r="H10" s="15">
        <f>'Commercial-Lighting'!H10*Conversion!$B$3</f>
        <v>0</v>
      </c>
      <c r="I10" s="15">
        <f>'Commercial-Lighting'!I10*Conversion!$B$3</f>
        <v>0</v>
      </c>
      <c r="J10" s="15">
        <f>'Commercial-Lighting'!J10*Conversion!$B$3</f>
        <v>0</v>
      </c>
      <c r="K10" s="15">
        <f>'Commercial-Lighting'!K10*Conversion!$B$3</f>
        <v>0</v>
      </c>
      <c r="L10" s="15">
        <f>'Commercial-Lighting'!L10*Conversion!$B$3</f>
        <v>0</v>
      </c>
      <c r="M10" s="15">
        <f>'Commercial-Lighting'!M10*Conversion!$B$3</f>
        <v>0</v>
      </c>
      <c r="N10" s="15">
        <f>'Commercial-Lighting'!N10*Conversion!$B$3</f>
        <v>0</v>
      </c>
      <c r="O10" s="15">
        <f>'Commercial-Lighting'!O10*Conversion!$B$3</f>
        <v>0</v>
      </c>
      <c r="P10" s="15">
        <f>'Commercial-Lighting'!P10*Conversion!$B$3</f>
        <v>0</v>
      </c>
      <c r="Q10" s="15">
        <f>'Commercial-Lighting'!Q10*Conversion!$B$3</f>
        <v>0</v>
      </c>
      <c r="R10" s="15">
        <f>'Commercial-Lighting'!R10*Conversion!$B$3</f>
        <v>0</v>
      </c>
      <c r="S10" s="15">
        <f>'Commercial-Lighting'!S10*Conversion!$B$3</f>
        <v>0</v>
      </c>
      <c r="T10" s="15">
        <f>'Commercial-Lighting'!T10*Conversion!$B$3</f>
        <v>0</v>
      </c>
      <c r="U10" s="15">
        <f>'Commercial-Lighting'!U10*Conversion!$B$3</f>
        <v>0</v>
      </c>
      <c r="V10" s="15">
        <f>'Commercial-Lighting'!V10*Conversion!$B$3</f>
        <v>0</v>
      </c>
      <c r="W10" s="15">
        <f>'Commercial-Lighting'!W10*Conversion!$B$3</f>
        <v>0</v>
      </c>
      <c r="X10" s="15">
        <f>'Commercial-Lighting'!X10*Conversion!$B$3</f>
        <v>0</v>
      </c>
      <c r="Y10" s="15">
        <f>'Commercial-Lighting'!Y10*Conversion!$B$3</f>
        <v>0</v>
      </c>
      <c r="Z10" s="15">
        <f>'Commercial-Lighting'!Z10*Conversion!$B$3</f>
        <v>0</v>
      </c>
      <c r="AA10" s="15">
        <f>'Commercial-Lighting'!AA10*Conversion!$B$3</f>
        <v>0</v>
      </c>
      <c r="AB10" s="15">
        <f>'Commercial-Lighting'!AB10*Conversion!$B$3</f>
        <v>0</v>
      </c>
      <c r="AC10" s="15">
        <f>'Commercial-Lighting'!AC10*Conversion!$B$3</f>
        <v>0</v>
      </c>
      <c r="AD10" s="15">
        <f>'Commercial-Lighting'!AD10*Conversion!$B$3</f>
        <v>0</v>
      </c>
      <c r="AE10" s="15">
        <f>'Commercial-Lighting'!AE10*Conversion!$B$3</f>
        <v>0</v>
      </c>
      <c r="AF10" s="15">
        <f>'Commercial-Lighting'!AF10*Conversion!$B$3</f>
        <v>0</v>
      </c>
      <c r="AG10" s="15">
        <f>'Commercial-Lighting'!AG10*Conversion!$B$3</f>
        <v>0</v>
      </c>
      <c r="AH10" s="15">
        <f>'Commercial-Lighting'!AH10*Conversion!$B$3</f>
        <v>0</v>
      </c>
      <c r="AI10" s="15">
        <f>'Commercial-Lighting'!AI10*Conversion!$B$3</f>
        <v>0</v>
      </c>
      <c r="AJ10" s="15">
        <f>'Commercial-Lighting'!AJ10*Conversion!$B$3</f>
        <v>0</v>
      </c>
      <c r="AK10" s="15">
        <f>'Commercial-Lighting'!AK10*Conversion!$B$3</f>
        <v>0</v>
      </c>
      <c r="AL10" s="15">
        <f>'Commercial-Lighting'!AL10*Conversion!$B$3</f>
        <v>0</v>
      </c>
      <c r="AM10" s="15">
        <f>'Commercial-Lighting'!AM10*Conversion!$B$3</f>
        <v>0</v>
      </c>
      <c r="AN10" s="15">
        <f>'Commercial-Lighting'!AN10*Conversion!$B$3</f>
        <v>0</v>
      </c>
      <c r="AO10" s="15">
        <f>'Commercial-Lighting'!AO10*Conversion!$B$3</f>
        <v>0</v>
      </c>
      <c r="AP10" s="15">
        <f>'Commercial-Lighting'!AP10*Conversion!$B$3</f>
        <v>0</v>
      </c>
      <c r="AQ10" s="15">
        <f>'Commercial-Lighting'!AQ10*Conversion!$B$3</f>
        <v>0</v>
      </c>
      <c r="AR10" s="45">
        <f>'Commercial-Lighting'!AR10*Conversion!$B$3</f>
        <v>0</v>
      </c>
      <c r="AS10" s="45">
        <f>'Commercial-Lighting'!AS10*Conversion!$B$3</f>
        <v>0</v>
      </c>
      <c r="AT10" s="45">
        <f>'Commercial-Lighting'!AT10*Conversion!$B$3</f>
        <v>0</v>
      </c>
      <c r="AU10" s="45">
        <f>'Commercial-Lighting'!AU10*Conversion!$B$3</f>
        <v>0</v>
      </c>
      <c r="AV10" s="45">
        <f>'Commercial-Lighting'!AV10*Conversion!$B$3</f>
        <v>0</v>
      </c>
      <c r="AW10" s="45">
        <f>'Commercial-Lighting'!AW10*Conversion!$B$3</f>
        <v>0</v>
      </c>
      <c r="AX10" s="45">
        <f>'Commercial-Lighting'!AX10*Conversion!$B$3</f>
        <v>0</v>
      </c>
      <c r="AY10" s="45">
        <f>'Commercial-Lighting'!AY10*Conversion!$B$3</f>
        <v>0</v>
      </c>
      <c r="AZ10" s="45">
        <f>'Commercial-Lighting'!AZ10*Conversion!$B$3</f>
        <v>0</v>
      </c>
      <c r="BA10" s="45">
        <f>'Commercial-Lighting'!BA10*Conversion!$B$3</f>
        <v>0</v>
      </c>
    </row>
    <row r="11" spans="1:53" x14ac:dyDescent="0.2">
      <c r="A11" s="1" t="s">
        <v>21</v>
      </c>
      <c r="B11" s="15">
        <f>'Commercial-Lighting'!B11*Conversion!$B$3</f>
        <v>0</v>
      </c>
      <c r="C11" s="15">
        <f>'Commercial-Lighting'!C11*Conversion!$B$3</f>
        <v>0</v>
      </c>
      <c r="D11" s="15">
        <f>'Commercial-Lighting'!D11*Conversion!$B$3</f>
        <v>0</v>
      </c>
      <c r="E11" s="15">
        <f>'Commercial-Lighting'!E11*Conversion!$B$3</f>
        <v>0</v>
      </c>
      <c r="F11" s="15">
        <f>'Commercial-Lighting'!F11*Conversion!$B$3</f>
        <v>0</v>
      </c>
      <c r="G11" s="15">
        <f>'Commercial-Lighting'!G11*Conversion!$B$3</f>
        <v>0</v>
      </c>
      <c r="H11" s="15">
        <f>'Commercial-Lighting'!H11*Conversion!$B$3</f>
        <v>0</v>
      </c>
      <c r="I11" s="15">
        <f>'Commercial-Lighting'!I11*Conversion!$B$3</f>
        <v>0</v>
      </c>
      <c r="J11" s="15">
        <f>'Commercial-Lighting'!J11*Conversion!$B$3</f>
        <v>0</v>
      </c>
      <c r="K11" s="15">
        <f>'Commercial-Lighting'!K11*Conversion!$B$3</f>
        <v>0</v>
      </c>
      <c r="L11" s="15">
        <f>'Commercial-Lighting'!L11*Conversion!$B$3</f>
        <v>0</v>
      </c>
      <c r="M11" s="15">
        <f>'Commercial-Lighting'!M11*Conversion!$B$3</f>
        <v>0</v>
      </c>
      <c r="N11" s="15">
        <f>'Commercial-Lighting'!N11*Conversion!$B$3</f>
        <v>0</v>
      </c>
      <c r="O11" s="15">
        <f>'Commercial-Lighting'!O11*Conversion!$B$3</f>
        <v>0</v>
      </c>
      <c r="P11" s="15">
        <f>'Commercial-Lighting'!P11*Conversion!$B$3</f>
        <v>0</v>
      </c>
      <c r="Q11" s="15">
        <f>'Commercial-Lighting'!Q11*Conversion!$B$3</f>
        <v>0</v>
      </c>
      <c r="R11" s="15">
        <f>'Commercial-Lighting'!R11*Conversion!$B$3</f>
        <v>0</v>
      </c>
      <c r="S11" s="15">
        <f>'Commercial-Lighting'!S11*Conversion!$B$3</f>
        <v>0</v>
      </c>
      <c r="T11" s="15">
        <f>'Commercial-Lighting'!T11*Conversion!$B$3</f>
        <v>0</v>
      </c>
      <c r="U11" s="15">
        <f>'Commercial-Lighting'!U11*Conversion!$B$3</f>
        <v>0</v>
      </c>
      <c r="V11" s="15">
        <f>'Commercial-Lighting'!V11*Conversion!$B$3</f>
        <v>0</v>
      </c>
      <c r="W11" s="15">
        <f>'Commercial-Lighting'!W11*Conversion!$B$3</f>
        <v>0</v>
      </c>
      <c r="X11" s="15">
        <f>'Commercial-Lighting'!X11*Conversion!$B$3</f>
        <v>0</v>
      </c>
      <c r="Y11" s="15">
        <f>'Commercial-Lighting'!Y11*Conversion!$B$3</f>
        <v>0</v>
      </c>
      <c r="Z11" s="15">
        <f>'Commercial-Lighting'!Z11*Conversion!$B$3</f>
        <v>0</v>
      </c>
      <c r="AA11" s="15">
        <f>'Commercial-Lighting'!AA11*Conversion!$B$3</f>
        <v>0</v>
      </c>
      <c r="AB11" s="15">
        <f>'Commercial-Lighting'!AB11*Conversion!$B$3</f>
        <v>0</v>
      </c>
      <c r="AC11" s="15">
        <f>'Commercial-Lighting'!AC11*Conversion!$B$3</f>
        <v>0</v>
      </c>
      <c r="AD11" s="15">
        <f>'Commercial-Lighting'!AD11*Conversion!$B$3</f>
        <v>0</v>
      </c>
      <c r="AE11" s="15">
        <f>'Commercial-Lighting'!AE11*Conversion!$B$3</f>
        <v>0</v>
      </c>
      <c r="AF11" s="15">
        <f>'Commercial-Lighting'!AF11*Conversion!$B$3</f>
        <v>0</v>
      </c>
      <c r="AG11" s="15">
        <f>'Commercial-Lighting'!AG11*Conversion!$B$3</f>
        <v>0</v>
      </c>
      <c r="AH11" s="15">
        <f>'Commercial-Lighting'!AH11*Conversion!$B$3</f>
        <v>0</v>
      </c>
      <c r="AI11" s="15">
        <f>'Commercial-Lighting'!AI11*Conversion!$B$3</f>
        <v>0</v>
      </c>
      <c r="AJ11" s="15">
        <f>'Commercial-Lighting'!AJ11*Conversion!$B$3</f>
        <v>0</v>
      </c>
      <c r="AK11" s="15">
        <f>'Commercial-Lighting'!AK11*Conversion!$B$3</f>
        <v>0</v>
      </c>
      <c r="AL11" s="15">
        <f>'Commercial-Lighting'!AL11*Conversion!$B$3</f>
        <v>0</v>
      </c>
      <c r="AM11" s="15">
        <f>'Commercial-Lighting'!AM11*Conversion!$B$3</f>
        <v>0</v>
      </c>
      <c r="AN11" s="15">
        <f>'Commercial-Lighting'!AN11*Conversion!$B$3</f>
        <v>0</v>
      </c>
      <c r="AO11" s="15">
        <f>'Commercial-Lighting'!AO11*Conversion!$B$3</f>
        <v>0</v>
      </c>
      <c r="AP11" s="15">
        <f>'Commercial-Lighting'!AP11*Conversion!$B$3</f>
        <v>0</v>
      </c>
      <c r="AQ11" s="15">
        <f>'Commercial-Lighting'!AQ11*Conversion!$B$3</f>
        <v>0</v>
      </c>
      <c r="AR11" s="45">
        <f>'Commercial-Lighting'!AR11*Conversion!$B$3</f>
        <v>0</v>
      </c>
      <c r="AS11" s="45">
        <f>'Commercial-Lighting'!AS11*Conversion!$B$3</f>
        <v>0</v>
      </c>
      <c r="AT11" s="45">
        <f>'Commercial-Lighting'!AT11*Conversion!$B$3</f>
        <v>0</v>
      </c>
      <c r="AU11" s="45">
        <f>'Commercial-Lighting'!AU11*Conversion!$B$3</f>
        <v>0</v>
      </c>
      <c r="AV11" s="45">
        <f>'Commercial-Lighting'!AV11*Conversion!$B$3</f>
        <v>0</v>
      </c>
      <c r="AW11" s="45">
        <f>'Commercial-Lighting'!AW11*Conversion!$B$3</f>
        <v>0</v>
      </c>
      <c r="AX11" s="45">
        <f>'Commercial-Lighting'!AX11*Conversion!$B$3</f>
        <v>0</v>
      </c>
      <c r="AY11" s="45">
        <f>'Commercial-Lighting'!AY11*Conversion!$B$3</f>
        <v>0</v>
      </c>
      <c r="AZ11" s="45">
        <f>'Commercial-Lighting'!AZ11*Conversion!$B$3</f>
        <v>0</v>
      </c>
      <c r="BA11" s="45">
        <f>'Commercial-Lighting'!BA11*Conversion!$B$3</f>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DF8F-4656-F446-92D2-3FEB8D9DE8F1}">
  <sheetPr>
    <tabColor theme="3" tint="0.249977111117893"/>
  </sheetPr>
  <dimension ref="A1:BA11"/>
  <sheetViews>
    <sheetView topLeftCell="AD1" workbookViewId="0">
      <selection activeCell="AR2" sqref="AR2:BA11"/>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'Commercial-Appliances'!B2*Conversion!$B$3</f>
        <v>9281376065375.9238</v>
      </c>
      <c r="C2" s="15">
        <f>'Commercial-Appliances'!C2*Conversion!$B$3</f>
        <v>9606888279853.0332</v>
      </c>
      <c r="D2" s="15">
        <f>'Commercial-Appliances'!D2*Conversion!$B$3</f>
        <v>9932400494330.1445</v>
      </c>
      <c r="E2" s="15">
        <f>'Commercial-Appliances'!E2*Conversion!$B$3</f>
        <v>10382937622083.955</v>
      </c>
      <c r="F2" s="15">
        <f>'Commercial-Appliances'!F2*Conversion!$B$3</f>
        <v>10711503450839.367</v>
      </c>
      <c r="G2" s="15">
        <f>'Commercial-Appliances'!G2*Conversion!$B$3</f>
        <v>10940811009735.369</v>
      </c>
      <c r="H2" s="15">
        <f>'Commercial-Appliances'!H2*Conversion!$B$3</f>
        <v>11181417724219.861</v>
      </c>
      <c r="I2" s="15">
        <f>'Commercial-Appliances'!I2*Conversion!$B$3</f>
        <v>11476541157710.584</v>
      </c>
      <c r="J2" s="15">
        <f>'Commercial-Appliances'!J2*Conversion!$B$3</f>
        <v>11784576584503.947</v>
      </c>
      <c r="K2" s="15">
        <f>'Commercial-Appliances'!K2*Conversion!$B$3</f>
        <v>12106292441054.309</v>
      </c>
      <c r="L2" s="15">
        <f>'Commercial-Appliances'!L2*Conversion!$B$3</f>
        <v>12442504683993.908</v>
      </c>
      <c r="M2" s="15">
        <f>'Commercial-Appliances'!M2*Conversion!$B$3</f>
        <v>12794079759942.525</v>
      </c>
      <c r="N2" s="15">
        <f>'Commercial-Appliances'!N2*Conversion!$B$3</f>
        <v>13150930963612.486</v>
      </c>
      <c r="O2" s="15">
        <f>'Commercial-Appliances'!O2*Conversion!$B$3</f>
        <v>13524989140102.211</v>
      </c>
      <c r="P2" s="15">
        <f>'Commercial-Appliances'!P2*Conversion!$B$3</f>
        <v>13917291957515.844</v>
      </c>
      <c r="Q2" s="15">
        <f>'Commercial-Appliances'!Q2*Conversion!$B$3</f>
        <v>14328941448392.453</v>
      </c>
      <c r="R2" s="15">
        <f>'Commercial-Appliances'!R2*Conversion!$B$3</f>
        <v>14761108042497.508</v>
      </c>
      <c r="S2" s="15">
        <f>'Commercial-Appliances'!S2*Conversion!$B$3</f>
        <v>15203766652943.025</v>
      </c>
      <c r="T2" s="15">
        <f>'Commercial-Appliances'!T2*Conversion!$B$3</f>
        <v>15669452175183.639</v>
      </c>
      <c r="U2" s="15">
        <f>'Commercial-Appliances'!U2*Conversion!$B$3</f>
        <v>16159567057520.311</v>
      </c>
      <c r="V2" s="15">
        <f>'Commercial-Appliances'!V2*Conversion!$B$3</f>
        <v>16675600992016.773</v>
      </c>
      <c r="W2" s="15">
        <f>'Commercial-Appliances'!W2*Conversion!$B$3</f>
        <v>17219136394106.02</v>
      </c>
      <c r="X2" s="15">
        <f>'Commercial-Appliances'!X2*Conversion!$B$3</f>
        <v>17780702156625.297</v>
      </c>
      <c r="Y2" s="15">
        <f>'Commercial-Appliances'!Y2*Conversion!$B$3</f>
        <v>18373183576712.832</v>
      </c>
      <c r="Z2" s="15">
        <f>'Commercial-Appliances'!Z2*Conversion!$B$3</f>
        <v>18998477698571.711</v>
      </c>
      <c r="AA2" s="15">
        <f>'Commercial-Appliances'!AA2*Conversion!$B$3</f>
        <v>19658599905503.27</v>
      </c>
      <c r="AB2" s="15">
        <f>'Commercial-Appliances'!AB2*Conversion!$B$3</f>
        <v>20355691369724.965</v>
      </c>
      <c r="AC2" s="15">
        <f>'Commercial-Appliances'!AC2*Conversion!$B$3</f>
        <v>21081201067264.605</v>
      </c>
      <c r="AD2" s="15">
        <f>'Commercial-Appliances'!AD2*Conversion!$B$3</f>
        <v>21848321566877.062</v>
      </c>
      <c r="AE2" s="15">
        <f>'Commercial-Appliances'!AE2*Conversion!$B$3</f>
        <v>22659620984474.871</v>
      </c>
      <c r="AF2" s="15">
        <f>'Commercial-Appliances'!AF2*Conversion!$B$3</f>
        <v>23517828060836.832</v>
      </c>
      <c r="AG2" s="15">
        <f>'Commercial-Appliances'!AG2*Conversion!$B$3</f>
        <v>24425842295616.98</v>
      </c>
      <c r="AH2" s="15">
        <f>'Commercial-Appliances'!AH2*Conversion!$B$3</f>
        <v>25360245670213.355</v>
      </c>
      <c r="AI2" s="15">
        <f>'Commercial-Appliances'!AI2*Conversion!$B$3</f>
        <v>26350689428302.84</v>
      </c>
      <c r="AJ2" s="15">
        <f>'Commercial-Appliances'!AJ2*Conversion!$B$3</f>
        <v>27400652797995.102</v>
      </c>
      <c r="AK2" s="15">
        <f>'Commercial-Appliances'!AK2*Conversion!$B$3</f>
        <v>28513833166593.809</v>
      </c>
      <c r="AL2" s="15">
        <f>'Commercial-Appliances'!AL2*Conversion!$B$3</f>
        <v>29694159873108.531</v>
      </c>
      <c r="AM2" s="15">
        <f>'Commercial-Appliances'!AM2*Conversion!$B$3</f>
        <v>30945808878651.484</v>
      </c>
      <c r="AN2" s="15">
        <f>'Commercial-Appliances'!AN2*Conversion!$B$3</f>
        <v>32273218370899.898</v>
      </c>
      <c r="AO2" s="15">
        <f>'Commercial-Appliances'!AO2*Conversion!$B$3</f>
        <v>33681105362416.035</v>
      </c>
      <c r="AP2" s="15">
        <f>'Commercial-Appliances'!AP2*Conversion!$B$3</f>
        <v>35174483346460.402</v>
      </c>
      <c r="AQ2" s="15">
        <f>'Commercial-Appliances'!AQ2*Conversion!$B$3</f>
        <v>36758681078025.547</v>
      </c>
      <c r="AR2" s="45">
        <f>'Commercial-Appliances'!AR2*Conversion!$B$3</f>
        <v>38439470855522</v>
      </c>
      <c r="AS2" s="45">
        <f>'Commercial-Appliances'!AS2*Conversion!$B$3</f>
        <v>40222873721748.609</v>
      </c>
      <c r="AT2" s="45">
        <f>'Commercial-Appliances'!AT2*Conversion!$B$3</f>
        <v>42115289822823.125</v>
      </c>
      <c r="AU2" s="45">
        <f>'Commercial-Appliances'!AU2*Conversion!$B$3</f>
        <v>44123522458827.773</v>
      </c>
      <c r="AV2" s="45">
        <f>'Commercial-Appliances'!AV2*Conversion!$B$3</f>
        <v>46254803669549.266</v>
      </c>
      <c r="AW2" s="45">
        <f>'Commercial-Appliances'!AW2*Conversion!$B$3</f>
        <v>48516821453772.766</v>
      </c>
      <c r="AX2" s="45">
        <f>'Commercial-Appliances'!AX2*Conversion!$B$3</f>
        <v>50917748726928.461</v>
      </c>
      <c r="AY2" s="45">
        <f>'Commercial-Appliances'!AY2*Conversion!$B$3</f>
        <v>53466274128638.609</v>
      </c>
      <c r="AZ2" s="45">
        <f>'Commercial-Appliances'!AZ2*Conversion!$B$3</f>
        <v>56171634798897.617</v>
      </c>
      <c r="BA2" s="45">
        <f>'Commercial-Appliances'!BA2*Conversion!$B$3</f>
        <v>59043651249266.898</v>
      </c>
    </row>
    <row r="3" spans="1:53" x14ac:dyDescent="0.2">
      <c r="A3" s="1" t="s">
        <v>13</v>
      </c>
      <c r="B3" s="15">
        <f>'Commercial-Appliances'!B3*Conversion!$B$3</f>
        <v>0</v>
      </c>
      <c r="C3" s="15">
        <f>'Commercial-Appliances'!C3*Conversion!$B$3</f>
        <v>0</v>
      </c>
      <c r="D3" s="15">
        <f>'Commercial-Appliances'!D3*Conversion!$B$3</f>
        <v>0</v>
      </c>
      <c r="E3" s="15">
        <f>'Commercial-Appliances'!E3*Conversion!$B$3</f>
        <v>0</v>
      </c>
      <c r="F3" s="15">
        <f>'Commercial-Appliances'!F3*Conversion!$B$3</f>
        <v>0</v>
      </c>
      <c r="G3" s="15">
        <f>'Commercial-Appliances'!G3*Conversion!$B$3</f>
        <v>0</v>
      </c>
      <c r="H3" s="15">
        <f>'Commercial-Appliances'!H3*Conversion!$B$3</f>
        <v>0</v>
      </c>
      <c r="I3" s="15">
        <f>'Commercial-Appliances'!I3*Conversion!$B$3</f>
        <v>0</v>
      </c>
      <c r="J3" s="15">
        <f>'Commercial-Appliances'!J3*Conversion!$B$3</f>
        <v>0</v>
      </c>
      <c r="K3" s="15">
        <f>'Commercial-Appliances'!K3*Conversion!$B$3</f>
        <v>0</v>
      </c>
      <c r="L3" s="15">
        <f>'Commercial-Appliances'!L3*Conversion!$B$3</f>
        <v>0</v>
      </c>
      <c r="M3" s="15">
        <f>'Commercial-Appliances'!M3*Conversion!$B$3</f>
        <v>0</v>
      </c>
      <c r="N3" s="15">
        <f>'Commercial-Appliances'!N3*Conversion!$B$3</f>
        <v>0</v>
      </c>
      <c r="O3" s="15">
        <f>'Commercial-Appliances'!O3*Conversion!$B$3</f>
        <v>0</v>
      </c>
      <c r="P3" s="15">
        <f>'Commercial-Appliances'!P3*Conversion!$B$3</f>
        <v>0</v>
      </c>
      <c r="Q3" s="15">
        <f>'Commercial-Appliances'!Q3*Conversion!$B$3</f>
        <v>0</v>
      </c>
      <c r="R3" s="15">
        <f>'Commercial-Appliances'!R3*Conversion!$B$3</f>
        <v>0</v>
      </c>
      <c r="S3" s="15">
        <f>'Commercial-Appliances'!S3*Conversion!$B$3</f>
        <v>0</v>
      </c>
      <c r="T3" s="15">
        <f>'Commercial-Appliances'!T3*Conversion!$B$3</f>
        <v>0</v>
      </c>
      <c r="U3" s="15">
        <f>'Commercial-Appliances'!U3*Conversion!$B$3</f>
        <v>0</v>
      </c>
      <c r="V3" s="15">
        <f>'Commercial-Appliances'!V3*Conversion!$B$3</f>
        <v>0</v>
      </c>
      <c r="W3" s="15">
        <f>'Commercial-Appliances'!W3*Conversion!$B$3</f>
        <v>0</v>
      </c>
      <c r="X3" s="15">
        <f>'Commercial-Appliances'!X3*Conversion!$B$3</f>
        <v>0</v>
      </c>
      <c r="Y3" s="15">
        <f>'Commercial-Appliances'!Y3*Conversion!$B$3</f>
        <v>0</v>
      </c>
      <c r="Z3" s="15">
        <f>'Commercial-Appliances'!Z3*Conversion!$B$3</f>
        <v>0</v>
      </c>
      <c r="AA3" s="15">
        <f>'Commercial-Appliances'!AA3*Conversion!$B$3</f>
        <v>0</v>
      </c>
      <c r="AB3" s="15">
        <f>'Commercial-Appliances'!AB3*Conversion!$B$3</f>
        <v>0</v>
      </c>
      <c r="AC3" s="15">
        <f>'Commercial-Appliances'!AC3*Conversion!$B$3</f>
        <v>0</v>
      </c>
      <c r="AD3" s="15">
        <f>'Commercial-Appliances'!AD3*Conversion!$B$3</f>
        <v>0</v>
      </c>
      <c r="AE3" s="15">
        <f>'Commercial-Appliances'!AE3*Conversion!$B$3</f>
        <v>0</v>
      </c>
      <c r="AF3" s="15">
        <f>'Commercial-Appliances'!AF3*Conversion!$B$3</f>
        <v>0</v>
      </c>
      <c r="AG3" s="15">
        <f>'Commercial-Appliances'!AG3*Conversion!$B$3</f>
        <v>0</v>
      </c>
      <c r="AH3" s="15">
        <f>'Commercial-Appliances'!AH3*Conversion!$B$3</f>
        <v>0</v>
      </c>
      <c r="AI3" s="15">
        <f>'Commercial-Appliances'!AI3*Conversion!$B$3</f>
        <v>0</v>
      </c>
      <c r="AJ3" s="15">
        <f>'Commercial-Appliances'!AJ3*Conversion!$B$3</f>
        <v>0</v>
      </c>
      <c r="AK3" s="15">
        <f>'Commercial-Appliances'!AK3*Conversion!$B$3</f>
        <v>0</v>
      </c>
      <c r="AL3" s="15">
        <f>'Commercial-Appliances'!AL3*Conversion!$B$3</f>
        <v>0</v>
      </c>
      <c r="AM3" s="15">
        <f>'Commercial-Appliances'!AM3*Conversion!$B$3</f>
        <v>0</v>
      </c>
      <c r="AN3" s="15">
        <f>'Commercial-Appliances'!AN3*Conversion!$B$3</f>
        <v>0</v>
      </c>
      <c r="AO3" s="15">
        <f>'Commercial-Appliances'!AO3*Conversion!$B$3</f>
        <v>0</v>
      </c>
      <c r="AP3" s="15">
        <f>'Commercial-Appliances'!AP3*Conversion!$B$3</f>
        <v>0</v>
      </c>
      <c r="AQ3" s="15">
        <f>'Commercial-Appliances'!AQ3*Conversion!$B$3</f>
        <v>0</v>
      </c>
      <c r="AR3" s="45">
        <f>'Commercial-Appliances'!AR3*Conversion!$B$3</f>
        <v>0</v>
      </c>
      <c r="AS3" s="45">
        <f>'Commercial-Appliances'!AS3*Conversion!$B$3</f>
        <v>0</v>
      </c>
      <c r="AT3" s="45">
        <f>'Commercial-Appliances'!AT3*Conversion!$B$3</f>
        <v>0</v>
      </c>
      <c r="AU3" s="45">
        <f>'Commercial-Appliances'!AU3*Conversion!$B$3</f>
        <v>0</v>
      </c>
      <c r="AV3" s="45">
        <f>'Commercial-Appliances'!AV3*Conversion!$B$3</f>
        <v>0</v>
      </c>
      <c r="AW3" s="45">
        <f>'Commercial-Appliances'!AW3*Conversion!$B$3</f>
        <v>0</v>
      </c>
      <c r="AX3" s="45">
        <f>'Commercial-Appliances'!AX3*Conversion!$B$3</f>
        <v>0</v>
      </c>
      <c r="AY3" s="45">
        <f>'Commercial-Appliances'!AY3*Conversion!$B$3</f>
        <v>0</v>
      </c>
      <c r="AZ3" s="45">
        <f>'Commercial-Appliances'!AZ3*Conversion!$B$3</f>
        <v>0</v>
      </c>
      <c r="BA3" s="45">
        <f>'Commercial-Appliances'!BA3*Conversion!$B$3</f>
        <v>0</v>
      </c>
    </row>
    <row r="4" spans="1:53" x14ac:dyDescent="0.2">
      <c r="A4" s="1" t="s">
        <v>14</v>
      </c>
      <c r="B4" s="15">
        <f>'Commercial-Appliances'!B4*Conversion!$B$3</f>
        <v>0</v>
      </c>
      <c r="C4" s="15">
        <f>'Commercial-Appliances'!C4*Conversion!$B$3</f>
        <v>0</v>
      </c>
      <c r="D4" s="15">
        <f>'Commercial-Appliances'!D4*Conversion!$B$3</f>
        <v>0</v>
      </c>
      <c r="E4" s="15">
        <f>'Commercial-Appliances'!E4*Conversion!$B$3</f>
        <v>0</v>
      </c>
      <c r="F4" s="15">
        <f>'Commercial-Appliances'!F4*Conversion!$B$3</f>
        <v>0</v>
      </c>
      <c r="G4" s="15">
        <f>'Commercial-Appliances'!G4*Conversion!$B$3</f>
        <v>0</v>
      </c>
      <c r="H4" s="15">
        <f>'Commercial-Appliances'!H4*Conversion!$B$3</f>
        <v>0</v>
      </c>
      <c r="I4" s="15">
        <f>'Commercial-Appliances'!I4*Conversion!$B$3</f>
        <v>0</v>
      </c>
      <c r="J4" s="15">
        <f>'Commercial-Appliances'!J4*Conversion!$B$3</f>
        <v>0</v>
      </c>
      <c r="K4" s="15">
        <f>'Commercial-Appliances'!K4*Conversion!$B$3</f>
        <v>0</v>
      </c>
      <c r="L4" s="15">
        <f>'Commercial-Appliances'!L4*Conversion!$B$3</f>
        <v>0</v>
      </c>
      <c r="M4" s="15">
        <f>'Commercial-Appliances'!M4*Conversion!$B$3</f>
        <v>0</v>
      </c>
      <c r="N4" s="15">
        <f>'Commercial-Appliances'!N4*Conversion!$B$3</f>
        <v>0</v>
      </c>
      <c r="O4" s="15">
        <f>'Commercial-Appliances'!O4*Conversion!$B$3</f>
        <v>0</v>
      </c>
      <c r="P4" s="15">
        <f>'Commercial-Appliances'!P4*Conversion!$B$3</f>
        <v>0</v>
      </c>
      <c r="Q4" s="15">
        <f>'Commercial-Appliances'!Q4*Conversion!$B$3</f>
        <v>0</v>
      </c>
      <c r="R4" s="15">
        <f>'Commercial-Appliances'!R4*Conversion!$B$3</f>
        <v>0</v>
      </c>
      <c r="S4" s="15">
        <f>'Commercial-Appliances'!S4*Conversion!$B$3</f>
        <v>0</v>
      </c>
      <c r="T4" s="15">
        <f>'Commercial-Appliances'!T4*Conversion!$B$3</f>
        <v>0</v>
      </c>
      <c r="U4" s="15">
        <f>'Commercial-Appliances'!U4*Conversion!$B$3</f>
        <v>0</v>
      </c>
      <c r="V4" s="15">
        <f>'Commercial-Appliances'!V4*Conversion!$B$3</f>
        <v>0</v>
      </c>
      <c r="W4" s="15">
        <f>'Commercial-Appliances'!W4*Conversion!$B$3</f>
        <v>0</v>
      </c>
      <c r="X4" s="15">
        <f>'Commercial-Appliances'!X4*Conversion!$B$3</f>
        <v>0</v>
      </c>
      <c r="Y4" s="15">
        <f>'Commercial-Appliances'!Y4*Conversion!$B$3</f>
        <v>0</v>
      </c>
      <c r="Z4" s="15">
        <f>'Commercial-Appliances'!Z4*Conversion!$B$3</f>
        <v>0</v>
      </c>
      <c r="AA4" s="15">
        <f>'Commercial-Appliances'!AA4*Conversion!$B$3</f>
        <v>0</v>
      </c>
      <c r="AB4" s="15">
        <f>'Commercial-Appliances'!AB4*Conversion!$B$3</f>
        <v>0</v>
      </c>
      <c r="AC4" s="15">
        <f>'Commercial-Appliances'!AC4*Conversion!$B$3</f>
        <v>0</v>
      </c>
      <c r="AD4" s="15">
        <f>'Commercial-Appliances'!AD4*Conversion!$B$3</f>
        <v>0</v>
      </c>
      <c r="AE4" s="15">
        <f>'Commercial-Appliances'!AE4*Conversion!$B$3</f>
        <v>0</v>
      </c>
      <c r="AF4" s="15">
        <f>'Commercial-Appliances'!AF4*Conversion!$B$3</f>
        <v>0</v>
      </c>
      <c r="AG4" s="15">
        <f>'Commercial-Appliances'!AG4*Conversion!$B$3</f>
        <v>0</v>
      </c>
      <c r="AH4" s="15">
        <f>'Commercial-Appliances'!AH4*Conversion!$B$3</f>
        <v>0</v>
      </c>
      <c r="AI4" s="15">
        <f>'Commercial-Appliances'!AI4*Conversion!$B$3</f>
        <v>0</v>
      </c>
      <c r="AJ4" s="15">
        <f>'Commercial-Appliances'!AJ4*Conversion!$B$3</f>
        <v>0</v>
      </c>
      <c r="AK4" s="15">
        <f>'Commercial-Appliances'!AK4*Conversion!$B$3</f>
        <v>0</v>
      </c>
      <c r="AL4" s="15">
        <f>'Commercial-Appliances'!AL4*Conversion!$B$3</f>
        <v>0</v>
      </c>
      <c r="AM4" s="15">
        <f>'Commercial-Appliances'!AM4*Conversion!$B$3</f>
        <v>0</v>
      </c>
      <c r="AN4" s="15">
        <f>'Commercial-Appliances'!AN4*Conversion!$B$3</f>
        <v>0</v>
      </c>
      <c r="AO4" s="15">
        <f>'Commercial-Appliances'!AO4*Conversion!$B$3</f>
        <v>0</v>
      </c>
      <c r="AP4" s="15">
        <f>'Commercial-Appliances'!AP4*Conversion!$B$3</f>
        <v>0</v>
      </c>
      <c r="AQ4" s="15">
        <f>'Commercial-Appliances'!AQ4*Conversion!$B$3</f>
        <v>0</v>
      </c>
      <c r="AR4" s="45">
        <f>'Commercial-Appliances'!AR4*Conversion!$B$3</f>
        <v>0</v>
      </c>
      <c r="AS4" s="45">
        <f>'Commercial-Appliances'!AS4*Conversion!$B$3</f>
        <v>0</v>
      </c>
      <c r="AT4" s="45">
        <f>'Commercial-Appliances'!AT4*Conversion!$B$3</f>
        <v>0</v>
      </c>
      <c r="AU4" s="45">
        <f>'Commercial-Appliances'!AU4*Conversion!$B$3</f>
        <v>0</v>
      </c>
      <c r="AV4" s="45">
        <f>'Commercial-Appliances'!AV4*Conversion!$B$3</f>
        <v>0</v>
      </c>
      <c r="AW4" s="45">
        <f>'Commercial-Appliances'!AW4*Conversion!$B$3</f>
        <v>0</v>
      </c>
      <c r="AX4" s="45">
        <f>'Commercial-Appliances'!AX4*Conversion!$B$3</f>
        <v>0</v>
      </c>
      <c r="AY4" s="45">
        <f>'Commercial-Appliances'!AY4*Conversion!$B$3</f>
        <v>0</v>
      </c>
      <c r="AZ4" s="45">
        <f>'Commercial-Appliances'!AZ4*Conversion!$B$3</f>
        <v>0</v>
      </c>
      <c r="BA4" s="45">
        <f>'Commercial-Appliances'!BA4*Conversion!$B$3</f>
        <v>0</v>
      </c>
    </row>
    <row r="5" spans="1:53" x14ac:dyDescent="0.2">
      <c r="A5" s="1" t="s">
        <v>15</v>
      </c>
      <c r="B5" s="15">
        <f>'Commercial-Appliances'!B5*Conversion!$B$3</f>
        <v>0</v>
      </c>
      <c r="C5" s="15">
        <f>'Commercial-Appliances'!C5*Conversion!$B$3</f>
        <v>0</v>
      </c>
      <c r="D5" s="15">
        <f>'Commercial-Appliances'!D5*Conversion!$B$3</f>
        <v>0</v>
      </c>
      <c r="E5" s="15">
        <f>'Commercial-Appliances'!E5*Conversion!$B$3</f>
        <v>0</v>
      </c>
      <c r="F5" s="15">
        <f>'Commercial-Appliances'!F5*Conversion!$B$3</f>
        <v>0</v>
      </c>
      <c r="G5" s="15">
        <f>'Commercial-Appliances'!G5*Conversion!$B$3</f>
        <v>0</v>
      </c>
      <c r="H5" s="15">
        <f>'Commercial-Appliances'!H5*Conversion!$B$3</f>
        <v>0</v>
      </c>
      <c r="I5" s="15">
        <f>'Commercial-Appliances'!I5*Conversion!$B$3</f>
        <v>0</v>
      </c>
      <c r="J5" s="15">
        <f>'Commercial-Appliances'!J5*Conversion!$B$3</f>
        <v>0</v>
      </c>
      <c r="K5" s="15">
        <f>'Commercial-Appliances'!K5*Conversion!$B$3</f>
        <v>0</v>
      </c>
      <c r="L5" s="15">
        <f>'Commercial-Appliances'!L5*Conversion!$B$3</f>
        <v>0</v>
      </c>
      <c r="M5" s="15">
        <f>'Commercial-Appliances'!M5*Conversion!$B$3</f>
        <v>0</v>
      </c>
      <c r="N5" s="15">
        <f>'Commercial-Appliances'!N5*Conversion!$B$3</f>
        <v>0</v>
      </c>
      <c r="O5" s="15">
        <f>'Commercial-Appliances'!O5*Conversion!$B$3</f>
        <v>0</v>
      </c>
      <c r="P5" s="15">
        <f>'Commercial-Appliances'!P5*Conversion!$B$3</f>
        <v>0</v>
      </c>
      <c r="Q5" s="15">
        <f>'Commercial-Appliances'!Q5*Conversion!$B$3</f>
        <v>0</v>
      </c>
      <c r="R5" s="15">
        <f>'Commercial-Appliances'!R5*Conversion!$B$3</f>
        <v>0</v>
      </c>
      <c r="S5" s="15">
        <f>'Commercial-Appliances'!S5*Conversion!$B$3</f>
        <v>0</v>
      </c>
      <c r="T5" s="15">
        <f>'Commercial-Appliances'!T5*Conversion!$B$3</f>
        <v>0</v>
      </c>
      <c r="U5" s="15">
        <f>'Commercial-Appliances'!U5*Conversion!$B$3</f>
        <v>0</v>
      </c>
      <c r="V5" s="15">
        <f>'Commercial-Appliances'!V5*Conversion!$B$3</f>
        <v>0</v>
      </c>
      <c r="W5" s="15">
        <f>'Commercial-Appliances'!W5*Conversion!$B$3</f>
        <v>0</v>
      </c>
      <c r="X5" s="15">
        <f>'Commercial-Appliances'!X5*Conversion!$B$3</f>
        <v>0</v>
      </c>
      <c r="Y5" s="15">
        <f>'Commercial-Appliances'!Y5*Conversion!$B$3</f>
        <v>0</v>
      </c>
      <c r="Z5" s="15">
        <f>'Commercial-Appliances'!Z5*Conversion!$B$3</f>
        <v>0</v>
      </c>
      <c r="AA5" s="15">
        <f>'Commercial-Appliances'!AA5*Conversion!$B$3</f>
        <v>0</v>
      </c>
      <c r="AB5" s="15">
        <f>'Commercial-Appliances'!AB5*Conversion!$B$3</f>
        <v>0</v>
      </c>
      <c r="AC5" s="15">
        <f>'Commercial-Appliances'!AC5*Conversion!$B$3</f>
        <v>0</v>
      </c>
      <c r="AD5" s="15">
        <f>'Commercial-Appliances'!AD5*Conversion!$B$3</f>
        <v>0</v>
      </c>
      <c r="AE5" s="15">
        <f>'Commercial-Appliances'!AE5*Conversion!$B$3</f>
        <v>0</v>
      </c>
      <c r="AF5" s="15">
        <f>'Commercial-Appliances'!AF5*Conversion!$B$3</f>
        <v>0</v>
      </c>
      <c r="AG5" s="15">
        <f>'Commercial-Appliances'!AG5*Conversion!$B$3</f>
        <v>0</v>
      </c>
      <c r="AH5" s="15">
        <f>'Commercial-Appliances'!AH5*Conversion!$B$3</f>
        <v>0</v>
      </c>
      <c r="AI5" s="15">
        <f>'Commercial-Appliances'!AI5*Conversion!$B$3</f>
        <v>0</v>
      </c>
      <c r="AJ5" s="15">
        <f>'Commercial-Appliances'!AJ5*Conversion!$B$3</f>
        <v>0</v>
      </c>
      <c r="AK5" s="15">
        <f>'Commercial-Appliances'!AK5*Conversion!$B$3</f>
        <v>0</v>
      </c>
      <c r="AL5" s="15">
        <f>'Commercial-Appliances'!AL5*Conversion!$B$3</f>
        <v>0</v>
      </c>
      <c r="AM5" s="15">
        <f>'Commercial-Appliances'!AM5*Conversion!$B$3</f>
        <v>0</v>
      </c>
      <c r="AN5" s="15">
        <f>'Commercial-Appliances'!AN5*Conversion!$B$3</f>
        <v>0</v>
      </c>
      <c r="AO5" s="15">
        <f>'Commercial-Appliances'!AO5*Conversion!$B$3</f>
        <v>0</v>
      </c>
      <c r="AP5" s="15">
        <f>'Commercial-Appliances'!AP5*Conversion!$B$3</f>
        <v>0</v>
      </c>
      <c r="AQ5" s="15">
        <f>'Commercial-Appliances'!AQ5*Conversion!$B$3</f>
        <v>0</v>
      </c>
      <c r="AR5" s="45">
        <f>'Commercial-Appliances'!AR5*Conversion!$B$3</f>
        <v>0</v>
      </c>
      <c r="AS5" s="45">
        <f>'Commercial-Appliances'!AS5*Conversion!$B$3</f>
        <v>0</v>
      </c>
      <c r="AT5" s="45">
        <f>'Commercial-Appliances'!AT5*Conversion!$B$3</f>
        <v>0</v>
      </c>
      <c r="AU5" s="45">
        <f>'Commercial-Appliances'!AU5*Conversion!$B$3</f>
        <v>0</v>
      </c>
      <c r="AV5" s="45">
        <f>'Commercial-Appliances'!AV5*Conversion!$B$3</f>
        <v>0</v>
      </c>
      <c r="AW5" s="45">
        <f>'Commercial-Appliances'!AW5*Conversion!$B$3</f>
        <v>0</v>
      </c>
      <c r="AX5" s="45">
        <f>'Commercial-Appliances'!AX5*Conversion!$B$3</f>
        <v>0</v>
      </c>
      <c r="AY5" s="45">
        <f>'Commercial-Appliances'!AY5*Conversion!$B$3</f>
        <v>0</v>
      </c>
      <c r="AZ5" s="45">
        <f>'Commercial-Appliances'!AZ5*Conversion!$B$3</f>
        <v>0</v>
      </c>
      <c r="BA5" s="45">
        <f>'Commercial-Appliances'!BA5*Conversion!$B$3</f>
        <v>0</v>
      </c>
    </row>
    <row r="6" spans="1:53" x14ac:dyDescent="0.2">
      <c r="A6" s="1" t="s">
        <v>16</v>
      </c>
      <c r="B6" s="15">
        <f>'Commercial-Appliances'!B6*Conversion!$B$3</f>
        <v>0</v>
      </c>
      <c r="C6" s="15">
        <f>'Commercial-Appliances'!C6*Conversion!$B$3</f>
        <v>0</v>
      </c>
      <c r="D6" s="15">
        <f>'Commercial-Appliances'!D6*Conversion!$B$3</f>
        <v>0</v>
      </c>
      <c r="E6" s="15">
        <f>'Commercial-Appliances'!E6*Conversion!$B$3</f>
        <v>0</v>
      </c>
      <c r="F6" s="15">
        <f>'Commercial-Appliances'!F6*Conversion!$B$3</f>
        <v>0</v>
      </c>
      <c r="G6" s="15">
        <f>'Commercial-Appliances'!G6*Conversion!$B$3</f>
        <v>0</v>
      </c>
      <c r="H6" s="15">
        <f>'Commercial-Appliances'!H6*Conversion!$B$3</f>
        <v>0</v>
      </c>
      <c r="I6" s="15">
        <f>'Commercial-Appliances'!I6*Conversion!$B$3</f>
        <v>0</v>
      </c>
      <c r="J6" s="15">
        <f>'Commercial-Appliances'!J6*Conversion!$B$3</f>
        <v>0</v>
      </c>
      <c r="K6" s="15">
        <f>'Commercial-Appliances'!K6*Conversion!$B$3</f>
        <v>0</v>
      </c>
      <c r="L6" s="15">
        <f>'Commercial-Appliances'!L6*Conversion!$B$3</f>
        <v>0</v>
      </c>
      <c r="M6" s="15">
        <f>'Commercial-Appliances'!M6*Conversion!$B$3</f>
        <v>0</v>
      </c>
      <c r="N6" s="15">
        <f>'Commercial-Appliances'!N6*Conversion!$B$3</f>
        <v>0</v>
      </c>
      <c r="O6" s="15">
        <f>'Commercial-Appliances'!O6*Conversion!$B$3</f>
        <v>0</v>
      </c>
      <c r="P6" s="15">
        <f>'Commercial-Appliances'!P6*Conversion!$B$3</f>
        <v>0</v>
      </c>
      <c r="Q6" s="15">
        <f>'Commercial-Appliances'!Q6*Conversion!$B$3</f>
        <v>0</v>
      </c>
      <c r="R6" s="15">
        <f>'Commercial-Appliances'!R6*Conversion!$B$3</f>
        <v>0</v>
      </c>
      <c r="S6" s="15">
        <f>'Commercial-Appliances'!S6*Conversion!$B$3</f>
        <v>0</v>
      </c>
      <c r="T6" s="15">
        <f>'Commercial-Appliances'!T6*Conversion!$B$3</f>
        <v>0</v>
      </c>
      <c r="U6" s="15">
        <f>'Commercial-Appliances'!U6*Conversion!$B$3</f>
        <v>0</v>
      </c>
      <c r="V6" s="15">
        <f>'Commercial-Appliances'!V6*Conversion!$B$3</f>
        <v>0</v>
      </c>
      <c r="W6" s="15">
        <f>'Commercial-Appliances'!W6*Conversion!$B$3</f>
        <v>0</v>
      </c>
      <c r="X6" s="15">
        <f>'Commercial-Appliances'!X6*Conversion!$B$3</f>
        <v>0</v>
      </c>
      <c r="Y6" s="15">
        <f>'Commercial-Appliances'!Y6*Conversion!$B$3</f>
        <v>0</v>
      </c>
      <c r="Z6" s="15">
        <f>'Commercial-Appliances'!Z6*Conversion!$B$3</f>
        <v>0</v>
      </c>
      <c r="AA6" s="15">
        <f>'Commercial-Appliances'!AA6*Conversion!$B$3</f>
        <v>0</v>
      </c>
      <c r="AB6" s="15">
        <f>'Commercial-Appliances'!AB6*Conversion!$B$3</f>
        <v>0</v>
      </c>
      <c r="AC6" s="15">
        <f>'Commercial-Appliances'!AC6*Conversion!$B$3</f>
        <v>0</v>
      </c>
      <c r="AD6" s="15">
        <f>'Commercial-Appliances'!AD6*Conversion!$B$3</f>
        <v>0</v>
      </c>
      <c r="AE6" s="15">
        <f>'Commercial-Appliances'!AE6*Conversion!$B$3</f>
        <v>0</v>
      </c>
      <c r="AF6" s="15">
        <f>'Commercial-Appliances'!AF6*Conversion!$B$3</f>
        <v>0</v>
      </c>
      <c r="AG6" s="15">
        <f>'Commercial-Appliances'!AG6*Conversion!$B$3</f>
        <v>0</v>
      </c>
      <c r="AH6" s="15">
        <f>'Commercial-Appliances'!AH6*Conversion!$B$3</f>
        <v>0</v>
      </c>
      <c r="AI6" s="15">
        <f>'Commercial-Appliances'!AI6*Conversion!$B$3</f>
        <v>0</v>
      </c>
      <c r="AJ6" s="15">
        <f>'Commercial-Appliances'!AJ6*Conversion!$B$3</f>
        <v>0</v>
      </c>
      <c r="AK6" s="15">
        <f>'Commercial-Appliances'!AK6*Conversion!$B$3</f>
        <v>0</v>
      </c>
      <c r="AL6" s="15">
        <f>'Commercial-Appliances'!AL6*Conversion!$B$3</f>
        <v>0</v>
      </c>
      <c r="AM6" s="15">
        <f>'Commercial-Appliances'!AM6*Conversion!$B$3</f>
        <v>0</v>
      </c>
      <c r="AN6" s="15">
        <f>'Commercial-Appliances'!AN6*Conversion!$B$3</f>
        <v>0</v>
      </c>
      <c r="AO6" s="15">
        <f>'Commercial-Appliances'!AO6*Conversion!$B$3</f>
        <v>0</v>
      </c>
      <c r="AP6" s="15">
        <f>'Commercial-Appliances'!AP6*Conversion!$B$3</f>
        <v>0</v>
      </c>
      <c r="AQ6" s="15">
        <f>'Commercial-Appliances'!AQ6*Conversion!$B$3</f>
        <v>0</v>
      </c>
      <c r="AR6" s="45">
        <f>'Commercial-Appliances'!AR6*Conversion!$B$3</f>
        <v>0</v>
      </c>
      <c r="AS6" s="45">
        <f>'Commercial-Appliances'!AS6*Conversion!$B$3</f>
        <v>0</v>
      </c>
      <c r="AT6" s="45">
        <f>'Commercial-Appliances'!AT6*Conversion!$B$3</f>
        <v>0</v>
      </c>
      <c r="AU6" s="45">
        <f>'Commercial-Appliances'!AU6*Conversion!$B$3</f>
        <v>0</v>
      </c>
      <c r="AV6" s="45">
        <f>'Commercial-Appliances'!AV6*Conversion!$B$3</f>
        <v>0</v>
      </c>
      <c r="AW6" s="45">
        <f>'Commercial-Appliances'!AW6*Conversion!$B$3</f>
        <v>0</v>
      </c>
      <c r="AX6" s="45">
        <f>'Commercial-Appliances'!AX6*Conversion!$B$3</f>
        <v>0</v>
      </c>
      <c r="AY6" s="45">
        <f>'Commercial-Appliances'!AY6*Conversion!$B$3</f>
        <v>0</v>
      </c>
      <c r="AZ6" s="45">
        <f>'Commercial-Appliances'!AZ6*Conversion!$B$3</f>
        <v>0</v>
      </c>
      <c r="BA6" s="45">
        <f>'Commercial-Appliances'!BA6*Conversion!$B$3</f>
        <v>0</v>
      </c>
    </row>
    <row r="7" spans="1:53" x14ac:dyDescent="0.2">
      <c r="A7" s="1" t="s">
        <v>17</v>
      </c>
      <c r="B7" s="15">
        <f>'Commercial-Appliances'!B7*Conversion!$B$3</f>
        <v>0</v>
      </c>
      <c r="C7" s="15">
        <f>'Commercial-Appliances'!C7*Conversion!$B$3</f>
        <v>0</v>
      </c>
      <c r="D7" s="15">
        <f>'Commercial-Appliances'!D7*Conversion!$B$3</f>
        <v>0</v>
      </c>
      <c r="E7" s="15">
        <f>'Commercial-Appliances'!E7*Conversion!$B$3</f>
        <v>0</v>
      </c>
      <c r="F7" s="15">
        <f>'Commercial-Appliances'!F7*Conversion!$B$3</f>
        <v>0</v>
      </c>
      <c r="G7" s="15">
        <f>'Commercial-Appliances'!G7*Conversion!$B$3</f>
        <v>0</v>
      </c>
      <c r="H7" s="15">
        <f>'Commercial-Appliances'!H7*Conversion!$B$3</f>
        <v>0</v>
      </c>
      <c r="I7" s="15">
        <f>'Commercial-Appliances'!I7*Conversion!$B$3</f>
        <v>0</v>
      </c>
      <c r="J7" s="15">
        <f>'Commercial-Appliances'!J7*Conversion!$B$3</f>
        <v>0</v>
      </c>
      <c r="K7" s="15">
        <f>'Commercial-Appliances'!K7*Conversion!$B$3</f>
        <v>0</v>
      </c>
      <c r="L7" s="15">
        <f>'Commercial-Appliances'!L7*Conversion!$B$3</f>
        <v>0</v>
      </c>
      <c r="M7" s="15">
        <f>'Commercial-Appliances'!M7*Conversion!$B$3</f>
        <v>0</v>
      </c>
      <c r="N7" s="15">
        <f>'Commercial-Appliances'!N7*Conversion!$B$3</f>
        <v>0</v>
      </c>
      <c r="O7" s="15">
        <f>'Commercial-Appliances'!O7*Conversion!$B$3</f>
        <v>0</v>
      </c>
      <c r="P7" s="15">
        <f>'Commercial-Appliances'!P7*Conversion!$B$3</f>
        <v>0</v>
      </c>
      <c r="Q7" s="15">
        <f>'Commercial-Appliances'!Q7*Conversion!$B$3</f>
        <v>0</v>
      </c>
      <c r="R7" s="15">
        <f>'Commercial-Appliances'!R7*Conversion!$B$3</f>
        <v>0</v>
      </c>
      <c r="S7" s="15">
        <f>'Commercial-Appliances'!S7*Conversion!$B$3</f>
        <v>0</v>
      </c>
      <c r="T7" s="15">
        <f>'Commercial-Appliances'!T7*Conversion!$B$3</f>
        <v>0</v>
      </c>
      <c r="U7" s="15">
        <f>'Commercial-Appliances'!U7*Conversion!$B$3</f>
        <v>0</v>
      </c>
      <c r="V7" s="15">
        <f>'Commercial-Appliances'!V7*Conversion!$B$3</f>
        <v>0</v>
      </c>
      <c r="W7" s="15">
        <f>'Commercial-Appliances'!W7*Conversion!$B$3</f>
        <v>0</v>
      </c>
      <c r="X7" s="15">
        <f>'Commercial-Appliances'!X7*Conversion!$B$3</f>
        <v>0</v>
      </c>
      <c r="Y7" s="15">
        <f>'Commercial-Appliances'!Y7*Conversion!$B$3</f>
        <v>0</v>
      </c>
      <c r="Z7" s="15">
        <f>'Commercial-Appliances'!Z7*Conversion!$B$3</f>
        <v>0</v>
      </c>
      <c r="AA7" s="15">
        <f>'Commercial-Appliances'!AA7*Conversion!$B$3</f>
        <v>0</v>
      </c>
      <c r="AB7" s="15">
        <f>'Commercial-Appliances'!AB7*Conversion!$B$3</f>
        <v>0</v>
      </c>
      <c r="AC7" s="15">
        <f>'Commercial-Appliances'!AC7*Conversion!$B$3</f>
        <v>0</v>
      </c>
      <c r="AD7" s="15">
        <f>'Commercial-Appliances'!AD7*Conversion!$B$3</f>
        <v>0</v>
      </c>
      <c r="AE7" s="15">
        <f>'Commercial-Appliances'!AE7*Conversion!$B$3</f>
        <v>0</v>
      </c>
      <c r="AF7" s="15">
        <f>'Commercial-Appliances'!AF7*Conversion!$B$3</f>
        <v>0</v>
      </c>
      <c r="AG7" s="15">
        <f>'Commercial-Appliances'!AG7*Conversion!$B$3</f>
        <v>0</v>
      </c>
      <c r="AH7" s="15">
        <f>'Commercial-Appliances'!AH7*Conversion!$B$3</f>
        <v>0</v>
      </c>
      <c r="AI7" s="15">
        <f>'Commercial-Appliances'!AI7*Conversion!$B$3</f>
        <v>0</v>
      </c>
      <c r="AJ7" s="15">
        <f>'Commercial-Appliances'!AJ7*Conversion!$B$3</f>
        <v>0</v>
      </c>
      <c r="AK7" s="15">
        <f>'Commercial-Appliances'!AK7*Conversion!$B$3</f>
        <v>0</v>
      </c>
      <c r="AL7" s="15">
        <f>'Commercial-Appliances'!AL7*Conversion!$B$3</f>
        <v>0</v>
      </c>
      <c r="AM7" s="15">
        <f>'Commercial-Appliances'!AM7*Conversion!$B$3</f>
        <v>0</v>
      </c>
      <c r="AN7" s="15">
        <f>'Commercial-Appliances'!AN7*Conversion!$B$3</f>
        <v>0</v>
      </c>
      <c r="AO7" s="15">
        <f>'Commercial-Appliances'!AO7*Conversion!$B$3</f>
        <v>0</v>
      </c>
      <c r="AP7" s="15">
        <f>'Commercial-Appliances'!AP7*Conversion!$B$3</f>
        <v>0</v>
      </c>
      <c r="AQ7" s="15">
        <f>'Commercial-Appliances'!AQ7*Conversion!$B$3</f>
        <v>0</v>
      </c>
      <c r="AR7" s="45">
        <f>'Commercial-Appliances'!AR7*Conversion!$B$3</f>
        <v>0</v>
      </c>
      <c r="AS7" s="45">
        <f>'Commercial-Appliances'!AS7*Conversion!$B$3</f>
        <v>0</v>
      </c>
      <c r="AT7" s="45">
        <f>'Commercial-Appliances'!AT7*Conversion!$B$3</f>
        <v>0</v>
      </c>
      <c r="AU7" s="45">
        <f>'Commercial-Appliances'!AU7*Conversion!$B$3</f>
        <v>0</v>
      </c>
      <c r="AV7" s="45">
        <f>'Commercial-Appliances'!AV7*Conversion!$B$3</f>
        <v>0</v>
      </c>
      <c r="AW7" s="45">
        <f>'Commercial-Appliances'!AW7*Conversion!$B$3</f>
        <v>0</v>
      </c>
      <c r="AX7" s="45">
        <f>'Commercial-Appliances'!AX7*Conversion!$B$3</f>
        <v>0</v>
      </c>
      <c r="AY7" s="45">
        <f>'Commercial-Appliances'!AY7*Conversion!$B$3</f>
        <v>0</v>
      </c>
      <c r="AZ7" s="45">
        <f>'Commercial-Appliances'!AZ7*Conversion!$B$3</f>
        <v>0</v>
      </c>
      <c r="BA7" s="45">
        <f>'Commercial-Appliances'!BA7*Conversion!$B$3</f>
        <v>0</v>
      </c>
    </row>
    <row r="8" spans="1:53" x14ac:dyDescent="0.2">
      <c r="A8" s="1" t="s">
        <v>18</v>
      </c>
      <c r="B8" s="15">
        <f>'Commercial-Appliances'!B8*Conversion!$B$3</f>
        <v>0</v>
      </c>
      <c r="C8" s="15">
        <f>'Commercial-Appliances'!C8*Conversion!$B$3</f>
        <v>0</v>
      </c>
      <c r="D8" s="15">
        <f>'Commercial-Appliances'!D8*Conversion!$B$3</f>
        <v>0</v>
      </c>
      <c r="E8" s="15">
        <f>'Commercial-Appliances'!E8*Conversion!$B$3</f>
        <v>0</v>
      </c>
      <c r="F8" s="15">
        <f>'Commercial-Appliances'!F8*Conversion!$B$3</f>
        <v>0</v>
      </c>
      <c r="G8" s="15">
        <f>'Commercial-Appliances'!G8*Conversion!$B$3</f>
        <v>0</v>
      </c>
      <c r="H8" s="15">
        <f>'Commercial-Appliances'!H8*Conversion!$B$3</f>
        <v>0</v>
      </c>
      <c r="I8" s="15">
        <f>'Commercial-Appliances'!I8*Conversion!$B$3</f>
        <v>0</v>
      </c>
      <c r="J8" s="15">
        <f>'Commercial-Appliances'!J8*Conversion!$B$3</f>
        <v>0</v>
      </c>
      <c r="K8" s="15">
        <f>'Commercial-Appliances'!K8*Conversion!$B$3</f>
        <v>0</v>
      </c>
      <c r="L8" s="15">
        <f>'Commercial-Appliances'!L8*Conversion!$B$3</f>
        <v>0</v>
      </c>
      <c r="M8" s="15">
        <f>'Commercial-Appliances'!M8*Conversion!$B$3</f>
        <v>0</v>
      </c>
      <c r="N8" s="15">
        <f>'Commercial-Appliances'!N8*Conversion!$B$3</f>
        <v>0</v>
      </c>
      <c r="O8" s="15">
        <f>'Commercial-Appliances'!O8*Conversion!$B$3</f>
        <v>0</v>
      </c>
      <c r="P8" s="15">
        <f>'Commercial-Appliances'!P8*Conversion!$B$3</f>
        <v>0</v>
      </c>
      <c r="Q8" s="15">
        <f>'Commercial-Appliances'!Q8*Conversion!$B$3</f>
        <v>0</v>
      </c>
      <c r="R8" s="15">
        <f>'Commercial-Appliances'!R8*Conversion!$B$3</f>
        <v>0</v>
      </c>
      <c r="S8" s="15">
        <f>'Commercial-Appliances'!S8*Conversion!$B$3</f>
        <v>0</v>
      </c>
      <c r="T8" s="15">
        <f>'Commercial-Appliances'!T8*Conversion!$B$3</f>
        <v>0</v>
      </c>
      <c r="U8" s="15">
        <f>'Commercial-Appliances'!U8*Conversion!$B$3</f>
        <v>0</v>
      </c>
      <c r="V8" s="15">
        <f>'Commercial-Appliances'!V8*Conversion!$B$3</f>
        <v>0</v>
      </c>
      <c r="W8" s="15">
        <f>'Commercial-Appliances'!W8*Conversion!$B$3</f>
        <v>0</v>
      </c>
      <c r="X8" s="15">
        <f>'Commercial-Appliances'!X8*Conversion!$B$3</f>
        <v>0</v>
      </c>
      <c r="Y8" s="15">
        <f>'Commercial-Appliances'!Y8*Conversion!$B$3</f>
        <v>0</v>
      </c>
      <c r="Z8" s="15">
        <f>'Commercial-Appliances'!Z8*Conversion!$B$3</f>
        <v>0</v>
      </c>
      <c r="AA8" s="15">
        <f>'Commercial-Appliances'!AA8*Conversion!$B$3</f>
        <v>0</v>
      </c>
      <c r="AB8" s="15">
        <f>'Commercial-Appliances'!AB8*Conversion!$B$3</f>
        <v>0</v>
      </c>
      <c r="AC8" s="15">
        <f>'Commercial-Appliances'!AC8*Conversion!$B$3</f>
        <v>0</v>
      </c>
      <c r="AD8" s="15">
        <f>'Commercial-Appliances'!AD8*Conversion!$B$3</f>
        <v>0</v>
      </c>
      <c r="AE8" s="15">
        <f>'Commercial-Appliances'!AE8*Conversion!$B$3</f>
        <v>0</v>
      </c>
      <c r="AF8" s="15">
        <f>'Commercial-Appliances'!AF8*Conversion!$B$3</f>
        <v>0</v>
      </c>
      <c r="AG8" s="15">
        <f>'Commercial-Appliances'!AG8*Conversion!$B$3</f>
        <v>0</v>
      </c>
      <c r="AH8" s="15">
        <f>'Commercial-Appliances'!AH8*Conversion!$B$3</f>
        <v>0</v>
      </c>
      <c r="AI8" s="15">
        <f>'Commercial-Appliances'!AI8*Conversion!$B$3</f>
        <v>0</v>
      </c>
      <c r="AJ8" s="15">
        <f>'Commercial-Appliances'!AJ8*Conversion!$B$3</f>
        <v>0</v>
      </c>
      <c r="AK8" s="15">
        <f>'Commercial-Appliances'!AK8*Conversion!$B$3</f>
        <v>0</v>
      </c>
      <c r="AL8" s="15">
        <f>'Commercial-Appliances'!AL8*Conversion!$B$3</f>
        <v>0</v>
      </c>
      <c r="AM8" s="15">
        <f>'Commercial-Appliances'!AM8*Conversion!$B$3</f>
        <v>0</v>
      </c>
      <c r="AN8" s="15">
        <f>'Commercial-Appliances'!AN8*Conversion!$B$3</f>
        <v>0</v>
      </c>
      <c r="AO8" s="15">
        <f>'Commercial-Appliances'!AO8*Conversion!$B$3</f>
        <v>0</v>
      </c>
      <c r="AP8" s="15">
        <f>'Commercial-Appliances'!AP8*Conversion!$B$3</f>
        <v>0</v>
      </c>
      <c r="AQ8" s="15">
        <f>'Commercial-Appliances'!AQ8*Conversion!$B$3</f>
        <v>0</v>
      </c>
      <c r="AR8" s="45">
        <f>'Commercial-Appliances'!AR8*Conversion!$B$3</f>
        <v>0</v>
      </c>
      <c r="AS8" s="45">
        <f>'Commercial-Appliances'!AS8*Conversion!$B$3</f>
        <v>0</v>
      </c>
      <c r="AT8" s="45">
        <f>'Commercial-Appliances'!AT8*Conversion!$B$3</f>
        <v>0</v>
      </c>
      <c r="AU8" s="45">
        <f>'Commercial-Appliances'!AU8*Conversion!$B$3</f>
        <v>0</v>
      </c>
      <c r="AV8" s="45">
        <f>'Commercial-Appliances'!AV8*Conversion!$B$3</f>
        <v>0</v>
      </c>
      <c r="AW8" s="45">
        <f>'Commercial-Appliances'!AW8*Conversion!$B$3</f>
        <v>0</v>
      </c>
      <c r="AX8" s="45">
        <f>'Commercial-Appliances'!AX8*Conversion!$B$3</f>
        <v>0</v>
      </c>
      <c r="AY8" s="45">
        <f>'Commercial-Appliances'!AY8*Conversion!$B$3</f>
        <v>0</v>
      </c>
      <c r="AZ8" s="45">
        <f>'Commercial-Appliances'!AZ8*Conversion!$B$3</f>
        <v>0</v>
      </c>
      <c r="BA8" s="45">
        <f>'Commercial-Appliances'!BA8*Conversion!$B$3</f>
        <v>0</v>
      </c>
    </row>
    <row r="9" spans="1:53" x14ac:dyDescent="0.2">
      <c r="A9" s="1" t="s">
        <v>19</v>
      </c>
      <c r="B9" s="15">
        <f>'Commercial-Appliances'!B9*Conversion!$B$3</f>
        <v>0</v>
      </c>
      <c r="C9" s="15">
        <f>'Commercial-Appliances'!C9*Conversion!$B$3</f>
        <v>0</v>
      </c>
      <c r="D9" s="15">
        <f>'Commercial-Appliances'!D9*Conversion!$B$3</f>
        <v>0</v>
      </c>
      <c r="E9" s="15">
        <f>'Commercial-Appliances'!E9*Conversion!$B$3</f>
        <v>0</v>
      </c>
      <c r="F9" s="15">
        <f>'Commercial-Appliances'!F9*Conversion!$B$3</f>
        <v>0</v>
      </c>
      <c r="G9" s="15">
        <f>'Commercial-Appliances'!G9*Conversion!$B$3</f>
        <v>0</v>
      </c>
      <c r="H9" s="15">
        <f>'Commercial-Appliances'!H9*Conversion!$B$3</f>
        <v>0</v>
      </c>
      <c r="I9" s="15">
        <f>'Commercial-Appliances'!I9*Conversion!$B$3</f>
        <v>0</v>
      </c>
      <c r="J9" s="15">
        <f>'Commercial-Appliances'!J9*Conversion!$B$3</f>
        <v>0</v>
      </c>
      <c r="K9" s="15">
        <f>'Commercial-Appliances'!K9*Conversion!$B$3</f>
        <v>0</v>
      </c>
      <c r="L9" s="15">
        <f>'Commercial-Appliances'!L9*Conversion!$B$3</f>
        <v>0</v>
      </c>
      <c r="M9" s="15">
        <f>'Commercial-Appliances'!M9*Conversion!$B$3</f>
        <v>0</v>
      </c>
      <c r="N9" s="15">
        <f>'Commercial-Appliances'!N9*Conversion!$B$3</f>
        <v>0</v>
      </c>
      <c r="O9" s="15">
        <f>'Commercial-Appliances'!O9*Conversion!$B$3</f>
        <v>0</v>
      </c>
      <c r="P9" s="15">
        <f>'Commercial-Appliances'!P9*Conversion!$B$3</f>
        <v>0</v>
      </c>
      <c r="Q9" s="15">
        <f>'Commercial-Appliances'!Q9*Conversion!$B$3</f>
        <v>0</v>
      </c>
      <c r="R9" s="15">
        <f>'Commercial-Appliances'!R9*Conversion!$B$3</f>
        <v>0</v>
      </c>
      <c r="S9" s="15">
        <f>'Commercial-Appliances'!S9*Conversion!$B$3</f>
        <v>0</v>
      </c>
      <c r="T9" s="15">
        <f>'Commercial-Appliances'!T9*Conversion!$B$3</f>
        <v>0</v>
      </c>
      <c r="U9" s="15">
        <f>'Commercial-Appliances'!U9*Conversion!$B$3</f>
        <v>0</v>
      </c>
      <c r="V9" s="15">
        <f>'Commercial-Appliances'!V9*Conversion!$B$3</f>
        <v>0</v>
      </c>
      <c r="W9" s="15">
        <f>'Commercial-Appliances'!W9*Conversion!$B$3</f>
        <v>0</v>
      </c>
      <c r="X9" s="15">
        <f>'Commercial-Appliances'!X9*Conversion!$B$3</f>
        <v>0</v>
      </c>
      <c r="Y9" s="15">
        <f>'Commercial-Appliances'!Y9*Conversion!$B$3</f>
        <v>0</v>
      </c>
      <c r="Z9" s="15">
        <f>'Commercial-Appliances'!Z9*Conversion!$B$3</f>
        <v>0</v>
      </c>
      <c r="AA9" s="15">
        <f>'Commercial-Appliances'!AA9*Conversion!$B$3</f>
        <v>0</v>
      </c>
      <c r="AB9" s="15">
        <f>'Commercial-Appliances'!AB9*Conversion!$B$3</f>
        <v>0</v>
      </c>
      <c r="AC9" s="15">
        <f>'Commercial-Appliances'!AC9*Conversion!$B$3</f>
        <v>0</v>
      </c>
      <c r="AD9" s="15">
        <f>'Commercial-Appliances'!AD9*Conversion!$B$3</f>
        <v>0</v>
      </c>
      <c r="AE9" s="15">
        <f>'Commercial-Appliances'!AE9*Conversion!$B$3</f>
        <v>0</v>
      </c>
      <c r="AF9" s="15">
        <f>'Commercial-Appliances'!AF9*Conversion!$B$3</f>
        <v>0</v>
      </c>
      <c r="AG9" s="15">
        <f>'Commercial-Appliances'!AG9*Conversion!$B$3</f>
        <v>0</v>
      </c>
      <c r="AH9" s="15">
        <f>'Commercial-Appliances'!AH9*Conversion!$B$3</f>
        <v>0</v>
      </c>
      <c r="AI9" s="15">
        <f>'Commercial-Appliances'!AI9*Conversion!$B$3</f>
        <v>0</v>
      </c>
      <c r="AJ9" s="15">
        <f>'Commercial-Appliances'!AJ9*Conversion!$B$3</f>
        <v>0</v>
      </c>
      <c r="AK9" s="15">
        <f>'Commercial-Appliances'!AK9*Conversion!$B$3</f>
        <v>0</v>
      </c>
      <c r="AL9" s="15">
        <f>'Commercial-Appliances'!AL9*Conversion!$B$3</f>
        <v>0</v>
      </c>
      <c r="AM9" s="15">
        <f>'Commercial-Appliances'!AM9*Conversion!$B$3</f>
        <v>0</v>
      </c>
      <c r="AN9" s="15">
        <f>'Commercial-Appliances'!AN9*Conversion!$B$3</f>
        <v>0</v>
      </c>
      <c r="AO9" s="15">
        <f>'Commercial-Appliances'!AO9*Conversion!$B$3</f>
        <v>0</v>
      </c>
      <c r="AP9" s="15">
        <f>'Commercial-Appliances'!AP9*Conversion!$B$3</f>
        <v>0</v>
      </c>
      <c r="AQ9" s="15">
        <f>'Commercial-Appliances'!AQ9*Conversion!$B$3</f>
        <v>0</v>
      </c>
      <c r="AR9" s="45">
        <f>'Commercial-Appliances'!AR9*Conversion!$B$3</f>
        <v>0</v>
      </c>
      <c r="AS9" s="45">
        <f>'Commercial-Appliances'!AS9*Conversion!$B$3</f>
        <v>0</v>
      </c>
      <c r="AT9" s="45">
        <f>'Commercial-Appliances'!AT9*Conversion!$B$3</f>
        <v>0</v>
      </c>
      <c r="AU9" s="45">
        <f>'Commercial-Appliances'!AU9*Conversion!$B$3</f>
        <v>0</v>
      </c>
      <c r="AV9" s="45">
        <f>'Commercial-Appliances'!AV9*Conversion!$B$3</f>
        <v>0</v>
      </c>
      <c r="AW9" s="45">
        <f>'Commercial-Appliances'!AW9*Conversion!$B$3</f>
        <v>0</v>
      </c>
      <c r="AX9" s="45">
        <f>'Commercial-Appliances'!AX9*Conversion!$B$3</f>
        <v>0</v>
      </c>
      <c r="AY9" s="45">
        <f>'Commercial-Appliances'!AY9*Conversion!$B$3</f>
        <v>0</v>
      </c>
      <c r="AZ9" s="45">
        <f>'Commercial-Appliances'!AZ9*Conversion!$B$3</f>
        <v>0</v>
      </c>
      <c r="BA9" s="45">
        <f>'Commercial-Appliances'!BA9*Conversion!$B$3</f>
        <v>0</v>
      </c>
    </row>
    <row r="10" spans="1:53" x14ac:dyDescent="0.2">
      <c r="A10" s="1" t="s">
        <v>20</v>
      </c>
      <c r="B10" s="15">
        <f>'Commercial-Appliances'!B10*Conversion!$B$3</f>
        <v>0</v>
      </c>
      <c r="C10" s="15">
        <f>'Commercial-Appliances'!C10*Conversion!$B$3</f>
        <v>0</v>
      </c>
      <c r="D10" s="15">
        <f>'Commercial-Appliances'!D10*Conversion!$B$3</f>
        <v>0</v>
      </c>
      <c r="E10" s="15">
        <f>'Commercial-Appliances'!E10*Conversion!$B$3</f>
        <v>0</v>
      </c>
      <c r="F10" s="15">
        <f>'Commercial-Appliances'!F10*Conversion!$B$3</f>
        <v>0</v>
      </c>
      <c r="G10" s="15">
        <f>'Commercial-Appliances'!G10*Conversion!$B$3</f>
        <v>0</v>
      </c>
      <c r="H10" s="15">
        <f>'Commercial-Appliances'!H10*Conversion!$B$3</f>
        <v>0</v>
      </c>
      <c r="I10" s="15">
        <f>'Commercial-Appliances'!I10*Conversion!$B$3</f>
        <v>0</v>
      </c>
      <c r="J10" s="15">
        <f>'Commercial-Appliances'!J10*Conversion!$B$3</f>
        <v>0</v>
      </c>
      <c r="K10" s="15">
        <f>'Commercial-Appliances'!K10*Conversion!$B$3</f>
        <v>0</v>
      </c>
      <c r="L10" s="15">
        <f>'Commercial-Appliances'!L10*Conversion!$B$3</f>
        <v>0</v>
      </c>
      <c r="M10" s="15">
        <f>'Commercial-Appliances'!M10*Conversion!$B$3</f>
        <v>0</v>
      </c>
      <c r="N10" s="15">
        <f>'Commercial-Appliances'!N10*Conversion!$B$3</f>
        <v>0</v>
      </c>
      <c r="O10" s="15">
        <f>'Commercial-Appliances'!O10*Conversion!$B$3</f>
        <v>0</v>
      </c>
      <c r="P10" s="15">
        <f>'Commercial-Appliances'!P10*Conversion!$B$3</f>
        <v>0</v>
      </c>
      <c r="Q10" s="15">
        <f>'Commercial-Appliances'!Q10*Conversion!$B$3</f>
        <v>0</v>
      </c>
      <c r="R10" s="15">
        <f>'Commercial-Appliances'!R10*Conversion!$B$3</f>
        <v>0</v>
      </c>
      <c r="S10" s="15">
        <f>'Commercial-Appliances'!S10*Conversion!$B$3</f>
        <v>0</v>
      </c>
      <c r="T10" s="15">
        <f>'Commercial-Appliances'!T10*Conversion!$B$3</f>
        <v>0</v>
      </c>
      <c r="U10" s="15">
        <f>'Commercial-Appliances'!U10*Conversion!$B$3</f>
        <v>0</v>
      </c>
      <c r="V10" s="15">
        <f>'Commercial-Appliances'!V10*Conversion!$B$3</f>
        <v>0</v>
      </c>
      <c r="W10" s="15">
        <f>'Commercial-Appliances'!W10*Conversion!$B$3</f>
        <v>0</v>
      </c>
      <c r="X10" s="15">
        <f>'Commercial-Appliances'!X10*Conversion!$B$3</f>
        <v>0</v>
      </c>
      <c r="Y10" s="15">
        <f>'Commercial-Appliances'!Y10*Conversion!$B$3</f>
        <v>0</v>
      </c>
      <c r="Z10" s="15">
        <f>'Commercial-Appliances'!Z10*Conversion!$B$3</f>
        <v>0</v>
      </c>
      <c r="AA10" s="15">
        <f>'Commercial-Appliances'!AA10*Conversion!$B$3</f>
        <v>0</v>
      </c>
      <c r="AB10" s="15">
        <f>'Commercial-Appliances'!AB10*Conversion!$B$3</f>
        <v>0</v>
      </c>
      <c r="AC10" s="15">
        <f>'Commercial-Appliances'!AC10*Conversion!$B$3</f>
        <v>0</v>
      </c>
      <c r="AD10" s="15">
        <f>'Commercial-Appliances'!AD10*Conversion!$B$3</f>
        <v>0</v>
      </c>
      <c r="AE10" s="15">
        <f>'Commercial-Appliances'!AE10*Conversion!$B$3</f>
        <v>0</v>
      </c>
      <c r="AF10" s="15">
        <f>'Commercial-Appliances'!AF10*Conversion!$B$3</f>
        <v>0</v>
      </c>
      <c r="AG10" s="15">
        <f>'Commercial-Appliances'!AG10*Conversion!$B$3</f>
        <v>0</v>
      </c>
      <c r="AH10" s="15">
        <f>'Commercial-Appliances'!AH10*Conversion!$B$3</f>
        <v>0</v>
      </c>
      <c r="AI10" s="15">
        <f>'Commercial-Appliances'!AI10*Conversion!$B$3</f>
        <v>0</v>
      </c>
      <c r="AJ10" s="15">
        <f>'Commercial-Appliances'!AJ10*Conversion!$B$3</f>
        <v>0</v>
      </c>
      <c r="AK10" s="15">
        <f>'Commercial-Appliances'!AK10*Conversion!$B$3</f>
        <v>0</v>
      </c>
      <c r="AL10" s="15">
        <f>'Commercial-Appliances'!AL10*Conversion!$B$3</f>
        <v>0</v>
      </c>
      <c r="AM10" s="15">
        <f>'Commercial-Appliances'!AM10*Conversion!$B$3</f>
        <v>0</v>
      </c>
      <c r="AN10" s="15">
        <f>'Commercial-Appliances'!AN10*Conversion!$B$3</f>
        <v>0</v>
      </c>
      <c r="AO10" s="15">
        <f>'Commercial-Appliances'!AO10*Conversion!$B$3</f>
        <v>0</v>
      </c>
      <c r="AP10" s="15">
        <f>'Commercial-Appliances'!AP10*Conversion!$B$3</f>
        <v>0</v>
      </c>
      <c r="AQ10" s="15">
        <f>'Commercial-Appliances'!AQ10*Conversion!$B$3</f>
        <v>0</v>
      </c>
      <c r="AR10" s="45">
        <f>'Commercial-Appliances'!AR10*Conversion!$B$3</f>
        <v>0</v>
      </c>
      <c r="AS10" s="45">
        <f>'Commercial-Appliances'!AS10*Conversion!$B$3</f>
        <v>0</v>
      </c>
      <c r="AT10" s="45">
        <f>'Commercial-Appliances'!AT10*Conversion!$B$3</f>
        <v>0</v>
      </c>
      <c r="AU10" s="45">
        <f>'Commercial-Appliances'!AU10*Conversion!$B$3</f>
        <v>0</v>
      </c>
      <c r="AV10" s="45">
        <f>'Commercial-Appliances'!AV10*Conversion!$B$3</f>
        <v>0</v>
      </c>
      <c r="AW10" s="45">
        <f>'Commercial-Appliances'!AW10*Conversion!$B$3</f>
        <v>0</v>
      </c>
      <c r="AX10" s="45">
        <f>'Commercial-Appliances'!AX10*Conversion!$B$3</f>
        <v>0</v>
      </c>
      <c r="AY10" s="45">
        <f>'Commercial-Appliances'!AY10*Conversion!$B$3</f>
        <v>0</v>
      </c>
      <c r="AZ10" s="45">
        <f>'Commercial-Appliances'!AZ10*Conversion!$B$3</f>
        <v>0</v>
      </c>
      <c r="BA10" s="45">
        <f>'Commercial-Appliances'!BA10*Conversion!$B$3</f>
        <v>0</v>
      </c>
    </row>
    <row r="11" spans="1:53" x14ac:dyDescent="0.2">
      <c r="A11" s="1" t="s">
        <v>21</v>
      </c>
      <c r="B11" s="15">
        <f>'Commercial-Appliances'!B11*Conversion!$B$3</f>
        <v>0</v>
      </c>
      <c r="C11" s="15">
        <f>'Commercial-Appliances'!C11*Conversion!$B$3</f>
        <v>0</v>
      </c>
      <c r="D11" s="15">
        <f>'Commercial-Appliances'!D11*Conversion!$B$3</f>
        <v>0</v>
      </c>
      <c r="E11" s="15">
        <f>'Commercial-Appliances'!E11*Conversion!$B$3</f>
        <v>0</v>
      </c>
      <c r="F11" s="15">
        <f>'Commercial-Appliances'!F11*Conversion!$B$3</f>
        <v>0</v>
      </c>
      <c r="G11" s="15">
        <f>'Commercial-Appliances'!G11*Conversion!$B$3</f>
        <v>0</v>
      </c>
      <c r="H11" s="15">
        <f>'Commercial-Appliances'!H11*Conversion!$B$3</f>
        <v>0</v>
      </c>
      <c r="I11" s="15">
        <f>'Commercial-Appliances'!I11*Conversion!$B$3</f>
        <v>0</v>
      </c>
      <c r="J11" s="15">
        <f>'Commercial-Appliances'!J11*Conversion!$B$3</f>
        <v>0</v>
      </c>
      <c r="K11" s="15">
        <f>'Commercial-Appliances'!K11*Conversion!$B$3</f>
        <v>0</v>
      </c>
      <c r="L11" s="15">
        <f>'Commercial-Appliances'!L11*Conversion!$B$3</f>
        <v>0</v>
      </c>
      <c r="M11" s="15">
        <f>'Commercial-Appliances'!M11*Conversion!$B$3</f>
        <v>0</v>
      </c>
      <c r="N11" s="15">
        <f>'Commercial-Appliances'!N11*Conversion!$B$3</f>
        <v>0</v>
      </c>
      <c r="O11" s="15">
        <f>'Commercial-Appliances'!O11*Conversion!$B$3</f>
        <v>0</v>
      </c>
      <c r="P11" s="15">
        <f>'Commercial-Appliances'!P11*Conversion!$B$3</f>
        <v>0</v>
      </c>
      <c r="Q11" s="15">
        <f>'Commercial-Appliances'!Q11*Conversion!$B$3</f>
        <v>0</v>
      </c>
      <c r="R11" s="15">
        <f>'Commercial-Appliances'!R11*Conversion!$B$3</f>
        <v>0</v>
      </c>
      <c r="S11" s="15">
        <f>'Commercial-Appliances'!S11*Conversion!$B$3</f>
        <v>0</v>
      </c>
      <c r="T11" s="15">
        <f>'Commercial-Appliances'!T11*Conversion!$B$3</f>
        <v>0</v>
      </c>
      <c r="U11" s="15">
        <f>'Commercial-Appliances'!U11*Conversion!$B$3</f>
        <v>0</v>
      </c>
      <c r="V11" s="15">
        <f>'Commercial-Appliances'!V11*Conversion!$B$3</f>
        <v>0</v>
      </c>
      <c r="W11" s="15">
        <f>'Commercial-Appliances'!W11*Conversion!$B$3</f>
        <v>0</v>
      </c>
      <c r="X11" s="15">
        <f>'Commercial-Appliances'!X11*Conversion!$B$3</f>
        <v>0</v>
      </c>
      <c r="Y11" s="15">
        <f>'Commercial-Appliances'!Y11*Conversion!$B$3</f>
        <v>0</v>
      </c>
      <c r="Z11" s="15">
        <f>'Commercial-Appliances'!Z11*Conversion!$B$3</f>
        <v>0</v>
      </c>
      <c r="AA11" s="15">
        <f>'Commercial-Appliances'!AA11*Conversion!$B$3</f>
        <v>0</v>
      </c>
      <c r="AB11" s="15">
        <f>'Commercial-Appliances'!AB11*Conversion!$B$3</f>
        <v>0</v>
      </c>
      <c r="AC11" s="15">
        <f>'Commercial-Appliances'!AC11*Conversion!$B$3</f>
        <v>0</v>
      </c>
      <c r="AD11" s="15">
        <f>'Commercial-Appliances'!AD11*Conversion!$B$3</f>
        <v>0</v>
      </c>
      <c r="AE11" s="15">
        <f>'Commercial-Appliances'!AE11*Conversion!$B$3</f>
        <v>0</v>
      </c>
      <c r="AF11" s="15">
        <f>'Commercial-Appliances'!AF11*Conversion!$B$3</f>
        <v>0</v>
      </c>
      <c r="AG11" s="15">
        <f>'Commercial-Appliances'!AG11*Conversion!$B$3</f>
        <v>0</v>
      </c>
      <c r="AH11" s="15">
        <f>'Commercial-Appliances'!AH11*Conversion!$B$3</f>
        <v>0</v>
      </c>
      <c r="AI11" s="15">
        <f>'Commercial-Appliances'!AI11*Conversion!$B$3</f>
        <v>0</v>
      </c>
      <c r="AJ11" s="15">
        <f>'Commercial-Appliances'!AJ11*Conversion!$B$3</f>
        <v>0</v>
      </c>
      <c r="AK11" s="15">
        <f>'Commercial-Appliances'!AK11*Conversion!$B$3</f>
        <v>0</v>
      </c>
      <c r="AL11" s="15">
        <f>'Commercial-Appliances'!AL11*Conversion!$B$3</f>
        <v>0</v>
      </c>
      <c r="AM11" s="15">
        <f>'Commercial-Appliances'!AM11*Conversion!$B$3</f>
        <v>0</v>
      </c>
      <c r="AN11" s="15">
        <f>'Commercial-Appliances'!AN11*Conversion!$B$3</f>
        <v>0</v>
      </c>
      <c r="AO11" s="15">
        <f>'Commercial-Appliances'!AO11*Conversion!$B$3</f>
        <v>0</v>
      </c>
      <c r="AP11" s="15">
        <f>'Commercial-Appliances'!AP11*Conversion!$B$3</f>
        <v>0</v>
      </c>
      <c r="AQ11" s="15">
        <f>'Commercial-Appliances'!AQ11*Conversion!$B$3</f>
        <v>0</v>
      </c>
      <c r="AR11" s="45">
        <f>'Commercial-Appliances'!AR11*Conversion!$B$3</f>
        <v>0</v>
      </c>
      <c r="AS11" s="45">
        <f>'Commercial-Appliances'!AS11*Conversion!$B$3</f>
        <v>0</v>
      </c>
      <c r="AT11" s="45">
        <f>'Commercial-Appliances'!AT11*Conversion!$B$3</f>
        <v>0</v>
      </c>
      <c r="AU11" s="45">
        <f>'Commercial-Appliances'!AU11*Conversion!$B$3</f>
        <v>0</v>
      </c>
      <c r="AV11" s="45">
        <f>'Commercial-Appliances'!AV11*Conversion!$B$3</f>
        <v>0</v>
      </c>
      <c r="AW11" s="45">
        <f>'Commercial-Appliances'!AW11*Conversion!$B$3</f>
        <v>0</v>
      </c>
      <c r="AX11" s="45">
        <f>'Commercial-Appliances'!AX11*Conversion!$B$3</f>
        <v>0</v>
      </c>
      <c r="AY11" s="45">
        <f>'Commercial-Appliances'!AY11*Conversion!$B$3</f>
        <v>0</v>
      </c>
      <c r="AZ11" s="45">
        <f>'Commercial-Appliances'!AZ11*Conversion!$B$3</f>
        <v>0</v>
      </c>
      <c r="BA11" s="45">
        <f>'Commercial-Appliances'!BA11*Conversion!$B$3</f>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A8E17-9716-784B-A1B1-FC645674B1DC}">
  <sheetPr>
    <tabColor theme="3" tint="0.249977111117893"/>
  </sheetPr>
  <dimension ref="A1:BA11"/>
  <sheetViews>
    <sheetView topLeftCell="AE1" workbookViewId="0">
      <selection activeCell="AN26" sqref="AN26"/>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15">
        <f>'Commercial-Others'!B2*Conversion!$B$3</f>
        <v>27142772912954.066</v>
      </c>
      <c r="C2" s="15">
        <f>'Commercial-Others'!C2*Conversion!$B$3</f>
        <v>28014229028706.555</v>
      </c>
      <c r="D2" s="15">
        <f>'Commercial-Others'!D2*Conversion!$B$3</f>
        <v>28885685144459.098</v>
      </c>
      <c r="E2" s="15">
        <f>'Commercial-Others'!E2*Conversion!$B$3</f>
        <v>20391340089713.039</v>
      </c>
      <c r="F2" s="15">
        <f>'Commercial-Others'!F2*Conversion!$B$3</f>
        <v>21037216406647.625</v>
      </c>
      <c r="G2" s="15">
        <f>'Commercial-Others'!G2*Conversion!$B$3</f>
        <v>21524672232967.891</v>
      </c>
      <c r="H2" s="15">
        <f>'Commercial-Others'!H2*Conversion!$B$3</f>
        <v>22037600655448.09</v>
      </c>
      <c r="I2" s="15">
        <f>'Commercial-Others'!I2*Conversion!$B$3</f>
        <v>22658356461146.652</v>
      </c>
      <c r="J2" s="15">
        <f>'Commercial-Others'!J2*Conversion!$B$3</f>
        <v>23308182251852.867</v>
      </c>
      <c r="K2" s="15">
        <f>'Commercial-Others'!K2*Conversion!$B$3</f>
        <v>23988859786283.512</v>
      </c>
      <c r="L2" s="15">
        <f>'Commercial-Others'!L2*Conversion!$B$3</f>
        <v>24702283129550.922</v>
      </c>
      <c r="M2" s="15">
        <f>'Commercial-Others'!M2*Conversion!$B$3</f>
        <v>25450465783826.902</v>
      </c>
      <c r="N2" s="15">
        <f>'Commercial-Others'!N2*Conversion!$B$3</f>
        <v>26214677568424.246</v>
      </c>
      <c r="O2" s="15">
        <f>'Commercial-Others'!O2*Conversion!$B$3</f>
        <v>27017976768494.371</v>
      </c>
      <c r="P2" s="15">
        <f>'Commercial-Others'!P2*Conversion!$B$3</f>
        <v>27862782683699.668</v>
      </c>
      <c r="Q2" s="15">
        <f>'Commercial-Others'!Q2*Conversion!$B$3</f>
        <v>28751667429529.039</v>
      </c>
      <c r="R2" s="15">
        <f>'Commercial-Others'!R2*Conversion!$B$3</f>
        <v>29687365656822.625</v>
      </c>
      <c r="S2" s="15">
        <f>'Commercial-Others'!S2*Conversion!$B$3</f>
        <v>30651450269579.727</v>
      </c>
      <c r="T2" s="15">
        <f>'Commercial-Others'!T2*Conversion!$B$3</f>
        <v>31668258239918.887</v>
      </c>
      <c r="U2" s="15">
        <f>'Commercial-Others'!U2*Conversion!$B$3</f>
        <v>32741076560579.637</v>
      </c>
      <c r="V2" s="15">
        <f>'Commercial-Others'!V2*Conversion!$B$3</f>
        <v>33873400266596.602</v>
      </c>
      <c r="W2" s="15">
        <f>'Commercial-Others'!W2*Conversion!$B$3</f>
        <v>35068945688999.438</v>
      </c>
      <c r="X2" s="15">
        <f>'Commercial-Others'!X2*Conversion!$B$3</f>
        <v>36310580484973.32</v>
      </c>
      <c r="Y2" s="15">
        <f>'Commercial-Others'!Y2*Conversion!$B$3</f>
        <v>37623503757730.625</v>
      </c>
      <c r="Z2" s="15">
        <f>'Commercial-Others'!Z2*Conversion!$B$3</f>
        <v>39012184012862.336</v>
      </c>
      <c r="AA2" s="15">
        <f>'Commercial-Others'!AA2*Conversion!$B$3</f>
        <v>40481373118376.469</v>
      </c>
      <c r="AB2" s="15">
        <f>'Commercial-Others'!AB2*Conversion!$B$3</f>
        <v>42036124384593.922</v>
      </c>
      <c r="AC2" s="15">
        <f>'Commercial-Others'!AC2*Conversion!$B$3</f>
        <v>43661373466101.523</v>
      </c>
      <c r="AD2" s="15">
        <f>'Commercial-Others'!AD2*Conversion!$B$3</f>
        <v>45383190274398.109</v>
      </c>
      <c r="AE2" s="15">
        <f>'Commercial-Others'!AE2*Conversion!$B$3</f>
        <v>47207652897024.109</v>
      </c>
      <c r="AF2" s="15">
        <f>'Commercial-Others'!AF2*Conversion!$B$3</f>
        <v>49141225547043.5</v>
      </c>
      <c r="AG2" s="15">
        <f>'Commercial-Others'!AG2*Conversion!$B$3</f>
        <v>51190783235452.555</v>
      </c>
      <c r="AH2" s="15">
        <f>'Commercial-Others'!AH2*Conversion!$B$3</f>
        <v>53313679764889.281</v>
      </c>
      <c r="AI2" s="15">
        <f>'Commercial-Others'!AI2*Conversion!$B$3</f>
        <v>55567448247593.141</v>
      </c>
      <c r="AJ2" s="15">
        <f>'Commercial-Others'!AJ2*Conversion!$B$3</f>
        <v>57960360478038.133</v>
      </c>
      <c r="AK2" s="15">
        <f>'Commercial-Others'!AK2*Conversion!$B$3</f>
        <v>60501214630542.156</v>
      </c>
      <c r="AL2" s="15">
        <f>'Commercial-Others'!AL2*Conversion!$B$3</f>
        <v>63199368939464.398</v>
      </c>
      <c r="AM2" s="15">
        <f>'Commercial-Others'!AM2*Conversion!$B$3</f>
        <v>66064777543838.711</v>
      </c>
      <c r="AN2" s="15">
        <f>'Commercial-Others'!AN2*Conversion!$B$3</f>
        <v>69108028636020.125</v>
      </c>
      <c r="AO2" s="15">
        <f>'Commercial-Others'!AO2*Conversion!$B$3</f>
        <v>72340385062945.672</v>
      </c>
      <c r="AP2" s="15">
        <f>'Commercial-Others'!AP2*Conversion!$B$3</f>
        <v>75773827538221.938</v>
      </c>
      <c r="AQ2" s="15">
        <f>'Commercial-Others'!AQ2*Conversion!$B$3</f>
        <v>79421100633483.781</v>
      </c>
      <c r="AR2" s="45">
        <f>'Commercial-Others'!AR2*Conversion!$B$3</f>
        <v>83295941462642.797</v>
      </c>
      <c r="AS2" s="45">
        <f>'Commercial-Others'!AS2*Conversion!$B$3</f>
        <v>87412773234411.312</v>
      </c>
      <c r="AT2" s="45">
        <f>'Commercial-Others'!AT2*Conversion!$B$3</f>
        <v>91786939522127.609</v>
      </c>
      <c r="AU2" s="45">
        <f>'Commercial-Others'!AU2*Conversion!$B$3</f>
        <v>96434763285461.047</v>
      </c>
      <c r="AV2" s="45">
        <f>'Commercial-Others'!AV2*Conversion!$B$3</f>
        <v>101373609691882.33</v>
      </c>
      <c r="AW2" s="45">
        <f>'Commercial-Others'!AW2*Conversion!$B$3</f>
        <v>106621952983275.61</v>
      </c>
      <c r="AX2" s="45">
        <f>'Commercial-Others'!AX2*Conversion!$B$3</f>
        <v>112199447648953.5</v>
      </c>
      <c r="AY2" s="45">
        <f>'Commercial-Others'!AY2*Conversion!$B$3</f>
        <v>118127004183249.73</v>
      </c>
      <c r="AZ2" s="45">
        <f>'Commercial-Others'!AZ2*Conversion!$B$3</f>
        <v>124426869723874.7</v>
      </c>
      <c r="BA2" s="45">
        <f>'Commercial-Others'!BA2*Conversion!$B$3</f>
        <v>131122713886399.78</v>
      </c>
    </row>
    <row r="3" spans="1:53" x14ac:dyDescent="0.2">
      <c r="A3" s="1" t="s">
        <v>13</v>
      </c>
      <c r="B3" s="15">
        <f>'Commercial-Others'!B3*Conversion!$B$3</f>
        <v>0</v>
      </c>
      <c r="C3" s="15">
        <f>'Commercial-Others'!C3*Conversion!$B$3</f>
        <v>0</v>
      </c>
      <c r="D3" s="15">
        <f>'Commercial-Others'!D3*Conversion!$B$3</f>
        <v>0</v>
      </c>
      <c r="E3" s="15">
        <f>'Commercial-Others'!E3*Conversion!$B$3</f>
        <v>0</v>
      </c>
      <c r="F3" s="15">
        <f>'Commercial-Others'!F3*Conversion!$B$3</f>
        <v>0</v>
      </c>
      <c r="G3" s="15">
        <f>'Commercial-Others'!G3*Conversion!$B$3</f>
        <v>0</v>
      </c>
      <c r="H3" s="15">
        <f>'Commercial-Others'!H3*Conversion!$B$3</f>
        <v>0</v>
      </c>
      <c r="I3" s="15">
        <f>'Commercial-Others'!I3*Conversion!$B$3</f>
        <v>0</v>
      </c>
      <c r="J3" s="15">
        <f>'Commercial-Others'!J3*Conversion!$B$3</f>
        <v>0</v>
      </c>
      <c r="K3" s="15">
        <f>'Commercial-Others'!K3*Conversion!$B$3</f>
        <v>0</v>
      </c>
      <c r="L3" s="15">
        <f>'Commercial-Others'!L3*Conversion!$B$3</f>
        <v>0</v>
      </c>
      <c r="M3" s="15">
        <f>'Commercial-Others'!M3*Conversion!$B$3</f>
        <v>0</v>
      </c>
      <c r="N3" s="15">
        <f>'Commercial-Others'!N3*Conversion!$B$3</f>
        <v>0</v>
      </c>
      <c r="O3" s="15">
        <f>'Commercial-Others'!O3*Conversion!$B$3</f>
        <v>0</v>
      </c>
      <c r="P3" s="15">
        <f>'Commercial-Others'!P3*Conversion!$B$3</f>
        <v>0</v>
      </c>
      <c r="Q3" s="15">
        <f>'Commercial-Others'!Q3*Conversion!$B$3</f>
        <v>0</v>
      </c>
      <c r="R3" s="15">
        <f>'Commercial-Others'!R3*Conversion!$B$3</f>
        <v>0</v>
      </c>
      <c r="S3" s="15">
        <f>'Commercial-Others'!S3*Conversion!$B$3</f>
        <v>0</v>
      </c>
      <c r="T3" s="15">
        <f>'Commercial-Others'!T3*Conversion!$B$3</f>
        <v>0</v>
      </c>
      <c r="U3" s="15">
        <f>'Commercial-Others'!U3*Conversion!$B$3</f>
        <v>0</v>
      </c>
      <c r="V3" s="15">
        <f>'Commercial-Others'!V3*Conversion!$B$3</f>
        <v>0</v>
      </c>
      <c r="W3" s="15">
        <f>'Commercial-Others'!W3*Conversion!$B$3</f>
        <v>0</v>
      </c>
      <c r="X3" s="15">
        <f>'Commercial-Others'!X3*Conversion!$B$3</f>
        <v>0</v>
      </c>
      <c r="Y3" s="15">
        <f>'Commercial-Others'!Y3*Conversion!$B$3</f>
        <v>0</v>
      </c>
      <c r="Z3" s="15">
        <f>'Commercial-Others'!Z3*Conversion!$B$3</f>
        <v>0</v>
      </c>
      <c r="AA3" s="15">
        <f>'Commercial-Others'!AA3*Conversion!$B$3</f>
        <v>0</v>
      </c>
      <c r="AB3" s="15">
        <f>'Commercial-Others'!AB3*Conversion!$B$3</f>
        <v>0</v>
      </c>
      <c r="AC3" s="15">
        <f>'Commercial-Others'!AC3*Conversion!$B$3</f>
        <v>0</v>
      </c>
      <c r="AD3" s="15">
        <f>'Commercial-Others'!AD3*Conversion!$B$3</f>
        <v>0</v>
      </c>
      <c r="AE3" s="15">
        <f>'Commercial-Others'!AE3*Conversion!$B$3</f>
        <v>0</v>
      </c>
      <c r="AF3" s="15">
        <f>'Commercial-Others'!AF3*Conversion!$B$3</f>
        <v>0</v>
      </c>
      <c r="AG3" s="15">
        <f>'Commercial-Others'!AG3*Conversion!$B$3</f>
        <v>0</v>
      </c>
      <c r="AH3" s="15">
        <f>'Commercial-Others'!AH3*Conversion!$B$3</f>
        <v>0</v>
      </c>
      <c r="AI3" s="15">
        <f>'Commercial-Others'!AI3*Conversion!$B$3</f>
        <v>0</v>
      </c>
      <c r="AJ3" s="15">
        <f>'Commercial-Others'!AJ3*Conversion!$B$3</f>
        <v>0</v>
      </c>
      <c r="AK3" s="15">
        <f>'Commercial-Others'!AK3*Conversion!$B$3</f>
        <v>0</v>
      </c>
      <c r="AL3" s="15">
        <f>'Commercial-Others'!AL3*Conversion!$B$3</f>
        <v>0</v>
      </c>
      <c r="AM3" s="15">
        <f>'Commercial-Others'!AM3*Conversion!$B$3</f>
        <v>0</v>
      </c>
      <c r="AN3" s="15">
        <f>'Commercial-Others'!AN3*Conversion!$B$3</f>
        <v>0</v>
      </c>
      <c r="AO3" s="15">
        <f>'Commercial-Others'!AO3*Conversion!$B$3</f>
        <v>0</v>
      </c>
      <c r="AP3" s="15">
        <f>'Commercial-Others'!AP3*Conversion!$B$3</f>
        <v>0</v>
      </c>
      <c r="AQ3" s="15">
        <f>'Commercial-Others'!AQ3*Conversion!$B$3</f>
        <v>0</v>
      </c>
      <c r="AR3" s="45">
        <f>'Commercial-Others'!AR3*Conversion!$B$3</f>
        <v>950000</v>
      </c>
      <c r="AS3" s="45">
        <f>'Commercial-Others'!AS3*Conversion!$B$3</f>
        <v>1900000</v>
      </c>
      <c r="AT3" s="45">
        <f>'Commercial-Others'!AT3*Conversion!$B$3</f>
        <v>2850000</v>
      </c>
      <c r="AU3" s="45">
        <f>'Commercial-Others'!AU3*Conversion!$B$3</f>
        <v>3800000</v>
      </c>
      <c r="AV3" s="45">
        <f>'Commercial-Others'!AV3*Conversion!$B$3</f>
        <v>4750000</v>
      </c>
      <c r="AW3" s="45">
        <f>'Commercial-Others'!AW3*Conversion!$B$3</f>
        <v>5700000</v>
      </c>
      <c r="AX3" s="45">
        <f>'Commercial-Others'!AX3*Conversion!$B$3</f>
        <v>6650000</v>
      </c>
      <c r="AY3" s="45">
        <f>'Commercial-Others'!AY3*Conversion!$B$3</f>
        <v>7600000</v>
      </c>
      <c r="AZ3" s="45">
        <f>'Commercial-Others'!AZ3*Conversion!$B$3</f>
        <v>8550000</v>
      </c>
      <c r="BA3" s="45">
        <f>'Commercial-Others'!BA3*Conversion!$B$3</f>
        <v>9500000</v>
      </c>
    </row>
    <row r="4" spans="1:53" x14ac:dyDescent="0.2">
      <c r="A4" s="1" t="s">
        <v>14</v>
      </c>
      <c r="B4" s="15">
        <f>'Commercial-Others'!B4*Conversion!$B$3</f>
        <v>2017203787648.6472</v>
      </c>
      <c r="C4" s="15">
        <f>'Commercial-Others'!C4*Conversion!$B$3</f>
        <v>2067638832346.5251</v>
      </c>
      <c r="D4" s="15">
        <f>'Commercial-Others'!D4*Conversion!$B$3</f>
        <v>2118073877044.3887</v>
      </c>
      <c r="E4" s="15">
        <f>'Commercial-Others'!E4*Conversion!$B$3</f>
        <v>2184916719936.2007</v>
      </c>
      <c r="F4" s="15">
        <f>'Commercial-Others'!F4*Conversion!$B$3</f>
        <v>2222666573088.8433</v>
      </c>
      <c r="G4" s="15">
        <f>'Commercial-Others'!G4*Conversion!$B$3</f>
        <v>2262501812109.418</v>
      </c>
      <c r="H4" s="15">
        <f>'Commercial-Others'!H4*Conversion!$B$3</f>
        <v>2304558538928.748</v>
      </c>
      <c r="I4" s="15">
        <f>'Commercial-Others'!I4*Conversion!$B$3</f>
        <v>2358691764983.2632</v>
      </c>
      <c r="J4" s="15">
        <f>'Commercial-Others'!J4*Conversion!$B$3</f>
        <v>2415345910345.7231</v>
      </c>
      <c r="K4" s="15">
        <f>'Commercial-Others'!K4*Conversion!$B$3</f>
        <v>2474685501874.4604</v>
      </c>
      <c r="L4" s="15">
        <f>'Commercial-Others'!L4*Conversion!$B$3</f>
        <v>2536885804211.8438</v>
      </c>
      <c r="M4" s="15">
        <f>'Commercial-Others'!M4*Conversion!$B$3</f>
        <v>2602133520581.7544</v>
      </c>
      <c r="N4" s="15">
        <f>'Commercial-Others'!N4*Conversion!$B$3</f>
        <v>2668145203817.8032</v>
      </c>
      <c r="O4" s="15">
        <f>'Commercial-Others'!O4*Conversion!$B$3</f>
        <v>2737615058140.0098</v>
      </c>
      <c r="P4" s="15">
        <f>'Commercial-Others'!P4*Conversion!$B$3</f>
        <v>2810768779794.4131</v>
      </c>
      <c r="Q4" s="15">
        <f>'Commercial-Others'!Q4*Conversion!$B$3</f>
        <v>2887846795008.3662</v>
      </c>
      <c r="R4" s="15">
        <f>'Commercial-Others'!R4*Conversion!$B$3</f>
        <v>2969105221337.2749</v>
      </c>
      <c r="S4" s="15">
        <f>'Commercial-Others'!S4*Conversion!$B$3</f>
        <v>3052305859579.2529</v>
      </c>
      <c r="T4" s="15">
        <f>'Commercial-Others'!T4*Conversion!$B$3</f>
        <v>3140250381222.5898</v>
      </c>
      <c r="U4" s="15">
        <f>'Commercial-Others'!U4*Conversion!$B$3</f>
        <v>3233248394048.0098</v>
      </c>
      <c r="V4" s="15">
        <f>'Commercial-Others'!V4*Conversion!$B$3</f>
        <v>3331629712272.5566</v>
      </c>
      <c r="W4" s="15">
        <f>'Commercial-Others'!W4*Conversion!$B$3</f>
        <v>3435745675315.1328</v>
      </c>
      <c r="X4" s="15">
        <f>'Commercial-Others'!X4*Conversion!$B$3</f>
        <v>3543514639205.8018</v>
      </c>
      <c r="Y4" s="15">
        <f>'Commercial-Others'!Y4*Conversion!$B$3</f>
        <v>3657791213380.9316</v>
      </c>
      <c r="Z4" s="15">
        <f>'Commercial-Others'!Z4*Conversion!$B$3</f>
        <v>3779000114598.3999</v>
      </c>
      <c r="AA4" s="15">
        <f>'Commercial-Others'!AA4*Conversion!$B$3</f>
        <v>3907593778596.8677</v>
      </c>
      <c r="AB4" s="15">
        <f>'Commercial-Others'!AB4*Conversion!$B$3</f>
        <v>4044054169164.7153</v>
      </c>
      <c r="AC4" s="15">
        <f>'Commercial-Others'!AC4*Conversion!$B$3</f>
        <v>4186538344944.1528</v>
      </c>
      <c r="AD4" s="15">
        <f>'Commercial-Others'!AD4*Conversion!$B$3</f>
        <v>4337949593341.4131</v>
      </c>
      <c r="AE4" s="15">
        <f>'Commercial-Others'!AE4*Conversion!$B$3</f>
        <v>4498870536421.0996</v>
      </c>
      <c r="AF4" s="15">
        <f>'Commercial-Others'!AF4*Conversion!$B$3</f>
        <v>4669921820859.5449</v>
      </c>
      <c r="AG4" s="15">
        <f>'Commercial-Others'!AG4*Conversion!$B$3</f>
        <v>4851764599606.9102</v>
      </c>
      <c r="AH4" s="15">
        <f>'Commercial-Others'!AH4*Conversion!$B$3</f>
        <v>5039401710801.3838</v>
      </c>
      <c r="AI4" s="15">
        <f>'Commercial-Others'!AI4*Conversion!$B$3</f>
        <v>5239284888069.3232</v>
      </c>
      <c r="AJ4" s="15">
        <f>'Commercial-Others'!AJ4*Conversion!$B$3</f>
        <v>5452213366345.2305</v>
      </c>
      <c r="AK4" s="15">
        <f>'Commercial-Others'!AK4*Conversion!$B$3</f>
        <v>5679038542333.4902</v>
      </c>
      <c r="AL4" s="15">
        <f>'Commercial-Others'!AL4*Conversion!$B$3</f>
        <v>5920667378826.835</v>
      </c>
      <c r="AM4" s="15">
        <f>'Commercial-Others'!AM4*Conversion!$B$3</f>
        <v>6178066031206.3604</v>
      </c>
      <c r="AN4" s="15">
        <f>'Commercial-Others'!AN4*Conversion!$B$3</f>
        <v>6452263710623.7383</v>
      </c>
      <c r="AO4" s="15">
        <f>'Commercial-Others'!AO4*Conversion!$B$3</f>
        <v>6744356799312.5596</v>
      </c>
      <c r="AP4" s="15">
        <f>'Commercial-Others'!AP4*Conversion!$B$3</f>
        <v>7055513234483.9326</v>
      </c>
      <c r="AQ4" s="15">
        <f>'Commercial-Others'!AQ4*Conversion!$B$3</f>
        <v>7386977178335.415</v>
      </c>
      <c r="AR4" s="45">
        <f>'Commercial-Others'!AR4*Conversion!$B$3</f>
        <v>7740073992846.3115</v>
      </c>
      <c r="AS4" s="45">
        <f>'Commercial-Others'!AS4*Conversion!$B$3</f>
        <v>8116215539251.1494</v>
      </c>
      <c r="AT4" s="45">
        <f>'Commercial-Others'!AT4*Conversion!$B$3</f>
        <v>8516905823381.3027</v>
      </c>
      <c r="AU4" s="45">
        <f>'Commercial-Others'!AU4*Conversion!$B$3</f>
        <v>8943747009447.7344</v>
      </c>
      <c r="AV4" s="45">
        <f>'Commercial-Others'!AV4*Conversion!$B$3</f>
        <v>9398445826311.0293</v>
      </c>
      <c r="AW4" s="45">
        <f>'Commercial-Others'!AW4*Conversion!$B$3</f>
        <v>9882820391854.2461</v>
      </c>
      <c r="AX4" s="45">
        <f>'Commercial-Others'!AX4*Conversion!$B$3</f>
        <v>10398807482745.93</v>
      </c>
      <c r="AY4" s="45">
        <f>'Commercial-Others'!AY4*Conversion!$B$3</f>
        <v>10948470278661.475</v>
      </c>
      <c r="AZ4" s="45">
        <f>'Commercial-Others'!AZ4*Conversion!$B$3</f>
        <v>11534006611928.225</v>
      </c>
      <c r="BA4" s="45">
        <f>'Commercial-Others'!BA4*Conversion!$B$3</f>
        <v>12157757755580.576</v>
      </c>
    </row>
    <row r="5" spans="1:53" x14ac:dyDescent="0.2">
      <c r="A5" s="1" t="s">
        <v>15</v>
      </c>
      <c r="B5" s="15">
        <f>'Commercial-Others'!B5*Conversion!$B$3</f>
        <v>874045186837.57446</v>
      </c>
      <c r="C5" s="15">
        <f>'Commercial-Others'!C5*Conversion!$B$3</f>
        <v>894548729532.75403</v>
      </c>
      <c r="D5" s="15">
        <f>'Commercial-Others'!D5*Conversion!$B$3</f>
        <v>915052272227.93359</v>
      </c>
      <c r="E5" s="15">
        <f>'Commercial-Others'!E5*Conversion!$B$3</f>
        <v>940314725031.59558</v>
      </c>
      <c r="F5" s="15">
        <f>'Commercial-Others'!F5*Conversion!$B$3</f>
        <v>965609899436.65881</v>
      </c>
      <c r="G5" s="15">
        <f>'Commercial-Others'!G5*Conversion!$B$3</f>
        <v>978989084085.99597</v>
      </c>
      <c r="H5" s="15">
        <f>'Commercial-Others'!H5*Conversion!$B$3</f>
        <v>992934139276.48462</v>
      </c>
      <c r="I5" s="15">
        <f>'Commercial-Others'!I5*Conversion!$B$3</f>
        <v>1012285601365.5935</v>
      </c>
      <c r="J5" s="15">
        <f>'Commercial-Others'!J5*Conversion!$B$3</f>
        <v>1032300743120.6917</v>
      </c>
      <c r="K5" s="15">
        <f>'Commercial-Others'!K5*Conversion!$B$3</f>
        <v>1053020391180.4172</v>
      </c>
      <c r="L5" s="15">
        <f>'Commercial-Others'!L5*Conversion!$B$3</f>
        <v>1074488034787.0649</v>
      </c>
      <c r="M5" s="15">
        <f>'Commercial-Others'!M5*Conversion!$B$3</f>
        <v>1096749999463.8389</v>
      </c>
      <c r="N5" s="15">
        <f>'Commercial-Others'!N5*Conversion!$B$3</f>
        <v>1118612343410.9055</v>
      </c>
      <c r="O5" s="15">
        <f>'Commercial-Others'!O5*Conversion!$B$3</f>
        <v>1141364912342.5918</v>
      </c>
      <c r="P5" s="15">
        <f>'Commercial-Others'!P5*Conversion!$B$3</f>
        <v>1165063699734.1597</v>
      </c>
      <c r="Q5" s="15">
        <f>'Commercial-Others'!Q5*Conversion!$B$3</f>
        <v>1189768350988.7759</v>
      </c>
      <c r="R5" s="15">
        <f>'Commercial-Others'!R5*Conversion!$B$3</f>
        <v>1215542401655.9543</v>
      </c>
      <c r="S5" s="15">
        <f>'Commercial-Others'!S5*Conversion!$B$3</f>
        <v>1241180675905.5112</v>
      </c>
      <c r="T5" s="15">
        <f>'Commercial-Others'!T5*Conversion!$B$3</f>
        <v>1268022045169.7744</v>
      </c>
      <c r="U5" s="15">
        <f>'Commercial-Others'!U5*Conversion!$B$3</f>
        <v>1296143305294.74</v>
      </c>
      <c r="V5" s="15">
        <f>'Commercial-Others'!V5*Conversion!$B$3</f>
        <v>1325626261032.1375</v>
      </c>
      <c r="W5" s="15">
        <f>'Commercial-Others'!W5*Conversion!$B$3</f>
        <v>1356558052786.468</v>
      </c>
      <c r="X5" s="15">
        <f>'Commercial-Others'!X5*Conversion!$B$3</f>
        <v>1387771729065.9922</v>
      </c>
      <c r="Y5" s="15">
        <f>'Commercial-Others'!Y5*Conversion!$B$3</f>
        <v>1420619999971.1431</v>
      </c>
      <c r="Z5" s="15">
        <f>'Commercial-Others'!Z5*Conversion!$B$3</f>
        <v>1455208193563.6133</v>
      </c>
      <c r="AA5" s="15">
        <f>'Commercial-Others'!AA5*Conversion!$B$3</f>
        <v>1491648508085.9207</v>
      </c>
      <c r="AB5" s="15">
        <f>'Commercial-Others'!AB5*Conversion!$B$3</f>
        <v>1530060460140.4055</v>
      </c>
      <c r="AC5" s="15">
        <f>'Commercial-Others'!AC5*Conversion!$B$3</f>
        <v>1569348394924.5432</v>
      </c>
      <c r="AD5" s="15">
        <f>'Commercial-Others'!AD5*Conversion!$B$3</f>
        <v>1610865193177.8274</v>
      </c>
      <c r="AE5" s="15">
        <f>'Commercial-Others'!AE5*Conversion!$B$3</f>
        <v>1654755317721.7373</v>
      </c>
      <c r="AF5" s="15">
        <f>'Commercial-Others'!AF5*Conversion!$B$3</f>
        <v>1701172654564.5742</v>
      </c>
      <c r="AG5" s="15">
        <f>'Commercial-Others'!AG5*Conversion!$B$3</f>
        <v>1750281127645.9744</v>
      </c>
      <c r="AH5" s="15">
        <f>'Commercial-Others'!AH5*Conversion!$B$3</f>
        <v>1799261755796.6079</v>
      </c>
      <c r="AI5" s="15">
        <f>'Commercial-Others'!AI5*Conversion!$B$3</f>
        <v>1851280344563.5183</v>
      </c>
      <c r="AJ5" s="15">
        <f>'Commercial-Others'!AJ5*Conversion!$B$3</f>
        <v>1906535034485.7629</v>
      </c>
      <c r="AK5" s="15">
        <f>'Commercial-Others'!AK5*Conversion!$B$3</f>
        <v>1965236891129.4016</v>
      </c>
      <c r="AL5" s="15">
        <f>'Commercial-Others'!AL5*Conversion!$B$3</f>
        <v>2027610748307.4993</v>
      </c>
      <c r="AM5" s="15">
        <f>'Commercial-Others'!AM5*Conversion!$B$3</f>
        <v>2093896106316.2048</v>
      </c>
      <c r="AN5" s="15">
        <f>'Commercial-Others'!AN5*Conversion!$B$3</f>
        <v>2164348088776.7107</v>
      </c>
      <c r="AO5" s="15">
        <f>'Commercial-Others'!AO5*Conversion!$B$3</f>
        <v>2239238461907.1069</v>
      </c>
      <c r="AP5" s="15">
        <f>'Commercial-Others'!AP5*Conversion!$B$3</f>
        <v>2318856720297.708</v>
      </c>
      <c r="AQ5" s="15">
        <f>'Commercial-Others'!AQ5*Conversion!$B$3</f>
        <v>2403511243529.2217</v>
      </c>
      <c r="AR5" s="45">
        <f>'Commercial-Others'!AR5*Conversion!$B$3</f>
        <v>2493542793767.2031</v>
      </c>
      <c r="AS5" s="45">
        <f>'Commercial-Others'!AS5*Conversion!$B$3</f>
        <v>2589301360102.542</v>
      </c>
      <c r="AT5" s="45">
        <f>'Commercial-Others'!AT5*Conversion!$B$3</f>
        <v>2691159759603.8042</v>
      </c>
      <c r="AU5" s="45">
        <f>'Commercial-Others'!AU5*Conversion!$B$3</f>
        <v>2799515126649.8911</v>
      </c>
      <c r="AV5" s="45">
        <f>'Commercial-Others'!AV5*Conversion!$B$3</f>
        <v>2914790499437.98</v>
      </c>
      <c r="AW5" s="45">
        <f>'Commercial-Others'!AW5*Conversion!$B$3</f>
        <v>3037436510007.5762</v>
      </c>
      <c r="AX5" s="45">
        <f>'Commercial-Others'!AX5*Conversion!$B$3</f>
        <v>3167933184535.2759</v>
      </c>
      <c r="AY5" s="45">
        <f>'Commercial-Others'!AY5*Conversion!$B$3</f>
        <v>3306791861095.6323</v>
      </c>
      <c r="AZ5" s="45">
        <f>'Commercial-Others'!AZ5*Conversion!$B$3</f>
        <v>3454557232553.0298</v>
      </c>
      <c r="BA5" s="45">
        <f>'Commercial-Others'!BA5*Conversion!$B$3</f>
        <v>3611809522749.6528</v>
      </c>
    </row>
    <row r="6" spans="1:53" x14ac:dyDescent="0.2">
      <c r="A6" s="1" t="s">
        <v>16</v>
      </c>
      <c r="B6" s="15">
        <f>'Commercial-Others'!B6*Conversion!$B$3</f>
        <v>4089541145545.8047</v>
      </c>
      <c r="C6" s="15">
        <f>'Commercial-Others'!C6*Conversion!$B$3</f>
        <v>4370342227609.4141</v>
      </c>
      <c r="D6" s="15">
        <f>'Commercial-Others'!D6*Conversion!$B$3</f>
        <v>4651143309673.0234</v>
      </c>
      <c r="E6" s="15">
        <f>'Commercial-Others'!E6*Conversion!$B$3</f>
        <v>5091318450219.7236</v>
      </c>
      <c r="F6" s="15">
        <f>'Commercial-Others'!F6*Conversion!$B$3</f>
        <v>5288576006761.1514</v>
      </c>
      <c r="G6" s="15">
        <f>'Commercial-Others'!G6*Conversion!$B$3</f>
        <v>5498220264207.9658</v>
      </c>
      <c r="H6" s="15">
        <f>'Commercial-Others'!H6*Conversion!$B$3</f>
        <v>5721059635974.5146</v>
      </c>
      <c r="I6" s="15">
        <f>'Commercial-Others'!I6*Conversion!$B$3</f>
        <v>5970460080912.8438</v>
      </c>
      <c r="J6" s="15">
        <f>'Commercial-Others'!J6*Conversion!$B$3</f>
        <v>6234834192813.3838</v>
      </c>
      <c r="K6" s="15">
        <f>'Commercial-Others'!K6*Conversion!$B$3</f>
        <v>6515159222465.25</v>
      </c>
      <c r="L6" s="15">
        <f>'Commercial-Others'!L6*Conversion!$B$3</f>
        <v>6812476200565.7891</v>
      </c>
      <c r="M6" s="15">
        <f>'Commercial-Others'!M6*Conversion!$B$3</f>
        <v>7127894100292.5049</v>
      </c>
      <c r="N6" s="15">
        <f>'Commercial-Others'!N6*Conversion!$B$3</f>
        <v>7459397465670.4326</v>
      </c>
      <c r="O6" s="15">
        <f>'Commercial-Others'!O6*Conversion!$B$3</f>
        <v>7811441552831.584</v>
      </c>
      <c r="P6" s="15">
        <f>'Commercial-Others'!P6*Conversion!$B$3</f>
        <v>8185366944321.4512</v>
      </c>
      <c r="Q6" s="15">
        <f>'Commercial-Others'!Q6*Conversion!$B$3</f>
        <v>8582601715305.3213</v>
      </c>
      <c r="R6" s="15">
        <f>'Commercial-Others'!R6*Conversion!$B$3</f>
        <v>9004667143741.4785</v>
      </c>
      <c r="S6" s="15">
        <f>'Commercial-Others'!S6*Conversion!$B$3</f>
        <v>9449950031158.4141</v>
      </c>
      <c r="T6" s="15">
        <f>'Commercial-Others'!T6*Conversion!$B$3</f>
        <v>9923410468699.8789</v>
      </c>
      <c r="U6" s="15">
        <f>'Commercial-Others'!U6*Conversion!$B$3</f>
        <v>10426887453664.529</v>
      </c>
      <c r="V6" s="15">
        <f>'Commercial-Others'!V6*Conversion!$B$3</f>
        <v>10962340004823.766</v>
      </c>
      <c r="W6" s="15">
        <f>'Commercial-Others'!W6*Conversion!$B$3</f>
        <v>11531854995578.385</v>
      </c>
      <c r="X6" s="15">
        <f>'Commercial-Others'!X6*Conversion!$B$3</f>
        <v>12134492719403.688</v>
      </c>
      <c r="Y6" s="15">
        <f>'Commercial-Others'!Y6*Conversion!$B$3</f>
        <v>12775784115646.137</v>
      </c>
      <c r="Z6" s="15">
        <f>'Commercial-Others'!Z6*Conversion!$B$3</f>
        <v>13458251901818.221</v>
      </c>
      <c r="AA6" s="15">
        <f>'Commercial-Others'!AA6*Conversion!$B$3</f>
        <v>14184583439649.898</v>
      </c>
      <c r="AB6" s="15">
        <f>'Commercial-Others'!AB6*Conversion!$B$3</f>
        <v>14957641480532.055</v>
      </c>
      <c r="AC6" s="15">
        <f>'Commercial-Others'!AC6*Conversion!$B$3</f>
        <v>15777441039963.426</v>
      </c>
      <c r="AD6" s="15">
        <f>'Commercial-Others'!AD6*Conversion!$B$3</f>
        <v>16650265308240.275</v>
      </c>
      <c r="AE6" s="15">
        <f>'Commercial-Others'!AE6*Conversion!$B$3</f>
        <v>17579574923207.188</v>
      </c>
      <c r="AF6" s="15">
        <f>'Commercial-Others'!AF6*Conversion!$B$3</f>
        <v>18569056379946.855</v>
      </c>
      <c r="AG6" s="15">
        <f>'Commercial-Others'!AG6*Conversion!$B$3</f>
        <v>19622636771268.473</v>
      </c>
      <c r="AH6" s="15">
        <f>'Commercial-Others'!AH6*Conversion!$B$3</f>
        <v>20737157019466.086</v>
      </c>
      <c r="AI6" s="15">
        <f>'Commercial-Others'!AI6*Conversion!$B$3</f>
        <v>21924416015946.262</v>
      </c>
      <c r="AJ6" s="15">
        <f>'Commercial-Others'!AJ6*Conversion!$B$3</f>
        <v>23189161027984.113</v>
      </c>
      <c r="AK6" s="15">
        <f>'Commercial-Others'!AK6*Conversion!$B$3</f>
        <v>24536449151482.715</v>
      </c>
      <c r="AL6" s="15">
        <f>'Commercial-Others'!AL6*Conversion!$B$3</f>
        <v>25971667531822.996</v>
      </c>
      <c r="AM6" s="15">
        <f>'Commercial-Others'!AM6*Conversion!$B$3</f>
        <v>27500554904419.727</v>
      </c>
      <c r="AN6" s="15">
        <f>'Commercial-Others'!AN6*Conversion!$B$3</f>
        <v>29129224541113.992</v>
      </c>
      <c r="AO6" s="15">
        <f>'Commercial-Others'!AO6*Conversion!$B$3</f>
        <v>30864188694153.336</v>
      </c>
      <c r="AP6" s="15">
        <f>'Commercial-Others'!AP6*Conversion!$B$3</f>
        <v>32712384635499.16</v>
      </c>
      <c r="AQ6" s="15">
        <f>'Commercial-Others'!AQ6*Conversion!$B$3</f>
        <v>34681202395579.828</v>
      </c>
      <c r="AR6" s="45">
        <f>'Commercial-Others'!AR6*Conversion!$B$3</f>
        <v>36778514312403.141</v>
      </c>
      <c r="AS6" s="45">
        <f>'Commercial-Others'!AS6*Conversion!$B$3</f>
        <v>39012706509180.586</v>
      </c>
      <c r="AT6" s="45">
        <f>'Commercial-Others'!AT6*Conversion!$B$3</f>
        <v>41392712426327.023</v>
      </c>
      <c r="AU6" s="45">
        <f>'Commercial-Others'!AU6*Conversion!$B$3</f>
        <v>43928048541913.812</v>
      </c>
      <c r="AV6" s="45">
        <f>'Commercial-Others'!AV6*Conversion!$B$3</f>
        <v>46628852423404.016</v>
      </c>
      <c r="AW6" s="45">
        <f>'Commercial-Others'!AW6*Conversion!$B$3</f>
        <v>49505923262819.828</v>
      </c>
      <c r="AX6" s="45">
        <f>'Commercial-Others'!AX6*Conversion!$B$3</f>
        <v>52570765057422.672</v>
      </c>
      <c r="AY6" s="45">
        <f>'Commercial-Others'!AY6*Conversion!$B$3</f>
        <v>55835632608564.297</v>
      </c>
      <c r="AZ6" s="45">
        <f>'Commercial-Others'!AZ6*Conversion!$B$3</f>
        <v>59313580522635.578</v>
      </c>
      <c r="BA6" s="45">
        <f>'Commercial-Others'!BA6*Conversion!$B$3</f>
        <v>63018515410044.148</v>
      </c>
    </row>
    <row r="7" spans="1:53" x14ac:dyDescent="0.2">
      <c r="A7" s="1" t="s">
        <v>17</v>
      </c>
      <c r="B7" s="15">
        <f>'Commercial-Others'!B7*Conversion!$B$3</f>
        <v>6060197738717.0371</v>
      </c>
      <c r="C7" s="15">
        <f>'Commercial-Others'!C7*Conversion!$B$3</f>
        <v>6388858225239.6943</v>
      </c>
      <c r="D7" s="15">
        <f>'Commercial-Others'!D7*Conversion!$B$3</f>
        <v>6717518711762.2373</v>
      </c>
      <c r="E7" s="15">
        <f>'Commercial-Others'!E7*Conversion!$B$3</f>
        <v>7049558759713.6709</v>
      </c>
      <c r="F7" s="15">
        <f>'Commercial-Others'!F7*Conversion!$B$3</f>
        <v>7368080561950.125</v>
      </c>
      <c r="G7" s="15">
        <f>'Commercial-Others'!G7*Conversion!$B$3</f>
        <v>7706879732758.9229</v>
      </c>
      <c r="H7" s="15">
        <f>'Commercial-Others'!H7*Conversion!$B$3</f>
        <v>8067279667036.4795</v>
      </c>
      <c r="I7" s="15">
        <f>'Commercial-Others'!I7*Conversion!$B$3</f>
        <v>8463800549275.2236</v>
      </c>
      <c r="J7" s="15">
        <f>'Commercial-Others'!J7*Conversion!$B$3</f>
        <v>8884833734361.3105</v>
      </c>
      <c r="K7" s="15">
        <f>'Commercial-Others'!K7*Conversion!$B$3</f>
        <v>9331979008596.9902</v>
      </c>
      <c r="L7" s="15">
        <f>'Commercial-Others'!L7*Conversion!$B$3</f>
        <v>9806940567740.7988</v>
      </c>
      <c r="M7" s="15">
        <f>'Commercial-Others'!M7*Conversion!$B$3</f>
        <v>10311533831251.797</v>
      </c>
      <c r="N7" s="15">
        <f>'Commercial-Others'!N7*Conversion!$B$3</f>
        <v>10844341067085.664</v>
      </c>
      <c r="O7" s="15">
        <f>'Commercial-Others'!O7*Conversion!$B$3</f>
        <v>11410774026953.871</v>
      </c>
      <c r="P7" s="15">
        <f>'Commercial-Others'!P7*Conversion!$B$3</f>
        <v>12013027281193.131</v>
      </c>
      <c r="Q7" s="15">
        <f>'Commercial-Others'!Q7*Conversion!$B$3</f>
        <v>12653438627954.586</v>
      </c>
      <c r="R7" s="15">
        <f>'Commercial-Others'!R7*Conversion!$B$3</f>
        <v>13334498440913.742</v>
      </c>
      <c r="S7" s="15">
        <f>'Commercial-Others'!S7*Conversion!$B$3</f>
        <v>14055469246813.473</v>
      </c>
      <c r="T7" s="15">
        <f>'Commercial-Others'!T7*Conversion!$B$3</f>
        <v>14822567473864.736</v>
      </c>
      <c r="U7" s="15">
        <f>'Commercial-Others'!U7*Conversion!$B$3</f>
        <v>15638803611003.461</v>
      </c>
      <c r="V7" s="15">
        <f>'Commercial-Others'!V7*Conversion!$B$3</f>
        <v>16507384625603.066</v>
      </c>
      <c r="W7" s="15">
        <f>'Commercial-Others'!W7*Conversion!$B$3</f>
        <v>17431726786566.396</v>
      </c>
      <c r="X7" s="15">
        <f>'Commercial-Others'!X7*Conversion!$B$3</f>
        <v>18412153365067.262</v>
      </c>
      <c r="Y7" s="15">
        <f>'Commercial-Others'!Y7*Conversion!$B$3</f>
        <v>19455857063784.73</v>
      </c>
      <c r="Z7" s="15">
        <f>'Commercial-Others'!Z7*Conversion!$B$3</f>
        <v>20566967640367.363</v>
      </c>
      <c r="AA7" s="15">
        <f>'Commercial-Others'!AA7*Conversion!$B$3</f>
        <v>21749884379556.27</v>
      </c>
      <c r="AB7" s="15">
        <f>'Commercial-Others'!AB7*Conversion!$B$3</f>
        <v>23009293683770.25</v>
      </c>
      <c r="AC7" s="15">
        <f>'Commercial-Others'!AC7*Conversion!$B$3</f>
        <v>24347006268463.379</v>
      </c>
      <c r="AD7" s="15">
        <f>'Commercial-Others'!AD7*Conversion!$B$3</f>
        <v>25771521753534.398</v>
      </c>
      <c r="AE7" s="15">
        <f>'Commercial-Others'!AE7*Conversion!$B$3</f>
        <v>27288505297899.004</v>
      </c>
      <c r="AF7" s="15">
        <f>'Commercial-Others'!AF7*Conversion!$B$3</f>
        <v>28903991794956.383</v>
      </c>
      <c r="AG7" s="15">
        <f>'Commercial-Others'!AG7*Conversion!$B$3</f>
        <v>30624410003172.438</v>
      </c>
      <c r="AH7" s="15">
        <f>'Commercial-Others'!AH7*Conversion!$B$3</f>
        <v>32448910168847.445</v>
      </c>
      <c r="AI7" s="15">
        <f>'Commercial-Others'!AI7*Conversion!$B$3</f>
        <v>34392485657296.676</v>
      </c>
      <c r="AJ7" s="15">
        <f>'Commercial-Others'!AJ7*Conversion!$B$3</f>
        <v>36462907875045.883</v>
      </c>
      <c r="AK7" s="15">
        <f>'Commercial-Others'!AK7*Conversion!$B$3</f>
        <v>38668455426569.008</v>
      </c>
      <c r="AL7" s="15">
        <f>'Commercial-Others'!AL7*Conversion!$B$3</f>
        <v>41017947216373.055</v>
      </c>
      <c r="AM7" s="15">
        <f>'Commercial-Others'!AM7*Conversion!$B$3</f>
        <v>43520777711478.219</v>
      </c>
      <c r="AN7" s="15">
        <f>'Commercial-Others'!AN7*Conversion!$B$3</f>
        <v>46186954505290.664</v>
      </c>
      <c r="AO7" s="15">
        <f>'Commercial-Others'!AO7*Conversion!$B$3</f>
        <v>49027138333067.32</v>
      </c>
      <c r="AP7" s="15">
        <f>'Commercial-Others'!AP7*Conversion!$B$3</f>
        <v>52052685698975.258</v>
      </c>
      <c r="AQ7" s="15">
        <f>'Commercial-Others'!AQ7*Conversion!$B$3</f>
        <v>55275694285190.008</v>
      </c>
      <c r="AR7" s="45">
        <f>'Commercial-Others'!AR7*Conversion!$B$3</f>
        <v>58709051324601.859</v>
      </c>
      <c r="AS7" s="45">
        <f>'Commercial-Others'!AS7*Conversion!$B$3</f>
        <v>62366485130548.758</v>
      </c>
      <c r="AT7" s="45">
        <f>'Commercial-Others'!AT7*Conversion!$B$3</f>
        <v>66262619989617.977</v>
      </c>
      <c r="AU7" s="45">
        <f>'Commercial-Others'!AU7*Conversion!$B$3</f>
        <v>70413034637006.031</v>
      </c>
      <c r="AV7" s="45">
        <f>'Commercial-Others'!AV7*Conversion!$B$3</f>
        <v>74834324548251.219</v>
      </c>
      <c r="AW7" s="45">
        <f>'Commercial-Others'!AW7*Conversion!$B$3</f>
        <v>79544168296412.672</v>
      </c>
      <c r="AX7" s="45">
        <f>'Commercial-Others'!AX7*Conversion!$B$3</f>
        <v>84561398240026.156</v>
      </c>
      <c r="AY7" s="45">
        <f>'Commercial-Others'!AY7*Conversion!$B$3</f>
        <v>89906075824482.828</v>
      </c>
      <c r="AZ7" s="45">
        <f>'Commercial-Others'!AZ7*Conversion!$B$3</f>
        <v>95599571797924.328</v>
      </c>
      <c r="BA7" s="45">
        <f>'Commercial-Others'!BA7*Conversion!$B$3</f>
        <v>101664651662398.47</v>
      </c>
    </row>
    <row r="8" spans="1:53" x14ac:dyDescent="0.2">
      <c r="A8" s="1" t="s">
        <v>18</v>
      </c>
      <c r="B8" s="15">
        <f>'Commercial-Others'!B8*Conversion!$B$3</f>
        <v>589338205153.08337</v>
      </c>
      <c r="C8" s="15">
        <f>'Commercial-Others'!C8*Conversion!$B$3</f>
        <v>594041390831.98901</v>
      </c>
      <c r="D8" s="15">
        <f>'Commercial-Others'!D8*Conversion!$B$3</f>
        <v>598744576510.89465</v>
      </c>
      <c r="E8" s="15">
        <f>'Commercial-Others'!E8*Conversion!$B$3</f>
        <v>607829998269.28101</v>
      </c>
      <c r="F8" s="15">
        <f>'Commercial-Others'!F8*Conversion!$B$3</f>
        <v>609908437992.27124</v>
      </c>
      <c r="G8" s="15">
        <f>'Commercial-Others'!G8*Conversion!$B$3</f>
        <v>611986877715.2616</v>
      </c>
      <c r="H8" s="15">
        <f>'Commercial-Others'!H8*Conversion!$B$3</f>
        <v>614065317438.25195</v>
      </c>
      <c r="I8" s="15">
        <f>'Commercial-Others'!I8*Conversion!$B$3</f>
        <v>619625114676.76709</v>
      </c>
      <c r="J8" s="15">
        <f>'Commercial-Others'!J8*Conversion!$B$3</f>
        <v>625184911915.28223</v>
      </c>
      <c r="K8" s="15">
        <f>'Commercial-Others'!K8*Conversion!$B$3</f>
        <v>630744709153.79736</v>
      </c>
      <c r="L8" s="15">
        <f>'Commercial-Others'!L8*Conversion!$B$3</f>
        <v>636304506392.3125</v>
      </c>
      <c r="M8" s="15">
        <f>'Commercial-Others'!M8*Conversion!$B$3</f>
        <v>641864303630.82776</v>
      </c>
      <c r="N8" s="15">
        <f>'Commercial-Others'!N8*Conversion!$B$3</f>
        <v>646534103602.30103</v>
      </c>
      <c r="O8" s="15">
        <f>'Commercial-Others'!O8*Conversion!$B$3</f>
        <v>651203903573.77466</v>
      </c>
      <c r="P8" s="15">
        <f>'Commercial-Others'!P8*Conversion!$B$3</f>
        <v>655873703545.24817</v>
      </c>
      <c r="Q8" s="15">
        <f>'Commercial-Others'!Q8*Conversion!$B$3</f>
        <v>660543503516.72156</v>
      </c>
      <c r="R8" s="15">
        <f>'Commercial-Others'!R8*Conversion!$B$3</f>
        <v>665213303488.19507</v>
      </c>
      <c r="S8" s="15">
        <f>'Commercial-Others'!S8*Conversion!$B$3</f>
        <v>668982817512.65015</v>
      </c>
      <c r="T8" s="15">
        <f>'Commercial-Others'!T8*Conversion!$B$3</f>
        <v>672752331537.1051</v>
      </c>
      <c r="U8" s="15">
        <f>'Commercial-Others'!U8*Conversion!$B$3</f>
        <v>676521845561.56006</v>
      </c>
      <c r="V8" s="15">
        <f>'Commercial-Others'!V8*Conversion!$B$3</f>
        <v>680291359586.01501</v>
      </c>
      <c r="W8" s="15">
        <f>'Commercial-Others'!W8*Conversion!$B$3</f>
        <v>684060873610.46997</v>
      </c>
      <c r="X8" s="15">
        <f>'Commercial-Others'!X8*Conversion!$B$3</f>
        <v>686949863535.52283</v>
      </c>
      <c r="Y8" s="15">
        <f>'Commercial-Others'!Y8*Conversion!$B$3</f>
        <v>689838853460.57532</v>
      </c>
      <c r="Z8" s="15">
        <f>'Commercial-Others'!Z8*Conversion!$B$3</f>
        <v>692727843385.62805</v>
      </c>
      <c r="AA8" s="15">
        <f>'Commercial-Others'!AA8*Conversion!$B$3</f>
        <v>695616833310.68079</v>
      </c>
      <c r="AB8" s="15">
        <f>'Commercial-Others'!AB8*Conversion!$B$3</f>
        <v>698505823235.73328</v>
      </c>
      <c r="AC8" s="15">
        <f>'Commercial-Others'!AC8*Conversion!$B$3</f>
        <v>700549982052.71704</v>
      </c>
      <c r="AD8" s="15">
        <f>'Commercial-Others'!AD8*Conversion!$B$3</f>
        <v>702594140869.70081</v>
      </c>
      <c r="AE8" s="15">
        <f>'Commercial-Others'!AE8*Conversion!$B$3</f>
        <v>704638299686.68445</v>
      </c>
      <c r="AF8" s="15">
        <f>'Commercial-Others'!AF8*Conversion!$B$3</f>
        <v>706682458503.66797</v>
      </c>
      <c r="AG8" s="15">
        <f>'Commercial-Others'!AG8*Conversion!$B$3</f>
        <v>708726617320.65173</v>
      </c>
      <c r="AH8" s="15">
        <f>'Commercial-Others'!AH8*Conversion!$B$3</f>
        <v>708726617320.65173</v>
      </c>
      <c r="AI8" s="15">
        <f>'Commercial-Others'!AI8*Conversion!$B$3</f>
        <v>708726617320.65173</v>
      </c>
      <c r="AJ8" s="15">
        <f>'Commercial-Others'!AJ8*Conversion!$B$3</f>
        <v>708726617320.65173</v>
      </c>
      <c r="AK8" s="15">
        <f>'Commercial-Others'!AK8*Conversion!$B$3</f>
        <v>708726617320.65173</v>
      </c>
      <c r="AL8" s="15">
        <f>'Commercial-Others'!AL8*Conversion!$B$3</f>
        <v>708726617320.65173</v>
      </c>
      <c r="AM8" s="15">
        <f>'Commercial-Others'!AM8*Conversion!$B$3</f>
        <v>708726617320.65173</v>
      </c>
      <c r="AN8" s="15">
        <f>'Commercial-Others'!AN8*Conversion!$B$3</f>
        <v>708726617320.65173</v>
      </c>
      <c r="AO8" s="15">
        <f>'Commercial-Others'!AO8*Conversion!$B$3</f>
        <v>708726617320.65173</v>
      </c>
      <c r="AP8" s="15">
        <f>'Commercial-Others'!AP8*Conversion!$B$3</f>
        <v>708726617320.65173</v>
      </c>
      <c r="AQ8" s="15">
        <f>'Commercial-Others'!AQ8*Conversion!$B$3</f>
        <v>708726617320.65173</v>
      </c>
      <c r="AR8" s="45">
        <f>'Commercial-Others'!AR8*Conversion!$B$3</f>
        <v>708726617320.65173</v>
      </c>
      <c r="AS8" s="45">
        <f>'Commercial-Others'!AS8*Conversion!$B$3</f>
        <v>708726617320.65173</v>
      </c>
      <c r="AT8" s="45">
        <f>'Commercial-Others'!AT8*Conversion!$B$3</f>
        <v>708726617320.65173</v>
      </c>
      <c r="AU8" s="45">
        <f>'Commercial-Others'!AU8*Conversion!$B$3</f>
        <v>708726617320.65173</v>
      </c>
      <c r="AV8" s="45">
        <f>'Commercial-Others'!AV8*Conversion!$B$3</f>
        <v>708726617320.65173</v>
      </c>
      <c r="AW8" s="45">
        <f>'Commercial-Others'!AW8*Conversion!$B$3</f>
        <v>708726617320.65173</v>
      </c>
      <c r="AX8" s="45">
        <f>'Commercial-Others'!AX8*Conversion!$B$3</f>
        <v>708726617320.65173</v>
      </c>
      <c r="AY8" s="45">
        <f>'Commercial-Others'!AY8*Conversion!$B$3</f>
        <v>708726617320.65173</v>
      </c>
      <c r="AZ8" s="45">
        <f>'Commercial-Others'!AZ8*Conversion!$B$3</f>
        <v>708726617320.65173</v>
      </c>
      <c r="BA8" s="45">
        <f>'Commercial-Others'!BA8*Conversion!$B$3</f>
        <v>708726617320.65173</v>
      </c>
    </row>
    <row r="9" spans="1:53" x14ac:dyDescent="0.2">
      <c r="A9" s="1" t="s">
        <v>19</v>
      </c>
      <c r="B9" s="15">
        <f>'Commercial-Others'!B9*Conversion!$B$3</f>
        <v>0</v>
      </c>
      <c r="C9" s="15">
        <f>'Commercial-Others'!C9*Conversion!$B$3</f>
        <v>0</v>
      </c>
      <c r="D9" s="15">
        <f>'Commercial-Others'!D9*Conversion!$B$3</f>
        <v>0</v>
      </c>
      <c r="E9" s="15">
        <f>'Commercial-Others'!E9*Conversion!$B$3</f>
        <v>0</v>
      </c>
      <c r="F9" s="15">
        <f>'Commercial-Others'!F9*Conversion!$B$3</f>
        <v>0</v>
      </c>
      <c r="G9" s="15">
        <f>'Commercial-Others'!G9*Conversion!$B$3</f>
        <v>0</v>
      </c>
      <c r="H9" s="15">
        <f>'Commercial-Others'!H9*Conversion!$B$3</f>
        <v>0</v>
      </c>
      <c r="I9" s="15">
        <f>'Commercial-Others'!I9*Conversion!$B$3</f>
        <v>0</v>
      </c>
      <c r="J9" s="15">
        <f>'Commercial-Others'!J9*Conversion!$B$3</f>
        <v>0</v>
      </c>
      <c r="K9" s="15">
        <f>'Commercial-Others'!K9*Conversion!$B$3</f>
        <v>0</v>
      </c>
      <c r="L9" s="15">
        <f>'Commercial-Others'!L9*Conversion!$B$3</f>
        <v>0</v>
      </c>
      <c r="M9" s="15">
        <f>'Commercial-Others'!M9*Conversion!$B$3</f>
        <v>0</v>
      </c>
      <c r="N9" s="15">
        <f>'Commercial-Others'!N9*Conversion!$B$3</f>
        <v>0</v>
      </c>
      <c r="O9" s="15">
        <f>'Commercial-Others'!O9*Conversion!$B$3</f>
        <v>0</v>
      </c>
      <c r="P9" s="15">
        <f>'Commercial-Others'!P9*Conversion!$B$3</f>
        <v>0</v>
      </c>
      <c r="Q9" s="15">
        <f>'Commercial-Others'!Q9*Conversion!$B$3</f>
        <v>0</v>
      </c>
      <c r="R9" s="15">
        <f>'Commercial-Others'!R9*Conversion!$B$3</f>
        <v>0</v>
      </c>
      <c r="S9" s="15">
        <f>'Commercial-Others'!S9*Conversion!$B$3</f>
        <v>0</v>
      </c>
      <c r="T9" s="15">
        <f>'Commercial-Others'!T9*Conversion!$B$3</f>
        <v>0</v>
      </c>
      <c r="U9" s="15">
        <f>'Commercial-Others'!U9*Conversion!$B$3</f>
        <v>0</v>
      </c>
      <c r="V9" s="15">
        <f>'Commercial-Others'!V9*Conversion!$B$3</f>
        <v>0</v>
      </c>
      <c r="W9" s="15">
        <f>'Commercial-Others'!W9*Conversion!$B$3</f>
        <v>0</v>
      </c>
      <c r="X9" s="15">
        <f>'Commercial-Others'!X9*Conversion!$B$3</f>
        <v>0</v>
      </c>
      <c r="Y9" s="15">
        <f>'Commercial-Others'!Y9*Conversion!$B$3</f>
        <v>0</v>
      </c>
      <c r="Z9" s="15">
        <f>'Commercial-Others'!Z9*Conversion!$B$3</f>
        <v>0</v>
      </c>
      <c r="AA9" s="15">
        <f>'Commercial-Others'!AA9*Conversion!$B$3</f>
        <v>0</v>
      </c>
      <c r="AB9" s="15">
        <f>'Commercial-Others'!AB9*Conversion!$B$3</f>
        <v>0</v>
      </c>
      <c r="AC9" s="15">
        <f>'Commercial-Others'!AC9*Conversion!$B$3</f>
        <v>0</v>
      </c>
      <c r="AD9" s="15">
        <f>'Commercial-Others'!AD9*Conversion!$B$3</f>
        <v>0</v>
      </c>
      <c r="AE9" s="15">
        <f>'Commercial-Others'!AE9*Conversion!$B$3</f>
        <v>0</v>
      </c>
      <c r="AF9" s="15">
        <f>'Commercial-Others'!AF9*Conversion!$B$3</f>
        <v>0</v>
      </c>
      <c r="AG9" s="15">
        <f>'Commercial-Others'!AG9*Conversion!$B$3</f>
        <v>0</v>
      </c>
      <c r="AH9" s="15">
        <f>'Commercial-Others'!AH9*Conversion!$B$3</f>
        <v>0</v>
      </c>
      <c r="AI9" s="15">
        <f>'Commercial-Others'!AI9*Conversion!$B$3</f>
        <v>0</v>
      </c>
      <c r="AJ9" s="15">
        <f>'Commercial-Others'!AJ9*Conversion!$B$3</f>
        <v>0</v>
      </c>
      <c r="AK9" s="15">
        <f>'Commercial-Others'!AK9*Conversion!$B$3</f>
        <v>0</v>
      </c>
      <c r="AL9" s="15">
        <f>'Commercial-Others'!AL9*Conversion!$B$3</f>
        <v>0</v>
      </c>
      <c r="AM9" s="15">
        <f>'Commercial-Others'!AM9*Conversion!$B$3</f>
        <v>0</v>
      </c>
      <c r="AN9" s="15">
        <f>'Commercial-Others'!AN9*Conversion!$B$3</f>
        <v>0</v>
      </c>
      <c r="AO9" s="15">
        <f>'Commercial-Others'!AO9*Conversion!$B$3</f>
        <v>0</v>
      </c>
      <c r="AP9" s="15">
        <f>'Commercial-Others'!AP9*Conversion!$B$3</f>
        <v>0</v>
      </c>
      <c r="AQ9" s="15">
        <f>'Commercial-Others'!AQ9*Conversion!$B$3</f>
        <v>0</v>
      </c>
      <c r="AR9" s="45">
        <f>'Commercial-Others'!AR9*Conversion!$B$3</f>
        <v>950000</v>
      </c>
      <c r="AS9" s="45">
        <f>'Commercial-Others'!AS9*Conversion!$B$3</f>
        <v>1900000</v>
      </c>
      <c r="AT9" s="45">
        <f>'Commercial-Others'!AT9*Conversion!$B$3</f>
        <v>2850000</v>
      </c>
      <c r="AU9" s="45">
        <f>'Commercial-Others'!AU9*Conversion!$B$3</f>
        <v>3800000</v>
      </c>
      <c r="AV9" s="45">
        <f>'Commercial-Others'!AV9*Conversion!$B$3</f>
        <v>4750000</v>
      </c>
      <c r="AW9" s="45">
        <f>'Commercial-Others'!AW9*Conversion!$B$3</f>
        <v>5700000</v>
      </c>
      <c r="AX9" s="45">
        <f>'Commercial-Others'!AX9*Conversion!$B$3</f>
        <v>6650000</v>
      </c>
      <c r="AY9" s="45">
        <f>'Commercial-Others'!AY9*Conversion!$B$3</f>
        <v>7600000</v>
      </c>
      <c r="AZ9" s="45">
        <f>'Commercial-Others'!AZ9*Conversion!$B$3</f>
        <v>8550000</v>
      </c>
      <c r="BA9" s="45">
        <f>'Commercial-Others'!BA9*Conversion!$B$3</f>
        <v>9500000</v>
      </c>
    </row>
    <row r="10" spans="1:53" x14ac:dyDescent="0.2">
      <c r="A10" s="1" t="s">
        <v>20</v>
      </c>
      <c r="B10" s="15">
        <f>'Commercial-Others'!B10*Conversion!$B$3</f>
        <v>400222471202.87085</v>
      </c>
      <c r="C10" s="15">
        <f>'Commercial-Others'!C10*Conversion!$B$3</f>
        <v>403359686215.60626</v>
      </c>
      <c r="D10" s="15">
        <f>'Commercial-Others'!D10*Conversion!$B$3</f>
        <v>406496901228.34167</v>
      </c>
      <c r="E10" s="15">
        <f>'Commercial-Others'!E10*Conversion!$B$3</f>
        <v>412420895792.82629</v>
      </c>
      <c r="F10" s="15">
        <f>'Commercial-Others'!F10*Conversion!$B$3</f>
        <v>413831145327.8078</v>
      </c>
      <c r="G10" s="15">
        <f>'Commercial-Others'!G10*Conversion!$B$3</f>
        <v>415241394862.78925</v>
      </c>
      <c r="H10" s="15">
        <f>'Commercial-Others'!H10*Conversion!$B$3</f>
        <v>416651644397.77081</v>
      </c>
      <c r="I10" s="15">
        <f>'Commercial-Others'!I10*Conversion!$B$3</f>
        <v>420424042213.05444</v>
      </c>
      <c r="J10" s="15">
        <f>'Commercial-Others'!J10*Conversion!$B$3</f>
        <v>424196440028.33807</v>
      </c>
      <c r="K10" s="15">
        <f>'Commercial-Others'!K10*Conversion!$B$3</f>
        <v>427968837843.62177</v>
      </c>
      <c r="L10" s="15">
        <f>'Commercial-Others'!L10*Conversion!$B$3</f>
        <v>431741235658.9054</v>
      </c>
      <c r="M10" s="15">
        <f>'Commercial-Others'!M10*Conversion!$B$3</f>
        <v>435513633474.18909</v>
      </c>
      <c r="N10" s="15">
        <f>'Commercial-Others'!N10*Conversion!$B$3</f>
        <v>438682156075.72607</v>
      </c>
      <c r="O10" s="15">
        <f>'Commercial-Others'!O10*Conversion!$B$3</f>
        <v>441850678677.26306</v>
      </c>
      <c r="P10" s="15">
        <f>'Commercial-Others'!P10*Conversion!$B$3</f>
        <v>445019201278.79999</v>
      </c>
      <c r="Q10" s="15">
        <f>'Commercial-Others'!Q10*Conversion!$B$3</f>
        <v>448187723880.33691</v>
      </c>
      <c r="R10" s="15">
        <f>'Commercial-Others'!R10*Conversion!$B$3</f>
        <v>451356246481.87396</v>
      </c>
      <c r="S10" s="15">
        <f>'Commercial-Others'!S10*Conversion!$B$3</f>
        <v>453913912860.78906</v>
      </c>
      <c r="T10" s="15">
        <f>'Commercial-Others'!T10*Conversion!$B$3</f>
        <v>456471579239.70422</v>
      </c>
      <c r="U10" s="15">
        <f>'Commercial-Others'!U10*Conversion!$B$3</f>
        <v>459029245618.61926</v>
      </c>
      <c r="V10" s="15">
        <f>'Commercial-Others'!V10*Conversion!$B$3</f>
        <v>461586911997.53436</v>
      </c>
      <c r="W10" s="15">
        <f>'Commercial-Others'!W10*Conversion!$B$3</f>
        <v>464144578376.4494</v>
      </c>
      <c r="X10" s="15">
        <f>'Commercial-Others'!X10*Conversion!$B$3</f>
        <v>466104797214.31403</v>
      </c>
      <c r="Y10" s="15">
        <f>'Commercial-Others'!Y10*Conversion!$B$3</f>
        <v>468065016052.17877</v>
      </c>
      <c r="Z10" s="15">
        <f>'Commercial-Others'!Z10*Conversion!$B$3</f>
        <v>470025234890.04321</v>
      </c>
      <c r="AA10" s="15">
        <f>'Commercial-Others'!AA10*Conversion!$B$3</f>
        <v>471985453727.90796</v>
      </c>
      <c r="AB10" s="15">
        <f>'Commercial-Others'!AB10*Conversion!$B$3</f>
        <v>473945672565.77258</v>
      </c>
      <c r="AC10" s="15">
        <f>'Commercial-Others'!AC10*Conversion!$B$3</f>
        <v>475332662041.19128</v>
      </c>
      <c r="AD10" s="15">
        <f>'Commercial-Others'!AD10*Conversion!$B$3</f>
        <v>476719651516.60992</v>
      </c>
      <c r="AE10" s="15">
        <f>'Commercial-Others'!AE10*Conversion!$B$3</f>
        <v>478106640992.0285</v>
      </c>
      <c r="AF10" s="15">
        <f>'Commercial-Others'!AF10*Conversion!$B$3</f>
        <v>479493630467.44714</v>
      </c>
      <c r="AG10" s="15">
        <f>'Commercial-Others'!AG10*Conversion!$B$3</f>
        <v>480880619942.86572</v>
      </c>
      <c r="AH10" s="15">
        <f>'Commercial-Others'!AH10*Conversion!$B$3</f>
        <v>480880619942.86572</v>
      </c>
      <c r="AI10" s="15">
        <f>'Commercial-Others'!AI10*Conversion!$B$3</f>
        <v>480880619942.86572</v>
      </c>
      <c r="AJ10" s="15">
        <f>'Commercial-Others'!AJ10*Conversion!$B$3</f>
        <v>480880619942.86572</v>
      </c>
      <c r="AK10" s="15">
        <f>'Commercial-Others'!AK10*Conversion!$B$3</f>
        <v>480880619942.86572</v>
      </c>
      <c r="AL10" s="15">
        <f>'Commercial-Others'!AL10*Conversion!$B$3</f>
        <v>480880619942.86572</v>
      </c>
      <c r="AM10" s="15">
        <f>'Commercial-Others'!AM10*Conversion!$B$3</f>
        <v>480880619942.86572</v>
      </c>
      <c r="AN10" s="15">
        <f>'Commercial-Others'!AN10*Conversion!$B$3</f>
        <v>480880619942.86572</v>
      </c>
      <c r="AO10" s="15">
        <f>'Commercial-Others'!AO10*Conversion!$B$3</f>
        <v>480880619942.86572</v>
      </c>
      <c r="AP10" s="15">
        <f>'Commercial-Others'!AP10*Conversion!$B$3</f>
        <v>480880619942.86572</v>
      </c>
      <c r="AQ10" s="15">
        <f>'Commercial-Others'!AQ10*Conversion!$B$3</f>
        <v>480880619942.86572</v>
      </c>
      <c r="AR10" s="45">
        <f>'Commercial-Others'!AR10*Conversion!$B$3</f>
        <v>480880619942.86572</v>
      </c>
      <c r="AS10" s="45">
        <f>'Commercial-Others'!AS10*Conversion!$B$3</f>
        <v>480880619942.86572</v>
      </c>
      <c r="AT10" s="45">
        <f>'Commercial-Others'!AT10*Conversion!$B$3</f>
        <v>480880619942.86572</v>
      </c>
      <c r="AU10" s="45">
        <f>'Commercial-Others'!AU10*Conversion!$B$3</f>
        <v>480880619942.86572</v>
      </c>
      <c r="AV10" s="45">
        <f>'Commercial-Others'!AV10*Conversion!$B$3</f>
        <v>480880619942.86572</v>
      </c>
      <c r="AW10" s="45">
        <f>'Commercial-Others'!AW10*Conversion!$B$3</f>
        <v>480880619942.86572</v>
      </c>
      <c r="AX10" s="45">
        <f>'Commercial-Others'!AX10*Conversion!$B$3</f>
        <v>480880619942.86572</v>
      </c>
      <c r="AY10" s="45">
        <f>'Commercial-Others'!AY10*Conversion!$B$3</f>
        <v>480880619942.86572</v>
      </c>
      <c r="AZ10" s="45">
        <f>'Commercial-Others'!AZ10*Conversion!$B$3</f>
        <v>480880619942.86572</v>
      </c>
      <c r="BA10" s="45">
        <f>'Commercial-Others'!BA10*Conversion!$B$3</f>
        <v>480880619942.86572</v>
      </c>
    </row>
    <row r="11" spans="1:53" x14ac:dyDescent="0.2">
      <c r="A11" s="1" t="s">
        <v>21</v>
      </c>
      <c r="B11" s="15">
        <f>'Commercial-Others'!B11*Conversion!$B$3</f>
        <v>0</v>
      </c>
      <c r="C11" s="15">
        <f>'Commercial-Others'!C11*Conversion!$B$3</f>
        <v>0</v>
      </c>
      <c r="D11" s="15">
        <f>'Commercial-Others'!D11*Conversion!$B$3</f>
        <v>0</v>
      </c>
      <c r="E11" s="15">
        <f>'Commercial-Others'!E11*Conversion!$B$3</f>
        <v>0</v>
      </c>
      <c r="F11" s="15">
        <f>'Commercial-Others'!F11*Conversion!$B$3</f>
        <v>0</v>
      </c>
      <c r="G11" s="15">
        <f>'Commercial-Others'!G11*Conversion!$B$3</f>
        <v>0</v>
      </c>
      <c r="H11" s="15">
        <f>'Commercial-Others'!H11*Conversion!$B$3</f>
        <v>0</v>
      </c>
      <c r="I11" s="15">
        <f>'Commercial-Others'!I11*Conversion!$B$3</f>
        <v>0</v>
      </c>
      <c r="J11" s="15">
        <f>'Commercial-Others'!J11*Conversion!$B$3</f>
        <v>0</v>
      </c>
      <c r="K11" s="15">
        <f>'Commercial-Others'!K11*Conversion!$B$3</f>
        <v>0</v>
      </c>
      <c r="L11" s="15">
        <f>'Commercial-Others'!L11*Conversion!$B$3</f>
        <v>0</v>
      </c>
      <c r="M11" s="15">
        <f>'Commercial-Others'!M11*Conversion!$B$3</f>
        <v>0</v>
      </c>
      <c r="N11" s="15">
        <f>'Commercial-Others'!N11*Conversion!$B$3</f>
        <v>0</v>
      </c>
      <c r="O11" s="15">
        <f>'Commercial-Others'!O11*Conversion!$B$3</f>
        <v>0</v>
      </c>
      <c r="P11" s="15">
        <f>'Commercial-Others'!P11*Conversion!$B$3</f>
        <v>0</v>
      </c>
      <c r="Q11" s="15">
        <f>'Commercial-Others'!Q11*Conversion!$B$3</f>
        <v>0</v>
      </c>
      <c r="R11" s="15">
        <f>'Commercial-Others'!R11*Conversion!$B$3</f>
        <v>0</v>
      </c>
      <c r="S11" s="15">
        <f>'Commercial-Others'!S11*Conversion!$B$3</f>
        <v>0</v>
      </c>
      <c r="T11" s="15">
        <f>'Commercial-Others'!T11*Conversion!$B$3</f>
        <v>0</v>
      </c>
      <c r="U11" s="15">
        <f>'Commercial-Others'!U11*Conversion!$B$3</f>
        <v>0</v>
      </c>
      <c r="V11" s="15">
        <f>'Commercial-Others'!V11*Conversion!$B$3</f>
        <v>0</v>
      </c>
      <c r="W11" s="15">
        <f>'Commercial-Others'!W11*Conversion!$B$3</f>
        <v>0</v>
      </c>
      <c r="X11" s="15">
        <f>'Commercial-Others'!X11*Conversion!$B$3</f>
        <v>0</v>
      </c>
      <c r="Y11" s="15">
        <f>'Commercial-Others'!Y11*Conversion!$B$3</f>
        <v>0</v>
      </c>
      <c r="Z11" s="15">
        <f>'Commercial-Others'!Z11*Conversion!$B$3</f>
        <v>0</v>
      </c>
      <c r="AA11" s="15">
        <f>'Commercial-Others'!AA11*Conversion!$B$3</f>
        <v>0</v>
      </c>
      <c r="AB11" s="15">
        <f>'Commercial-Others'!AB11*Conversion!$B$3</f>
        <v>0</v>
      </c>
      <c r="AC11" s="15">
        <f>'Commercial-Others'!AC11*Conversion!$B$3</f>
        <v>0</v>
      </c>
      <c r="AD11" s="15">
        <f>'Commercial-Others'!AD11*Conversion!$B$3</f>
        <v>0</v>
      </c>
      <c r="AE11" s="15">
        <f>'Commercial-Others'!AE11*Conversion!$B$3</f>
        <v>0</v>
      </c>
      <c r="AF11" s="15">
        <f>'Commercial-Others'!AF11*Conversion!$B$3</f>
        <v>0</v>
      </c>
      <c r="AG11" s="15">
        <f>'Commercial-Others'!AG11*Conversion!$B$3</f>
        <v>0</v>
      </c>
      <c r="AH11" s="15">
        <f>'Commercial-Others'!AH11*Conversion!$B$3</f>
        <v>0</v>
      </c>
      <c r="AI11" s="15">
        <f>'Commercial-Others'!AI11*Conversion!$B$3</f>
        <v>0</v>
      </c>
      <c r="AJ11" s="15">
        <f>'Commercial-Others'!AJ11*Conversion!$B$3</f>
        <v>0</v>
      </c>
      <c r="AK11" s="15">
        <f>'Commercial-Others'!AK11*Conversion!$B$3</f>
        <v>0</v>
      </c>
      <c r="AL11" s="15">
        <f>'Commercial-Others'!AL11*Conversion!$B$3</f>
        <v>0</v>
      </c>
      <c r="AM11" s="15">
        <f>'Commercial-Others'!AM11*Conversion!$B$3</f>
        <v>0</v>
      </c>
      <c r="AN11" s="15">
        <f>'Commercial-Others'!AN11*Conversion!$B$3</f>
        <v>0</v>
      </c>
      <c r="AO11" s="15">
        <f>'Commercial-Others'!AO11*Conversion!$B$3</f>
        <v>0</v>
      </c>
      <c r="AP11" s="15">
        <f>'Commercial-Others'!AP11*Conversion!$B$3</f>
        <v>0</v>
      </c>
      <c r="AQ11" s="15">
        <f>'Commercial-Others'!AQ11*Conversion!$B$3</f>
        <v>0</v>
      </c>
      <c r="AR11" s="45">
        <f>'Commercial-Others'!AR11*Conversion!$B$3</f>
        <v>950000</v>
      </c>
      <c r="AS11" s="45">
        <f>'Commercial-Others'!AS11*Conversion!$B$3</f>
        <v>1900000</v>
      </c>
      <c r="AT11" s="45">
        <f>'Commercial-Others'!AT11*Conversion!$B$3</f>
        <v>2850000</v>
      </c>
      <c r="AU11" s="45">
        <f>'Commercial-Others'!AU11*Conversion!$B$3</f>
        <v>3800000</v>
      </c>
      <c r="AV11" s="45">
        <f>'Commercial-Others'!AV11*Conversion!$B$3</f>
        <v>4750000</v>
      </c>
      <c r="AW11" s="45">
        <f>'Commercial-Others'!AW11*Conversion!$B$3</f>
        <v>5700000</v>
      </c>
      <c r="AX11" s="45">
        <f>'Commercial-Others'!AX11*Conversion!$B$3</f>
        <v>6650000</v>
      </c>
      <c r="AY11" s="45">
        <f>'Commercial-Others'!AY11*Conversion!$B$3</f>
        <v>7600000</v>
      </c>
      <c r="AZ11" s="45">
        <f>'Commercial-Others'!AZ11*Conversion!$B$3</f>
        <v>8550000</v>
      </c>
      <c r="BA11" s="45">
        <f>'Commercial-Others'!BA11*Conversion!$B$3</f>
        <v>9500000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AA6E-2D07-F04F-840A-EDB80FE3E7DD}">
  <sheetPr>
    <tabColor theme="3" tint="0.249977111117893"/>
  </sheetPr>
  <dimension ref="A1:BA11"/>
  <sheetViews>
    <sheetView tabSelected="1" workbookViewId="0">
      <selection activeCell="AQ27" sqref="AQ27"/>
    </sheetView>
  </sheetViews>
  <sheetFormatPr baseColWidth="10" defaultRowHeight="16" x14ac:dyDescent="0.2"/>
  <sheetData>
    <row r="1" spans="1:5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c r="AR1" s="44">
        <f>AQ1+1</f>
        <v>2061</v>
      </c>
      <c r="AS1" s="44">
        <f t="shared" ref="AS1:AZ1" si="0">AR1+1</f>
        <v>2062</v>
      </c>
      <c r="AT1" s="44">
        <f t="shared" si="0"/>
        <v>2063</v>
      </c>
      <c r="AU1" s="44">
        <f t="shared" si="0"/>
        <v>2064</v>
      </c>
      <c r="AV1" s="44">
        <f t="shared" si="0"/>
        <v>2065</v>
      </c>
      <c r="AW1" s="44">
        <f t="shared" si="0"/>
        <v>2066</v>
      </c>
      <c r="AX1" s="44">
        <f>AW1+1</f>
        <v>2067</v>
      </c>
      <c r="AY1" s="44">
        <f t="shared" si="0"/>
        <v>2068</v>
      </c>
      <c r="AZ1" s="44">
        <f t="shared" si="0"/>
        <v>2069</v>
      </c>
      <c r="BA1" s="44">
        <f>AZ1+1</f>
        <v>2070</v>
      </c>
    </row>
    <row r="2" spans="1:53" x14ac:dyDescent="0.2">
      <c r="A2" s="1" t="s">
        <v>12</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2">
        <v>0</v>
      </c>
      <c r="AS2" s="42">
        <v>0</v>
      </c>
      <c r="AT2" s="42">
        <v>0</v>
      </c>
      <c r="AU2" s="42">
        <v>0</v>
      </c>
      <c r="AV2" s="42">
        <v>0</v>
      </c>
      <c r="AW2" s="42">
        <v>0</v>
      </c>
      <c r="AX2" s="42">
        <v>0</v>
      </c>
      <c r="AY2" s="42">
        <v>0</v>
      </c>
      <c r="AZ2" s="42">
        <v>0</v>
      </c>
      <c r="BA2" s="42">
        <v>0</v>
      </c>
    </row>
    <row r="3" spans="1:53" x14ac:dyDescent="0.2">
      <c r="A3" s="1" t="s">
        <v>13</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2">
        <v>0</v>
      </c>
      <c r="AS3" s="42">
        <v>0</v>
      </c>
      <c r="AT3" s="42">
        <v>0</v>
      </c>
      <c r="AU3" s="42">
        <v>0</v>
      </c>
      <c r="AV3" s="42">
        <v>0</v>
      </c>
      <c r="AW3" s="42">
        <v>0</v>
      </c>
      <c r="AX3" s="42">
        <v>0</v>
      </c>
      <c r="AY3" s="42">
        <v>0</v>
      </c>
      <c r="AZ3" s="42">
        <v>0</v>
      </c>
      <c r="BA3" s="42">
        <v>0</v>
      </c>
    </row>
    <row r="4" spans="1:53" x14ac:dyDescent="0.2">
      <c r="A4" s="1" t="s">
        <v>14</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2">
        <v>0</v>
      </c>
      <c r="AS4" s="42">
        <v>0</v>
      </c>
      <c r="AT4" s="42">
        <v>0</v>
      </c>
      <c r="AU4" s="42">
        <v>0</v>
      </c>
      <c r="AV4" s="42">
        <v>0</v>
      </c>
      <c r="AW4" s="42">
        <v>0</v>
      </c>
      <c r="AX4" s="42">
        <v>0</v>
      </c>
      <c r="AY4" s="42">
        <v>0</v>
      </c>
      <c r="AZ4" s="42">
        <v>0</v>
      </c>
      <c r="BA4" s="42">
        <v>0</v>
      </c>
    </row>
    <row r="5" spans="1:53" x14ac:dyDescent="0.2">
      <c r="A5" s="1" t="s">
        <v>15</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2">
        <v>0</v>
      </c>
      <c r="AS5" s="42">
        <v>0</v>
      </c>
      <c r="AT5" s="42">
        <v>0</v>
      </c>
      <c r="AU5" s="42">
        <v>0</v>
      </c>
      <c r="AV5" s="42">
        <v>0</v>
      </c>
      <c r="AW5" s="42">
        <v>0</v>
      </c>
      <c r="AX5" s="42">
        <v>0</v>
      </c>
      <c r="AY5" s="42">
        <v>0</v>
      </c>
      <c r="AZ5" s="42">
        <v>0</v>
      </c>
      <c r="BA5" s="42">
        <v>0</v>
      </c>
    </row>
    <row r="6" spans="1:53" x14ac:dyDescent="0.2">
      <c r="A6" s="1" t="s">
        <v>16</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2">
        <v>0</v>
      </c>
      <c r="AS6" s="42">
        <v>0</v>
      </c>
      <c r="AT6" s="42">
        <v>0</v>
      </c>
      <c r="AU6" s="42">
        <v>0</v>
      </c>
      <c r="AV6" s="42">
        <v>0</v>
      </c>
      <c r="AW6" s="42">
        <v>0</v>
      </c>
      <c r="AX6" s="42">
        <v>0</v>
      </c>
      <c r="AY6" s="42">
        <v>0</v>
      </c>
      <c r="AZ6" s="42">
        <v>0</v>
      </c>
      <c r="BA6" s="42">
        <v>0</v>
      </c>
    </row>
    <row r="7" spans="1:53" x14ac:dyDescent="0.2">
      <c r="A7" s="1" t="s">
        <v>17</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2">
        <v>0</v>
      </c>
      <c r="AS7" s="42">
        <v>0</v>
      </c>
      <c r="AT7" s="42">
        <v>0</v>
      </c>
      <c r="AU7" s="42">
        <v>0</v>
      </c>
      <c r="AV7" s="42">
        <v>0</v>
      </c>
      <c r="AW7" s="42">
        <v>0</v>
      </c>
      <c r="AX7" s="42">
        <v>0</v>
      </c>
      <c r="AY7" s="42">
        <v>0</v>
      </c>
      <c r="AZ7" s="42">
        <v>0</v>
      </c>
      <c r="BA7" s="42">
        <v>0</v>
      </c>
    </row>
    <row r="8" spans="1:53" x14ac:dyDescent="0.2">
      <c r="A8" s="1" t="s">
        <v>18</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2">
        <v>0</v>
      </c>
      <c r="AS8" s="42">
        <v>0</v>
      </c>
      <c r="AT8" s="42">
        <v>0</v>
      </c>
      <c r="AU8" s="42">
        <v>0</v>
      </c>
      <c r="AV8" s="42">
        <v>0</v>
      </c>
      <c r="AW8" s="42">
        <v>0</v>
      </c>
      <c r="AX8" s="42">
        <v>0</v>
      </c>
      <c r="AY8" s="42">
        <v>0</v>
      </c>
      <c r="AZ8" s="42">
        <v>0</v>
      </c>
      <c r="BA8" s="42">
        <v>0</v>
      </c>
    </row>
    <row r="9" spans="1:53" x14ac:dyDescent="0.2">
      <c r="A9" s="1" t="s">
        <v>19</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2">
        <v>0</v>
      </c>
      <c r="AS9" s="42">
        <v>0</v>
      </c>
      <c r="AT9" s="42">
        <v>0</v>
      </c>
      <c r="AU9" s="42">
        <v>0</v>
      </c>
      <c r="AV9" s="42">
        <v>0</v>
      </c>
      <c r="AW9" s="42">
        <v>0</v>
      </c>
      <c r="AX9" s="42">
        <v>0</v>
      </c>
      <c r="AY9" s="42">
        <v>0</v>
      </c>
      <c r="AZ9" s="42">
        <v>0</v>
      </c>
      <c r="BA9" s="42">
        <v>0</v>
      </c>
    </row>
    <row r="10" spans="1:53" x14ac:dyDescent="0.2">
      <c r="A10" s="1" t="s">
        <v>20</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2">
        <v>0</v>
      </c>
      <c r="AS10" s="42">
        <v>0</v>
      </c>
      <c r="AT10" s="42">
        <v>0</v>
      </c>
      <c r="AU10" s="42">
        <v>0</v>
      </c>
      <c r="AV10" s="42">
        <v>0</v>
      </c>
      <c r="AW10" s="42">
        <v>0</v>
      </c>
      <c r="AX10" s="42">
        <v>0</v>
      </c>
      <c r="AY10" s="42">
        <v>0</v>
      </c>
      <c r="AZ10" s="42">
        <v>0</v>
      </c>
      <c r="BA10" s="42">
        <v>0</v>
      </c>
    </row>
    <row r="11" spans="1:53" x14ac:dyDescent="0.2">
      <c r="A11" s="1" t="s">
        <v>21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2">
        <v>0</v>
      </c>
      <c r="AS11" s="42">
        <v>0</v>
      </c>
      <c r="AT11" s="42">
        <v>0</v>
      </c>
      <c r="AU11" s="42">
        <v>0</v>
      </c>
      <c r="AV11" s="42">
        <v>0</v>
      </c>
      <c r="AW11" s="42">
        <v>0</v>
      </c>
      <c r="AX11" s="42">
        <v>0</v>
      </c>
      <c r="AY11" s="42">
        <v>0</v>
      </c>
      <c r="AZ11" s="42">
        <v>0</v>
      </c>
      <c r="BA11" s="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About </vt:lpstr>
      <vt:lpstr>Commercial</vt:lpstr>
      <vt:lpstr>Commercial-Conversion</vt:lpstr>
      <vt:lpstr>Electricity</vt:lpstr>
      <vt:lpstr>Electricity-Conversion</vt:lpstr>
      <vt:lpstr>Total Other Sectors</vt:lpstr>
      <vt:lpstr>Total Electricity Consumption</vt:lpstr>
      <vt:lpstr>Commercial-Heating</vt:lpstr>
      <vt:lpstr>Commercial-Cooling</vt:lpstr>
      <vt:lpstr>Commercial-Lighting</vt:lpstr>
      <vt:lpstr>Commercial-Appliances</vt:lpstr>
      <vt:lpstr>Commercial-Others</vt:lpstr>
      <vt:lpstr>Residential</vt:lpstr>
      <vt:lpstr>Residential-Conversion</vt:lpstr>
      <vt:lpstr>Residentail-Heating</vt:lpstr>
      <vt:lpstr>Residential-Cooling</vt:lpstr>
      <vt:lpstr>Residential-lighting</vt:lpstr>
      <vt:lpstr>Residential-Appliances</vt:lpstr>
      <vt:lpstr>Residential-Other</vt:lpstr>
      <vt:lpstr>Conversion</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 Saidou Abdoulaye</dc:creator>
  <cp:lastModifiedBy>Sy, Saidou Abdoulaye</cp:lastModifiedBy>
  <dcterms:created xsi:type="dcterms:W3CDTF">2024-10-07T12:43:26Z</dcterms:created>
  <dcterms:modified xsi:type="dcterms:W3CDTF">2025-01-22T20:47:04Z</dcterms:modified>
</cp:coreProperties>
</file>