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BTC/"/>
    </mc:Choice>
  </mc:AlternateContent>
  <xr:revisionPtr revIDLastSave="0" documentId="13_ncr:1_{2E62B5D0-B801-EB4A-AF66-928CC1588F51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About" sheetId="1" r:id="rId1"/>
    <sheet name="Data" sheetId="2" r:id="rId2"/>
    <sheet name="Cal " sheetId="3" r:id="rId3"/>
    <sheet name="BTC" sheetId="4" r:id="rId4"/>
  </sheets>
  <definedNames>
    <definedName name="_xlchart.v1.0" hidden="1">'Cal '!$A$1</definedName>
    <definedName name="_xlchart.v1.1" hidden="1">'Cal '!$A$2</definedName>
    <definedName name="_xlchart.v1.2" hidden="1">'Cal '!$B$1:$AG$1</definedName>
    <definedName name="_xlchart.v1.3" hidden="1">'Cal '!$B$2:$AG$2</definedName>
    <definedName name="_xlchart.v1.4" hidden="1">'Cal '!$A$1</definedName>
    <definedName name="_xlchart.v1.5" hidden="1">'Cal '!$A$2</definedName>
    <definedName name="_xlchart.v1.6" hidden="1">'Cal '!$B$1:$AG$1</definedName>
    <definedName name="_xlchart.v1.7" hidden="1">'Cal '!$B$2:$AG$2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4" l="1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AI9" i="3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AH9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AI7" i="3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AH7" i="3"/>
  <c r="AI5" i="3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AH5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AH2" i="3"/>
  <c r="AI3" i="3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AH3" i="3"/>
  <c r="L18" i="2"/>
  <c r="M18" i="2" s="1"/>
  <c r="K18" i="2"/>
  <c r="B2" i="3" s="1"/>
  <c r="B4" i="3" s="1"/>
  <c r="B6" i="3" s="1"/>
  <c r="B8" i="3" s="1"/>
  <c r="B10" i="3" s="1"/>
  <c r="B2" i="4" s="1"/>
  <c r="J18" i="2"/>
  <c r="I18" i="2"/>
  <c r="H18" i="2"/>
  <c r="G18" i="2"/>
  <c r="F18" i="2"/>
  <c r="E18" i="2"/>
  <c r="D18" i="2"/>
  <c r="C18" i="2"/>
  <c r="N18" i="2" l="1"/>
  <c r="D2" i="3"/>
  <c r="D4" i="3" s="1"/>
  <c r="D6" i="3" s="1"/>
  <c r="D8" i="3" s="1"/>
  <c r="D10" i="3" s="1"/>
  <c r="D2" i="4" s="1"/>
  <c r="C2" i="3"/>
  <c r="C4" i="3" s="1"/>
  <c r="C6" i="3" s="1"/>
  <c r="C8" i="3" s="1"/>
  <c r="C10" i="3" s="1"/>
  <c r="C2" i="4" s="1"/>
  <c r="O18" i="2" l="1"/>
  <c r="E2" i="3"/>
  <c r="E4" i="3" s="1"/>
  <c r="E6" i="3" s="1"/>
  <c r="E8" i="3" s="1"/>
  <c r="E10" i="3" s="1"/>
  <c r="E2" i="4" s="1"/>
  <c r="P18" i="2" l="1"/>
  <c r="F2" i="3"/>
  <c r="F4" i="3" s="1"/>
  <c r="F6" i="3" s="1"/>
  <c r="F8" i="3" s="1"/>
  <c r="F10" i="3" s="1"/>
  <c r="F2" i="4" s="1"/>
  <c r="G2" i="3" l="1"/>
  <c r="G4" i="3" s="1"/>
  <c r="G6" i="3" s="1"/>
  <c r="G8" i="3" s="1"/>
  <c r="G10" i="3" s="1"/>
  <c r="G2" i="4" s="1"/>
  <c r="Q18" i="2"/>
  <c r="R18" i="2" l="1"/>
  <c r="H2" i="3"/>
  <c r="H4" i="3" s="1"/>
  <c r="H6" i="3" s="1"/>
  <c r="H8" i="3" s="1"/>
  <c r="H10" i="3" s="1"/>
  <c r="H2" i="4" s="1"/>
  <c r="I2" i="3" l="1"/>
  <c r="I4" i="3" s="1"/>
  <c r="I6" i="3" s="1"/>
  <c r="I8" i="3" s="1"/>
  <c r="I10" i="3" s="1"/>
  <c r="I2" i="4" s="1"/>
  <c r="S18" i="2"/>
  <c r="T18" i="2" l="1"/>
  <c r="J2" i="3"/>
  <c r="J4" i="3" s="1"/>
  <c r="J6" i="3" s="1"/>
  <c r="J8" i="3" s="1"/>
  <c r="J10" i="3" s="1"/>
  <c r="J2" i="4" s="1"/>
  <c r="U18" i="2" l="1"/>
  <c r="K2" i="3"/>
  <c r="K4" i="3" s="1"/>
  <c r="K6" i="3" s="1"/>
  <c r="K8" i="3" s="1"/>
  <c r="K10" i="3" s="1"/>
  <c r="K2" i="4" s="1"/>
  <c r="V18" i="2" l="1"/>
  <c r="L2" i="3"/>
  <c r="L4" i="3" s="1"/>
  <c r="L6" i="3" s="1"/>
  <c r="L8" i="3" s="1"/>
  <c r="L10" i="3" s="1"/>
  <c r="L2" i="4" s="1"/>
  <c r="M2" i="3" l="1"/>
  <c r="M4" i="3" s="1"/>
  <c r="M6" i="3" s="1"/>
  <c r="M8" i="3" s="1"/>
  <c r="M10" i="3" s="1"/>
  <c r="M2" i="4" s="1"/>
  <c r="AA18" i="2"/>
  <c r="R2" i="3" s="1"/>
  <c r="R4" i="3" s="1"/>
  <c r="R6" i="3" s="1"/>
  <c r="R8" i="3" s="1"/>
  <c r="R10" i="3" s="1"/>
  <c r="R2" i="4" s="1"/>
  <c r="AO18" i="2"/>
  <c r="AF2" i="3" s="1"/>
  <c r="AF4" i="3" s="1"/>
  <c r="AF6" i="3" s="1"/>
  <c r="AF8" i="3" s="1"/>
  <c r="AF10" i="3" s="1"/>
  <c r="AF2" i="4" s="1"/>
  <c r="Y18" i="2"/>
  <c r="P2" i="3" s="1"/>
  <c r="P4" i="3" s="1"/>
  <c r="P6" i="3" s="1"/>
  <c r="P8" i="3" s="1"/>
  <c r="P10" i="3" s="1"/>
  <c r="P2" i="4" s="1"/>
  <c r="AE18" i="2"/>
  <c r="V2" i="3" s="1"/>
  <c r="V4" i="3" s="1"/>
  <c r="V6" i="3" s="1"/>
  <c r="V8" i="3" s="1"/>
  <c r="V10" i="3" s="1"/>
  <c r="V2" i="4" s="1"/>
  <c r="AJ18" i="2"/>
  <c r="AA2" i="3" s="1"/>
  <c r="AA4" i="3" s="1"/>
  <c r="AA6" i="3" s="1"/>
  <c r="AA8" i="3" s="1"/>
  <c r="AA10" i="3" s="1"/>
  <c r="AA2" i="4" s="1"/>
  <c r="X18" i="2"/>
  <c r="O2" i="3" s="1"/>
  <c r="O4" i="3" s="1"/>
  <c r="O6" i="3" s="1"/>
  <c r="O8" i="3" s="1"/>
  <c r="O10" i="3" s="1"/>
  <c r="O2" i="4" s="1"/>
  <c r="AH18" i="2"/>
  <c r="Y2" i="3" s="1"/>
  <c r="Y4" i="3" s="1"/>
  <c r="Y6" i="3" s="1"/>
  <c r="Y8" i="3" s="1"/>
  <c r="Y10" i="3" s="1"/>
  <c r="Y2" i="4" s="1"/>
  <c r="AC18" i="2"/>
  <c r="T2" i="3" s="1"/>
  <c r="T4" i="3" s="1"/>
  <c r="T6" i="3" s="1"/>
  <c r="T8" i="3" s="1"/>
  <c r="T10" i="3" s="1"/>
  <c r="T2" i="4" s="1"/>
  <c r="AB18" i="2"/>
  <c r="S2" i="3" s="1"/>
  <c r="S4" i="3" s="1"/>
  <c r="S6" i="3" s="1"/>
  <c r="S8" i="3" s="1"/>
  <c r="S10" i="3" s="1"/>
  <c r="S2" i="4" s="1"/>
  <c r="AK18" i="2"/>
  <c r="AB2" i="3" s="1"/>
  <c r="AB4" i="3" s="1"/>
  <c r="AB6" i="3" s="1"/>
  <c r="AB8" i="3" s="1"/>
  <c r="AB10" i="3" s="1"/>
  <c r="AB2" i="4" s="1"/>
  <c r="W18" i="2"/>
  <c r="N2" i="3" s="1"/>
  <c r="N4" i="3" s="1"/>
  <c r="N6" i="3" s="1"/>
  <c r="N8" i="3" s="1"/>
  <c r="N10" i="3" s="1"/>
  <c r="N2" i="4" s="1"/>
  <c r="AI18" i="2"/>
  <c r="Z2" i="3" s="1"/>
  <c r="Z4" i="3" s="1"/>
  <c r="Z6" i="3" s="1"/>
  <c r="Z8" i="3" s="1"/>
  <c r="Z10" i="3" s="1"/>
  <c r="Z2" i="4" s="1"/>
  <c r="Z18" i="2"/>
  <c r="Q2" i="3" s="1"/>
  <c r="Q4" i="3" s="1"/>
  <c r="Q6" i="3" s="1"/>
  <c r="Q8" i="3" s="1"/>
  <c r="Q10" i="3" s="1"/>
  <c r="Q2" i="4" s="1"/>
  <c r="AD18" i="2"/>
  <c r="U2" i="3" s="1"/>
  <c r="U4" i="3" s="1"/>
  <c r="U6" i="3" s="1"/>
  <c r="U8" i="3" s="1"/>
  <c r="U10" i="3" s="1"/>
  <c r="U2" i="4" s="1"/>
  <c r="AN18" i="2"/>
  <c r="AE2" i="3" s="1"/>
  <c r="AE4" i="3" s="1"/>
  <c r="AE6" i="3" s="1"/>
  <c r="AE8" i="3" s="1"/>
  <c r="AE10" i="3" s="1"/>
  <c r="AE2" i="4" s="1"/>
  <c r="AF18" i="2"/>
  <c r="W2" i="3" s="1"/>
  <c r="W4" i="3" s="1"/>
  <c r="W6" i="3" s="1"/>
  <c r="W8" i="3" s="1"/>
  <c r="W10" i="3" s="1"/>
  <c r="W2" i="4" s="1"/>
  <c r="AG18" i="2"/>
  <c r="X2" i="3" s="1"/>
  <c r="X4" i="3" s="1"/>
  <c r="X6" i="3" s="1"/>
  <c r="X8" i="3" s="1"/>
  <c r="X10" i="3" s="1"/>
  <c r="X2" i="4" s="1"/>
  <c r="AL18" i="2"/>
  <c r="AC2" i="3" s="1"/>
  <c r="AC4" i="3" s="1"/>
  <c r="AC6" i="3" s="1"/>
  <c r="AC8" i="3" s="1"/>
  <c r="AC10" i="3" s="1"/>
  <c r="AC2" i="4" s="1"/>
  <c r="AP18" i="2"/>
  <c r="AG2" i="3" s="1"/>
  <c r="AG4" i="3" s="1"/>
  <c r="AG6" i="3" s="1"/>
  <c r="AG8" i="3" s="1"/>
  <c r="AG10" i="3" s="1"/>
  <c r="AG2" i="4" s="1"/>
  <c r="AM18" i="2"/>
  <c r="AD2" i="3" s="1"/>
  <c r="AD4" i="3" s="1"/>
  <c r="AD6" i="3" s="1"/>
  <c r="AD8" i="3" s="1"/>
  <c r="AD10" i="3" s="1"/>
  <c r="AD2" i="4" s="1"/>
</calcChain>
</file>

<file path=xl/sharedStrings.xml><?xml version="1.0" encoding="utf-8"?>
<sst xmlns="http://schemas.openxmlformats.org/spreadsheetml/2006/main" count="57" uniqueCount="56">
  <si>
    <t>BTC BAU Transmission Capacity</t>
  </si>
  <si>
    <t>Source:</t>
  </si>
  <si>
    <t>Perusahaan Listrik Negara (PLN)</t>
  </si>
  <si>
    <t>Rencana Usaha Penyediaan Tenaga Listrik (RUPTL) 2021-2030</t>
  </si>
  <si>
    <t>https://web.pln.co.id/statics/uploads/2021/10/ruptl-2021-2030.pdf</t>
  </si>
  <si>
    <t>Page IV-26, Table 4.25</t>
  </si>
  <si>
    <t>Page V-128, Table 5.107</t>
  </si>
  <si>
    <t>Note:</t>
  </si>
  <si>
    <t>Indonesia's Transmission Line (kms)</t>
  </si>
  <si>
    <t>kV</t>
  </si>
  <si>
    <t>Indonesia's Transmission Line Construction Plan 2021-2030 (kms)</t>
  </si>
  <si>
    <t>Indonesia's Transmission Capacity (kV*km)</t>
  </si>
  <si>
    <t>TC</t>
  </si>
  <si>
    <t xml:space="preserve">BAU Transmission Capacity </t>
  </si>
  <si>
    <t>BAU Transmission Capacity (kV*km)</t>
  </si>
  <si>
    <t>1 kV in V</t>
  </si>
  <si>
    <t>BAU Transmission Capacity (V*km)</t>
  </si>
  <si>
    <t>Amps approximation</t>
  </si>
  <si>
    <t>BAU Transmission Capacity (W*km)</t>
  </si>
  <si>
    <t>1 W in MW</t>
  </si>
  <si>
    <t>BAU Transmission Capacity (MW*km)</t>
  </si>
  <si>
    <t>1 km in miles</t>
  </si>
  <si>
    <t>BAU Transmission Capacity (MW*miles)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</si>
  <si>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</si>
  <si>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</si>
  <si>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</si>
  <si>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</si>
  <si>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</si>
  <si>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</si>
  <si>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</si>
  <si>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</si>
  <si>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</si>
  <si>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</si>
  <si>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</si>
  <si>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</si>
  <si>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</si>
  <si>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</si>
  <si>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</si>
  <si>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</si>
  <si>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</si>
  <si>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</si>
  <si>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</si>
  <si>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</si>
  <si>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</si>
  <si>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</si>
  <si>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</si>
  <si>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</si>
  <si>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</si>
  <si>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</si>
  <si>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</si>
  <si>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</si>
  <si>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</si>
  <si>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</si>
  <si>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</si>
  <si>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</si>
  <si>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BAU Transmission Capacity (MW-miles)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</si>
</sst>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1" x14ac:knownFonts="1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u/>
      <sz val="10"/>
      <color rgb="FF000000"/>
      <name val="Roboto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37415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E4E8"/>
        <bgColor rgb="FFB4E4E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right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6" fillId="0" borderId="1" xfId="0" applyFont="1" applyBorder="1"/>
    <xf numFmtId="0" fontId="7" fillId="0" borderId="0" xfId="0" applyFont="1"/>
    <xf numFmtId="4" fontId="8" fillId="0" borderId="0" xfId="0" applyNumberFormat="1" applyFont="1"/>
    <xf numFmtId="164" fontId="8" fillId="0" borderId="0" xfId="0" applyNumberFormat="1" applyFont="1"/>
    <xf numFmtId="0" fontId="9" fillId="0" borderId="0" xfId="0" applyFont="1"/>
    <xf numFmtId="0" fontId="6" fillId="2" borderId="2" xfId="0" applyFont="1" applyFill="1" applyBorder="1"/>
    <xf numFmtId="4" fontId="8" fillId="2" borderId="2" xfId="0" applyNumberFormat="1" applyFont="1" applyFill="1" applyBorder="1"/>
    <xf numFmtId="4" fontId="6" fillId="0" borderId="0" xfId="0" applyNumberFormat="1" applyFont="1"/>
    <xf numFmtId="49" fontId="2" fillId="0" borderId="0" xfId="0" applyNumberFormat="1" applyFont="1"/>
    <xf numFmtId="49" fontId="10" fillId="0" borderId="0" xfId="0" applyNumberFormat="1" applyFont="1"/>
    <xf numFmtId="49" fontId="3" fillId="0" borderId="0" xfId="0" applyNumberFormat="1" applyFont="1" applyAlignment="1">
      <alignment horizontal="right"/>
    </xf>
    <xf numFmtId="4" fontId="2" fillId="0" borderId="0" xfId="0" applyNumberFormat="1" applyFont="1"/>
    <xf numFmtId="0" fontId="1" fillId="0" borderId="0" xfId="0" applyFont="1"/>
    <xf numFmtId="0" fontId="0" fillId="0" borderId="0" xfId="0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19</xdr:row>
      <xdr:rowOff>190500</xdr:rowOff>
    </xdr:from>
    <xdr:ext cx="5219700" cy="29051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114300</xdr:rowOff>
    </xdr:from>
    <xdr:ext cx="5219700" cy="158115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.pln.co.id/statics/uploads/2021/10/ruptl-2021-2030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baseColWidth="10" defaultColWidth="12.6640625" defaultRowHeight="15.75" customHeight="1" x14ac:dyDescent="0.15"/>
  <cols>
    <col min="1" max="1" width="7.6640625" customWidth="1"/>
    <col min="2" max="2" width="33.33203125" customWidth="1"/>
    <col min="3" max="26" width="7.6640625" customWidth="1"/>
  </cols>
  <sheetData>
    <row r="1" spans="1:2" ht="15.75" customHeight="1" x14ac:dyDescent="0.15">
      <c r="A1" s="24" t="s">
        <v>0</v>
      </c>
      <c r="B1" s="25"/>
    </row>
    <row r="2" spans="1:2" ht="15.75" customHeight="1" x14ac:dyDescent="0.15">
      <c r="A2" s="2"/>
      <c r="B2" s="2"/>
    </row>
    <row r="3" spans="1:2" ht="15.75" customHeight="1" x14ac:dyDescent="0.15">
      <c r="A3" s="1" t="s">
        <v>1</v>
      </c>
      <c r="B3" s="2" t="s">
        <v>2</v>
      </c>
    </row>
    <row r="4" spans="1:2" ht="15.75" customHeight="1" x14ac:dyDescent="0.15">
      <c r="A4" s="2"/>
      <c r="B4" s="3">
        <v>2021</v>
      </c>
    </row>
    <row r="5" spans="1:2" ht="15.75" customHeight="1" x14ac:dyDescent="0.15">
      <c r="A5" s="2"/>
      <c r="B5" s="2" t="s">
        <v>3</v>
      </c>
    </row>
    <row r="6" spans="1:2" ht="15.75" customHeight="1" x14ac:dyDescent="0.15">
      <c r="A6" s="2"/>
      <c r="B6" s="4" t="s">
        <v>4</v>
      </c>
    </row>
    <row r="7" spans="1:2" ht="15.75" customHeight="1" x14ac:dyDescent="0.15">
      <c r="A7" s="2"/>
      <c r="B7" s="2" t="s">
        <v>5</v>
      </c>
    </row>
    <row r="8" spans="1:2" ht="15.75" customHeight="1" x14ac:dyDescent="0.15">
      <c r="A8" s="2"/>
      <c r="B8" s="2" t="s">
        <v>6</v>
      </c>
    </row>
    <row r="9" spans="1:2" ht="15.75" customHeight="1" x14ac:dyDescent="0.15">
      <c r="A9" s="2"/>
      <c r="B9" s="2"/>
    </row>
    <row r="10" spans="1:2" ht="15.75" customHeight="1" x14ac:dyDescent="0.15">
      <c r="A10" s="2"/>
      <c r="B10" s="2"/>
    </row>
    <row r="11" spans="1:2" ht="15.75" customHeight="1" x14ac:dyDescent="0.15">
      <c r="A11" s="2"/>
      <c r="B11" s="2"/>
    </row>
    <row r="12" spans="1:2" ht="15.75" customHeight="1" x14ac:dyDescent="0.15">
      <c r="A12" s="5" t="s">
        <v>7</v>
      </c>
      <c r="B12" s="2"/>
    </row>
    <row r="13" spans="1:2" ht="15.75" customHeight="1" x14ac:dyDescent="0.15">
      <c r="A13" s="2"/>
      <c r="B13" s="2"/>
    </row>
    <row r="14" spans="1:2" ht="15.75" customHeight="1" x14ac:dyDescent="0.15">
      <c r="A14" s="2"/>
      <c r="B14" s="2"/>
    </row>
    <row r="15" spans="1:2" ht="15.75" customHeight="1" x14ac:dyDescent="0.15">
      <c r="A15" s="2"/>
      <c r="B15" s="2"/>
    </row>
    <row r="16" spans="1:2" ht="15.75" customHeight="1" x14ac:dyDescent="0.15">
      <c r="A16" s="2"/>
      <c r="B16" s="2"/>
    </row>
    <row r="17" spans="1:2" ht="15.75" customHeight="1" x14ac:dyDescent="0.15">
      <c r="A17" s="2"/>
      <c r="B17" s="2"/>
    </row>
    <row r="18" spans="1:2" ht="15.75" customHeight="1" x14ac:dyDescent="0.15">
      <c r="A18" s="2"/>
      <c r="B18" s="2"/>
    </row>
    <row r="19" spans="1:2" ht="15.75" customHeight="1" x14ac:dyDescent="0.15">
      <c r="A19" s="2"/>
      <c r="B19" s="2"/>
    </row>
    <row r="20" spans="1:2" ht="15.75" customHeight="1" x14ac:dyDescent="0.15">
      <c r="A20" s="2"/>
      <c r="B20" s="2"/>
    </row>
    <row r="21" spans="1:2" ht="15.75" customHeight="1" x14ac:dyDescent="0.15">
      <c r="A21" s="2"/>
      <c r="B21" s="2"/>
    </row>
    <row r="22" spans="1:2" ht="15.75" customHeight="1" x14ac:dyDescent="0.15">
      <c r="A22" s="2"/>
      <c r="B22" s="2"/>
    </row>
    <row r="23" spans="1:2" ht="15.75" customHeight="1" x14ac:dyDescent="0.15">
      <c r="A23" s="2"/>
      <c r="B23" s="2"/>
    </row>
    <row r="24" spans="1:2" ht="15.75" customHeight="1" x14ac:dyDescent="0.15">
      <c r="A24" s="2"/>
      <c r="B24" s="2"/>
    </row>
    <row r="25" spans="1:2" ht="15.75" customHeight="1" x14ac:dyDescent="0.15">
      <c r="A25" s="2"/>
      <c r="B25" s="2"/>
    </row>
    <row r="26" spans="1:2" ht="15.75" customHeight="1" x14ac:dyDescent="0.15">
      <c r="A26" s="2"/>
      <c r="B26" s="2"/>
    </row>
    <row r="27" spans="1:2" ht="15.75" customHeight="1" x14ac:dyDescent="0.15">
      <c r="A27" s="2"/>
      <c r="B27" s="2"/>
    </row>
    <row r="28" spans="1:2" ht="15.75" customHeight="1" x14ac:dyDescent="0.15">
      <c r="A28" s="2"/>
      <c r="B28" s="2"/>
    </row>
    <row r="29" spans="1:2" ht="15.75" customHeight="1" x14ac:dyDescent="0.15">
      <c r="A29" s="2"/>
      <c r="B29" s="2"/>
    </row>
    <row r="30" spans="1:2" ht="15.75" customHeight="1" x14ac:dyDescent="0.15">
      <c r="A30" s="2"/>
      <c r="B30" s="2"/>
    </row>
    <row r="31" spans="1:2" ht="15.75" customHeight="1" x14ac:dyDescent="0.15">
      <c r="A31" s="2"/>
      <c r="B31" s="2"/>
    </row>
    <row r="32" spans="1:2" ht="15.75" customHeight="1" x14ac:dyDescent="0.15">
      <c r="A32" s="2"/>
      <c r="B32" s="2"/>
    </row>
    <row r="33" spans="1:2" ht="15.75" customHeight="1" x14ac:dyDescent="0.15">
      <c r="A33" s="2"/>
      <c r="B33" s="2"/>
    </row>
    <row r="34" spans="1:2" ht="15.75" customHeight="1" x14ac:dyDescent="0.15">
      <c r="A34" s="2"/>
      <c r="B34" s="2"/>
    </row>
    <row r="35" spans="1:2" ht="15.75" customHeight="1" x14ac:dyDescent="0.15">
      <c r="A35" s="2"/>
      <c r="B35" s="2"/>
    </row>
    <row r="36" spans="1:2" ht="15.75" customHeight="1" x14ac:dyDescent="0.15">
      <c r="A36" s="2"/>
      <c r="B36" s="2"/>
    </row>
    <row r="37" spans="1:2" ht="15.75" customHeight="1" x14ac:dyDescent="0.15">
      <c r="A37" s="2"/>
      <c r="B37" s="2"/>
    </row>
    <row r="38" spans="1:2" ht="15.75" customHeight="1" x14ac:dyDescent="0.15">
      <c r="A38" s="2"/>
      <c r="B38" s="2"/>
    </row>
    <row r="39" spans="1:2" ht="15.75" customHeight="1" x14ac:dyDescent="0.15">
      <c r="A39" s="2"/>
      <c r="B39" s="2"/>
    </row>
    <row r="40" spans="1:2" ht="15.75" customHeight="1" x14ac:dyDescent="0.15">
      <c r="A40" s="2"/>
      <c r="B40" s="2"/>
    </row>
    <row r="41" spans="1:2" ht="15.75" customHeight="1" x14ac:dyDescent="0.15">
      <c r="A41" s="2"/>
      <c r="B41" s="2"/>
    </row>
    <row r="42" spans="1:2" ht="15.75" customHeight="1" x14ac:dyDescent="0.15">
      <c r="A42" s="2"/>
      <c r="B42" s="2"/>
    </row>
    <row r="43" spans="1:2" ht="15.75" customHeight="1" x14ac:dyDescent="0.15">
      <c r="A43" s="2"/>
      <c r="B43" s="2"/>
    </row>
    <row r="44" spans="1:2" ht="15.75" customHeight="1" x14ac:dyDescent="0.15">
      <c r="A44" s="2"/>
      <c r="B44" s="2"/>
    </row>
    <row r="45" spans="1:2" ht="15.75" customHeight="1" x14ac:dyDescent="0.15">
      <c r="A45" s="2"/>
      <c r="B45" s="2"/>
    </row>
    <row r="46" spans="1:2" ht="15.75" customHeight="1" x14ac:dyDescent="0.15">
      <c r="A46" s="2"/>
      <c r="B46" s="2"/>
    </row>
    <row r="47" spans="1:2" ht="15.75" customHeight="1" x14ac:dyDescent="0.15">
      <c r="A47" s="2"/>
      <c r="B47" s="2"/>
    </row>
    <row r="48" spans="1:2" ht="15.75" customHeight="1" x14ac:dyDescent="0.15">
      <c r="A48" s="2"/>
      <c r="B48" s="2"/>
    </row>
    <row r="49" spans="1:2" ht="15.75" customHeight="1" x14ac:dyDescent="0.15">
      <c r="A49" s="2"/>
      <c r="B49" s="2"/>
    </row>
    <row r="50" spans="1:2" ht="15.75" customHeight="1" x14ac:dyDescent="0.15">
      <c r="A50" s="2"/>
      <c r="B50" s="2"/>
    </row>
    <row r="51" spans="1:2" ht="15.75" customHeight="1" x14ac:dyDescent="0.15">
      <c r="A51" s="2"/>
      <c r="B51" s="2"/>
    </row>
    <row r="52" spans="1:2" ht="15.75" customHeight="1" x14ac:dyDescent="0.15">
      <c r="A52" s="2"/>
      <c r="B52" s="2"/>
    </row>
    <row r="53" spans="1:2" ht="15.75" customHeight="1" x14ac:dyDescent="0.15">
      <c r="A53" s="2"/>
      <c r="B53" s="2"/>
    </row>
    <row r="54" spans="1:2" ht="15.75" customHeight="1" x14ac:dyDescent="0.15">
      <c r="A54" s="2"/>
      <c r="B54" s="2"/>
    </row>
    <row r="55" spans="1:2" ht="15.75" customHeight="1" x14ac:dyDescent="0.15">
      <c r="A55" s="2"/>
      <c r="B55" s="2"/>
    </row>
    <row r="56" spans="1:2" ht="15.75" customHeight="1" x14ac:dyDescent="0.15">
      <c r="A56" s="2"/>
      <c r="B56" s="2"/>
    </row>
    <row r="57" spans="1:2" ht="15.75" customHeight="1" x14ac:dyDescent="0.15">
      <c r="A57" s="2"/>
      <c r="B57" s="2"/>
    </row>
    <row r="58" spans="1:2" ht="15.75" customHeight="1" x14ac:dyDescent="0.15">
      <c r="A58" s="2"/>
      <c r="B58" s="2"/>
    </row>
    <row r="59" spans="1:2" ht="15.75" customHeight="1" x14ac:dyDescent="0.15">
      <c r="A59" s="2"/>
      <c r="B59" s="2"/>
    </row>
    <row r="60" spans="1:2" ht="15.75" customHeight="1" x14ac:dyDescent="0.15">
      <c r="A60" s="2"/>
      <c r="B60" s="2"/>
    </row>
    <row r="61" spans="1:2" ht="15.75" customHeight="1" x14ac:dyDescent="0.15">
      <c r="A61" s="2"/>
      <c r="B61" s="2"/>
    </row>
    <row r="62" spans="1:2" ht="15.75" customHeight="1" x14ac:dyDescent="0.15">
      <c r="A62" s="2"/>
      <c r="B62" s="2"/>
    </row>
    <row r="63" spans="1:2" ht="13" x14ac:dyDescent="0.15">
      <c r="A63" s="2"/>
      <c r="B63" s="2"/>
    </row>
    <row r="64" spans="1:2" ht="13" x14ac:dyDescent="0.15">
      <c r="A64" s="2"/>
      <c r="B64" s="2"/>
    </row>
    <row r="65" spans="1:2" ht="13" x14ac:dyDescent="0.15">
      <c r="A65" s="2"/>
      <c r="B65" s="2"/>
    </row>
    <row r="66" spans="1:2" ht="13" x14ac:dyDescent="0.15">
      <c r="A66" s="2"/>
      <c r="B66" s="2"/>
    </row>
    <row r="67" spans="1:2" ht="13" x14ac:dyDescent="0.15">
      <c r="A67" s="2"/>
      <c r="B67" s="2"/>
    </row>
    <row r="68" spans="1:2" ht="13" x14ac:dyDescent="0.15">
      <c r="A68" s="2"/>
      <c r="B68" s="2"/>
    </row>
    <row r="69" spans="1:2" ht="13" x14ac:dyDescent="0.15">
      <c r="A69" s="2"/>
      <c r="B69" s="2"/>
    </row>
    <row r="70" spans="1:2" ht="13" x14ac:dyDescent="0.15">
      <c r="A70" s="2"/>
      <c r="B70" s="2"/>
    </row>
    <row r="71" spans="1:2" ht="13" x14ac:dyDescent="0.15">
      <c r="A71" s="2"/>
      <c r="B71" s="2"/>
    </row>
    <row r="72" spans="1:2" ht="13" x14ac:dyDescent="0.15">
      <c r="A72" s="2"/>
      <c r="B72" s="2"/>
    </row>
    <row r="73" spans="1:2" ht="13" x14ac:dyDescent="0.15">
      <c r="A73" s="2"/>
      <c r="B73" s="2"/>
    </row>
    <row r="74" spans="1:2" ht="13" x14ac:dyDescent="0.15">
      <c r="A74" s="2"/>
      <c r="B74" s="2"/>
    </row>
    <row r="75" spans="1:2" ht="13" x14ac:dyDescent="0.15">
      <c r="A75" s="2"/>
      <c r="B75" s="2"/>
    </row>
    <row r="76" spans="1:2" ht="13" x14ac:dyDescent="0.15">
      <c r="A76" s="2"/>
      <c r="B76" s="2"/>
    </row>
    <row r="77" spans="1:2" ht="13" x14ac:dyDescent="0.15">
      <c r="A77" s="2"/>
      <c r="B77" s="2"/>
    </row>
    <row r="78" spans="1:2" ht="13" x14ac:dyDescent="0.15">
      <c r="A78" s="2"/>
      <c r="B78" s="2"/>
    </row>
    <row r="79" spans="1:2" ht="13" x14ac:dyDescent="0.15">
      <c r="A79" s="2"/>
      <c r="B79" s="2"/>
    </row>
    <row r="80" spans="1:2" ht="13" x14ac:dyDescent="0.15">
      <c r="A80" s="2"/>
      <c r="B80" s="2"/>
    </row>
    <row r="81" spans="1:2" ht="13" x14ac:dyDescent="0.15">
      <c r="A81" s="2"/>
      <c r="B81" s="2"/>
    </row>
    <row r="82" spans="1:2" ht="13" x14ac:dyDescent="0.15">
      <c r="A82" s="2"/>
      <c r="B82" s="2"/>
    </row>
    <row r="83" spans="1:2" ht="13" x14ac:dyDescent="0.15">
      <c r="A83" s="2"/>
      <c r="B83" s="2"/>
    </row>
    <row r="84" spans="1:2" ht="13" x14ac:dyDescent="0.15">
      <c r="A84" s="2"/>
      <c r="B84" s="2"/>
    </row>
    <row r="85" spans="1:2" ht="13" x14ac:dyDescent="0.15">
      <c r="A85" s="2"/>
      <c r="B85" s="2"/>
    </row>
    <row r="86" spans="1:2" ht="13" x14ac:dyDescent="0.15">
      <c r="A86" s="2"/>
      <c r="B86" s="2"/>
    </row>
    <row r="87" spans="1:2" ht="13" x14ac:dyDescent="0.15">
      <c r="A87" s="2"/>
      <c r="B87" s="2"/>
    </row>
    <row r="88" spans="1:2" ht="13" x14ac:dyDescent="0.15">
      <c r="A88" s="2"/>
      <c r="B88" s="2"/>
    </row>
    <row r="89" spans="1:2" ht="13" x14ac:dyDescent="0.15">
      <c r="A89" s="2"/>
      <c r="B89" s="2"/>
    </row>
    <row r="90" spans="1:2" ht="13" x14ac:dyDescent="0.15">
      <c r="A90" s="2"/>
      <c r="B90" s="2"/>
    </row>
    <row r="91" spans="1:2" ht="13" x14ac:dyDescent="0.15">
      <c r="A91" s="2"/>
      <c r="B91" s="2"/>
    </row>
    <row r="92" spans="1:2" ht="13" x14ac:dyDescent="0.15">
      <c r="A92" s="2"/>
      <c r="B92" s="2"/>
    </row>
    <row r="93" spans="1:2" ht="13" x14ac:dyDescent="0.15">
      <c r="A93" s="2"/>
      <c r="B93" s="2"/>
    </row>
    <row r="94" spans="1:2" ht="13" x14ac:dyDescent="0.15">
      <c r="A94" s="2"/>
      <c r="B94" s="2"/>
    </row>
    <row r="95" spans="1:2" ht="13" x14ac:dyDescent="0.15">
      <c r="A95" s="2"/>
      <c r="B95" s="2"/>
    </row>
    <row r="96" spans="1:2" ht="13" x14ac:dyDescent="0.15">
      <c r="A96" s="2"/>
      <c r="B96" s="2"/>
    </row>
    <row r="97" spans="1:2" ht="13" x14ac:dyDescent="0.15">
      <c r="A97" s="2"/>
      <c r="B97" s="2"/>
    </row>
    <row r="98" spans="1:2" ht="13" x14ac:dyDescent="0.15">
      <c r="A98" s="2"/>
      <c r="B98" s="2"/>
    </row>
    <row r="99" spans="1:2" ht="13" x14ac:dyDescent="0.15">
      <c r="A99" s="2"/>
      <c r="B99" s="2"/>
    </row>
    <row r="100" spans="1:2" ht="13" x14ac:dyDescent="0.15">
      <c r="A100" s="2"/>
      <c r="B100" s="2"/>
    </row>
    <row r="101" spans="1:2" ht="13" x14ac:dyDescent="0.15">
      <c r="A101" s="2"/>
      <c r="B101" s="2"/>
    </row>
    <row r="102" spans="1:2" ht="13" x14ac:dyDescent="0.15">
      <c r="A102" s="2"/>
      <c r="B102" s="2"/>
    </row>
    <row r="103" spans="1:2" ht="13" x14ac:dyDescent="0.15">
      <c r="A103" s="2"/>
      <c r="B103" s="2"/>
    </row>
    <row r="104" spans="1:2" ht="13" x14ac:dyDescent="0.15">
      <c r="A104" s="2"/>
      <c r="B104" s="2"/>
    </row>
    <row r="105" spans="1:2" ht="13" x14ac:dyDescent="0.15">
      <c r="A105" s="2"/>
      <c r="B105" s="2"/>
    </row>
    <row r="106" spans="1:2" ht="13" x14ac:dyDescent="0.15">
      <c r="A106" s="2"/>
      <c r="B106" s="2"/>
    </row>
    <row r="107" spans="1:2" ht="13" x14ac:dyDescent="0.15">
      <c r="A107" s="2"/>
      <c r="B107" s="2"/>
    </row>
    <row r="108" spans="1:2" ht="13" x14ac:dyDescent="0.15">
      <c r="A108" s="2"/>
      <c r="B108" s="2"/>
    </row>
    <row r="109" spans="1:2" ht="13" x14ac:dyDescent="0.15">
      <c r="A109" s="2"/>
      <c r="B109" s="2"/>
    </row>
    <row r="110" spans="1:2" ht="13" x14ac:dyDescent="0.15">
      <c r="A110" s="2"/>
      <c r="B110" s="2"/>
    </row>
    <row r="111" spans="1:2" ht="13" x14ac:dyDescent="0.15">
      <c r="A111" s="2"/>
      <c r="B111" s="2"/>
    </row>
    <row r="112" spans="1:2" ht="13" x14ac:dyDescent="0.15">
      <c r="A112" s="2"/>
      <c r="B112" s="2"/>
    </row>
    <row r="113" spans="1:2" ht="13" x14ac:dyDescent="0.15">
      <c r="A113" s="2"/>
      <c r="B113" s="2"/>
    </row>
    <row r="114" spans="1:2" ht="13" x14ac:dyDescent="0.15">
      <c r="A114" s="2"/>
      <c r="B114" s="2"/>
    </row>
    <row r="115" spans="1:2" ht="13" x14ac:dyDescent="0.15">
      <c r="A115" s="2"/>
      <c r="B115" s="2"/>
    </row>
    <row r="116" spans="1:2" ht="13" x14ac:dyDescent="0.15">
      <c r="A116" s="2"/>
      <c r="B116" s="2"/>
    </row>
    <row r="117" spans="1:2" ht="13" x14ac:dyDescent="0.15">
      <c r="A117" s="2"/>
      <c r="B117" s="2"/>
    </row>
    <row r="118" spans="1:2" ht="13" x14ac:dyDescent="0.15">
      <c r="A118" s="2"/>
      <c r="B118" s="2"/>
    </row>
    <row r="119" spans="1:2" ht="13" x14ac:dyDescent="0.15">
      <c r="A119" s="2"/>
      <c r="B119" s="2"/>
    </row>
    <row r="120" spans="1:2" ht="13" x14ac:dyDescent="0.15">
      <c r="A120" s="2"/>
      <c r="B120" s="2"/>
    </row>
    <row r="121" spans="1:2" ht="13" x14ac:dyDescent="0.15">
      <c r="A121" s="2"/>
      <c r="B121" s="2"/>
    </row>
    <row r="122" spans="1:2" ht="13" x14ac:dyDescent="0.15">
      <c r="A122" s="2"/>
      <c r="B122" s="2"/>
    </row>
    <row r="123" spans="1:2" ht="13" x14ac:dyDescent="0.15">
      <c r="A123" s="2"/>
      <c r="B123" s="2"/>
    </row>
    <row r="124" spans="1:2" ht="13" x14ac:dyDescent="0.15">
      <c r="A124" s="2"/>
      <c r="B124" s="2"/>
    </row>
    <row r="125" spans="1:2" ht="13" x14ac:dyDescent="0.15">
      <c r="A125" s="2"/>
      <c r="B125" s="2"/>
    </row>
    <row r="126" spans="1:2" ht="13" x14ac:dyDescent="0.15">
      <c r="A126" s="2"/>
      <c r="B126" s="2"/>
    </row>
    <row r="127" spans="1:2" ht="13" x14ac:dyDescent="0.15">
      <c r="A127" s="2"/>
      <c r="B127" s="2"/>
    </row>
    <row r="128" spans="1:2" ht="13" x14ac:dyDescent="0.15">
      <c r="A128" s="2"/>
      <c r="B128" s="2"/>
    </row>
    <row r="129" spans="1:2" ht="13" x14ac:dyDescent="0.15">
      <c r="A129" s="2"/>
      <c r="B129" s="2"/>
    </row>
    <row r="130" spans="1:2" ht="13" x14ac:dyDescent="0.15">
      <c r="A130" s="2"/>
      <c r="B130" s="2"/>
    </row>
    <row r="131" spans="1:2" ht="13" x14ac:dyDescent="0.15">
      <c r="A131" s="2"/>
      <c r="B131" s="2"/>
    </row>
    <row r="132" spans="1:2" ht="13" x14ac:dyDescent="0.15">
      <c r="A132" s="2"/>
      <c r="B132" s="2"/>
    </row>
    <row r="133" spans="1:2" ht="13" x14ac:dyDescent="0.15">
      <c r="A133" s="2"/>
      <c r="B133" s="2"/>
    </row>
    <row r="134" spans="1:2" ht="13" x14ac:dyDescent="0.15">
      <c r="A134" s="2"/>
      <c r="B134" s="2"/>
    </row>
    <row r="135" spans="1:2" ht="13" x14ac:dyDescent="0.15">
      <c r="A135" s="2"/>
      <c r="B135" s="2"/>
    </row>
    <row r="136" spans="1:2" ht="13" x14ac:dyDescent="0.15">
      <c r="A136" s="2"/>
      <c r="B136" s="2"/>
    </row>
    <row r="137" spans="1:2" ht="13" x14ac:dyDescent="0.15">
      <c r="A137" s="2"/>
      <c r="B137" s="2"/>
    </row>
    <row r="138" spans="1:2" ht="13" x14ac:dyDescent="0.15">
      <c r="A138" s="2"/>
      <c r="B138" s="2"/>
    </row>
    <row r="139" spans="1:2" ht="13" x14ac:dyDescent="0.15">
      <c r="A139" s="2"/>
      <c r="B139" s="2"/>
    </row>
    <row r="140" spans="1:2" ht="13" x14ac:dyDescent="0.15">
      <c r="A140" s="2"/>
      <c r="B140" s="2"/>
    </row>
    <row r="141" spans="1:2" ht="13" x14ac:dyDescent="0.15">
      <c r="A141" s="2"/>
      <c r="B141" s="2"/>
    </row>
    <row r="142" spans="1:2" ht="13" x14ac:dyDescent="0.15">
      <c r="A142" s="2"/>
      <c r="B142" s="2"/>
    </row>
    <row r="143" spans="1:2" ht="13" x14ac:dyDescent="0.15">
      <c r="A143" s="2"/>
      <c r="B143" s="2"/>
    </row>
    <row r="144" spans="1:2" ht="13" x14ac:dyDescent="0.15">
      <c r="A144" s="2"/>
      <c r="B144" s="2"/>
    </row>
    <row r="145" spans="1:2" ht="13" x14ac:dyDescent="0.15">
      <c r="A145" s="2"/>
      <c r="B145" s="2"/>
    </row>
    <row r="146" spans="1:2" ht="13" x14ac:dyDescent="0.15">
      <c r="A146" s="2"/>
      <c r="B146" s="2"/>
    </row>
    <row r="147" spans="1:2" ht="13" x14ac:dyDescent="0.15">
      <c r="A147" s="2"/>
      <c r="B147" s="2"/>
    </row>
    <row r="148" spans="1:2" ht="13" x14ac:dyDescent="0.15">
      <c r="A148" s="2"/>
      <c r="B148" s="2"/>
    </row>
    <row r="149" spans="1:2" ht="13" x14ac:dyDescent="0.15">
      <c r="A149" s="2"/>
      <c r="B149" s="2"/>
    </row>
    <row r="150" spans="1:2" ht="13" x14ac:dyDescent="0.15">
      <c r="A150" s="2"/>
      <c r="B150" s="2"/>
    </row>
    <row r="151" spans="1:2" ht="13" x14ac:dyDescent="0.15">
      <c r="A151" s="2"/>
      <c r="B151" s="2"/>
    </row>
    <row r="152" spans="1:2" ht="13" x14ac:dyDescent="0.15">
      <c r="A152" s="2"/>
      <c r="B152" s="2"/>
    </row>
    <row r="153" spans="1:2" ht="13" x14ac:dyDescent="0.15">
      <c r="A153" s="2"/>
      <c r="B153" s="2"/>
    </row>
    <row r="154" spans="1:2" ht="13" x14ac:dyDescent="0.15">
      <c r="A154" s="2"/>
      <c r="B154" s="2"/>
    </row>
    <row r="155" spans="1:2" ht="13" x14ac:dyDescent="0.15">
      <c r="A155" s="2"/>
      <c r="B155" s="2"/>
    </row>
    <row r="156" spans="1:2" ht="13" x14ac:dyDescent="0.15">
      <c r="A156" s="2"/>
      <c r="B156" s="2"/>
    </row>
    <row r="157" spans="1:2" ht="13" x14ac:dyDescent="0.15">
      <c r="A157" s="2"/>
      <c r="B157" s="2"/>
    </row>
    <row r="158" spans="1:2" ht="13" x14ac:dyDescent="0.15">
      <c r="A158" s="2"/>
      <c r="B158" s="2"/>
    </row>
    <row r="159" spans="1:2" ht="13" x14ac:dyDescent="0.15">
      <c r="A159" s="2"/>
      <c r="B159" s="2"/>
    </row>
    <row r="160" spans="1:2" ht="13" x14ac:dyDescent="0.15">
      <c r="A160" s="2"/>
      <c r="B160" s="2"/>
    </row>
    <row r="161" spans="1:2" ht="13" x14ac:dyDescent="0.15">
      <c r="A161" s="2"/>
      <c r="B161" s="2"/>
    </row>
    <row r="162" spans="1:2" ht="13" x14ac:dyDescent="0.15">
      <c r="A162" s="2"/>
      <c r="B162" s="2"/>
    </row>
    <row r="163" spans="1:2" ht="13" x14ac:dyDescent="0.15">
      <c r="A163" s="2"/>
      <c r="B163" s="2"/>
    </row>
    <row r="164" spans="1:2" ht="13" x14ac:dyDescent="0.15">
      <c r="A164" s="2"/>
      <c r="B164" s="2"/>
    </row>
    <row r="165" spans="1:2" ht="13" x14ac:dyDescent="0.15">
      <c r="A165" s="2"/>
      <c r="B165" s="2"/>
    </row>
    <row r="166" spans="1:2" ht="13" x14ac:dyDescent="0.15">
      <c r="A166" s="2"/>
      <c r="B166" s="2"/>
    </row>
    <row r="167" spans="1:2" ht="13" x14ac:dyDescent="0.15">
      <c r="A167" s="2"/>
      <c r="B167" s="2"/>
    </row>
    <row r="168" spans="1:2" ht="13" x14ac:dyDescent="0.15">
      <c r="A168" s="2"/>
      <c r="B168" s="2"/>
    </row>
    <row r="169" spans="1:2" ht="13" x14ac:dyDescent="0.15">
      <c r="A169" s="2"/>
      <c r="B169" s="2"/>
    </row>
    <row r="170" spans="1:2" ht="13" x14ac:dyDescent="0.15">
      <c r="A170" s="2"/>
      <c r="B170" s="2"/>
    </row>
    <row r="171" spans="1:2" ht="13" x14ac:dyDescent="0.15">
      <c r="A171" s="2"/>
      <c r="B171" s="2"/>
    </row>
    <row r="172" spans="1:2" ht="13" x14ac:dyDescent="0.15">
      <c r="A172" s="2"/>
      <c r="B172" s="2"/>
    </row>
    <row r="173" spans="1:2" ht="13" x14ac:dyDescent="0.15">
      <c r="A173" s="2"/>
      <c r="B173" s="2"/>
    </row>
    <row r="174" spans="1:2" ht="13" x14ac:dyDescent="0.15">
      <c r="A174" s="2"/>
      <c r="B174" s="2"/>
    </row>
    <row r="175" spans="1:2" ht="13" x14ac:dyDescent="0.15">
      <c r="A175" s="2"/>
      <c r="B175" s="2"/>
    </row>
    <row r="176" spans="1:2" ht="13" x14ac:dyDescent="0.15">
      <c r="A176" s="2"/>
      <c r="B176" s="2"/>
    </row>
    <row r="177" spans="1:2" ht="13" x14ac:dyDescent="0.15">
      <c r="A177" s="2"/>
      <c r="B177" s="2"/>
    </row>
    <row r="178" spans="1:2" ht="13" x14ac:dyDescent="0.15">
      <c r="A178" s="2"/>
      <c r="B178" s="2"/>
    </row>
    <row r="179" spans="1:2" ht="13" x14ac:dyDescent="0.15">
      <c r="A179" s="2"/>
      <c r="B179" s="2"/>
    </row>
    <row r="180" spans="1:2" ht="13" x14ac:dyDescent="0.15">
      <c r="A180" s="2"/>
      <c r="B180" s="2"/>
    </row>
    <row r="181" spans="1:2" ht="13" x14ac:dyDescent="0.15">
      <c r="A181" s="2"/>
      <c r="B181" s="2"/>
    </row>
    <row r="182" spans="1:2" ht="13" x14ac:dyDescent="0.15">
      <c r="A182" s="2"/>
      <c r="B182" s="2"/>
    </row>
    <row r="183" spans="1:2" ht="13" x14ac:dyDescent="0.15">
      <c r="A183" s="2"/>
      <c r="B183" s="2"/>
    </row>
    <row r="184" spans="1:2" ht="13" x14ac:dyDescent="0.15">
      <c r="A184" s="2"/>
      <c r="B184" s="2"/>
    </row>
    <row r="185" spans="1:2" ht="13" x14ac:dyDescent="0.15">
      <c r="A185" s="2"/>
      <c r="B185" s="2"/>
    </row>
    <row r="186" spans="1:2" ht="13" x14ac:dyDescent="0.15">
      <c r="A186" s="2"/>
      <c r="B186" s="2"/>
    </row>
    <row r="187" spans="1:2" ht="13" x14ac:dyDescent="0.15">
      <c r="A187" s="2"/>
      <c r="B187" s="2"/>
    </row>
    <row r="188" spans="1:2" ht="13" x14ac:dyDescent="0.15">
      <c r="A188" s="2"/>
      <c r="B188" s="2"/>
    </row>
    <row r="189" spans="1:2" ht="13" x14ac:dyDescent="0.15">
      <c r="A189" s="2"/>
      <c r="B189" s="2"/>
    </row>
    <row r="190" spans="1:2" ht="13" x14ac:dyDescent="0.15">
      <c r="A190" s="2"/>
      <c r="B190" s="2"/>
    </row>
    <row r="191" spans="1:2" ht="13" x14ac:dyDescent="0.15">
      <c r="A191" s="2"/>
      <c r="B191" s="2"/>
    </row>
    <row r="192" spans="1:2" ht="13" x14ac:dyDescent="0.15">
      <c r="A192" s="2"/>
      <c r="B192" s="2"/>
    </row>
    <row r="193" spans="1:2" ht="13" x14ac:dyDescent="0.15">
      <c r="A193" s="2"/>
      <c r="B193" s="2"/>
    </row>
    <row r="194" spans="1:2" ht="13" x14ac:dyDescent="0.15">
      <c r="A194" s="2"/>
      <c r="B194" s="2"/>
    </row>
    <row r="195" spans="1:2" ht="13" x14ac:dyDescent="0.15">
      <c r="A195" s="2"/>
      <c r="B195" s="2"/>
    </row>
    <row r="196" spans="1:2" ht="13" x14ac:dyDescent="0.15">
      <c r="A196" s="2"/>
      <c r="B196" s="2"/>
    </row>
    <row r="197" spans="1:2" ht="13" x14ac:dyDescent="0.15">
      <c r="A197" s="2"/>
      <c r="B197" s="2"/>
    </row>
    <row r="198" spans="1:2" ht="13" x14ac:dyDescent="0.15">
      <c r="A198" s="2"/>
      <c r="B198" s="2"/>
    </row>
    <row r="199" spans="1:2" ht="13" x14ac:dyDescent="0.15">
      <c r="A199" s="2"/>
      <c r="B199" s="2"/>
    </row>
    <row r="200" spans="1:2" ht="13" x14ac:dyDescent="0.15">
      <c r="A200" s="2"/>
      <c r="B200" s="2"/>
    </row>
    <row r="201" spans="1:2" ht="13" x14ac:dyDescent="0.15">
      <c r="A201" s="2"/>
      <c r="B201" s="2"/>
    </row>
    <row r="202" spans="1:2" ht="13" x14ac:dyDescent="0.15">
      <c r="A202" s="2"/>
      <c r="B202" s="2"/>
    </row>
    <row r="203" spans="1:2" ht="13" x14ac:dyDescent="0.15">
      <c r="A203" s="2"/>
      <c r="B203" s="2"/>
    </row>
    <row r="204" spans="1:2" ht="13" x14ac:dyDescent="0.15">
      <c r="A204" s="2"/>
      <c r="B204" s="2"/>
    </row>
    <row r="205" spans="1:2" ht="13" x14ac:dyDescent="0.15">
      <c r="A205" s="2"/>
      <c r="B205" s="2"/>
    </row>
    <row r="206" spans="1:2" ht="13" x14ac:dyDescent="0.15">
      <c r="A206" s="2"/>
      <c r="B206" s="2"/>
    </row>
    <row r="207" spans="1:2" ht="13" x14ac:dyDescent="0.15">
      <c r="A207" s="2"/>
      <c r="B207" s="2"/>
    </row>
    <row r="208" spans="1:2" ht="13" x14ac:dyDescent="0.15">
      <c r="A208" s="2"/>
      <c r="B208" s="2"/>
    </row>
    <row r="209" spans="1:2" ht="13" x14ac:dyDescent="0.15">
      <c r="A209" s="2"/>
      <c r="B209" s="2"/>
    </row>
    <row r="210" spans="1:2" ht="13" x14ac:dyDescent="0.15">
      <c r="A210" s="2"/>
      <c r="B210" s="2"/>
    </row>
    <row r="211" spans="1:2" ht="13" x14ac:dyDescent="0.15">
      <c r="A211" s="2"/>
      <c r="B211" s="2"/>
    </row>
    <row r="212" spans="1:2" ht="13" x14ac:dyDescent="0.15">
      <c r="A212" s="2"/>
      <c r="B212" s="2"/>
    </row>
    <row r="213" spans="1:2" ht="13" x14ac:dyDescent="0.15">
      <c r="A213" s="2"/>
      <c r="B213" s="2"/>
    </row>
    <row r="214" spans="1:2" ht="13" x14ac:dyDescent="0.15">
      <c r="A214" s="2"/>
      <c r="B214" s="2"/>
    </row>
    <row r="215" spans="1:2" ht="13" x14ac:dyDescent="0.15">
      <c r="A215" s="2"/>
      <c r="B215" s="2"/>
    </row>
    <row r="216" spans="1:2" ht="13" x14ac:dyDescent="0.15">
      <c r="A216" s="2"/>
      <c r="B216" s="2"/>
    </row>
    <row r="217" spans="1:2" ht="13" x14ac:dyDescent="0.15">
      <c r="A217" s="2"/>
      <c r="B217" s="2"/>
    </row>
    <row r="218" spans="1:2" ht="13" x14ac:dyDescent="0.15">
      <c r="A218" s="2"/>
      <c r="B218" s="2"/>
    </row>
    <row r="219" spans="1:2" ht="13" x14ac:dyDescent="0.15">
      <c r="A219" s="2"/>
      <c r="B219" s="2"/>
    </row>
    <row r="220" spans="1:2" ht="13" x14ac:dyDescent="0.15">
      <c r="A220" s="2"/>
      <c r="B220" s="2"/>
    </row>
    <row r="221" spans="1:2" ht="13" x14ac:dyDescent="0.15">
      <c r="A221" s="2"/>
      <c r="B221" s="2"/>
    </row>
    <row r="222" spans="1:2" ht="13" x14ac:dyDescent="0.15">
      <c r="A222" s="2"/>
      <c r="B222" s="2"/>
    </row>
    <row r="223" spans="1:2" ht="13" x14ac:dyDescent="0.15">
      <c r="A223" s="2"/>
      <c r="B223" s="2"/>
    </row>
    <row r="224" spans="1:2" ht="13" x14ac:dyDescent="0.15">
      <c r="A224" s="2"/>
      <c r="B224" s="2"/>
    </row>
    <row r="225" spans="1:2" ht="13" x14ac:dyDescent="0.15">
      <c r="A225" s="2"/>
      <c r="B225" s="2"/>
    </row>
    <row r="226" spans="1:2" ht="13" x14ac:dyDescent="0.15">
      <c r="A226" s="2"/>
      <c r="B226" s="2"/>
    </row>
    <row r="227" spans="1:2" ht="13" x14ac:dyDescent="0.15">
      <c r="A227" s="2"/>
      <c r="B227" s="2"/>
    </row>
    <row r="228" spans="1:2" ht="13" x14ac:dyDescent="0.15">
      <c r="A228" s="2"/>
      <c r="B228" s="2"/>
    </row>
    <row r="229" spans="1:2" ht="13" x14ac:dyDescent="0.15">
      <c r="A229" s="2"/>
      <c r="B229" s="2"/>
    </row>
    <row r="230" spans="1:2" ht="13" x14ac:dyDescent="0.15">
      <c r="A230" s="2"/>
      <c r="B230" s="2"/>
    </row>
    <row r="231" spans="1:2" ht="13" x14ac:dyDescent="0.15">
      <c r="A231" s="2"/>
      <c r="B231" s="2"/>
    </row>
    <row r="232" spans="1:2" ht="13" x14ac:dyDescent="0.15">
      <c r="A232" s="2"/>
      <c r="B232" s="2"/>
    </row>
    <row r="233" spans="1:2" ht="13" x14ac:dyDescent="0.15">
      <c r="A233" s="2"/>
      <c r="B233" s="2"/>
    </row>
    <row r="234" spans="1:2" ht="13" x14ac:dyDescent="0.15">
      <c r="A234" s="2"/>
      <c r="B234" s="2"/>
    </row>
    <row r="235" spans="1:2" ht="13" x14ac:dyDescent="0.15">
      <c r="A235" s="2"/>
      <c r="B235" s="2"/>
    </row>
    <row r="236" spans="1:2" ht="13" x14ac:dyDescent="0.15">
      <c r="A236" s="2"/>
      <c r="B236" s="2"/>
    </row>
    <row r="237" spans="1:2" ht="13" x14ac:dyDescent="0.15">
      <c r="A237" s="2"/>
      <c r="B237" s="2"/>
    </row>
    <row r="238" spans="1:2" ht="13" x14ac:dyDescent="0.15">
      <c r="A238" s="2"/>
      <c r="B238" s="2"/>
    </row>
    <row r="239" spans="1:2" ht="13" x14ac:dyDescent="0.15">
      <c r="A239" s="2"/>
      <c r="B239" s="2"/>
    </row>
    <row r="240" spans="1:2" ht="13" x14ac:dyDescent="0.15">
      <c r="A240" s="2"/>
      <c r="B240" s="2"/>
    </row>
    <row r="241" spans="1:2" ht="13" x14ac:dyDescent="0.15">
      <c r="A241" s="2"/>
      <c r="B241" s="2"/>
    </row>
    <row r="242" spans="1:2" ht="13" x14ac:dyDescent="0.15">
      <c r="A242" s="2"/>
      <c r="B242" s="2"/>
    </row>
    <row r="243" spans="1:2" ht="13" x14ac:dyDescent="0.15">
      <c r="A243" s="2"/>
      <c r="B243" s="2"/>
    </row>
    <row r="244" spans="1:2" ht="13" x14ac:dyDescent="0.15">
      <c r="A244" s="2"/>
      <c r="B244" s="2"/>
    </row>
    <row r="245" spans="1:2" ht="13" x14ac:dyDescent="0.15">
      <c r="A245" s="2"/>
      <c r="B245" s="2"/>
    </row>
    <row r="246" spans="1:2" ht="13" x14ac:dyDescent="0.15">
      <c r="A246" s="2"/>
      <c r="B246" s="2"/>
    </row>
    <row r="247" spans="1:2" ht="13" x14ac:dyDescent="0.15">
      <c r="A247" s="2"/>
      <c r="B247" s="2"/>
    </row>
    <row r="248" spans="1:2" ht="13" x14ac:dyDescent="0.15">
      <c r="A248" s="2"/>
      <c r="B248" s="2"/>
    </row>
    <row r="249" spans="1:2" ht="13" x14ac:dyDescent="0.15">
      <c r="A249" s="2"/>
      <c r="B249" s="2"/>
    </row>
    <row r="250" spans="1:2" ht="13" x14ac:dyDescent="0.15">
      <c r="A250" s="2"/>
      <c r="B250" s="2"/>
    </row>
    <row r="251" spans="1:2" ht="13" x14ac:dyDescent="0.15">
      <c r="A251" s="2"/>
      <c r="B251" s="2"/>
    </row>
    <row r="252" spans="1:2" ht="13" x14ac:dyDescent="0.15">
      <c r="A252" s="2"/>
      <c r="B252" s="2"/>
    </row>
    <row r="253" spans="1:2" ht="13" x14ac:dyDescent="0.15">
      <c r="A253" s="2"/>
      <c r="B253" s="2"/>
    </row>
    <row r="254" spans="1:2" ht="13" x14ac:dyDescent="0.15">
      <c r="A254" s="2"/>
      <c r="B254" s="2"/>
    </row>
    <row r="255" spans="1:2" ht="13" x14ac:dyDescent="0.15">
      <c r="A255" s="2"/>
      <c r="B255" s="2"/>
    </row>
    <row r="256" spans="1:2" ht="13" x14ac:dyDescent="0.15">
      <c r="A256" s="2"/>
      <c r="B256" s="2"/>
    </row>
    <row r="257" spans="1:2" ht="13" x14ac:dyDescent="0.15">
      <c r="A257" s="2"/>
      <c r="B257" s="2"/>
    </row>
    <row r="258" spans="1:2" ht="13" x14ac:dyDescent="0.15">
      <c r="A258" s="2"/>
      <c r="B258" s="2"/>
    </row>
    <row r="259" spans="1:2" ht="13" x14ac:dyDescent="0.15">
      <c r="A259" s="2"/>
      <c r="B259" s="2"/>
    </row>
    <row r="260" spans="1:2" ht="13" x14ac:dyDescent="0.15">
      <c r="A260" s="2"/>
      <c r="B260" s="2"/>
    </row>
    <row r="261" spans="1:2" ht="13" x14ac:dyDescent="0.15">
      <c r="A261" s="2"/>
      <c r="B261" s="2"/>
    </row>
    <row r="262" spans="1:2" ht="13" x14ac:dyDescent="0.15">
      <c r="A262" s="2"/>
      <c r="B262" s="2"/>
    </row>
    <row r="263" spans="1:2" ht="13" x14ac:dyDescent="0.15">
      <c r="A263" s="2"/>
      <c r="B263" s="2"/>
    </row>
    <row r="264" spans="1:2" ht="13" x14ac:dyDescent="0.15">
      <c r="A264" s="2"/>
      <c r="B264" s="2"/>
    </row>
    <row r="265" spans="1:2" ht="13" x14ac:dyDescent="0.15">
      <c r="A265" s="2"/>
      <c r="B265" s="2"/>
    </row>
    <row r="266" spans="1:2" ht="13" x14ac:dyDescent="0.15">
      <c r="A266" s="2"/>
      <c r="B266" s="2"/>
    </row>
    <row r="267" spans="1:2" ht="13" x14ac:dyDescent="0.15">
      <c r="A267" s="2"/>
      <c r="B267" s="2"/>
    </row>
    <row r="268" spans="1:2" ht="13" x14ac:dyDescent="0.15">
      <c r="A268" s="2"/>
      <c r="B268" s="2"/>
    </row>
    <row r="269" spans="1:2" ht="13" x14ac:dyDescent="0.15">
      <c r="A269" s="2"/>
      <c r="B269" s="2"/>
    </row>
    <row r="270" spans="1:2" ht="13" x14ac:dyDescent="0.15">
      <c r="A270" s="2"/>
      <c r="B270" s="2"/>
    </row>
    <row r="271" spans="1:2" ht="13" x14ac:dyDescent="0.15">
      <c r="A271" s="2"/>
      <c r="B271" s="2"/>
    </row>
    <row r="272" spans="1:2" ht="13" x14ac:dyDescent="0.15">
      <c r="A272" s="2"/>
      <c r="B272" s="2"/>
    </row>
    <row r="273" spans="1:2" ht="13" x14ac:dyDescent="0.15">
      <c r="A273" s="2"/>
      <c r="B273" s="2"/>
    </row>
    <row r="274" spans="1:2" ht="13" x14ac:dyDescent="0.15">
      <c r="A274" s="2"/>
      <c r="B274" s="2"/>
    </row>
    <row r="275" spans="1:2" ht="13" x14ac:dyDescent="0.15">
      <c r="A275" s="2"/>
      <c r="B275" s="2"/>
    </row>
    <row r="276" spans="1:2" ht="13" x14ac:dyDescent="0.15">
      <c r="A276" s="2"/>
      <c r="B276" s="2"/>
    </row>
    <row r="277" spans="1:2" ht="13" x14ac:dyDescent="0.15">
      <c r="A277" s="2"/>
      <c r="B277" s="2"/>
    </row>
    <row r="278" spans="1:2" ht="13" x14ac:dyDescent="0.15">
      <c r="A278" s="2"/>
      <c r="B278" s="2"/>
    </row>
    <row r="279" spans="1:2" ht="13" x14ac:dyDescent="0.15">
      <c r="A279" s="2"/>
      <c r="B279" s="2"/>
    </row>
    <row r="280" spans="1:2" ht="13" x14ac:dyDescent="0.15">
      <c r="A280" s="2"/>
      <c r="B280" s="2"/>
    </row>
    <row r="281" spans="1:2" ht="13" x14ac:dyDescent="0.15">
      <c r="A281" s="2"/>
      <c r="B281" s="2"/>
    </row>
    <row r="282" spans="1:2" ht="13" x14ac:dyDescent="0.15">
      <c r="A282" s="2"/>
      <c r="B282" s="2"/>
    </row>
    <row r="283" spans="1:2" ht="13" x14ac:dyDescent="0.15">
      <c r="A283" s="2"/>
      <c r="B283" s="2"/>
    </row>
    <row r="284" spans="1:2" ht="13" x14ac:dyDescent="0.15">
      <c r="A284" s="2"/>
      <c r="B284" s="2"/>
    </row>
    <row r="285" spans="1:2" ht="13" x14ac:dyDescent="0.15">
      <c r="A285" s="2"/>
      <c r="B285" s="2"/>
    </row>
    <row r="286" spans="1:2" ht="13" x14ac:dyDescent="0.15">
      <c r="A286" s="2"/>
      <c r="B286" s="2"/>
    </row>
    <row r="287" spans="1:2" ht="13" x14ac:dyDescent="0.15">
      <c r="A287" s="2"/>
      <c r="B287" s="2"/>
    </row>
    <row r="288" spans="1:2" ht="13" x14ac:dyDescent="0.15">
      <c r="A288" s="2"/>
      <c r="B288" s="2"/>
    </row>
    <row r="289" spans="1:2" ht="13" x14ac:dyDescent="0.15">
      <c r="A289" s="2"/>
      <c r="B289" s="2"/>
    </row>
    <row r="290" spans="1:2" ht="13" x14ac:dyDescent="0.15">
      <c r="A290" s="2"/>
      <c r="B290" s="2"/>
    </row>
    <row r="291" spans="1:2" ht="13" x14ac:dyDescent="0.15">
      <c r="A291" s="2"/>
      <c r="B291" s="2"/>
    </row>
    <row r="292" spans="1:2" ht="13" x14ac:dyDescent="0.15">
      <c r="A292" s="2"/>
      <c r="B292" s="2"/>
    </row>
    <row r="293" spans="1:2" ht="13" x14ac:dyDescent="0.15">
      <c r="A293" s="2"/>
      <c r="B293" s="2"/>
    </row>
    <row r="294" spans="1:2" ht="13" x14ac:dyDescent="0.15">
      <c r="A294" s="2"/>
      <c r="B294" s="2"/>
    </row>
    <row r="295" spans="1:2" ht="13" x14ac:dyDescent="0.15">
      <c r="A295" s="2"/>
      <c r="B295" s="2"/>
    </row>
    <row r="296" spans="1:2" ht="13" x14ac:dyDescent="0.15">
      <c r="A296" s="2"/>
      <c r="B296" s="2"/>
    </row>
    <row r="297" spans="1:2" ht="13" x14ac:dyDescent="0.15">
      <c r="A297" s="2"/>
      <c r="B297" s="2"/>
    </row>
    <row r="298" spans="1:2" ht="13" x14ac:dyDescent="0.15">
      <c r="A298" s="2"/>
      <c r="B298" s="2"/>
    </row>
    <row r="299" spans="1:2" ht="13" x14ac:dyDescent="0.15">
      <c r="A299" s="2"/>
      <c r="B299" s="2"/>
    </row>
    <row r="300" spans="1:2" ht="13" x14ac:dyDescent="0.15">
      <c r="A300" s="2"/>
      <c r="B300" s="2"/>
    </row>
    <row r="301" spans="1:2" ht="13" x14ac:dyDescent="0.15">
      <c r="A301" s="2"/>
      <c r="B301" s="2"/>
    </row>
    <row r="302" spans="1:2" ht="13" x14ac:dyDescent="0.15">
      <c r="A302" s="2"/>
      <c r="B302" s="2"/>
    </row>
    <row r="303" spans="1:2" ht="13" x14ac:dyDescent="0.15">
      <c r="A303" s="2"/>
      <c r="B303" s="2"/>
    </row>
    <row r="304" spans="1:2" ht="13" x14ac:dyDescent="0.15">
      <c r="A304" s="2"/>
      <c r="B304" s="2"/>
    </row>
    <row r="305" spans="1:2" ht="13" x14ac:dyDescent="0.15">
      <c r="A305" s="2"/>
      <c r="B305" s="2"/>
    </row>
    <row r="306" spans="1:2" ht="13" x14ac:dyDescent="0.15">
      <c r="A306" s="2"/>
      <c r="B306" s="2"/>
    </row>
    <row r="307" spans="1:2" ht="13" x14ac:dyDescent="0.15">
      <c r="A307" s="2"/>
      <c r="B307" s="2"/>
    </row>
    <row r="308" spans="1:2" ht="13" x14ac:dyDescent="0.15">
      <c r="A308" s="2"/>
      <c r="B308" s="2"/>
    </row>
    <row r="309" spans="1:2" ht="13" x14ac:dyDescent="0.15">
      <c r="A309" s="2"/>
      <c r="B309" s="2"/>
    </row>
    <row r="310" spans="1:2" ht="13" x14ac:dyDescent="0.15">
      <c r="A310" s="2"/>
      <c r="B310" s="2"/>
    </row>
    <row r="311" spans="1:2" ht="13" x14ac:dyDescent="0.15">
      <c r="A311" s="2"/>
      <c r="B311" s="2"/>
    </row>
    <row r="312" spans="1:2" ht="13" x14ac:dyDescent="0.15">
      <c r="A312" s="2"/>
      <c r="B312" s="2"/>
    </row>
    <row r="313" spans="1:2" ht="13" x14ac:dyDescent="0.15">
      <c r="A313" s="2"/>
      <c r="B313" s="2"/>
    </row>
    <row r="314" spans="1:2" ht="13" x14ac:dyDescent="0.15">
      <c r="A314" s="2"/>
      <c r="B314" s="2"/>
    </row>
    <row r="315" spans="1:2" ht="13" x14ac:dyDescent="0.15">
      <c r="A315" s="2"/>
      <c r="B315" s="2"/>
    </row>
    <row r="316" spans="1:2" ht="13" x14ac:dyDescent="0.15">
      <c r="A316" s="2"/>
      <c r="B316" s="2"/>
    </row>
    <row r="317" spans="1:2" ht="13" x14ac:dyDescent="0.15">
      <c r="A317" s="2"/>
      <c r="B317" s="2"/>
    </row>
    <row r="318" spans="1:2" ht="13" x14ac:dyDescent="0.15">
      <c r="A318" s="2"/>
      <c r="B318" s="2"/>
    </row>
    <row r="319" spans="1:2" ht="13" x14ac:dyDescent="0.15">
      <c r="A319" s="2"/>
      <c r="B319" s="2"/>
    </row>
    <row r="320" spans="1:2" ht="13" x14ac:dyDescent="0.15">
      <c r="A320" s="2"/>
      <c r="B320" s="2"/>
    </row>
    <row r="321" spans="1:2" ht="13" x14ac:dyDescent="0.15">
      <c r="A321" s="2"/>
      <c r="B321" s="2"/>
    </row>
    <row r="322" spans="1:2" ht="13" x14ac:dyDescent="0.15">
      <c r="A322" s="2"/>
      <c r="B322" s="2"/>
    </row>
    <row r="323" spans="1:2" ht="13" x14ac:dyDescent="0.15">
      <c r="A323" s="2"/>
      <c r="B323" s="2"/>
    </row>
    <row r="324" spans="1:2" ht="13" x14ac:dyDescent="0.15">
      <c r="A324" s="2"/>
      <c r="B324" s="2"/>
    </row>
    <row r="325" spans="1:2" ht="13" x14ac:dyDescent="0.15">
      <c r="A325" s="2"/>
      <c r="B325" s="2"/>
    </row>
    <row r="326" spans="1:2" ht="13" x14ac:dyDescent="0.15">
      <c r="A326" s="2"/>
      <c r="B326" s="2"/>
    </row>
    <row r="327" spans="1:2" ht="13" x14ac:dyDescent="0.15">
      <c r="A327" s="2"/>
      <c r="B327" s="2"/>
    </row>
    <row r="328" spans="1:2" ht="13" x14ac:dyDescent="0.15">
      <c r="A328" s="2"/>
      <c r="B328" s="2"/>
    </row>
    <row r="329" spans="1:2" ht="13" x14ac:dyDescent="0.15">
      <c r="A329" s="2"/>
      <c r="B329" s="2"/>
    </row>
    <row r="330" spans="1:2" ht="13" x14ac:dyDescent="0.15">
      <c r="A330" s="2"/>
      <c r="B330" s="2"/>
    </row>
    <row r="331" spans="1:2" ht="13" x14ac:dyDescent="0.15">
      <c r="A331" s="2"/>
      <c r="B331" s="2"/>
    </row>
    <row r="332" spans="1:2" ht="13" x14ac:dyDescent="0.15">
      <c r="A332" s="2"/>
      <c r="B332" s="2"/>
    </row>
    <row r="333" spans="1:2" ht="13" x14ac:dyDescent="0.15">
      <c r="A333" s="2"/>
      <c r="B333" s="2"/>
    </row>
    <row r="334" spans="1:2" ht="13" x14ac:dyDescent="0.15">
      <c r="A334" s="2"/>
      <c r="B334" s="2"/>
    </row>
    <row r="335" spans="1:2" ht="13" x14ac:dyDescent="0.15">
      <c r="A335" s="2"/>
      <c r="B335" s="2"/>
    </row>
    <row r="336" spans="1:2" ht="13" x14ac:dyDescent="0.15">
      <c r="A336" s="2"/>
      <c r="B336" s="2"/>
    </row>
    <row r="337" spans="1:2" ht="13" x14ac:dyDescent="0.15">
      <c r="A337" s="2"/>
      <c r="B337" s="2"/>
    </row>
    <row r="338" spans="1:2" ht="13" x14ac:dyDescent="0.15">
      <c r="A338" s="2"/>
      <c r="B338" s="2"/>
    </row>
    <row r="339" spans="1:2" ht="13" x14ac:dyDescent="0.15">
      <c r="A339" s="2"/>
      <c r="B339" s="2"/>
    </row>
    <row r="340" spans="1:2" ht="13" x14ac:dyDescent="0.15">
      <c r="A340" s="2"/>
      <c r="B340" s="2"/>
    </row>
    <row r="341" spans="1:2" ht="13" x14ac:dyDescent="0.15">
      <c r="A341" s="2"/>
      <c r="B341" s="2"/>
    </row>
    <row r="342" spans="1:2" ht="13" x14ac:dyDescent="0.15">
      <c r="A342" s="2"/>
      <c r="B342" s="2"/>
    </row>
    <row r="343" spans="1:2" ht="13" x14ac:dyDescent="0.15">
      <c r="A343" s="2"/>
      <c r="B343" s="2"/>
    </row>
    <row r="344" spans="1:2" ht="13" x14ac:dyDescent="0.15">
      <c r="A344" s="2"/>
      <c r="B344" s="2"/>
    </row>
    <row r="345" spans="1:2" ht="13" x14ac:dyDescent="0.15">
      <c r="A345" s="2"/>
      <c r="B345" s="2"/>
    </row>
    <row r="346" spans="1:2" ht="13" x14ac:dyDescent="0.15">
      <c r="A346" s="2"/>
      <c r="B346" s="2"/>
    </row>
    <row r="347" spans="1:2" ht="13" x14ac:dyDescent="0.15">
      <c r="A347" s="2"/>
      <c r="B347" s="2"/>
    </row>
    <row r="348" spans="1:2" ht="13" x14ac:dyDescent="0.15">
      <c r="A348" s="2"/>
      <c r="B348" s="2"/>
    </row>
    <row r="349" spans="1:2" ht="13" x14ac:dyDescent="0.15">
      <c r="A349" s="2"/>
      <c r="B349" s="2"/>
    </row>
    <row r="350" spans="1:2" ht="13" x14ac:dyDescent="0.15">
      <c r="A350" s="2"/>
      <c r="B350" s="2"/>
    </row>
    <row r="351" spans="1:2" ht="13" x14ac:dyDescent="0.15">
      <c r="A351" s="2"/>
      <c r="B351" s="2"/>
    </row>
    <row r="352" spans="1:2" ht="13" x14ac:dyDescent="0.15">
      <c r="A352" s="2"/>
      <c r="B352" s="2"/>
    </row>
    <row r="353" spans="1:2" ht="13" x14ac:dyDescent="0.15">
      <c r="A353" s="2"/>
      <c r="B353" s="2"/>
    </row>
    <row r="354" spans="1:2" ht="13" x14ac:dyDescent="0.15">
      <c r="A354" s="2"/>
      <c r="B354" s="2"/>
    </row>
    <row r="355" spans="1:2" ht="13" x14ac:dyDescent="0.15">
      <c r="A355" s="2"/>
      <c r="B355" s="2"/>
    </row>
    <row r="356" spans="1:2" ht="13" x14ac:dyDescent="0.15">
      <c r="A356" s="2"/>
      <c r="B356" s="2"/>
    </row>
    <row r="357" spans="1:2" ht="13" x14ac:dyDescent="0.15">
      <c r="A357" s="2"/>
      <c r="B357" s="2"/>
    </row>
    <row r="358" spans="1:2" ht="13" x14ac:dyDescent="0.15">
      <c r="A358" s="2"/>
      <c r="B358" s="2"/>
    </row>
    <row r="359" spans="1:2" ht="13" x14ac:dyDescent="0.15">
      <c r="A359" s="2"/>
      <c r="B359" s="2"/>
    </row>
    <row r="360" spans="1:2" ht="13" x14ac:dyDescent="0.15">
      <c r="A360" s="2"/>
      <c r="B360" s="2"/>
    </row>
    <row r="361" spans="1:2" ht="13" x14ac:dyDescent="0.15">
      <c r="A361" s="2"/>
      <c r="B361" s="2"/>
    </row>
    <row r="362" spans="1:2" ht="13" x14ac:dyDescent="0.15">
      <c r="A362" s="2"/>
      <c r="B362" s="2"/>
    </row>
    <row r="363" spans="1:2" ht="13" x14ac:dyDescent="0.15">
      <c r="A363" s="2"/>
      <c r="B363" s="2"/>
    </row>
    <row r="364" spans="1:2" ht="13" x14ac:dyDescent="0.15">
      <c r="A364" s="2"/>
      <c r="B364" s="2"/>
    </row>
    <row r="365" spans="1:2" ht="13" x14ac:dyDescent="0.15">
      <c r="A365" s="2"/>
      <c r="B365" s="2"/>
    </row>
    <row r="366" spans="1:2" ht="13" x14ac:dyDescent="0.15">
      <c r="A366" s="2"/>
      <c r="B366" s="2"/>
    </row>
    <row r="367" spans="1:2" ht="13" x14ac:dyDescent="0.15">
      <c r="A367" s="2"/>
      <c r="B367" s="2"/>
    </row>
    <row r="368" spans="1:2" ht="13" x14ac:dyDescent="0.15">
      <c r="A368" s="2"/>
      <c r="B368" s="2"/>
    </row>
    <row r="369" spans="1:2" ht="13" x14ac:dyDescent="0.15">
      <c r="A369" s="2"/>
      <c r="B369" s="2"/>
    </row>
    <row r="370" spans="1:2" ht="13" x14ac:dyDescent="0.15">
      <c r="A370" s="2"/>
      <c r="B370" s="2"/>
    </row>
    <row r="371" spans="1:2" ht="13" x14ac:dyDescent="0.15">
      <c r="A371" s="2"/>
      <c r="B371" s="2"/>
    </row>
    <row r="372" spans="1:2" ht="13" x14ac:dyDescent="0.15">
      <c r="A372" s="2"/>
      <c r="B372" s="2"/>
    </row>
    <row r="373" spans="1:2" ht="13" x14ac:dyDescent="0.15">
      <c r="A373" s="2"/>
      <c r="B373" s="2"/>
    </row>
    <row r="374" spans="1:2" ht="13" x14ac:dyDescent="0.15">
      <c r="A374" s="2"/>
      <c r="B374" s="2"/>
    </row>
    <row r="375" spans="1:2" ht="13" x14ac:dyDescent="0.15">
      <c r="A375" s="2"/>
      <c r="B375" s="2"/>
    </row>
    <row r="376" spans="1:2" ht="13" x14ac:dyDescent="0.15">
      <c r="A376" s="2"/>
      <c r="B376" s="2"/>
    </row>
    <row r="377" spans="1:2" ht="13" x14ac:dyDescent="0.15">
      <c r="A377" s="2"/>
      <c r="B377" s="2"/>
    </row>
    <row r="378" spans="1:2" ht="13" x14ac:dyDescent="0.15">
      <c r="A378" s="2"/>
      <c r="B378" s="2"/>
    </row>
    <row r="379" spans="1:2" ht="13" x14ac:dyDescent="0.15">
      <c r="A379" s="2"/>
      <c r="B379" s="2"/>
    </row>
    <row r="380" spans="1:2" ht="13" x14ac:dyDescent="0.15">
      <c r="A380" s="2"/>
      <c r="B380" s="2"/>
    </row>
    <row r="381" spans="1:2" ht="13" x14ac:dyDescent="0.15">
      <c r="A381" s="2"/>
      <c r="B381" s="2"/>
    </row>
    <row r="382" spans="1:2" ht="13" x14ac:dyDescent="0.15">
      <c r="A382" s="2"/>
      <c r="B382" s="2"/>
    </row>
    <row r="383" spans="1:2" ht="13" x14ac:dyDescent="0.15">
      <c r="A383" s="2"/>
      <c r="B383" s="2"/>
    </row>
    <row r="384" spans="1:2" ht="13" x14ac:dyDescent="0.15">
      <c r="A384" s="2"/>
      <c r="B384" s="2"/>
    </row>
    <row r="385" spans="1:2" ht="13" x14ac:dyDescent="0.15">
      <c r="A385" s="2"/>
      <c r="B385" s="2"/>
    </row>
    <row r="386" spans="1:2" ht="13" x14ac:dyDescent="0.15">
      <c r="A386" s="2"/>
      <c r="B386" s="2"/>
    </row>
    <row r="387" spans="1:2" ht="13" x14ac:dyDescent="0.15">
      <c r="A387" s="2"/>
      <c r="B387" s="2"/>
    </row>
    <row r="388" spans="1:2" ht="13" x14ac:dyDescent="0.15">
      <c r="A388" s="2"/>
      <c r="B388" s="2"/>
    </row>
    <row r="389" spans="1:2" ht="13" x14ac:dyDescent="0.15">
      <c r="A389" s="2"/>
      <c r="B389" s="2"/>
    </row>
    <row r="390" spans="1:2" ht="13" x14ac:dyDescent="0.15">
      <c r="A390" s="2"/>
      <c r="B390" s="2"/>
    </row>
    <row r="391" spans="1:2" ht="13" x14ac:dyDescent="0.15">
      <c r="A391" s="2"/>
      <c r="B391" s="2"/>
    </row>
    <row r="392" spans="1:2" ht="13" x14ac:dyDescent="0.15">
      <c r="A392" s="2"/>
      <c r="B392" s="2"/>
    </row>
    <row r="393" spans="1:2" ht="13" x14ac:dyDescent="0.15">
      <c r="A393" s="2"/>
      <c r="B393" s="2"/>
    </row>
    <row r="394" spans="1:2" ht="13" x14ac:dyDescent="0.15">
      <c r="A394" s="2"/>
      <c r="B394" s="2"/>
    </row>
    <row r="395" spans="1:2" ht="13" x14ac:dyDescent="0.15">
      <c r="A395" s="2"/>
      <c r="B395" s="2"/>
    </row>
    <row r="396" spans="1:2" ht="13" x14ac:dyDescent="0.15">
      <c r="A396" s="2"/>
      <c r="B396" s="2"/>
    </row>
    <row r="397" spans="1:2" ht="13" x14ac:dyDescent="0.15">
      <c r="A397" s="2"/>
      <c r="B397" s="2"/>
    </row>
    <row r="398" spans="1:2" ht="13" x14ac:dyDescent="0.15">
      <c r="A398" s="2"/>
      <c r="B398" s="2"/>
    </row>
    <row r="399" spans="1:2" ht="13" x14ac:dyDescent="0.15">
      <c r="A399" s="2"/>
      <c r="B399" s="2"/>
    </row>
    <row r="400" spans="1:2" ht="13" x14ac:dyDescent="0.15">
      <c r="A400" s="2"/>
      <c r="B400" s="2"/>
    </row>
    <row r="401" spans="1:2" ht="13" x14ac:dyDescent="0.15">
      <c r="A401" s="2"/>
      <c r="B401" s="2"/>
    </row>
    <row r="402" spans="1:2" ht="13" x14ac:dyDescent="0.15">
      <c r="A402" s="2"/>
      <c r="B402" s="2"/>
    </row>
    <row r="403" spans="1:2" ht="13" x14ac:dyDescent="0.15">
      <c r="A403" s="2"/>
      <c r="B403" s="2"/>
    </row>
    <row r="404" spans="1:2" ht="13" x14ac:dyDescent="0.15">
      <c r="A404" s="2"/>
      <c r="B404" s="2"/>
    </row>
    <row r="405" spans="1:2" ht="13" x14ac:dyDescent="0.15">
      <c r="A405" s="2"/>
      <c r="B405" s="2"/>
    </row>
    <row r="406" spans="1:2" ht="13" x14ac:dyDescent="0.15">
      <c r="A406" s="2"/>
      <c r="B406" s="2"/>
    </row>
    <row r="407" spans="1:2" ht="13" x14ac:dyDescent="0.15">
      <c r="A407" s="2"/>
      <c r="B407" s="2"/>
    </row>
    <row r="408" spans="1:2" ht="13" x14ac:dyDescent="0.15">
      <c r="A408" s="2"/>
      <c r="B408" s="2"/>
    </row>
    <row r="409" spans="1:2" ht="13" x14ac:dyDescent="0.15">
      <c r="A409" s="2"/>
      <c r="B409" s="2"/>
    </row>
    <row r="410" spans="1:2" ht="13" x14ac:dyDescent="0.15">
      <c r="A410" s="2"/>
      <c r="B410" s="2"/>
    </row>
    <row r="411" spans="1:2" ht="13" x14ac:dyDescent="0.15">
      <c r="A411" s="2"/>
      <c r="B411" s="2"/>
    </row>
    <row r="412" spans="1:2" ht="13" x14ac:dyDescent="0.15">
      <c r="A412" s="2"/>
      <c r="B412" s="2"/>
    </row>
    <row r="413" spans="1:2" ht="13" x14ac:dyDescent="0.15">
      <c r="A413" s="2"/>
      <c r="B413" s="2"/>
    </row>
    <row r="414" spans="1:2" ht="13" x14ac:dyDescent="0.15">
      <c r="A414" s="2"/>
      <c r="B414" s="2"/>
    </row>
    <row r="415" spans="1:2" ht="13" x14ac:dyDescent="0.15">
      <c r="A415" s="2"/>
      <c r="B415" s="2"/>
    </row>
    <row r="416" spans="1:2" ht="13" x14ac:dyDescent="0.15">
      <c r="A416" s="2"/>
      <c r="B416" s="2"/>
    </row>
    <row r="417" spans="1:2" ht="13" x14ac:dyDescent="0.15">
      <c r="A417" s="2"/>
      <c r="B417" s="2"/>
    </row>
    <row r="418" spans="1:2" ht="13" x14ac:dyDescent="0.15">
      <c r="A418" s="2"/>
      <c r="B418" s="2"/>
    </row>
    <row r="419" spans="1:2" ht="13" x14ac:dyDescent="0.15">
      <c r="A419" s="2"/>
      <c r="B419" s="2"/>
    </row>
    <row r="420" spans="1:2" ht="13" x14ac:dyDescent="0.15">
      <c r="A420" s="2"/>
      <c r="B420" s="2"/>
    </row>
    <row r="421" spans="1:2" ht="13" x14ac:dyDescent="0.15">
      <c r="A421" s="2"/>
      <c r="B421" s="2"/>
    </row>
    <row r="422" spans="1:2" ht="13" x14ac:dyDescent="0.15">
      <c r="A422" s="2"/>
      <c r="B422" s="2"/>
    </row>
    <row r="423" spans="1:2" ht="13" x14ac:dyDescent="0.15">
      <c r="A423" s="2"/>
      <c r="B423" s="2"/>
    </row>
    <row r="424" spans="1:2" ht="13" x14ac:dyDescent="0.15">
      <c r="A424" s="2"/>
      <c r="B424" s="2"/>
    </row>
    <row r="425" spans="1:2" ht="13" x14ac:dyDescent="0.15">
      <c r="A425" s="2"/>
      <c r="B425" s="2"/>
    </row>
    <row r="426" spans="1:2" ht="13" x14ac:dyDescent="0.15">
      <c r="A426" s="2"/>
      <c r="B426" s="2"/>
    </row>
    <row r="427" spans="1:2" ht="13" x14ac:dyDescent="0.15">
      <c r="A427" s="2"/>
      <c r="B427" s="2"/>
    </row>
    <row r="428" spans="1:2" ht="13" x14ac:dyDescent="0.15">
      <c r="A428" s="2"/>
      <c r="B428" s="2"/>
    </row>
    <row r="429" spans="1:2" ht="13" x14ac:dyDescent="0.15">
      <c r="A429" s="2"/>
      <c r="B429" s="2"/>
    </row>
    <row r="430" spans="1:2" ht="13" x14ac:dyDescent="0.15">
      <c r="A430" s="2"/>
      <c r="B430" s="2"/>
    </row>
    <row r="431" spans="1:2" ht="13" x14ac:dyDescent="0.15">
      <c r="A431" s="2"/>
      <c r="B431" s="2"/>
    </row>
    <row r="432" spans="1:2" ht="13" x14ac:dyDescent="0.15">
      <c r="A432" s="2"/>
      <c r="B432" s="2"/>
    </row>
    <row r="433" spans="1:2" ht="13" x14ac:dyDescent="0.15">
      <c r="A433" s="2"/>
      <c r="B433" s="2"/>
    </row>
    <row r="434" spans="1:2" ht="13" x14ac:dyDescent="0.15">
      <c r="A434" s="2"/>
      <c r="B434" s="2"/>
    </row>
    <row r="435" spans="1:2" ht="13" x14ac:dyDescent="0.15">
      <c r="A435" s="2"/>
      <c r="B435" s="2"/>
    </row>
    <row r="436" spans="1:2" ht="13" x14ac:dyDescent="0.15">
      <c r="A436" s="2"/>
      <c r="B436" s="2"/>
    </row>
    <row r="437" spans="1:2" ht="13" x14ac:dyDescent="0.15">
      <c r="A437" s="2"/>
      <c r="B437" s="2"/>
    </row>
    <row r="438" spans="1:2" ht="13" x14ac:dyDescent="0.15">
      <c r="A438" s="2"/>
      <c r="B438" s="2"/>
    </row>
    <row r="439" spans="1:2" ht="13" x14ac:dyDescent="0.15">
      <c r="A439" s="2"/>
      <c r="B439" s="2"/>
    </row>
    <row r="440" spans="1:2" ht="13" x14ac:dyDescent="0.15">
      <c r="A440" s="2"/>
      <c r="B440" s="2"/>
    </row>
    <row r="441" spans="1:2" ht="13" x14ac:dyDescent="0.15">
      <c r="A441" s="2"/>
      <c r="B441" s="2"/>
    </row>
    <row r="442" spans="1:2" ht="13" x14ac:dyDescent="0.15">
      <c r="A442" s="2"/>
      <c r="B442" s="2"/>
    </row>
    <row r="443" spans="1:2" ht="13" x14ac:dyDescent="0.15">
      <c r="A443" s="2"/>
      <c r="B443" s="2"/>
    </row>
    <row r="444" spans="1:2" ht="13" x14ac:dyDescent="0.15">
      <c r="A444" s="2"/>
      <c r="B444" s="2"/>
    </row>
    <row r="445" spans="1:2" ht="13" x14ac:dyDescent="0.15">
      <c r="A445" s="2"/>
      <c r="B445" s="2"/>
    </row>
    <row r="446" spans="1:2" ht="13" x14ac:dyDescent="0.15">
      <c r="A446" s="2"/>
      <c r="B446" s="2"/>
    </row>
    <row r="447" spans="1:2" ht="13" x14ac:dyDescent="0.15">
      <c r="A447" s="2"/>
      <c r="B447" s="2"/>
    </row>
    <row r="448" spans="1:2" ht="13" x14ac:dyDescent="0.15">
      <c r="A448" s="2"/>
      <c r="B448" s="2"/>
    </row>
    <row r="449" spans="1:2" ht="13" x14ac:dyDescent="0.15">
      <c r="A449" s="2"/>
      <c r="B449" s="2"/>
    </row>
    <row r="450" spans="1:2" ht="13" x14ac:dyDescent="0.15">
      <c r="A450" s="2"/>
      <c r="B450" s="2"/>
    </row>
    <row r="451" spans="1:2" ht="13" x14ac:dyDescent="0.15">
      <c r="A451" s="2"/>
      <c r="B451" s="2"/>
    </row>
    <row r="452" spans="1:2" ht="13" x14ac:dyDescent="0.15">
      <c r="A452" s="2"/>
      <c r="B452" s="2"/>
    </row>
    <row r="453" spans="1:2" ht="13" x14ac:dyDescent="0.15">
      <c r="A453" s="2"/>
      <c r="B453" s="2"/>
    </row>
    <row r="454" spans="1:2" ht="13" x14ac:dyDescent="0.15">
      <c r="A454" s="2"/>
      <c r="B454" s="2"/>
    </row>
    <row r="455" spans="1:2" ht="13" x14ac:dyDescent="0.15">
      <c r="A455" s="2"/>
      <c r="B455" s="2"/>
    </row>
    <row r="456" spans="1:2" ht="13" x14ac:dyDescent="0.15">
      <c r="A456" s="2"/>
      <c r="B456" s="2"/>
    </row>
    <row r="457" spans="1:2" ht="13" x14ac:dyDescent="0.15">
      <c r="A457" s="2"/>
      <c r="B457" s="2"/>
    </row>
    <row r="458" spans="1:2" ht="13" x14ac:dyDescent="0.15">
      <c r="A458" s="2"/>
      <c r="B458" s="2"/>
    </row>
    <row r="459" spans="1:2" ht="13" x14ac:dyDescent="0.15">
      <c r="A459" s="2"/>
      <c r="B459" s="2"/>
    </row>
    <row r="460" spans="1:2" ht="13" x14ac:dyDescent="0.15">
      <c r="A460" s="2"/>
      <c r="B460" s="2"/>
    </row>
    <row r="461" spans="1:2" ht="13" x14ac:dyDescent="0.15">
      <c r="A461" s="2"/>
      <c r="B461" s="2"/>
    </row>
    <row r="462" spans="1:2" ht="13" x14ac:dyDescent="0.15">
      <c r="A462" s="2"/>
      <c r="B462" s="2"/>
    </row>
    <row r="463" spans="1:2" ht="13" x14ac:dyDescent="0.15">
      <c r="A463" s="2"/>
      <c r="B463" s="2"/>
    </row>
    <row r="464" spans="1:2" ht="13" x14ac:dyDescent="0.15">
      <c r="A464" s="2"/>
      <c r="B464" s="2"/>
    </row>
    <row r="465" spans="1:2" ht="13" x14ac:dyDescent="0.15">
      <c r="A465" s="2"/>
      <c r="B465" s="2"/>
    </row>
    <row r="466" spans="1:2" ht="13" x14ac:dyDescent="0.15">
      <c r="A466" s="2"/>
      <c r="B466" s="2"/>
    </row>
    <row r="467" spans="1:2" ht="13" x14ac:dyDescent="0.15">
      <c r="A467" s="2"/>
      <c r="B467" s="2"/>
    </row>
    <row r="468" spans="1:2" ht="13" x14ac:dyDescent="0.15">
      <c r="A468" s="2"/>
      <c r="B468" s="2"/>
    </row>
    <row r="469" spans="1:2" ht="13" x14ac:dyDescent="0.15">
      <c r="A469" s="2"/>
      <c r="B469" s="2"/>
    </row>
    <row r="470" spans="1:2" ht="13" x14ac:dyDescent="0.15">
      <c r="A470" s="2"/>
      <c r="B470" s="2"/>
    </row>
    <row r="471" spans="1:2" ht="13" x14ac:dyDescent="0.15">
      <c r="A471" s="2"/>
      <c r="B471" s="2"/>
    </row>
    <row r="472" spans="1:2" ht="13" x14ac:dyDescent="0.15">
      <c r="A472" s="2"/>
      <c r="B472" s="2"/>
    </row>
    <row r="473" spans="1:2" ht="13" x14ac:dyDescent="0.15">
      <c r="A473" s="2"/>
      <c r="B473" s="2"/>
    </row>
    <row r="474" spans="1:2" ht="13" x14ac:dyDescent="0.15">
      <c r="A474" s="2"/>
      <c r="B474" s="2"/>
    </row>
    <row r="475" spans="1:2" ht="13" x14ac:dyDescent="0.15">
      <c r="A475" s="2"/>
      <c r="B475" s="2"/>
    </row>
    <row r="476" spans="1:2" ht="13" x14ac:dyDescent="0.15">
      <c r="A476" s="2"/>
      <c r="B476" s="2"/>
    </row>
    <row r="477" spans="1:2" ht="13" x14ac:dyDescent="0.15">
      <c r="A477" s="2"/>
      <c r="B477" s="2"/>
    </row>
    <row r="478" spans="1:2" ht="13" x14ac:dyDescent="0.15">
      <c r="A478" s="2"/>
      <c r="B478" s="2"/>
    </row>
    <row r="479" spans="1:2" ht="13" x14ac:dyDescent="0.15">
      <c r="A479" s="2"/>
      <c r="B479" s="2"/>
    </row>
    <row r="480" spans="1:2" ht="13" x14ac:dyDescent="0.15">
      <c r="A480" s="2"/>
      <c r="B480" s="2"/>
    </row>
    <row r="481" spans="1:2" ht="13" x14ac:dyDescent="0.15">
      <c r="A481" s="2"/>
      <c r="B481" s="2"/>
    </row>
    <row r="482" spans="1:2" ht="13" x14ac:dyDescent="0.15">
      <c r="A482" s="2"/>
      <c r="B482" s="2"/>
    </row>
    <row r="483" spans="1:2" ht="13" x14ac:dyDescent="0.15">
      <c r="A483" s="2"/>
      <c r="B483" s="2"/>
    </row>
    <row r="484" spans="1:2" ht="13" x14ac:dyDescent="0.15">
      <c r="A484" s="2"/>
      <c r="B484" s="2"/>
    </row>
    <row r="485" spans="1:2" ht="13" x14ac:dyDescent="0.15">
      <c r="A485" s="2"/>
      <c r="B485" s="2"/>
    </row>
    <row r="486" spans="1:2" ht="13" x14ac:dyDescent="0.15">
      <c r="A486" s="2"/>
      <c r="B486" s="2"/>
    </row>
    <row r="487" spans="1:2" ht="13" x14ac:dyDescent="0.15">
      <c r="A487" s="2"/>
      <c r="B487" s="2"/>
    </row>
    <row r="488" spans="1:2" ht="13" x14ac:dyDescent="0.15">
      <c r="A488" s="2"/>
      <c r="B488" s="2"/>
    </row>
    <row r="489" spans="1:2" ht="13" x14ac:dyDescent="0.15">
      <c r="A489" s="2"/>
      <c r="B489" s="2"/>
    </row>
    <row r="490" spans="1:2" ht="13" x14ac:dyDescent="0.15">
      <c r="A490" s="2"/>
      <c r="B490" s="2"/>
    </row>
    <row r="491" spans="1:2" ht="13" x14ac:dyDescent="0.15">
      <c r="A491" s="2"/>
      <c r="B491" s="2"/>
    </row>
    <row r="492" spans="1:2" ht="13" x14ac:dyDescent="0.15">
      <c r="A492" s="2"/>
      <c r="B492" s="2"/>
    </row>
    <row r="493" spans="1:2" ht="13" x14ac:dyDescent="0.15">
      <c r="A493" s="2"/>
      <c r="B493" s="2"/>
    </row>
    <row r="494" spans="1:2" ht="13" x14ac:dyDescent="0.15">
      <c r="A494" s="2"/>
      <c r="B494" s="2"/>
    </row>
    <row r="495" spans="1:2" ht="13" x14ac:dyDescent="0.15">
      <c r="A495" s="2"/>
      <c r="B495" s="2"/>
    </row>
    <row r="496" spans="1:2" ht="13" x14ac:dyDescent="0.15">
      <c r="A496" s="2"/>
      <c r="B496" s="2"/>
    </row>
    <row r="497" spans="1:2" ht="13" x14ac:dyDescent="0.15">
      <c r="A497" s="2"/>
      <c r="B497" s="2"/>
    </row>
    <row r="498" spans="1:2" ht="13" x14ac:dyDescent="0.15">
      <c r="A498" s="2"/>
      <c r="B498" s="2"/>
    </row>
    <row r="499" spans="1:2" ht="13" x14ac:dyDescent="0.15">
      <c r="A499" s="2"/>
      <c r="B499" s="2"/>
    </row>
    <row r="500" spans="1:2" ht="13" x14ac:dyDescent="0.15">
      <c r="A500" s="2"/>
      <c r="B500" s="2"/>
    </row>
    <row r="501" spans="1:2" ht="13" x14ac:dyDescent="0.15">
      <c r="A501" s="2"/>
      <c r="B501" s="2"/>
    </row>
    <row r="502" spans="1:2" ht="13" x14ac:dyDescent="0.15">
      <c r="A502" s="2"/>
      <c r="B502" s="2"/>
    </row>
    <row r="503" spans="1:2" ht="13" x14ac:dyDescent="0.15">
      <c r="A503" s="2"/>
      <c r="B503" s="2"/>
    </row>
    <row r="504" spans="1:2" ht="13" x14ac:dyDescent="0.15">
      <c r="A504" s="2"/>
      <c r="B504" s="2"/>
    </row>
    <row r="505" spans="1:2" ht="13" x14ac:dyDescent="0.15">
      <c r="A505" s="2"/>
      <c r="B505" s="2"/>
    </row>
    <row r="506" spans="1:2" ht="13" x14ac:dyDescent="0.15">
      <c r="A506" s="2"/>
      <c r="B506" s="2"/>
    </row>
    <row r="507" spans="1:2" ht="13" x14ac:dyDescent="0.15">
      <c r="A507" s="2"/>
      <c r="B507" s="2"/>
    </row>
    <row r="508" spans="1:2" ht="13" x14ac:dyDescent="0.15">
      <c r="A508" s="2"/>
      <c r="B508" s="2"/>
    </row>
    <row r="509" spans="1:2" ht="13" x14ac:dyDescent="0.15">
      <c r="A509" s="2"/>
      <c r="B509" s="2"/>
    </row>
    <row r="510" spans="1:2" ht="13" x14ac:dyDescent="0.15">
      <c r="A510" s="2"/>
      <c r="B510" s="2"/>
    </row>
    <row r="511" spans="1:2" ht="13" x14ac:dyDescent="0.15">
      <c r="A511" s="2"/>
      <c r="B511" s="2"/>
    </row>
    <row r="512" spans="1:2" ht="13" x14ac:dyDescent="0.15">
      <c r="A512" s="2"/>
      <c r="B512" s="2"/>
    </row>
    <row r="513" spans="1:2" ht="13" x14ac:dyDescent="0.15">
      <c r="A513" s="2"/>
      <c r="B513" s="2"/>
    </row>
    <row r="514" spans="1:2" ht="13" x14ac:dyDescent="0.15">
      <c r="A514" s="2"/>
      <c r="B514" s="2"/>
    </row>
    <row r="515" spans="1:2" ht="13" x14ac:dyDescent="0.15">
      <c r="A515" s="2"/>
      <c r="B515" s="2"/>
    </row>
    <row r="516" spans="1:2" ht="13" x14ac:dyDescent="0.15">
      <c r="A516" s="2"/>
      <c r="B516" s="2"/>
    </row>
    <row r="517" spans="1:2" ht="13" x14ac:dyDescent="0.15">
      <c r="A517" s="2"/>
      <c r="B517" s="2"/>
    </row>
    <row r="518" spans="1:2" ht="13" x14ac:dyDescent="0.15">
      <c r="A518" s="2"/>
      <c r="B518" s="2"/>
    </row>
    <row r="519" spans="1:2" ht="13" x14ac:dyDescent="0.15">
      <c r="A519" s="2"/>
      <c r="B519" s="2"/>
    </row>
    <row r="520" spans="1:2" ht="13" x14ac:dyDescent="0.15">
      <c r="A520" s="2"/>
      <c r="B520" s="2"/>
    </row>
    <row r="521" spans="1:2" ht="13" x14ac:dyDescent="0.15">
      <c r="A521" s="2"/>
      <c r="B521" s="2"/>
    </row>
    <row r="522" spans="1:2" ht="13" x14ac:dyDescent="0.15">
      <c r="A522" s="2"/>
      <c r="B522" s="2"/>
    </row>
    <row r="523" spans="1:2" ht="13" x14ac:dyDescent="0.15">
      <c r="A523" s="2"/>
      <c r="B523" s="2"/>
    </row>
    <row r="524" spans="1:2" ht="13" x14ac:dyDescent="0.15">
      <c r="A524" s="2"/>
      <c r="B524" s="2"/>
    </row>
    <row r="525" spans="1:2" ht="13" x14ac:dyDescent="0.15">
      <c r="A525" s="2"/>
      <c r="B525" s="2"/>
    </row>
    <row r="526" spans="1:2" ht="13" x14ac:dyDescent="0.15">
      <c r="A526" s="2"/>
      <c r="B526" s="2"/>
    </row>
    <row r="527" spans="1:2" ht="13" x14ac:dyDescent="0.15">
      <c r="A527" s="2"/>
      <c r="B527" s="2"/>
    </row>
    <row r="528" spans="1:2" ht="13" x14ac:dyDescent="0.15">
      <c r="A528" s="2"/>
      <c r="B528" s="2"/>
    </row>
    <row r="529" spans="1:2" ht="13" x14ac:dyDescent="0.15">
      <c r="A529" s="2"/>
      <c r="B529" s="2"/>
    </row>
    <row r="530" spans="1:2" ht="13" x14ac:dyDescent="0.15">
      <c r="A530" s="2"/>
      <c r="B530" s="2"/>
    </row>
    <row r="531" spans="1:2" ht="13" x14ac:dyDescent="0.15">
      <c r="A531" s="2"/>
      <c r="B531" s="2"/>
    </row>
    <row r="532" spans="1:2" ht="13" x14ac:dyDescent="0.15">
      <c r="A532" s="2"/>
      <c r="B532" s="2"/>
    </row>
    <row r="533" spans="1:2" ht="13" x14ac:dyDescent="0.15">
      <c r="A533" s="2"/>
      <c r="B533" s="2"/>
    </row>
    <row r="534" spans="1:2" ht="13" x14ac:dyDescent="0.15">
      <c r="A534" s="2"/>
      <c r="B534" s="2"/>
    </row>
    <row r="535" spans="1:2" ht="13" x14ac:dyDescent="0.15">
      <c r="A535" s="2"/>
      <c r="B535" s="2"/>
    </row>
    <row r="536" spans="1:2" ht="13" x14ac:dyDescent="0.15">
      <c r="A536" s="2"/>
      <c r="B536" s="2"/>
    </row>
    <row r="537" spans="1:2" ht="13" x14ac:dyDescent="0.15">
      <c r="A537" s="2"/>
      <c r="B537" s="2"/>
    </row>
    <row r="538" spans="1:2" ht="13" x14ac:dyDescent="0.15">
      <c r="A538" s="2"/>
      <c r="B538" s="2"/>
    </row>
    <row r="539" spans="1:2" ht="13" x14ac:dyDescent="0.15">
      <c r="A539" s="2"/>
      <c r="B539" s="2"/>
    </row>
    <row r="540" spans="1:2" ht="13" x14ac:dyDescent="0.15">
      <c r="A540" s="2"/>
      <c r="B540" s="2"/>
    </row>
    <row r="541" spans="1:2" ht="13" x14ac:dyDescent="0.15">
      <c r="A541" s="2"/>
      <c r="B541" s="2"/>
    </row>
    <row r="542" spans="1:2" ht="13" x14ac:dyDescent="0.15">
      <c r="A542" s="2"/>
      <c r="B542" s="2"/>
    </row>
    <row r="543" spans="1:2" ht="13" x14ac:dyDescent="0.15">
      <c r="A543" s="2"/>
      <c r="B543" s="2"/>
    </row>
    <row r="544" spans="1:2" ht="13" x14ac:dyDescent="0.15">
      <c r="A544" s="2"/>
      <c r="B544" s="2"/>
    </row>
    <row r="545" spans="1:2" ht="13" x14ac:dyDescent="0.15">
      <c r="A545" s="2"/>
      <c r="B545" s="2"/>
    </row>
    <row r="546" spans="1:2" ht="13" x14ac:dyDescent="0.15">
      <c r="A546" s="2"/>
      <c r="B546" s="2"/>
    </row>
    <row r="547" spans="1:2" ht="13" x14ac:dyDescent="0.15">
      <c r="A547" s="2"/>
      <c r="B547" s="2"/>
    </row>
    <row r="548" spans="1:2" ht="13" x14ac:dyDescent="0.15">
      <c r="A548" s="2"/>
      <c r="B548" s="2"/>
    </row>
    <row r="549" spans="1:2" ht="13" x14ac:dyDescent="0.15">
      <c r="A549" s="2"/>
      <c r="B549" s="2"/>
    </row>
    <row r="550" spans="1:2" ht="13" x14ac:dyDescent="0.15">
      <c r="A550" s="2"/>
      <c r="B550" s="2"/>
    </row>
    <row r="551" spans="1:2" ht="13" x14ac:dyDescent="0.15">
      <c r="A551" s="2"/>
      <c r="B551" s="2"/>
    </row>
    <row r="552" spans="1:2" ht="13" x14ac:dyDescent="0.15">
      <c r="A552" s="2"/>
      <c r="B552" s="2"/>
    </row>
    <row r="553" spans="1:2" ht="13" x14ac:dyDescent="0.15">
      <c r="A553" s="2"/>
      <c r="B553" s="2"/>
    </row>
    <row r="554" spans="1:2" ht="13" x14ac:dyDescent="0.15">
      <c r="A554" s="2"/>
      <c r="B554" s="2"/>
    </row>
    <row r="555" spans="1:2" ht="13" x14ac:dyDescent="0.15">
      <c r="A555" s="2"/>
      <c r="B555" s="2"/>
    </row>
    <row r="556" spans="1:2" ht="13" x14ac:dyDescent="0.15">
      <c r="A556" s="2"/>
      <c r="B556" s="2"/>
    </row>
    <row r="557" spans="1:2" ht="13" x14ac:dyDescent="0.15">
      <c r="A557" s="2"/>
      <c r="B557" s="2"/>
    </row>
    <row r="558" spans="1:2" ht="13" x14ac:dyDescent="0.15">
      <c r="A558" s="2"/>
      <c r="B558" s="2"/>
    </row>
    <row r="559" spans="1:2" ht="13" x14ac:dyDescent="0.15">
      <c r="A559" s="2"/>
      <c r="B559" s="2"/>
    </row>
    <row r="560" spans="1:2" ht="13" x14ac:dyDescent="0.15">
      <c r="A560" s="2"/>
      <c r="B560" s="2"/>
    </row>
    <row r="561" spans="1:2" ht="13" x14ac:dyDescent="0.15">
      <c r="A561" s="2"/>
      <c r="B561" s="2"/>
    </row>
    <row r="562" spans="1:2" ht="13" x14ac:dyDescent="0.15">
      <c r="A562" s="2"/>
      <c r="B562" s="2"/>
    </row>
    <row r="563" spans="1:2" ht="13" x14ac:dyDescent="0.15">
      <c r="A563" s="2"/>
      <c r="B563" s="2"/>
    </row>
    <row r="564" spans="1:2" ht="13" x14ac:dyDescent="0.15">
      <c r="A564" s="2"/>
      <c r="B564" s="2"/>
    </row>
    <row r="565" spans="1:2" ht="13" x14ac:dyDescent="0.15">
      <c r="A565" s="2"/>
      <c r="B565" s="2"/>
    </row>
    <row r="566" spans="1:2" ht="13" x14ac:dyDescent="0.15">
      <c r="A566" s="2"/>
      <c r="B566" s="2"/>
    </row>
    <row r="567" spans="1:2" ht="13" x14ac:dyDescent="0.15">
      <c r="A567" s="2"/>
      <c r="B567" s="2"/>
    </row>
    <row r="568" spans="1:2" ht="13" x14ac:dyDescent="0.15">
      <c r="A568" s="2"/>
      <c r="B568" s="2"/>
    </row>
    <row r="569" spans="1:2" ht="13" x14ac:dyDescent="0.15">
      <c r="A569" s="2"/>
      <c r="B569" s="2"/>
    </row>
    <row r="570" spans="1:2" ht="13" x14ac:dyDescent="0.15">
      <c r="A570" s="2"/>
      <c r="B570" s="2"/>
    </row>
    <row r="571" spans="1:2" ht="13" x14ac:dyDescent="0.15">
      <c r="A571" s="2"/>
      <c r="B571" s="2"/>
    </row>
    <row r="572" spans="1:2" ht="13" x14ac:dyDescent="0.15">
      <c r="A572" s="2"/>
      <c r="B572" s="2"/>
    </row>
    <row r="573" spans="1:2" ht="13" x14ac:dyDescent="0.15">
      <c r="A573" s="2"/>
      <c r="B573" s="2"/>
    </row>
    <row r="574" spans="1:2" ht="13" x14ac:dyDescent="0.15">
      <c r="A574" s="2"/>
      <c r="B574" s="2"/>
    </row>
    <row r="575" spans="1:2" ht="13" x14ac:dyDescent="0.15">
      <c r="A575" s="2"/>
      <c r="B575" s="2"/>
    </row>
    <row r="576" spans="1:2" ht="13" x14ac:dyDescent="0.15">
      <c r="A576" s="2"/>
      <c r="B576" s="2"/>
    </row>
    <row r="577" spans="1:2" ht="13" x14ac:dyDescent="0.15">
      <c r="A577" s="2"/>
      <c r="B577" s="2"/>
    </row>
    <row r="578" spans="1:2" ht="13" x14ac:dyDescent="0.15">
      <c r="A578" s="2"/>
      <c r="B578" s="2"/>
    </row>
    <row r="579" spans="1:2" ht="13" x14ac:dyDescent="0.15">
      <c r="A579" s="2"/>
      <c r="B579" s="2"/>
    </row>
    <row r="580" spans="1:2" ht="13" x14ac:dyDescent="0.15">
      <c r="A580" s="2"/>
      <c r="B580" s="2"/>
    </row>
    <row r="581" spans="1:2" ht="13" x14ac:dyDescent="0.15">
      <c r="A581" s="2"/>
      <c r="B581" s="2"/>
    </row>
    <row r="582" spans="1:2" ht="13" x14ac:dyDescent="0.15">
      <c r="A582" s="2"/>
      <c r="B582" s="2"/>
    </row>
    <row r="583" spans="1:2" ht="13" x14ac:dyDescent="0.15">
      <c r="A583" s="2"/>
      <c r="B583" s="2"/>
    </row>
    <row r="584" spans="1:2" ht="13" x14ac:dyDescent="0.15">
      <c r="A584" s="2"/>
      <c r="B584" s="2"/>
    </row>
    <row r="585" spans="1:2" ht="13" x14ac:dyDescent="0.15">
      <c r="A585" s="2"/>
      <c r="B585" s="2"/>
    </row>
    <row r="586" spans="1:2" ht="13" x14ac:dyDescent="0.15">
      <c r="A586" s="2"/>
      <c r="B586" s="2"/>
    </row>
    <row r="587" spans="1:2" ht="13" x14ac:dyDescent="0.15">
      <c r="A587" s="2"/>
      <c r="B587" s="2"/>
    </row>
    <row r="588" spans="1:2" ht="13" x14ac:dyDescent="0.15">
      <c r="A588" s="2"/>
      <c r="B588" s="2"/>
    </row>
    <row r="589" spans="1:2" ht="13" x14ac:dyDescent="0.15">
      <c r="A589" s="2"/>
      <c r="B589" s="2"/>
    </row>
    <row r="590" spans="1:2" ht="13" x14ac:dyDescent="0.15">
      <c r="A590" s="2"/>
      <c r="B590" s="2"/>
    </row>
    <row r="591" spans="1:2" ht="13" x14ac:dyDescent="0.15">
      <c r="A591" s="2"/>
      <c r="B591" s="2"/>
    </row>
    <row r="592" spans="1:2" ht="13" x14ac:dyDescent="0.15">
      <c r="A592" s="2"/>
      <c r="B592" s="2"/>
    </row>
    <row r="593" spans="1:2" ht="13" x14ac:dyDescent="0.15">
      <c r="A593" s="2"/>
      <c r="B593" s="2"/>
    </row>
    <row r="594" spans="1:2" ht="13" x14ac:dyDescent="0.15">
      <c r="A594" s="2"/>
      <c r="B594" s="2"/>
    </row>
    <row r="595" spans="1:2" ht="13" x14ac:dyDescent="0.15">
      <c r="A595" s="2"/>
      <c r="B595" s="2"/>
    </row>
    <row r="596" spans="1:2" ht="13" x14ac:dyDescent="0.15">
      <c r="A596" s="2"/>
      <c r="B596" s="2"/>
    </row>
    <row r="597" spans="1:2" ht="13" x14ac:dyDescent="0.15">
      <c r="A597" s="2"/>
      <c r="B597" s="2"/>
    </row>
    <row r="598" spans="1:2" ht="13" x14ac:dyDescent="0.15">
      <c r="A598" s="2"/>
      <c r="B598" s="2"/>
    </row>
    <row r="599" spans="1:2" ht="13" x14ac:dyDescent="0.15">
      <c r="A599" s="2"/>
      <c r="B599" s="2"/>
    </row>
    <row r="600" spans="1:2" ht="13" x14ac:dyDescent="0.15">
      <c r="A600" s="2"/>
      <c r="B600" s="2"/>
    </row>
    <row r="601" spans="1:2" ht="13" x14ac:dyDescent="0.15">
      <c r="A601" s="2"/>
      <c r="B601" s="2"/>
    </row>
    <row r="602" spans="1:2" ht="13" x14ac:dyDescent="0.15">
      <c r="A602" s="2"/>
      <c r="B602" s="2"/>
    </row>
    <row r="603" spans="1:2" ht="13" x14ac:dyDescent="0.15">
      <c r="A603" s="2"/>
      <c r="B603" s="2"/>
    </row>
    <row r="604" spans="1:2" ht="13" x14ac:dyDescent="0.15">
      <c r="A604" s="2"/>
      <c r="B604" s="2"/>
    </row>
    <row r="605" spans="1:2" ht="13" x14ac:dyDescent="0.15">
      <c r="A605" s="2"/>
      <c r="B605" s="2"/>
    </row>
    <row r="606" spans="1:2" ht="13" x14ac:dyDescent="0.15">
      <c r="A606" s="2"/>
      <c r="B606" s="2"/>
    </row>
    <row r="607" spans="1:2" ht="13" x14ac:dyDescent="0.15">
      <c r="A607" s="2"/>
      <c r="B607" s="2"/>
    </row>
    <row r="608" spans="1:2" ht="13" x14ac:dyDescent="0.15">
      <c r="A608" s="2"/>
      <c r="B608" s="2"/>
    </row>
    <row r="609" spans="1:2" ht="13" x14ac:dyDescent="0.15">
      <c r="A609" s="2"/>
      <c r="B609" s="2"/>
    </row>
    <row r="610" spans="1:2" ht="13" x14ac:dyDescent="0.15">
      <c r="A610" s="2"/>
      <c r="B610" s="2"/>
    </row>
    <row r="611" spans="1:2" ht="13" x14ac:dyDescent="0.15">
      <c r="A611" s="2"/>
      <c r="B611" s="2"/>
    </row>
    <row r="612" spans="1:2" ht="13" x14ac:dyDescent="0.15">
      <c r="A612" s="2"/>
      <c r="B612" s="2"/>
    </row>
    <row r="613" spans="1:2" ht="13" x14ac:dyDescent="0.15">
      <c r="A613" s="2"/>
      <c r="B613" s="2"/>
    </row>
    <row r="614" spans="1:2" ht="13" x14ac:dyDescent="0.15">
      <c r="A614" s="2"/>
      <c r="B614" s="2"/>
    </row>
    <row r="615" spans="1:2" ht="13" x14ac:dyDescent="0.15">
      <c r="A615" s="2"/>
      <c r="B615" s="2"/>
    </row>
    <row r="616" spans="1:2" ht="13" x14ac:dyDescent="0.15">
      <c r="A616" s="2"/>
      <c r="B616" s="2"/>
    </row>
    <row r="617" spans="1:2" ht="13" x14ac:dyDescent="0.15">
      <c r="A617" s="2"/>
      <c r="B617" s="2"/>
    </row>
    <row r="618" spans="1:2" ht="13" x14ac:dyDescent="0.15">
      <c r="A618" s="2"/>
      <c r="B618" s="2"/>
    </row>
    <row r="619" spans="1:2" ht="13" x14ac:dyDescent="0.15">
      <c r="A619" s="2"/>
      <c r="B619" s="2"/>
    </row>
    <row r="620" spans="1:2" ht="13" x14ac:dyDescent="0.15">
      <c r="A620" s="2"/>
      <c r="B620" s="2"/>
    </row>
    <row r="621" spans="1:2" ht="13" x14ac:dyDescent="0.15">
      <c r="A621" s="2"/>
      <c r="B621" s="2"/>
    </row>
    <row r="622" spans="1:2" ht="13" x14ac:dyDescent="0.15">
      <c r="A622" s="2"/>
      <c r="B622" s="2"/>
    </row>
    <row r="623" spans="1:2" ht="13" x14ac:dyDescent="0.15">
      <c r="A623" s="2"/>
      <c r="B623" s="2"/>
    </row>
    <row r="624" spans="1:2" ht="13" x14ac:dyDescent="0.15">
      <c r="A624" s="2"/>
      <c r="B624" s="2"/>
    </row>
    <row r="625" spans="1:2" ht="13" x14ac:dyDescent="0.15">
      <c r="A625" s="2"/>
      <c r="B625" s="2"/>
    </row>
    <row r="626" spans="1:2" ht="13" x14ac:dyDescent="0.15">
      <c r="A626" s="2"/>
      <c r="B626" s="2"/>
    </row>
    <row r="627" spans="1:2" ht="13" x14ac:dyDescent="0.15">
      <c r="A627" s="2"/>
      <c r="B627" s="2"/>
    </row>
    <row r="628" spans="1:2" ht="13" x14ac:dyDescent="0.15">
      <c r="A628" s="2"/>
      <c r="B628" s="2"/>
    </row>
    <row r="629" spans="1:2" ht="13" x14ac:dyDescent="0.15">
      <c r="A629" s="2"/>
      <c r="B629" s="2"/>
    </row>
    <row r="630" spans="1:2" ht="13" x14ac:dyDescent="0.15">
      <c r="A630" s="2"/>
      <c r="B630" s="2"/>
    </row>
    <row r="631" spans="1:2" ht="13" x14ac:dyDescent="0.15">
      <c r="A631" s="2"/>
      <c r="B631" s="2"/>
    </row>
    <row r="632" spans="1:2" ht="13" x14ac:dyDescent="0.15">
      <c r="A632" s="2"/>
      <c r="B632" s="2"/>
    </row>
    <row r="633" spans="1:2" ht="13" x14ac:dyDescent="0.15">
      <c r="A633" s="2"/>
      <c r="B633" s="2"/>
    </row>
    <row r="634" spans="1:2" ht="13" x14ac:dyDescent="0.15">
      <c r="A634" s="2"/>
      <c r="B634" s="2"/>
    </row>
    <row r="635" spans="1:2" ht="13" x14ac:dyDescent="0.15">
      <c r="A635" s="2"/>
      <c r="B635" s="2"/>
    </row>
    <row r="636" spans="1:2" ht="13" x14ac:dyDescent="0.15">
      <c r="A636" s="2"/>
      <c r="B636" s="2"/>
    </row>
    <row r="637" spans="1:2" ht="13" x14ac:dyDescent="0.15">
      <c r="A637" s="2"/>
      <c r="B637" s="2"/>
    </row>
    <row r="638" spans="1:2" ht="13" x14ac:dyDescent="0.15">
      <c r="A638" s="2"/>
      <c r="B638" s="2"/>
    </row>
    <row r="639" spans="1:2" ht="13" x14ac:dyDescent="0.15">
      <c r="A639" s="2"/>
      <c r="B639" s="2"/>
    </row>
    <row r="640" spans="1:2" ht="13" x14ac:dyDescent="0.15">
      <c r="A640" s="2"/>
      <c r="B640" s="2"/>
    </row>
    <row r="641" spans="1:2" ht="13" x14ac:dyDescent="0.15">
      <c r="A641" s="2"/>
      <c r="B641" s="2"/>
    </row>
    <row r="642" spans="1:2" ht="13" x14ac:dyDescent="0.15">
      <c r="A642" s="2"/>
      <c r="B642" s="2"/>
    </row>
    <row r="643" spans="1:2" ht="13" x14ac:dyDescent="0.15">
      <c r="A643" s="2"/>
      <c r="B643" s="2"/>
    </row>
    <row r="644" spans="1:2" ht="13" x14ac:dyDescent="0.15">
      <c r="A644" s="2"/>
      <c r="B644" s="2"/>
    </row>
    <row r="645" spans="1:2" ht="13" x14ac:dyDescent="0.15">
      <c r="A645" s="2"/>
      <c r="B645" s="2"/>
    </row>
    <row r="646" spans="1:2" ht="13" x14ac:dyDescent="0.15">
      <c r="A646" s="2"/>
      <c r="B646" s="2"/>
    </row>
    <row r="647" spans="1:2" ht="13" x14ac:dyDescent="0.15">
      <c r="A647" s="2"/>
      <c r="B647" s="2"/>
    </row>
    <row r="648" spans="1:2" ht="13" x14ac:dyDescent="0.15">
      <c r="A648" s="2"/>
      <c r="B648" s="2"/>
    </row>
    <row r="649" spans="1:2" ht="13" x14ac:dyDescent="0.15">
      <c r="A649" s="2"/>
      <c r="B649" s="2"/>
    </row>
    <row r="650" spans="1:2" ht="13" x14ac:dyDescent="0.15">
      <c r="A650" s="2"/>
      <c r="B650" s="2"/>
    </row>
    <row r="651" spans="1:2" ht="13" x14ac:dyDescent="0.15">
      <c r="A651" s="2"/>
      <c r="B651" s="2"/>
    </row>
    <row r="652" spans="1:2" ht="13" x14ac:dyDescent="0.15">
      <c r="A652" s="2"/>
      <c r="B652" s="2"/>
    </row>
    <row r="653" spans="1:2" ht="13" x14ac:dyDescent="0.15">
      <c r="A653" s="2"/>
      <c r="B653" s="2"/>
    </row>
    <row r="654" spans="1:2" ht="13" x14ac:dyDescent="0.15">
      <c r="A654" s="2"/>
      <c r="B654" s="2"/>
    </row>
    <row r="655" spans="1:2" ht="13" x14ac:dyDescent="0.15">
      <c r="A655" s="2"/>
      <c r="B655" s="2"/>
    </row>
    <row r="656" spans="1:2" ht="13" x14ac:dyDescent="0.15">
      <c r="A656" s="2"/>
      <c r="B656" s="2"/>
    </row>
    <row r="657" spans="1:2" ht="13" x14ac:dyDescent="0.15">
      <c r="A657" s="2"/>
      <c r="B657" s="2"/>
    </row>
    <row r="658" spans="1:2" ht="13" x14ac:dyDescent="0.15">
      <c r="A658" s="2"/>
      <c r="B658" s="2"/>
    </row>
    <row r="659" spans="1:2" ht="13" x14ac:dyDescent="0.15">
      <c r="A659" s="2"/>
      <c r="B659" s="2"/>
    </row>
    <row r="660" spans="1:2" ht="13" x14ac:dyDescent="0.15">
      <c r="A660" s="2"/>
      <c r="B660" s="2"/>
    </row>
    <row r="661" spans="1:2" ht="13" x14ac:dyDescent="0.15">
      <c r="A661" s="2"/>
      <c r="B661" s="2"/>
    </row>
    <row r="662" spans="1:2" ht="13" x14ac:dyDescent="0.15">
      <c r="A662" s="2"/>
      <c r="B662" s="2"/>
    </row>
    <row r="663" spans="1:2" ht="13" x14ac:dyDescent="0.15">
      <c r="A663" s="2"/>
      <c r="B663" s="2"/>
    </row>
    <row r="664" spans="1:2" ht="13" x14ac:dyDescent="0.15">
      <c r="A664" s="2"/>
      <c r="B664" s="2"/>
    </row>
    <row r="665" spans="1:2" ht="13" x14ac:dyDescent="0.15">
      <c r="A665" s="2"/>
      <c r="B665" s="2"/>
    </row>
    <row r="666" spans="1:2" ht="13" x14ac:dyDescent="0.15">
      <c r="A666" s="2"/>
      <c r="B666" s="2"/>
    </row>
    <row r="667" spans="1:2" ht="13" x14ac:dyDescent="0.15">
      <c r="A667" s="2"/>
      <c r="B667" s="2"/>
    </row>
    <row r="668" spans="1:2" ht="13" x14ac:dyDescent="0.15">
      <c r="A668" s="2"/>
      <c r="B668" s="2"/>
    </row>
    <row r="669" spans="1:2" ht="13" x14ac:dyDescent="0.15">
      <c r="A669" s="2"/>
      <c r="B669" s="2"/>
    </row>
    <row r="670" spans="1:2" ht="13" x14ac:dyDescent="0.15">
      <c r="A670" s="2"/>
      <c r="B670" s="2"/>
    </row>
    <row r="671" spans="1:2" ht="13" x14ac:dyDescent="0.15">
      <c r="A671" s="2"/>
      <c r="B671" s="2"/>
    </row>
    <row r="672" spans="1:2" ht="13" x14ac:dyDescent="0.15">
      <c r="A672" s="2"/>
      <c r="B672" s="2"/>
    </row>
    <row r="673" spans="1:2" ht="13" x14ac:dyDescent="0.15">
      <c r="A673" s="2"/>
      <c r="B673" s="2"/>
    </row>
    <row r="674" spans="1:2" ht="13" x14ac:dyDescent="0.15">
      <c r="A674" s="2"/>
      <c r="B674" s="2"/>
    </row>
    <row r="675" spans="1:2" ht="13" x14ac:dyDescent="0.15">
      <c r="A675" s="2"/>
      <c r="B675" s="2"/>
    </row>
    <row r="676" spans="1:2" ht="13" x14ac:dyDescent="0.15">
      <c r="A676" s="2"/>
      <c r="B676" s="2"/>
    </row>
    <row r="677" spans="1:2" ht="13" x14ac:dyDescent="0.15">
      <c r="A677" s="2"/>
      <c r="B677" s="2"/>
    </row>
    <row r="678" spans="1:2" ht="13" x14ac:dyDescent="0.15">
      <c r="A678" s="2"/>
      <c r="B678" s="2"/>
    </row>
    <row r="679" spans="1:2" ht="13" x14ac:dyDescent="0.15">
      <c r="A679" s="2"/>
      <c r="B679" s="2"/>
    </row>
    <row r="680" spans="1:2" ht="13" x14ac:dyDescent="0.15">
      <c r="A680" s="2"/>
      <c r="B680" s="2"/>
    </row>
    <row r="681" spans="1:2" ht="13" x14ac:dyDescent="0.15">
      <c r="A681" s="2"/>
      <c r="B681" s="2"/>
    </row>
    <row r="682" spans="1:2" ht="13" x14ac:dyDescent="0.15">
      <c r="A682" s="2"/>
      <c r="B682" s="2"/>
    </row>
    <row r="683" spans="1:2" ht="13" x14ac:dyDescent="0.15">
      <c r="A683" s="2"/>
      <c r="B683" s="2"/>
    </row>
    <row r="684" spans="1:2" ht="13" x14ac:dyDescent="0.15">
      <c r="A684" s="2"/>
      <c r="B684" s="2"/>
    </row>
    <row r="685" spans="1:2" ht="13" x14ac:dyDescent="0.15">
      <c r="A685" s="2"/>
      <c r="B685" s="2"/>
    </row>
    <row r="686" spans="1:2" ht="13" x14ac:dyDescent="0.15">
      <c r="A686" s="2"/>
      <c r="B686" s="2"/>
    </row>
    <row r="687" spans="1:2" ht="13" x14ac:dyDescent="0.15">
      <c r="A687" s="2"/>
      <c r="B687" s="2"/>
    </row>
    <row r="688" spans="1:2" ht="13" x14ac:dyDescent="0.15">
      <c r="A688" s="2"/>
      <c r="B688" s="2"/>
    </row>
    <row r="689" spans="1:2" ht="13" x14ac:dyDescent="0.15">
      <c r="A689" s="2"/>
      <c r="B689" s="2"/>
    </row>
    <row r="690" spans="1:2" ht="13" x14ac:dyDescent="0.15">
      <c r="A690" s="2"/>
      <c r="B690" s="2"/>
    </row>
    <row r="691" spans="1:2" ht="13" x14ac:dyDescent="0.15">
      <c r="A691" s="2"/>
      <c r="B691" s="2"/>
    </row>
    <row r="692" spans="1:2" ht="13" x14ac:dyDescent="0.15">
      <c r="A692" s="2"/>
      <c r="B692" s="2"/>
    </row>
    <row r="693" spans="1:2" ht="13" x14ac:dyDescent="0.15">
      <c r="A693" s="2"/>
      <c r="B693" s="2"/>
    </row>
    <row r="694" spans="1:2" ht="13" x14ac:dyDescent="0.15">
      <c r="A694" s="2"/>
      <c r="B694" s="2"/>
    </row>
    <row r="695" spans="1:2" ht="13" x14ac:dyDescent="0.15">
      <c r="A695" s="2"/>
      <c r="B695" s="2"/>
    </row>
    <row r="696" spans="1:2" ht="13" x14ac:dyDescent="0.15">
      <c r="A696" s="2"/>
      <c r="B696" s="2"/>
    </row>
    <row r="697" spans="1:2" ht="13" x14ac:dyDescent="0.15">
      <c r="A697" s="2"/>
      <c r="B697" s="2"/>
    </row>
    <row r="698" spans="1:2" ht="13" x14ac:dyDescent="0.15">
      <c r="A698" s="2"/>
      <c r="B698" s="2"/>
    </row>
    <row r="699" spans="1:2" ht="13" x14ac:dyDescent="0.15">
      <c r="A699" s="2"/>
      <c r="B699" s="2"/>
    </row>
    <row r="700" spans="1:2" ht="13" x14ac:dyDescent="0.15">
      <c r="A700" s="2"/>
      <c r="B700" s="2"/>
    </row>
    <row r="701" spans="1:2" ht="13" x14ac:dyDescent="0.15">
      <c r="A701" s="2"/>
      <c r="B701" s="2"/>
    </row>
    <row r="702" spans="1:2" ht="13" x14ac:dyDescent="0.15">
      <c r="A702" s="2"/>
      <c r="B702" s="2"/>
    </row>
    <row r="703" spans="1:2" ht="13" x14ac:dyDescent="0.15">
      <c r="A703" s="2"/>
      <c r="B703" s="2"/>
    </row>
    <row r="704" spans="1:2" ht="13" x14ac:dyDescent="0.15">
      <c r="A704" s="2"/>
      <c r="B704" s="2"/>
    </row>
    <row r="705" spans="1:2" ht="13" x14ac:dyDescent="0.15">
      <c r="A705" s="2"/>
      <c r="B705" s="2"/>
    </row>
    <row r="706" spans="1:2" ht="13" x14ac:dyDescent="0.15">
      <c r="A706" s="2"/>
      <c r="B706" s="2"/>
    </row>
    <row r="707" spans="1:2" ht="13" x14ac:dyDescent="0.15">
      <c r="A707" s="2"/>
      <c r="B707" s="2"/>
    </row>
    <row r="708" spans="1:2" ht="13" x14ac:dyDescent="0.15">
      <c r="A708" s="2"/>
      <c r="B708" s="2"/>
    </row>
    <row r="709" spans="1:2" ht="13" x14ac:dyDescent="0.15">
      <c r="A709" s="2"/>
      <c r="B709" s="2"/>
    </row>
    <row r="710" spans="1:2" ht="13" x14ac:dyDescent="0.15">
      <c r="A710" s="2"/>
      <c r="B710" s="2"/>
    </row>
    <row r="711" spans="1:2" ht="13" x14ac:dyDescent="0.15">
      <c r="A711" s="2"/>
      <c r="B711" s="2"/>
    </row>
    <row r="712" spans="1:2" ht="13" x14ac:dyDescent="0.15">
      <c r="A712" s="2"/>
      <c r="B712" s="2"/>
    </row>
    <row r="713" spans="1:2" ht="13" x14ac:dyDescent="0.15">
      <c r="A713" s="2"/>
      <c r="B713" s="2"/>
    </row>
    <row r="714" spans="1:2" ht="13" x14ac:dyDescent="0.15">
      <c r="A714" s="2"/>
      <c r="B714" s="2"/>
    </row>
    <row r="715" spans="1:2" ht="13" x14ac:dyDescent="0.15">
      <c r="A715" s="2"/>
      <c r="B715" s="2"/>
    </row>
    <row r="716" spans="1:2" ht="13" x14ac:dyDescent="0.15">
      <c r="A716" s="2"/>
      <c r="B716" s="2"/>
    </row>
    <row r="717" spans="1:2" ht="13" x14ac:dyDescent="0.15">
      <c r="A717" s="2"/>
      <c r="B717" s="2"/>
    </row>
    <row r="718" spans="1:2" ht="13" x14ac:dyDescent="0.15">
      <c r="A718" s="2"/>
      <c r="B718" s="2"/>
    </row>
    <row r="719" spans="1:2" ht="13" x14ac:dyDescent="0.15">
      <c r="A719" s="2"/>
      <c r="B719" s="2"/>
    </row>
    <row r="720" spans="1:2" ht="13" x14ac:dyDescent="0.15">
      <c r="A720" s="2"/>
      <c r="B720" s="2"/>
    </row>
    <row r="721" spans="1:2" ht="13" x14ac:dyDescent="0.15">
      <c r="A721" s="2"/>
      <c r="B721" s="2"/>
    </row>
    <row r="722" spans="1:2" ht="13" x14ac:dyDescent="0.15">
      <c r="A722" s="2"/>
      <c r="B722" s="2"/>
    </row>
    <row r="723" spans="1:2" ht="13" x14ac:dyDescent="0.15">
      <c r="A723" s="2"/>
      <c r="B723" s="2"/>
    </row>
    <row r="724" spans="1:2" ht="13" x14ac:dyDescent="0.15">
      <c r="A724" s="2"/>
      <c r="B724" s="2"/>
    </row>
    <row r="725" spans="1:2" ht="13" x14ac:dyDescent="0.15">
      <c r="A725" s="2"/>
      <c r="B725" s="2"/>
    </row>
    <row r="726" spans="1:2" ht="13" x14ac:dyDescent="0.15">
      <c r="A726" s="2"/>
      <c r="B726" s="2"/>
    </row>
    <row r="727" spans="1:2" ht="13" x14ac:dyDescent="0.15">
      <c r="A727" s="2"/>
      <c r="B727" s="2"/>
    </row>
    <row r="728" spans="1:2" ht="13" x14ac:dyDescent="0.15">
      <c r="A728" s="2"/>
      <c r="B728" s="2"/>
    </row>
    <row r="729" spans="1:2" ht="13" x14ac:dyDescent="0.15">
      <c r="A729" s="2"/>
      <c r="B729" s="2"/>
    </row>
    <row r="730" spans="1:2" ht="13" x14ac:dyDescent="0.15">
      <c r="A730" s="2"/>
      <c r="B730" s="2"/>
    </row>
    <row r="731" spans="1:2" ht="13" x14ac:dyDescent="0.15">
      <c r="A731" s="2"/>
      <c r="B731" s="2"/>
    </row>
    <row r="732" spans="1:2" ht="13" x14ac:dyDescent="0.15">
      <c r="A732" s="2"/>
      <c r="B732" s="2"/>
    </row>
    <row r="733" spans="1:2" ht="13" x14ac:dyDescent="0.15">
      <c r="A733" s="2"/>
      <c r="B733" s="2"/>
    </row>
    <row r="734" spans="1:2" ht="13" x14ac:dyDescent="0.15">
      <c r="A734" s="2"/>
      <c r="B734" s="2"/>
    </row>
    <row r="735" spans="1:2" ht="13" x14ac:dyDescent="0.15">
      <c r="A735" s="2"/>
      <c r="B735" s="2"/>
    </row>
    <row r="736" spans="1:2" ht="13" x14ac:dyDescent="0.15">
      <c r="A736" s="2"/>
      <c r="B736" s="2"/>
    </row>
    <row r="737" spans="1:2" ht="13" x14ac:dyDescent="0.15">
      <c r="A737" s="2"/>
      <c r="B737" s="2"/>
    </row>
    <row r="738" spans="1:2" ht="13" x14ac:dyDescent="0.15">
      <c r="A738" s="2"/>
      <c r="B738" s="2"/>
    </row>
    <row r="739" spans="1:2" ht="13" x14ac:dyDescent="0.15">
      <c r="A739" s="2"/>
      <c r="B739" s="2"/>
    </row>
    <row r="740" spans="1:2" ht="13" x14ac:dyDescent="0.15">
      <c r="A740" s="2"/>
      <c r="B740" s="2"/>
    </row>
    <row r="741" spans="1:2" ht="13" x14ac:dyDescent="0.15">
      <c r="A741" s="2"/>
      <c r="B741" s="2"/>
    </row>
    <row r="742" spans="1:2" ht="13" x14ac:dyDescent="0.15">
      <c r="A742" s="2"/>
      <c r="B742" s="2"/>
    </row>
    <row r="743" spans="1:2" ht="13" x14ac:dyDescent="0.15">
      <c r="A743" s="2"/>
      <c r="B743" s="2"/>
    </row>
    <row r="744" spans="1:2" ht="13" x14ac:dyDescent="0.15">
      <c r="A744" s="2"/>
      <c r="B744" s="2"/>
    </row>
    <row r="745" spans="1:2" ht="13" x14ac:dyDescent="0.15">
      <c r="A745" s="2"/>
      <c r="B745" s="2"/>
    </row>
    <row r="746" spans="1:2" ht="13" x14ac:dyDescent="0.15">
      <c r="A746" s="2"/>
      <c r="B746" s="2"/>
    </row>
    <row r="747" spans="1:2" ht="13" x14ac:dyDescent="0.15">
      <c r="A747" s="2"/>
      <c r="B747" s="2"/>
    </row>
    <row r="748" spans="1:2" ht="13" x14ac:dyDescent="0.15">
      <c r="A748" s="2"/>
      <c r="B748" s="2"/>
    </row>
    <row r="749" spans="1:2" ht="13" x14ac:dyDescent="0.15">
      <c r="A749" s="2"/>
      <c r="B749" s="2"/>
    </row>
    <row r="750" spans="1:2" ht="13" x14ac:dyDescent="0.15">
      <c r="A750" s="2"/>
      <c r="B750" s="2"/>
    </row>
    <row r="751" spans="1:2" ht="13" x14ac:dyDescent="0.15">
      <c r="A751" s="2"/>
      <c r="B751" s="2"/>
    </row>
    <row r="752" spans="1:2" ht="13" x14ac:dyDescent="0.15">
      <c r="A752" s="2"/>
      <c r="B752" s="2"/>
    </row>
    <row r="753" spans="1:2" ht="13" x14ac:dyDescent="0.15">
      <c r="A753" s="2"/>
      <c r="B753" s="2"/>
    </row>
    <row r="754" spans="1:2" ht="13" x14ac:dyDescent="0.15">
      <c r="A754" s="2"/>
      <c r="B754" s="2"/>
    </row>
    <row r="755" spans="1:2" ht="13" x14ac:dyDescent="0.15">
      <c r="A755" s="2"/>
      <c r="B755" s="2"/>
    </row>
    <row r="756" spans="1:2" ht="13" x14ac:dyDescent="0.15">
      <c r="A756" s="2"/>
      <c r="B756" s="2"/>
    </row>
    <row r="757" spans="1:2" ht="13" x14ac:dyDescent="0.15">
      <c r="A757" s="2"/>
      <c r="B757" s="2"/>
    </row>
    <row r="758" spans="1:2" ht="13" x14ac:dyDescent="0.15">
      <c r="A758" s="2"/>
      <c r="B758" s="2"/>
    </row>
    <row r="759" spans="1:2" ht="13" x14ac:dyDescent="0.15">
      <c r="A759" s="2"/>
      <c r="B759" s="2"/>
    </row>
    <row r="760" spans="1:2" ht="13" x14ac:dyDescent="0.15">
      <c r="A760" s="2"/>
      <c r="B760" s="2"/>
    </row>
    <row r="761" spans="1:2" ht="13" x14ac:dyDescent="0.15">
      <c r="A761" s="2"/>
      <c r="B761" s="2"/>
    </row>
    <row r="762" spans="1:2" ht="13" x14ac:dyDescent="0.15">
      <c r="A762" s="2"/>
      <c r="B762" s="2"/>
    </row>
    <row r="763" spans="1:2" ht="13" x14ac:dyDescent="0.15">
      <c r="A763" s="2"/>
      <c r="B763" s="2"/>
    </row>
    <row r="764" spans="1:2" ht="13" x14ac:dyDescent="0.15">
      <c r="A764" s="2"/>
      <c r="B764" s="2"/>
    </row>
    <row r="765" spans="1:2" ht="13" x14ac:dyDescent="0.15">
      <c r="A765" s="2"/>
      <c r="B765" s="2"/>
    </row>
    <row r="766" spans="1:2" ht="13" x14ac:dyDescent="0.15">
      <c r="A766" s="2"/>
      <c r="B766" s="2"/>
    </row>
    <row r="767" spans="1:2" ht="13" x14ac:dyDescent="0.15">
      <c r="A767" s="2"/>
      <c r="B767" s="2"/>
    </row>
    <row r="768" spans="1:2" ht="13" x14ac:dyDescent="0.15">
      <c r="A768" s="2"/>
      <c r="B768" s="2"/>
    </row>
    <row r="769" spans="1:2" ht="13" x14ac:dyDescent="0.15">
      <c r="A769" s="2"/>
      <c r="B769" s="2"/>
    </row>
    <row r="770" spans="1:2" ht="13" x14ac:dyDescent="0.15">
      <c r="A770" s="2"/>
      <c r="B770" s="2"/>
    </row>
    <row r="771" spans="1:2" ht="13" x14ac:dyDescent="0.15">
      <c r="A771" s="2"/>
      <c r="B771" s="2"/>
    </row>
    <row r="772" spans="1:2" ht="13" x14ac:dyDescent="0.15">
      <c r="A772" s="2"/>
      <c r="B772" s="2"/>
    </row>
    <row r="773" spans="1:2" ht="13" x14ac:dyDescent="0.15">
      <c r="A773" s="2"/>
      <c r="B773" s="2"/>
    </row>
    <row r="774" spans="1:2" ht="13" x14ac:dyDescent="0.15">
      <c r="A774" s="2"/>
      <c r="B774" s="2"/>
    </row>
    <row r="775" spans="1:2" ht="13" x14ac:dyDescent="0.15">
      <c r="A775" s="2"/>
      <c r="B775" s="2"/>
    </row>
    <row r="776" spans="1:2" ht="13" x14ac:dyDescent="0.15">
      <c r="A776" s="2"/>
      <c r="B776" s="2"/>
    </row>
    <row r="777" spans="1:2" ht="13" x14ac:dyDescent="0.15">
      <c r="A777" s="2"/>
      <c r="B777" s="2"/>
    </row>
    <row r="778" spans="1:2" ht="13" x14ac:dyDescent="0.15">
      <c r="A778" s="2"/>
      <c r="B778" s="2"/>
    </row>
    <row r="779" spans="1:2" ht="13" x14ac:dyDescent="0.15">
      <c r="A779" s="2"/>
      <c r="B779" s="2"/>
    </row>
    <row r="780" spans="1:2" ht="13" x14ac:dyDescent="0.15">
      <c r="A780" s="2"/>
      <c r="B780" s="2"/>
    </row>
    <row r="781" spans="1:2" ht="13" x14ac:dyDescent="0.15">
      <c r="A781" s="2"/>
      <c r="B781" s="2"/>
    </row>
    <row r="782" spans="1:2" ht="13" x14ac:dyDescent="0.15">
      <c r="A782" s="2"/>
      <c r="B782" s="2"/>
    </row>
    <row r="783" spans="1:2" ht="13" x14ac:dyDescent="0.15">
      <c r="A783" s="2"/>
      <c r="B783" s="2"/>
    </row>
    <row r="784" spans="1:2" ht="13" x14ac:dyDescent="0.15">
      <c r="A784" s="2"/>
      <c r="B784" s="2"/>
    </row>
    <row r="785" spans="1:2" ht="13" x14ac:dyDescent="0.15">
      <c r="A785" s="2"/>
      <c r="B785" s="2"/>
    </row>
    <row r="786" spans="1:2" ht="13" x14ac:dyDescent="0.15">
      <c r="A786" s="2"/>
      <c r="B786" s="2"/>
    </row>
    <row r="787" spans="1:2" ht="13" x14ac:dyDescent="0.15">
      <c r="A787" s="2"/>
      <c r="B787" s="2"/>
    </row>
    <row r="788" spans="1:2" ht="13" x14ac:dyDescent="0.15">
      <c r="A788" s="2"/>
      <c r="B788" s="2"/>
    </row>
    <row r="789" spans="1:2" ht="13" x14ac:dyDescent="0.15">
      <c r="A789" s="2"/>
      <c r="B789" s="2"/>
    </row>
    <row r="790" spans="1:2" ht="13" x14ac:dyDescent="0.15">
      <c r="A790" s="2"/>
      <c r="B790" s="2"/>
    </row>
    <row r="791" spans="1:2" ht="13" x14ac:dyDescent="0.15">
      <c r="A791" s="2"/>
      <c r="B791" s="2"/>
    </row>
    <row r="792" spans="1:2" ht="13" x14ac:dyDescent="0.15">
      <c r="A792" s="2"/>
      <c r="B792" s="2"/>
    </row>
    <row r="793" spans="1:2" ht="13" x14ac:dyDescent="0.15">
      <c r="A793" s="2"/>
      <c r="B793" s="2"/>
    </row>
    <row r="794" spans="1:2" ht="13" x14ac:dyDescent="0.15">
      <c r="A794" s="2"/>
      <c r="B794" s="2"/>
    </row>
    <row r="795" spans="1:2" ht="13" x14ac:dyDescent="0.15">
      <c r="A795" s="2"/>
      <c r="B795" s="2"/>
    </row>
    <row r="796" spans="1:2" ht="13" x14ac:dyDescent="0.15">
      <c r="A796" s="2"/>
      <c r="B796" s="2"/>
    </row>
    <row r="797" spans="1:2" ht="13" x14ac:dyDescent="0.15">
      <c r="A797" s="2"/>
      <c r="B797" s="2"/>
    </row>
    <row r="798" spans="1:2" ht="13" x14ac:dyDescent="0.15">
      <c r="A798" s="2"/>
      <c r="B798" s="2"/>
    </row>
    <row r="799" spans="1:2" ht="13" x14ac:dyDescent="0.15">
      <c r="A799" s="2"/>
      <c r="B799" s="2"/>
    </row>
    <row r="800" spans="1:2" ht="13" x14ac:dyDescent="0.15">
      <c r="A800" s="2"/>
      <c r="B800" s="2"/>
    </row>
    <row r="801" spans="1:2" ht="13" x14ac:dyDescent="0.15">
      <c r="A801" s="2"/>
      <c r="B801" s="2"/>
    </row>
    <row r="802" spans="1:2" ht="13" x14ac:dyDescent="0.15">
      <c r="A802" s="2"/>
      <c r="B802" s="2"/>
    </row>
    <row r="803" spans="1:2" ht="13" x14ac:dyDescent="0.15">
      <c r="A803" s="2"/>
      <c r="B803" s="2"/>
    </row>
    <row r="804" spans="1:2" ht="13" x14ac:dyDescent="0.15">
      <c r="A804" s="2"/>
      <c r="B804" s="2"/>
    </row>
    <row r="805" spans="1:2" ht="13" x14ac:dyDescent="0.15">
      <c r="A805" s="2"/>
      <c r="B805" s="2"/>
    </row>
    <row r="806" spans="1:2" ht="13" x14ac:dyDescent="0.15">
      <c r="A806" s="2"/>
      <c r="B806" s="2"/>
    </row>
    <row r="807" spans="1:2" ht="13" x14ac:dyDescent="0.15">
      <c r="A807" s="2"/>
      <c r="B807" s="2"/>
    </row>
    <row r="808" spans="1:2" ht="13" x14ac:dyDescent="0.15">
      <c r="A808" s="2"/>
      <c r="B808" s="2"/>
    </row>
    <row r="809" spans="1:2" ht="13" x14ac:dyDescent="0.15">
      <c r="A809" s="2"/>
      <c r="B809" s="2"/>
    </row>
    <row r="810" spans="1:2" ht="13" x14ac:dyDescent="0.15">
      <c r="A810" s="2"/>
      <c r="B810" s="2"/>
    </row>
    <row r="811" spans="1:2" ht="13" x14ac:dyDescent="0.15">
      <c r="A811" s="2"/>
      <c r="B811" s="2"/>
    </row>
    <row r="812" spans="1:2" ht="13" x14ac:dyDescent="0.15">
      <c r="A812" s="2"/>
      <c r="B812" s="2"/>
    </row>
    <row r="813" spans="1:2" ht="13" x14ac:dyDescent="0.15">
      <c r="A813" s="2"/>
      <c r="B813" s="2"/>
    </row>
    <row r="814" spans="1:2" ht="13" x14ac:dyDescent="0.15">
      <c r="A814" s="2"/>
      <c r="B814" s="2"/>
    </row>
    <row r="815" spans="1:2" ht="13" x14ac:dyDescent="0.15">
      <c r="A815" s="2"/>
      <c r="B815" s="2"/>
    </row>
    <row r="816" spans="1:2" ht="13" x14ac:dyDescent="0.15">
      <c r="A816" s="2"/>
      <c r="B816" s="2"/>
    </row>
    <row r="817" spans="1:2" ht="13" x14ac:dyDescent="0.15">
      <c r="A817" s="2"/>
      <c r="B817" s="2"/>
    </row>
    <row r="818" spans="1:2" ht="13" x14ac:dyDescent="0.15">
      <c r="A818" s="2"/>
      <c r="B818" s="2"/>
    </row>
    <row r="819" spans="1:2" ht="13" x14ac:dyDescent="0.15">
      <c r="A819" s="2"/>
      <c r="B819" s="2"/>
    </row>
    <row r="820" spans="1:2" ht="13" x14ac:dyDescent="0.15">
      <c r="A820" s="2"/>
      <c r="B820" s="2"/>
    </row>
    <row r="821" spans="1:2" ht="13" x14ac:dyDescent="0.15">
      <c r="A821" s="2"/>
      <c r="B821" s="2"/>
    </row>
    <row r="822" spans="1:2" ht="13" x14ac:dyDescent="0.15">
      <c r="A822" s="2"/>
      <c r="B822" s="2"/>
    </row>
    <row r="823" spans="1:2" ht="13" x14ac:dyDescent="0.15">
      <c r="A823" s="2"/>
      <c r="B823" s="2"/>
    </row>
    <row r="824" spans="1:2" ht="13" x14ac:dyDescent="0.15">
      <c r="A824" s="2"/>
      <c r="B824" s="2"/>
    </row>
    <row r="825" spans="1:2" ht="13" x14ac:dyDescent="0.15">
      <c r="A825" s="2"/>
      <c r="B825" s="2"/>
    </row>
    <row r="826" spans="1:2" ht="13" x14ac:dyDescent="0.15">
      <c r="A826" s="2"/>
      <c r="B826" s="2"/>
    </row>
    <row r="827" spans="1:2" ht="13" x14ac:dyDescent="0.15">
      <c r="A827" s="2"/>
      <c r="B827" s="2"/>
    </row>
    <row r="828" spans="1:2" ht="13" x14ac:dyDescent="0.15">
      <c r="A828" s="2"/>
      <c r="B828" s="2"/>
    </row>
    <row r="829" spans="1:2" ht="13" x14ac:dyDescent="0.15">
      <c r="A829" s="2"/>
      <c r="B829" s="2"/>
    </row>
    <row r="830" spans="1:2" ht="13" x14ac:dyDescent="0.15">
      <c r="A830" s="2"/>
      <c r="B830" s="2"/>
    </row>
    <row r="831" spans="1:2" ht="13" x14ac:dyDescent="0.15">
      <c r="A831" s="2"/>
      <c r="B831" s="2"/>
    </row>
    <row r="832" spans="1:2" ht="13" x14ac:dyDescent="0.15">
      <c r="A832" s="2"/>
      <c r="B832" s="2"/>
    </row>
    <row r="833" spans="1:2" ht="13" x14ac:dyDescent="0.15">
      <c r="A833" s="2"/>
      <c r="B833" s="2"/>
    </row>
    <row r="834" spans="1:2" ht="13" x14ac:dyDescent="0.15">
      <c r="A834" s="2"/>
      <c r="B834" s="2"/>
    </row>
    <row r="835" spans="1:2" ht="13" x14ac:dyDescent="0.15">
      <c r="A835" s="2"/>
      <c r="B835" s="2"/>
    </row>
    <row r="836" spans="1:2" ht="13" x14ac:dyDescent="0.15">
      <c r="A836" s="2"/>
      <c r="B836" s="2"/>
    </row>
    <row r="837" spans="1:2" ht="13" x14ac:dyDescent="0.15">
      <c r="A837" s="2"/>
      <c r="B837" s="2"/>
    </row>
    <row r="838" spans="1:2" ht="13" x14ac:dyDescent="0.15">
      <c r="A838" s="2"/>
      <c r="B838" s="2"/>
    </row>
    <row r="839" spans="1:2" ht="13" x14ac:dyDescent="0.15">
      <c r="A839" s="2"/>
      <c r="B839" s="2"/>
    </row>
    <row r="840" spans="1:2" ht="13" x14ac:dyDescent="0.15">
      <c r="A840" s="2"/>
      <c r="B840" s="2"/>
    </row>
    <row r="841" spans="1:2" ht="13" x14ac:dyDescent="0.15">
      <c r="A841" s="2"/>
      <c r="B841" s="2"/>
    </row>
    <row r="842" spans="1:2" ht="13" x14ac:dyDescent="0.15">
      <c r="A842" s="2"/>
      <c r="B842" s="2"/>
    </row>
    <row r="843" spans="1:2" ht="13" x14ac:dyDescent="0.15">
      <c r="A843" s="2"/>
      <c r="B843" s="2"/>
    </row>
    <row r="844" spans="1:2" ht="13" x14ac:dyDescent="0.15">
      <c r="A844" s="2"/>
      <c r="B844" s="2"/>
    </row>
    <row r="845" spans="1:2" ht="13" x14ac:dyDescent="0.15">
      <c r="A845" s="2"/>
      <c r="B845" s="2"/>
    </row>
    <row r="846" spans="1:2" ht="13" x14ac:dyDescent="0.15">
      <c r="A846" s="2"/>
      <c r="B846" s="2"/>
    </row>
    <row r="847" spans="1:2" ht="13" x14ac:dyDescent="0.15">
      <c r="A847" s="2"/>
      <c r="B847" s="2"/>
    </row>
    <row r="848" spans="1:2" ht="13" x14ac:dyDescent="0.15">
      <c r="A848" s="2"/>
      <c r="B848" s="2"/>
    </row>
    <row r="849" spans="1:2" ht="13" x14ac:dyDescent="0.15">
      <c r="A849" s="2"/>
      <c r="B849" s="2"/>
    </row>
    <row r="850" spans="1:2" ht="13" x14ac:dyDescent="0.15">
      <c r="A850" s="2"/>
      <c r="B850" s="2"/>
    </row>
    <row r="851" spans="1:2" ht="13" x14ac:dyDescent="0.15">
      <c r="A851" s="2"/>
      <c r="B851" s="2"/>
    </row>
    <row r="852" spans="1:2" ht="13" x14ac:dyDescent="0.15">
      <c r="A852" s="2"/>
      <c r="B852" s="2"/>
    </row>
    <row r="853" spans="1:2" ht="13" x14ac:dyDescent="0.15">
      <c r="A853" s="2"/>
      <c r="B853" s="2"/>
    </row>
    <row r="854" spans="1:2" ht="13" x14ac:dyDescent="0.15">
      <c r="A854" s="2"/>
      <c r="B854" s="2"/>
    </row>
    <row r="855" spans="1:2" ht="13" x14ac:dyDescent="0.15">
      <c r="A855" s="2"/>
      <c r="B855" s="2"/>
    </row>
    <row r="856" spans="1:2" ht="13" x14ac:dyDescent="0.15">
      <c r="A856" s="2"/>
      <c r="B856" s="2"/>
    </row>
    <row r="857" spans="1:2" ht="13" x14ac:dyDescent="0.15">
      <c r="A857" s="2"/>
      <c r="B857" s="2"/>
    </row>
    <row r="858" spans="1:2" ht="13" x14ac:dyDescent="0.15">
      <c r="A858" s="2"/>
      <c r="B858" s="2"/>
    </row>
    <row r="859" spans="1:2" ht="13" x14ac:dyDescent="0.15">
      <c r="A859" s="2"/>
      <c r="B859" s="2"/>
    </row>
    <row r="860" spans="1:2" ht="13" x14ac:dyDescent="0.15">
      <c r="A860" s="2"/>
      <c r="B860" s="2"/>
    </row>
    <row r="861" spans="1:2" ht="13" x14ac:dyDescent="0.15">
      <c r="A861" s="2"/>
      <c r="B861" s="2"/>
    </row>
    <row r="862" spans="1:2" ht="13" x14ac:dyDescent="0.15">
      <c r="A862" s="2"/>
      <c r="B862" s="2"/>
    </row>
    <row r="863" spans="1:2" ht="13" x14ac:dyDescent="0.15">
      <c r="A863" s="2"/>
      <c r="B863" s="2"/>
    </row>
    <row r="864" spans="1:2" ht="13" x14ac:dyDescent="0.15">
      <c r="A864" s="2"/>
      <c r="B864" s="2"/>
    </row>
    <row r="865" spans="1:2" ht="13" x14ac:dyDescent="0.15">
      <c r="A865" s="2"/>
      <c r="B865" s="2"/>
    </row>
    <row r="866" spans="1:2" ht="13" x14ac:dyDescent="0.15">
      <c r="A866" s="2"/>
      <c r="B866" s="2"/>
    </row>
    <row r="867" spans="1:2" ht="13" x14ac:dyDescent="0.15">
      <c r="A867" s="2"/>
      <c r="B867" s="2"/>
    </row>
    <row r="868" spans="1:2" ht="13" x14ac:dyDescent="0.15">
      <c r="A868" s="2"/>
      <c r="B868" s="2"/>
    </row>
    <row r="869" spans="1:2" ht="13" x14ac:dyDescent="0.15">
      <c r="A869" s="2"/>
      <c r="B869" s="2"/>
    </row>
    <row r="870" spans="1:2" ht="13" x14ac:dyDescent="0.15">
      <c r="A870" s="2"/>
      <c r="B870" s="2"/>
    </row>
    <row r="871" spans="1:2" ht="13" x14ac:dyDescent="0.15">
      <c r="A871" s="2"/>
      <c r="B871" s="2"/>
    </row>
    <row r="872" spans="1:2" ht="13" x14ac:dyDescent="0.15">
      <c r="A872" s="2"/>
      <c r="B872" s="2"/>
    </row>
    <row r="873" spans="1:2" ht="13" x14ac:dyDescent="0.15">
      <c r="A873" s="2"/>
      <c r="B873" s="2"/>
    </row>
    <row r="874" spans="1:2" ht="13" x14ac:dyDescent="0.15">
      <c r="A874" s="2"/>
      <c r="B874" s="2"/>
    </row>
    <row r="875" spans="1:2" ht="13" x14ac:dyDescent="0.15">
      <c r="A875" s="2"/>
      <c r="B875" s="2"/>
    </row>
    <row r="876" spans="1:2" ht="13" x14ac:dyDescent="0.15">
      <c r="A876" s="2"/>
      <c r="B876" s="2"/>
    </row>
    <row r="877" spans="1:2" ht="13" x14ac:dyDescent="0.15">
      <c r="A877" s="2"/>
      <c r="B877" s="2"/>
    </row>
    <row r="878" spans="1:2" ht="13" x14ac:dyDescent="0.15">
      <c r="A878" s="2"/>
      <c r="B878" s="2"/>
    </row>
    <row r="879" spans="1:2" ht="13" x14ac:dyDescent="0.15">
      <c r="A879" s="2"/>
      <c r="B879" s="2"/>
    </row>
    <row r="880" spans="1:2" ht="13" x14ac:dyDescent="0.15">
      <c r="A880" s="2"/>
      <c r="B880" s="2"/>
    </row>
    <row r="881" spans="1:2" ht="13" x14ac:dyDescent="0.15">
      <c r="A881" s="2"/>
      <c r="B881" s="2"/>
    </row>
    <row r="882" spans="1:2" ht="13" x14ac:dyDescent="0.15">
      <c r="A882" s="2"/>
      <c r="B882" s="2"/>
    </row>
    <row r="883" spans="1:2" ht="13" x14ac:dyDescent="0.15">
      <c r="A883" s="2"/>
      <c r="B883" s="2"/>
    </row>
    <row r="884" spans="1:2" ht="13" x14ac:dyDescent="0.15">
      <c r="A884" s="2"/>
      <c r="B884" s="2"/>
    </row>
    <row r="885" spans="1:2" ht="13" x14ac:dyDescent="0.15">
      <c r="A885" s="2"/>
      <c r="B885" s="2"/>
    </row>
    <row r="886" spans="1:2" ht="13" x14ac:dyDescent="0.15">
      <c r="A886" s="2"/>
      <c r="B886" s="2"/>
    </row>
    <row r="887" spans="1:2" ht="13" x14ac:dyDescent="0.15">
      <c r="A887" s="2"/>
      <c r="B887" s="2"/>
    </row>
    <row r="888" spans="1:2" ht="13" x14ac:dyDescent="0.15">
      <c r="A888" s="2"/>
      <c r="B888" s="2"/>
    </row>
    <row r="889" spans="1:2" ht="13" x14ac:dyDescent="0.15">
      <c r="A889" s="2"/>
      <c r="B889" s="2"/>
    </row>
    <row r="890" spans="1:2" ht="13" x14ac:dyDescent="0.15">
      <c r="A890" s="2"/>
      <c r="B890" s="2"/>
    </row>
    <row r="891" spans="1:2" ht="13" x14ac:dyDescent="0.15">
      <c r="A891" s="2"/>
      <c r="B891" s="2"/>
    </row>
    <row r="892" spans="1:2" ht="13" x14ac:dyDescent="0.15">
      <c r="A892" s="2"/>
      <c r="B892" s="2"/>
    </row>
    <row r="893" spans="1:2" ht="13" x14ac:dyDescent="0.15">
      <c r="A893" s="2"/>
      <c r="B893" s="2"/>
    </row>
    <row r="894" spans="1:2" ht="13" x14ac:dyDescent="0.15">
      <c r="A894" s="2"/>
      <c r="B894" s="2"/>
    </row>
    <row r="895" spans="1:2" ht="13" x14ac:dyDescent="0.15">
      <c r="A895" s="2"/>
      <c r="B895" s="2"/>
    </row>
    <row r="896" spans="1:2" ht="13" x14ac:dyDescent="0.15">
      <c r="A896" s="2"/>
      <c r="B896" s="2"/>
    </row>
    <row r="897" spans="1:2" ht="13" x14ac:dyDescent="0.15">
      <c r="A897" s="2"/>
      <c r="B897" s="2"/>
    </row>
    <row r="898" spans="1:2" ht="13" x14ac:dyDescent="0.15">
      <c r="A898" s="2"/>
      <c r="B898" s="2"/>
    </row>
    <row r="899" spans="1:2" ht="13" x14ac:dyDescent="0.15">
      <c r="A899" s="2"/>
      <c r="B899" s="2"/>
    </row>
    <row r="900" spans="1:2" ht="13" x14ac:dyDescent="0.15">
      <c r="A900" s="2"/>
      <c r="B900" s="2"/>
    </row>
    <row r="901" spans="1:2" ht="13" x14ac:dyDescent="0.15">
      <c r="A901" s="2"/>
      <c r="B901" s="2"/>
    </row>
    <row r="902" spans="1:2" ht="13" x14ac:dyDescent="0.15">
      <c r="A902" s="2"/>
      <c r="B902" s="2"/>
    </row>
    <row r="903" spans="1:2" ht="13" x14ac:dyDescent="0.15">
      <c r="A903" s="2"/>
      <c r="B903" s="2"/>
    </row>
    <row r="904" spans="1:2" ht="13" x14ac:dyDescent="0.15">
      <c r="A904" s="2"/>
      <c r="B904" s="2"/>
    </row>
    <row r="905" spans="1:2" ht="13" x14ac:dyDescent="0.15">
      <c r="A905" s="2"/>
      <c r="B905" s="2"/>
    </row>
    <row r="906" spans="1:2" ht="13" x14ac:dyDescent="0.15">
      <c r="A906" s="2"/>
      <c r="B906" s="2"/>
    </row>
    <row r="907" spans="1:2" ht="13" x14ac:dyDescent="0.15">
      <c r="A907" s="2"/>
      <c r="B907" s="2"/>
    </row>
    <row r="908" spans="1:2" ht="13" x14ac:dyDescent="0.15">
      <c r="A908" s="2"/>
      <c r="B908" s="2"/>
    </row>
    <row r="909" spans="1:2" ht="13" x14ac:dyDescent="0.15">
      <c r="A909" s="2"/>
      <c r="B909" s="2"/>
    </row>
    <row r="910" spans="1:2" ht="13" x14ac:dyDescent="0.15">
      <c r="A910" s="2"/>
      <c r="B910" s="2"/>
    </row>
    <row r="911" spans="1:2" ht="13" x14ac:dyDescent="0.15">
      <c r="A911" s="2"/>
      <c r="B911" s="2"/>
    </row>
    <row r="912" spans="1:2" ht="13" x14ac:dyDescent="0.15">
      <c r="A912" s="2"/>
      <c r="B912" s="2"/>
    </row>
    <row r="913" spans="1:2" ht="13" x14ac:dyDescent="0.15">
      <c r="A913" s="2"/>
      <c r="B913" s="2"/>
    </row>
    <row r="914" spans="1:2" ht="13" x14ac:dyDescent="0.15">
      <c r="A914" s="2"/>
      <c r="B914" s="2"/>
    </row>
    <row r="915" spans="1:2" ht="13" x14ac:dyDescent="0.15">
      <c r="A915" s="2"/>
      <c r="B915" s="2"/>
    </row>
    <row r="916" spans="1:2" ht="13" x14ac:dyDescent="0.15">
      <c r="A916" s="2"/>
      <c r="B916" s="2"/>
    </row>
    <row r="917" spans="1:2" ht="13" x14ac:dyDescent="0.15">
      <c r="A917" s="2"/>
      <c r="B917" s="2"/>
    </row>
    <row r="918" spans="1:2" ht="13" x14ac:dyDescent="0.15">
      <c r="A918" s="2"/>
      <c r="B918" s="2"/>
    </row>
    <row r="919" spans="1:2" ht="13" x14ac:dyDescent="0.15">
      <c r="A919" s="2"/>
      <c r="B919" s="2"/>
    </row>
    <row r="920" spans="1:2" ht="13" x14ac:dyDescent="0.15">
      <c r="A920" s="2"/>
      <c r="B920" s="2"/>
    </row>
    <row r="921" spans="1:2" ht="13" x14ac:dyDescent="0.15">
      <c r="A921" s="2"/>
      <c r="B921" s="2"/>
    </row>
    <row r="922" spans="1:2" ht="13" x14ac:dyDescent="0.15">
      <c r="A922" s="2"/>
      <c r="B922" s="2"/>
    </row>
    <row r="923" spans="1:2" ht="13" x14ac:dyDescent="0.15">
      <c r="A923" s="2"/>
      <c r="B923" s="2"/>
    </row>
    <row r="924" spans="1:2" ht="13" x14ac:dyDescent="0.15">
      <c r="A924" s="2"/>
      <c r="B924" s="2"/>
    </row>
    <row r="925" spans="1:2" ht="13" x14ac:dyDescent="0.15">
      <c r="A925" s="2"/>
      <c r="B925" s="2"/>
    </row>
    <row r="926" spans="1:2" ht="13" x14ac:dyDescent="0.15">
      <c r="A926" s="2"/>
      <c r="B926" s="2"/>
    </row>
    <row r="927" spans="1:2" ht="13" x14ac:dyDescent="0.15">
      <c r="A927" s="2"/>
      <c r="B927" s="2"/>
    </row>
    <row r="928" spans="1:2" ht="13" x14ac:dyDescent="0.15">
      <c r="A928" s="2"/>
      <c r="B928" s="2"/>
    </row>
    <row r="929" spans="1:2" ht="13" x14ac:dyDescent="0.15">
      <c r="A929" s="2"/>
      <c r="B929" s="2"/>
    </row>
    <row r="930" spans="1:2" ht="13" x14ac:dyDescent="0.15">
      <c r="A930" s="2"/>
      <c r="B930" s="2"/>
    </row>
    <row r="931" spans="1:2" ht="13" x14ac:dyDescent="0.15">
      <c r="A931" s="2"/>
      <c r="B931" s="2"/>
    </row>
    <row r="932" spans="1:2" ht="13" x14ac:dyDescent="0.15">
      <c r="A932" s="2"/>
      <c r="B932" s="2"/>
    </row>
    <row r="933" spans="1:2" ht="13" x14ac:dyDescent="0.15">
      <c r="A933" s="2"/>
      <c r="B933" s="2"/>
    </row>
    <row r="934" spans="1:2" ht="13" x14ac:dyDescent="0.15">
      <c r="A934" s="2"/>
      <c r="B934" s="2"/>
    </row>
    <row r="935" spans="1:2" ht="13" x14ac:dyDescent="0.15">
      <c r="A935" s="2"/>
      <c r="B935" s="2"/>
    </row>
    <row r="936" spans="1:2" ht="13" x14ac:dyDescent="0.15">
      <c r="A936" s="2"/>
      <c r="B936" s="2"/>
    </row>
    <row r="937" spans="1:2" ht="13" x14ac:dyDescent="0.15">
      <c r="A937" s="2"/>
      <c r="B937" s="2"/>
    </row>
    <row r="938" spans="1:2" ht="13" x14ac:dyDescent="0.15">
      <c r="A938" s="2"/>
      <c r="B938" s="2"/>
    </row>
    <row r="939" spans="1:2" ht="13" x14ac:dyDescent="0.15">
      <c r="A939" s="2"/>
      <c r="B939" s="2"/>
    </row>
    <row r="940" spans="1:2" ht="13" x14ac:dyDescent="0.15">
      <c r="A940" s="2"/>
      <c r="B940" s="2"/>
    </row>
    <row r="941" spans="1:2" ht="13" x14ac:dyDescent="0.15">
      <c r="A941" s="2"/>
      <c r="B941" s="2"/>
    </row>
    <row r="942" spans="1:2" ht="13" x14ac:dyDescent="0.15">
      <c r="A942" s="2"/>
      <c r="B942" s="2"/>
    </row>
    <row r="943" spans="1:2" ht="13" x14ac:dyDescent="0.15">
      <c r="A943" s="2"/>
      <c r="B943" s="2"/>
    </row>
    <row r="944" spans="1:2" ht="13" x14ac:dyDescent="0.15">
      <c r="A944" s="2"/>
      <c r="B944" s="2"/>
    </row>
    <row r="945" spans="1:2" ht="13" x14ac:dyDescent="0.15">
      <c r="A945" s="2"/>
      <c r="B945" s="2"/>
    </row>
    <row r="946" spans="1:2" ht="13" x14ac:dyDescent="0.15">
      <c r="A946" s="2"/>
      <c r="B946" s="2"/>
    </row>
    <row r="947" spans="1:2" ht="13" x14ac:dyDescent="0.15">
      <c r="A947" s="2"/>
      <c r="B947" s="2"/>
    </row>
    <row r="948" spans="1:2" ht="13" x14ac:dyDescent="0.15">
      <c r="A948" s="2"/>
      <c r="B948" s="2"/>
    </row>
    <row r="949" spans="1:2" ht="13" x14ac:dyDescent="0.15">
      <c r="A949" s="2"/>
      <c r="B949" s="2"/>
    </row>
    <row r="950" spans="1:2" ht="13" x14ac:dyDescent="0.15">
      <c r="A950" s="2"/>
      <c r="B950" s="2"/>
    </row>
    <row r="951" spans="1:2" ht="13" x14ac:dyDescent="0.15">
      <c r="A951" s="2"/>
      <c r="B951" s="2"/>
    </row>
    <row r="952" spans="1:2" ht="13" x14ac:dyDescent="0.15">
      <c r="A952" s="2"/>
      <c r="B952" s="2"/>
    </row>
    <row r="953" spans="1:2" ht="13" x14ac:dyDescent="0.15">
      <c r="A953" s="2"/>
      <c r="B953" s="2"/>
    </row>
    <row r="954" spans="1:2" ht="13" x14ac:dyDescent="0.15">
      <c r="A954" s="2"/>
      <c r="B954" s="2"/>
    </row>
    <row r="955" spans="1:2" ht="13" x14ac:dyDescent="0.15">
      <c r="A955" s="2"/>
      <c r="B955" s="2"/>
    </row>
    <row r="956" spans="1:2" ht="13" x14ac:dyDescent="0.15">
      <c r="A956" s="2"/>
      <c r="B956" s="2"/>
    </row>
    <row r="957" spans="1:2" ht="13" x14ac:dyDescent="0.15">
      <c r="A957" s="2"/>
      <c r="B957" s="2"/>
    </row>
    <row r="958" spans="1:2" ht="13" x14ac:dyDescent="0.15">
      <c r="A958" s="2"/>
      <c r="B958" s="2"/>
    </row>
    <row r="959" spans="1:2" ht="13" x14ac:dyDescent="0.15">
      <c r="A959" s="2"/>
      <c r="B959" s="2"/>
    </row>
    <row r="960" spans="1:2" ht="13" x14ac:dyDescent="0.15">
      <c r="A960" s="2"/>
      <c r="B960" s="2"/>
    </row>
    <row r="961" spans="1:2" ht="13" x14ac:dyDescent="0.15">
      <c r="A961" s="2"/>
      <c r="B961" s="2"/>
    </row>
    <row r="962" spans="1:2" ht="13" x14ac:dyDescent="0.15">
      <c r="A962" s="2"/>
      <c r="B962" s="2"/>
    </row>
    <row r="963" spans="1:2" ht="13" x14ac:dyDescent="0.15">
      <c r="A963" s="2"/>
      <c r="B963" s="2"/>
    </row>
    <row r="964" spans="1:2" ht="13" x14ac:dyDescent="0.15">
      <c r="A964" s="2"/>
      <c r="B964" s="2"/>
    </row>
    <row r="965" spans="1:2" ht="13" x14ac:dyDescent="0.15">
      <c r="A965" s="2"/>
      <c r="B965" s="2"/>
    </row>
    <row r="966" spans="1:2" ht="13" x14ac:dyDescent="0.15">
      <c r="A966" s="2"/>
      <c r="B966" s="2"/>
    </row>
    <row r="967" spans="1:2" ht="13" x14ac:dyDescent="0.15">
      <c r="A967" s="2"/>
      <c r="B967" s="2"/>
    </row>
    <row r="968" spans="1:2" ht="13" x14ac:dyDescent="0.15">
      <c r="A968" s="2"/>
      <c r="B968" s="2"/>
    </row>
    <row r="969" spans="1:2" ht="13" x14ac:dyDescent="0.15">
      <c r="A969" s="2"/>
      <c r="B969" s="2"/>
    </row>
    <row r="970" spans="1:2" ht="13" x14ac:dyDescent="0.15">
      <c r="A970" s="2"/>
      <c r="B970" s="2"/>
    </row>
    <row r="971" spans="1:2" ht="13" x14ac:dyDescent="0.15">
      <c r="A971" s="2"/>
      <c r="B971" s="2"/>
    </row>
    <row r="972" spans="1:2" ht="13" x14ac:dyDescent="0.15">
      <c r="A972" s="2"/>
      <c r="B972" s="2"/>
    </row>
    <row r="973" spans="1:2" ht="13" x14ac:dyDescent="0.15">
      <c r="A973" s="2"/>
      <c r="B973" s="2"/>
    </row>
    <row r="974" spans="1:2" ht="13" x14ac:dyDescent="0.15">
      <c r="A974" s="2"/>
      <c r="B974" s="2"/>
    </row>
    <row r="975" spans="1:2" ht="13" x14ac:dyDescent="0.15">
      <c r="A975" s="2"/>
      <c r="B975" s="2"/>
    </row>
    <row r="976" spans="1:2" ht="13" x14ac:dyDescent="0.15">
      <c r="A976" s="2"/>
      <c r="B976" s="2"/>
    </row>
    <row r="977" spans="1:2" ht="13" x14ac:dyDescent="0.15">
      <c r="A977" s="2"/>
      <c r="B977" s="2"/>
    </row>
    <row r="978" spans="1:2" ht="13" x14ac:dyDescent="0.15">
      <c r="A978" s="2"/>
      <c r="B978" s="2"/>
    </row>
    <row r="979" spans="1:2" ht="13" x14ac:dyDescent="0.15">
      <c r="A979" s="2"/>
      <c r="B979" s="2"/>
    </row>
    <row r="980" spans="1:2" ht="13" x14ac:dyDescent="0.15">
      <c r="A980" s="2"/>
      <c r="B980" s="2"/>
    </row>
    <row r="981" spans="1:2" ht="13" x14ac:dyDescent="0.15">
      <c r="A981" s="2"/>
      <c r="B981" s="2"/>
    </row>
    <row r="982" spans="1:2" ht="13" x14ac:dyDescent="0.15">
      <c r="A982" s="2"/>
      <c r="B982" s="2"/>
    </row>
    <row r="983" spans="1:2" ht="13" x14ac:dyDescent="0.15">
      <c r="A983" s="2"/>
      <c r="B983" s="2"/>
    </row>
    <row r="984" spans="1:2" ht="13" x14ac:dyDescent="0.15">
      <c r="A984" s="2"/>
      <c r="B984" s="2"/>
    </row>
    <row r="985" spans="1:2" ht="13" x14ac:dyDescent="0.15">
      <c r="A985" s="2"/>
      <c r="B985" s="2"/>
    </row>
    <row r="986" spans="1:2" ht="13" x14ac:dyDescent="0.15">
      <c r="A986" s="2"/>
      <c r="B986" s="2"/>
    </row>
    <row r="987" spans="1:2" ht="13" x14ac:dyDescent="0.15">
      <c r="A987" s="2"/>
      <c r="B987" s="2"/>
    </row>
    <row r="988" spans="1:2" ht="13" x14ac:dyDescent="0.15">
      <c r="A988" s="2"/>
      <c r="B988" s="2"/>
    </row>
    <row r="989" spans="1:2" ht="13" x14ac:dyDescent="0.15">
      <c r="A989" s="2"/>
      <c r="B989" s="2"/>
    </row>
    <row r="990" spans="1:2" ht="13" x14ac:dyDescent="0.15">
      <c r="A990" s="2"/>
      <c r="B990" s="2"/>
    </row>
    <row r="991" spans="1:2" ht="13" x14ac:dyDescent="0.15">
      <c r="A991" s="2"/>
      <c r="B991" s="2"/>
    </row>
    <row r="992" spans="1:2" ht="13" x14ac:dyDescent="0.15">
      <c r="A992" s="2"/>
      <c r="B992" s="2"/>
    </row>
    <row r="993" spans="1:2" ht="13" x14ac:dyDescent="0.15">
      <c r="A993" s="2"/>
      <c r="B993" s="2"/>
    </row>
    <row r="994" spans="1:2" ht="13" x14ac:dyDescent="0.15">
      <c r="A994" s="2"/>
      <c r="B994" s="2"/>
    </row>
    <row r="995" spans="1:2" ht="13" x14ac:dyDescent="0.15">
      <c r="A995" s="2"/>
      <c r="B995" s="2"/>
    </row>
    <row r="996" spans="1:2" ht="13" x14ac:dyDescent="0.15">
      <c r="A996" s="2"/>
      <c r="B996" s="2"/>
    </row>
    <row r="997" spans="1:2" ht="13" x14ac:dyDescent="0.15">
      <c r="A997" s="2"/>
      <c r="B997" s="2"/>
    </row>
    <row r="998" spans="1:2" ht="13" x14ac:dyDescent="0.15">
      <c r="A998" s="2"/>
      <c r="B998" s="2"/>
    </row>
    <row r="999" spans="1:2" ht="13" x14ac:dyDescent="0.15">
      <c r="A999" s="2"/>
      <c r="B999" s="2"/>
    </row>
    <row r="1000" spans="1:2" ht="13" x14ac:dyDescent="0.15">
      <c r="A1000" s="2"/>
      <c r="B1000" s="2"/>
    </row>
  </sheetData>
  <mergeCells count="1">
    <mergeCell ref="A1:B1"/>
  </mergeCells>
  <hyperlinks>
    <hyperlink ref="B6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T1000"/>
  <sheetViews>
    <sheetView topLeftCell="D1" workbookViewId="0">
      <selection activeCell="S18" sqref="S18"/>
    </sheetView>
  </sheetViews>
  <sheetFormatPr baseColWidth="10" defaultColWidth="12.6640625" defaultRowHeight="15.75" customHeight="1" x14ac:dyDescent="0.15"/>
  <cols>
    <col min="1" max="1" width="12.6640625" customWidth="1"/>
    <col min="2" max="42" width="12.1640625" customWidth="1"/>
    <col min="43" max="46" width="12.6640625" customWidth="1"/>
  </cols>
  <sheetData>
    <row r="1" spans="2:26" ht="13" x14ac:dyDescent="0.15"/>
    <row r="2" spans="2:26" ht="15.75" customHeight="1" x14ac:dyDescent="0.15">
      <c r="B2" s="6" t="s">
        <v>8</v>
      </c>
    </row>
    <row r="3" spans="2:26" ht="15.75" customHeight="1" x14ac:dyDescent="0.15">
      <c r="B3" s="7" t="s">
        <v>9</v>
      </c>
      <c r="C3" s="7">
        <v>2011</v>
      </c>
      <c r="D3" s="7">
        <v>2012</v>
      </c>
      <c r="E3" s="7">
        <v>2013</v>
      </c>
      <c r="F3" s="7">
        <v>2014</v>
      </c>
      <c r="G3" s="7">
        <v>2015</v>
      </c>
      <c r="H3" s="7">
        <v>2016</v>
      </c>
      <c r="I3" s="7">
        <v>2017</v>
      </c>
      <c r="J3" s="7">
        <v>2018</v>
      </c>
      <c r="K3" s="7">
        <v>2019</v>
      </c>
      <c r="L3" s="7">
        <v>2020</v>
      </c>
      <c r="M3" s="8"/>
      <c r="O3" s="6"/>
      <c r="P3" s="6"/>
    </row>
    <row r="4" spans="2:26" ht="15.75" customHeight="1" x14ac:dyDescent="0.15">
      <c r="B4" s="7">
        <v>500</v>
      </c>
      <c r="C4" s="9">
        <v>5025</v>
      </c>
      <c r="D4" s="9">
        <v>5052</v>
      </c>
      <c r="E4" s="9">
        <v>5053</v>
      </c>
      <c r="F4" s="9">
        <v>5052</v>
      </c>
      <c r="G4" s="9">
        <v>5053</v>
      </c>
      <c r="H4" s="9">
        <v>5056</v>
      </c>
      <c r="I4" s="9">
        <v>5074</v>
      </c>
      <c r="J4" s="9">
        <v>5218</v>
      </c>
      <c r="K4" s="9">
        <v>5250</v>
      </c>
      <c r="L4" s="9">
        <v>5250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2:26" ht="15.75" customHeight="1" x14ac:dyDescent="0.15">
      <c r="B5" s="7">
        <v>275</v>
      </c>
      <c r="C5" s="9">
        <v>1028</v>
      </c>
      <c r="D5" s="9">
        <v>1420</v>
      </c>
      <c r="E5" s="9">
        <v>1766</v>
      </c>
      <c r="F5" s="9">
        <v>1766</v>
      </c>
      <c r="G5" s="9">
        <v>2085</v>
      </c>
      <c r="H5" s="9">
        <v>1856</v>
      </c>
      <c r="I5" s="9">
        <v>2889</v>
      </c>
      <c r="J5" s="9">
        <v>3312</v>
      </c>
      <c r="K5" s="9">
        <v>3648</v>
      </c>
      <c r="L5" s="9">
        <v>3648</v>
      </c>
      <c r="M5" s="8"/>
      <c r="N5" s="8"/>
      <c r="O5" s="8"/>
      <c r="P5" s="8"/>
      <c r="Q5" s="11"/>
      <c r="R5" s="8"/>
      <c r="S5" s="8"/>
      <c r="T5" s="8"/>
      <c r="U5" s="8"/>
      <c r="V5" s="8"/>
      <c r="W5" s="8"/>
      <c r="X5" s="8"/>
      <c r="Y5" s="8"/>
      <c r="Z5" s="8"/>
    </row>
    <row r="6" spans="2:26" ht="15.75" customHeight="1" x14ac:dyDescent="0.15">
      <c r="B6" s="7">
        <v>150</v>
      </c>
      <c r="C6" s="9">
        <v>26013</v>
      </c>
      <c r="D6" s="9">
        <v>27623</v>
      </c>
      <c r="E6" s="9">
        <v>28694</v>
      </c>
      <c r="F6" s="9">
        <v>29631</v>
      </c>
      <c r="G6" s="9">
        <v>30675</v>
      </c>
      <c r="H6" s="9">
        <v>32423</v>
      </c>
      <c r="I6" s="9">
        <v>35802</v>
      </c>
      <c r="J6" s="9">
        <v>39304</v>
      </c>
      <c r="K6" s="9">
        <v>44564</v>
      </c>
      <c r="L6" s="9">
        <v>46680</v>
      </c>
      <c r="M6" s="6"/>
      <c r="N6" s="6"/>
      <c r="O6" s="6"/>
      <c r="P6" s="8"/>
    </row>
    <row r="7" spans="2:26" ht="15.75" customHeight="1" x14ac:dyDescent="0.15">
      <c r="B7" s="7">
        <v>70</v>
      </c>
      <c r="C7" s="9">
        <v>4457</v>
      </c>
      <c r="D7" s="9">
        <v>4228</v>
      </c>
      <c r="E7" s="9">
        <v>4125</v>
      </c>
      <c r="F7" s="9">
        <v>4114</v>
      </c>
      <c r="G7" s="9">
        <v>4279</v>
      </c>
      <c r="H7" s="9">
        <v>4669</v>
      </c>
      <c r="I7" s="9">
        <v>5035</v>
      </c>
      <c r="J7" s="9">
        <v>5342</v>
      </c>
      <c r="K7" s="9">
        <v>5397</v>
      </c>
      <c r="L7" s="9">
        <v>5656</v>
      </c>
      <c r="M7" s="8"/>
      <c r="N7" s="8"/>
      <c r="O7" s="8"/>
    </row>
    <row r="8" spans="2:26" ht="13" x14ac:dyDescent="0.15"/>
    <row r="9" spans="2:26" ht="15.75" customHeight="1" x14ac:dyDescent="0.15">
      <c r="B9" s="6" t="s">
        <v>10</v>
      </c>
    </row>
    <row r="10" spans="2:26" ht="15.75" customHeight="1" x14ac:dyDescent="0.15">
      <c r="B10" s="7" t="s">
        <v>9</v>
      </c>
      <c r="C10" s="7">
        <v>2021</v>
      </c>
      <c r="D10" s="7">
        <v>2022</v>
      </c>
      <c r="E10" s="7">
        <v>2023</v>
      </c>
      <c r="F10" s="7">
        <v>2024</v>
      </c>
      <c r="G10" s="7">
        <v>2025</v>
      </c>
      <c r="H10" s="7">
        <v>2026</v>
      </c>
      <c r="I10" s="7">
        <v>2027</v>
      </c>
      <c r="J10" s="7">
        <v>2028</v>
      </c>
      <c r="K10" s="7">
        <v>2029</v>
      </c>
      <c r="L10" s="7">
        <v>2030</v>
      </c>
    </row>
    <row r="11" spans="2:26" ht="15.75" customHeight="1" x14ac:dyDescent="0.15">
      <c r="B11" s="7">
        <v>500</v>
      </c>
      <c r="C11" s="9">
        <v>2211</v>
      </c>
      <c r="D11" s="9">
        <v>552</v>
      </c>
      <c r="E11" s="9">
        <v>440</v>
      </c>
      <c r="F11" s="9">
        <v>28</v>
      </c>
      <c r="G11" s="9">
        <v>1537</v>
      </c>
      <c r="H11" s="9">
        <v>201</v>
      </c>
      <c r="I11" s="9">
        <v>321</v>
      </c>
      <c r="J11" s="9">
        <v>1268</v>
      </c>
      <c r="K11" s="9">
        <v>207</v>
      </c>
      <c r="L11" s="9">
        <v>720</v>
      </c>
    </row>
    <row r="12" spans="2:26" ht="15.75" customHeight="1" x14ac:dyDescent="0.15">
      <c r="B12" s="7">
        <v>275</v>
      </c>
      <c r="C12" s="9"/>
      <c r="D12" s="9"/>
      <c r="E12" s="9"/>
      <c r="F12" s="9"/>
      <c r="G12" s="9"/>
      <c r="H12" s="9"/>
      <c r="I12" s="9"/>
      <c r="J12" s="9"/>
      <c r="K12" s="9"/>
      <c r="L12" s="9">
        <v>300</v>
      </c>
    </row>
    <row r="13" spans="2:26" ht="15.75" customHeight="1" x14ac:dyDescent="0.15">
      <c r="B13" s="7">
        <v>150</v>
      </c>
      <c r="C13" s="9">
        <v>4520</v>
      </c>
      <c r="D13" s="9">
        <v>6249</v>
      </c>
      <c r="E13" s="9">
        <v>7114</v>
      </c>
      <c r="F13" s="9">
        <v>4152</v>
      </c>
      <c r="G13" s="9">
        <v>3708</v>
      </c>
      <c r="H13" s="9">
        <v>1426</v>
      </c>
      <c r="I13" s="9">
        <v>2102</v>
      </c>
      <c r="J13" s="9">
        <v>2433</v>
      </c>
      <c r="K13" s="9">
        <v>1858</v>
      </c>
      <c r="L13" s="9">
        <v>950</v>
      </c>
    </row>
    <row r="14" spans="2:26" ht="15.75" customHeight="1" x14ac:dyDescent="0.15">
      <c r="B14" s="7">
        <v>70</v>
      </c>
      <c r="C14" s="9">
        <v>284</v>
      </c>
      <c r="D14" s="9">
        <v>253</v>
      </c>
      <c r="E14" s="9"/>
      <c r="F14" s="9"/>
      <c r="G14" s="9">
        <v>132</v>
      </c>
      <c r="H14" s="9">
        <v>241</v>
      </c>
      <c r="I14" s="9">
        <v>10</v>
      </c>
      <c r="J14" s="9"/>
      <c r="K14" s="9">
        <v>52</v>
      </c>
      <c r="L14" s="9">
        <v>70</v>
      </c>
    </row>
    <row r="15" spans="2:26" ht="13" x14ac:dyDescent="0.15"/>
    <row r="16" spans="2:26" ht="15.75" customHeight="1" x14ac:dyDescent="0.15">
      <c r="B16" s="6" t="s">
        <v>11</v>
      </c>
    </row>
    <row r="17" spans="2:46" ht="15.75" customHeight="1" x14ac:dyDescent="0.15">
      <c r="B17" s="12"/>
      <c r="C17" s="12">
        <v>2011</v>
      </c>
      <c r="D17" s="12">
        <v>2012</v>
      </c>
      <c r="E17" s="12">
        <v>2013</v>
      </c>
      <c r="F17" s="12">
        <v>2014</v>
      </c>
      <c r="G17" s="12">
        <v>2015</v>
      </c>
      <c r="H17" s="12">
        <v>2016</v>
      </c>
      <c r="I17" s="12">
        <v>2017</v>
      </c>
      <c r="J17" s="12">
        <v>2018</v>
      </c>
      <c r="K17" s="12">
        <v>2019</v>
      </c>
      <c r="L17" s="12">
        <v>2020</v>
      </c>
      <c r="M17" s="12">
        <v>2021</v>
      </c>
      <c r="N17" s="12">
        <v>2022</v>
      </c>
      <c r="O17" s="12">
        <v>2023</v>
      </c>
      <c r="P17" s="12">
        <v>2024</v>
      </c>
      <c r="Q17" s="12">
        <v>2025</v>
      </c>
      <c r="R17" s="12">
        <v>2026</v>
      </c>
      <c r="S17" s="12">
        <v>2027</v>
      </c>
      <c r="T17" s="12">
        <v>2028</v>
      </c>
      <c r="U17" s="12">
        <v>2029</v>
      </c>
      <c r="V17" s="12">
        <v>2030</v>
      </c>
      <c r="W17" s="12">
        <v>2031</v>
      </c>
      <c r="X17" s="12">
        <v>2032</v>
      </c>
      <c r="Y17" s="12">
        <v>2033</v>
      </c>
      <c r="Z17" s="12">
        <v>2034</v>
      </c>
      <c r="AA17" s="12">
        <v>2035</v>
      </c>
      <c r="AB17" s="12">
        <v>2036</v>
      </c>
      <c r="AC17" s="12">
        <v>2037</v>
      </c>
      <c r="AD17" s="12">
        <v>2038</v>
      </c>
      <c r="AE17" s="12">
        <v>2039</v>
      </c>
      <c r="AF17" s="12">
        <v>2040</v>
      </c>
      <c r="AG17" s="12">
        <v>2041</v>
      </c>
      <c r="AH17" s="12">
        <v>2042</v>
      </c>
      <c r="AI17" s="12">
        <v>2043</v>
      </c>
      <c r="AJ17" s="12">
        <v>2044</v>
      </c>
      <c r="AK17" s="12">
        <v>2045</v>
      </c>
      <c r="AL17" s="12">
        <v>2046</v>
      </c>
      <c r="AM17" s="12">
        <v>2047</v>
      </c>
      <c r="AN17" s="12">
        <v>2048</v>
      </c>
      <c r="AO17" s="12">
        <v>2049</v>
      </c>
      <c r="AP17" s="12">
        <v>2050</v>
      </c>
      <c r="AQ17" s="8"/>
      <c r="AR17" s="8"/>
      <c r="AS17" s="8"/>
      <c r="AT17" s="8"/>
    </row>
    <row r="18" spans="2:46" ht="15.75" customHeight="1" x14ac:dyDescent="0.15">
      <c r="B18" s="12" t="s">
        <v>12</v>
      </c>
      <c r="C18" s="12">
        <f t="shared" ref="C18:L18" si="0">C4*$B$4+C5*$B$5+C6*$B$6+C7*$B$7</f>
        <v>7009140</v>
      </c>
      <c r="D18" s="12">
        <f t="shared" si="0"/>
        <v>7355910</v>
      </c>
      <c r="E18" s="12">
        <f t="shared" si="0"/>
        <v>7605000</v>
      </c>
      <c r="F18" s="12">
        <f t="shared" si="0"/>
        <v>7744280</v>
      </c>
      <c r="G18" s="12">
        <f t="shared" si="0"/>
        <v>8000655</v>
      </c>
      <c r="H18" s="12">
        <f t="shared" si="0"/>
        <v>8228680</v>
      </c>
      <c r="I18" s="12">
        <f t="shared" si="0"/>
        <v>9054225</v>
      </c>
      <c r="J18" s="12">
        <f t="shared" si="0"/>
        <v>9789340</v>
      </c>
      <c r="K18" s="12">
        <f t="shared" si="0"/>
        <v>10690590</v>
      </c>
      <c r="L18" s="12">
        <f t="shared" si="0"/>
        <v>11026120</v>
      </c>
      <c r="M18" s="12">
        <f t="shared" ref="M18:V18" si="1">C11*$B$11+C12*$B$12+C13*$B$13+C14*$B$14+L18</f>
        <v>12829500</v>
      </c>
      <c r="N18" s="12">
        <f t="shared" si="1"/>
        <v>14060560</v>
      </c>
      <c r="O18" s="12">
        <f t="shared" si="1"/>
        <v>15347660</v>
      </c>
      <c r="P18" s="12">
        <f t="shared" si="1"/>
        <v>15984460</v>
      </c>
      <c r="Q18" s="12">
        <f t="shared" si="1"/>
        <v>17318400</v>
      </c>
      <c r="R18" s="12">
        <f t="shared" si="1"/>
        <v>17649670</v>
      </c>
      <c r="S18" s="12">
        <f t="shared" si="1"/>
        <v>18126170</v>
      </c>
      <c r="T18" s="12">
        <f t="shared" si="1"/>
        <v>19125120</v>
      </c>
      <c r="U18" s="12">
        <f t="shared" si="1"/>
        <v>19510960</v>
      </c>
      <c r="V18" s="12">
        <f t="shared" si="1"/>
        <v>20100860</v>
      </c>
      <c r="W18" s="12">
        <f t="shared" ref="W18:AP18" si="2">TREND($C$18:$V$18,$C$17:$V$17,W17)</f>
        <v>21032928.789473772</v>
      </c>
      <c r="X18" s="12">
        <f t="shared" si="2"/>
        <v>21814363.436090231</v>
      </c>
      <c r="Y18" s="12">
        <f t="shared" si="2"/>
        <v>22595798.082706928</v>
      </c>
      <c r="Z18" s="12">
        <f t="shared" si="2"/>
        <v>23377232.729323387</v>
      </c>
      <c r="AA18" s="12">
        <f t="shared" si="2"/>
        <v>24158667.375939846</v>
      </c>
      <c r="AB18" s="12">
        <f t="shared" si="2"/>
        <v>24940102.022556543</v>
      </c>
      <c r="AC18" s="12">
        <f t="shared" si="2"/>
        <v>25721536.669173002</v>
      </c>
      <c r="AD18" s="12">
        <f t="shared" si="2"/>
        <v>26502971.3157897</v>
      </c>
      <c r="AE18" s="12">
        <f t="shared" si="2"/>
        <v>27284405.962406158</v>
      </c>
      <c r="AF18" s="12">
        <f t="shared" si="2"/>
        <v>28065840.609022617</v>
      </c>
      <c r="AG18" s="12">
        <f t="shared" si="2"/>
        <v>28847275.255639315</v>
      </c>
      <c r="AH18" s="12">
        <f t="shared" si="2"/>
        <v>29628709.902255774</v>
      </c>
      <c r="AI18" s="12">
        <f t="shared" si="2"/>
        <v>30410144.548872232</v>
      </c>
      <c r="AJ18" s="12">
        <f t="shared" si="2"/>
        <v>31191579.19548893</v>
      </c>
      <c r="AK18" s="12">
        <f t="shared" si="2"/>
        <v>31973013.842105389</v>
      </c>
      <c r="AL18" s="12">
        <f t="shared" si="2"/>
        <v>32754448.488721848</v>
      </c>
      <c r="AM18" s="12">
        <f t="shared" si="2"/>
        <v>33535883.135338545</v>
      </c>
      <c r="AN18" s="12">
        <f t="shared" si="2"/>
        <v>34317317.781955004</v>
      </c>
      <c r="AO18" s="12">
        <f t="shared" si="2"/>
        <v>35098752.428571463</v>
      </c>
      <c r="AP18" s="12">
        <f t="shared" si="2"/>
        <v>35880187.07518816</v>
      </c>
    </row>
    <row r="19" spans="2:46" ht="13" x14ac:dyDescent="0.15"/>
    <row r="20" spans="2:46" ht="13" x14ac:dyDescent="0.15"/>
    <row r="21" spans="2:46" ht="13" x14ac:dyDescent="0.15"/>
    <row r="22" spans="2:46" ht="13" x14ac:dyDescent="0.15"/>
    <row r="23" spans="2:46" ht="13" x14ac:dyDescent="0.15"/>
    <row r="24" spans="2:46" ht="13" x14ac:dyDescent="0.15"/>
    <row r="25" spans="2:46" ht="13" x14ac:dyDescent="0.15"/>
    <row r="26" spans="2:46" ht="13" x14ac:dyDescent="0.15"/>
    <row r="27" spans="2:46" ht="13" x14ac:dyDescent="0.15"/>
    <row r="28" spans="2:46" ht="13" x14ac:dyDescent="0.15"/>
    <row r="29" spans="2:46" ht="13" x14ac:dyDescent="0.15"/>
    <row r="30" spans="2:46" ht="13" x14ac:dyDescent="0.15"/>
    <row r="31" spans="2:46" ht="13" x14ac:dyDescent="0.15"/>
    <row r="32" spans="2:46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000"/>
  <sheetViews>
    <sheetView topLeftCell="AH1" workbookViewId="0">
      <selection activeCell="AG10" sqref="AG10:BA10"/>
    </sheetView>
  </sheetViews>
  <sheetFormatPr baseColWidth="10" defaultColWidth="12.6640625" defaultRowHeight="15.75" customHeight="1" x14ac:dyDescent="0.15"/>
  <cols>
    <col min="1" max="1" width="33.1640625" customWidth="1"/>
    <col min="2" max="3" width="22.6640625" customWidth="1"/>
    <col min="4" max="4" width="19.33203125" customWidth="1"/>
    <col min="5" max="5" width="19.6640625" customWidth="1"/>
    <col min="6" max="6" width="20.83203125" customWidth="1"/>
    <col min="7" max="7" width="20.6640625" customWidth="1"/>
    <col min="8" max="8" width="19.6640625" customWidth="1"/>
    <col min="9" max="9" width="20.1640625" customWidth="1"/>
    <col min="10" max="10" width="20" customWidth="1"/>
    <col min="11" max="11" width="20.1640625" customWidth="1"/>
    <col min="12" max="12" width="19.1640625" customWidth="1"/>
    <col min="13" max="13" width="18.1640625" customWidth="1"/>
    <col min="14" max="14" width="22" customWidth="1"/>
    <col min="15" max="15" width="16.83203125" customWidth="1"/>
    <col min="16" max="16" width="19.1640625" customWidth="1"/>
    <col min="17" max="17" width="20.6640625" customWidth="1"/>
    <col min="18" max="18" width="20.1640625" customWidth="1"/>
    <col min="19" max="19" width="24.1640625" customWidth="1"/>
    <col min="20" max="20" width="19.83203125" customWidth="1"/>
    <col min="21" max="21" width="22" customWidth="1"/>
    <col min="22" max="22" width="21.83203125" customWidth="1"/>
    <col min="23" max="23" width="21.33203125" customWidth="1"/>
    <col min="24" max="24" width="18.6640625" customWidth="1"/>
    <col min="25" max="26" width="20.6640625" customWidth="1"/>
    <col min="27" max="27" width="17.83203125" customWidth="1"/>
    <col min="28" max="28" width="17" customWidth="1"/>
    <col min="29" max="29" width="17.6640625" customWidth="1"/>
    <col min="30" max="30" width="18.33203125" customWidth="1"/>
    <col min="31" max="31" width="20" customWidth="1"/>
    <col min="32" max="32" width="17" customWidth="1"/>
    <col min="33" max="33" width="22.6640625" customWidth="1"/>
    <col min="34" max="34" width="16.33203125" bestFit="1" customWidth="1"/>
  </cols>
  <sheetData>
    <row r="1" spans="1:53" ht="15.75" customHeight="1" x14ac:dyDescent="0.15">
      <c r="A1" s="13" t="s">
        <v>13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  <c r="J1" s="8">
        <v>2027</v>
      </c>
      <c r="K1" s="8">
        <v>2028</v>
      </c>
      <c r="L1" s="8">
        <v>2029</v>
      </c>
      <c r="M1" s="8">
        <v>2030</v>
      </c>
      <c r="N1" s="8">
        <v>2031</v>
      </c>
      <c r="O1" s="8">
        <v>2032</v>
      </c>
      <c r="P1" s="8">
        <v>2033</v>
      </c>
      <c r="Q1" s="8">
        <v>2034</v>
      </c>
      <c r="R1" s="8">
        <v>2035</v>
      </c>
      <c r="S1" s="8">
        <v>2036</v>
      </c>
      <c r="T1" s="8">
        <v>2037</v>
      </c>
      <c r="U1" s="8">
        <v>2038</v>
      </c>
      <c r="V1" s="8">
        <v>2039</v>
      </c>
      <c r="W1" s="8">
        <v>2040</v>
      </c>
      <c r="X1" s="8">
        <v>2041</v>
      </c>
      <c r="Y1" s="8">
        <v>2042</v>
      </c>
      <c r="Z1" s="8">
        <v>2043</v>
      </c>
      <c r="AA1" s="8">
        <v>2044</v>
      </c>
      <c r="AB1" s="8">
        <v>2045</v>
      </c>
      <c r="AC1" s="8">
        <v>2046</v>
      </c>
      <c r="AD1" s="8">
        <v>2047</v>
      </c>
      <c r="AE1" s="8">
        <v>2048</v>
      </c>
      <c r="AF1" s="8">
        <v>2049</v>
      </c>
      <c r="AG1" s="8">
        <v>2050</v>
      </c>
      <c r="AH1" s="28">
        <v>2051</v>
      </c>
      <c r="AI1" s="28">
        <v>2052</v>
      </c>
      <c r="AJ1" s="28">
        <v>2053</v>
      </c>
      <c r="AK1" s="28">
        <v>2054</v>
      </c>
      <c r="AL1" s="28">
        <v>2055</v>
      </c>
      <c r="AM1" s="28">
        <v>2056</v>
      </c>
      <c r="AN1" s="28">
        <v>2057</v>
      </c>
      <c r="AO1" s="28">
        <v>2058</v>
      </c>
      <c r="AP1" s="28">
        <v>2059</v>
      </c>
      <c r="AQ1" s="28">
        <v>2060</v>
      </c>
      <c r="AR1" s="28">
        <v>2061</v>
      </c>
      <c r="AS1" s="28">
        <v>2062</v>
      </c>
      <c r="AT1" s="28">
        <v>2063</v>
      </c>
      <c r="AU1" s="28">
        <v>2064</v>
      </c>
      <c r="AV1" s="28">
        <v>2065</v>
      </c>
      <c r="AW1" s="28">
        <v>2066</v>
      </c>
      <c r="AX1" s="28">
        <v>2067</v>
      </c>
      <c r="AY1" s="28">
        <v>2068</v>
      </c>
      <c r="AZ1" s="28">
        <v>2069</v>
      </c>
      <c r="BA1" s="28">
        <v>2070</v>
      </c>
    </row>
    <row r="2" spans="1:53" ht="15.75" customHeight="1" x14ac:dyDescent="0.15">
      <c r="A2" s="8" t="s">
        <v>14</v>
      </c>
      <c r="B2" s="14">
        <f>Data!K18</f>
        <v>10690590</v>
      </c>
      <c r="C2" s="14">
        <f>Data!L18</f>
        <v>11026120</v>
      </c>
      <c r="D2" s="15">
        <f>Data!M18</f>
        <v>12829500</v>
      </c>
      <c r="E2" s="15">
        <f>Data!N18</f>
        <v>14060560</v>
      </c>
      <c r="F2" s="15">
        <f>Data!O18</f>
        <v>15347660</v>
      </c>
      <c r="G2" s="15">
        <f>Data!P18</f>
        <v>15984460</v>
      </c>
      <c r="H2" s="15">
        <f>Data!Q18</f>
        <v>17318400</v>
      </c>
      <c r="I2" s="15">
        <f>Data!R18</f>
        <v>17649670</v>
      </c>
      <c r="J2" s="15">
        <f>Data!S18</f>
        <v>18126170</v>
      </c>
      <c r="K2" s="15">
        <f>Data!T18</f>
        <v>19125120</v>
      </c>
      <c r="L2" s="15">
        <f>Data!U18</f>
        <v>19510960</v>
      </c>
      <c r="M2" s="15">
        <f>Data!V18</f>
        <v>20100860</v>
      </c>
      <c r="N2" s="15">
        <f>Data!W18</f>
        <v>21032928.789473772</v>
      </c>
      <c r="O2" s="15">
        <f>Data!X18</f>
        <v>21814363.436090231</v>
      </c>
      <c r="P2" s="15">
        <f>Data!Y18</f>
        <v>22595798.082706928</v>
      </c>
      <c r="Q2" s="15">
        <f>Data!Z18</f>
        <v>23377232.729323387</v>
      </c>
      <c r="R2" s="15">
        <f>Data!AA18</f>
        <v>24158667.375939846</v>
      </c>
      <c r="S2" s="15">
        <f>Data!AB18</f>
        <v>24940102.022556543</v>
      </c>
      <c r="T2" s="15">
        <f>Data!AC18</f>
        <v>25721536.669173002</v>
      </c>
      <c r="U2" s="15">
        <f>Data!AD18</f>
        <v>26502971.3157897</v>
      </c>
      <c r="V2" s="15">
        <f>Data!AE18</f>
        <v>27284405.962406158</v>
      </c>
      <c r="W2" s="15">
        <f>Data!AF18</f>
        <v>28065840.609022617</v>
      </c>
      <c r="X2" s="15">
        <f>Data!AG18</f>
        <v>28847275.255639315</v>
      </c>
      <c r="Y2" s="15">
        <f>Data!AH18</f>
        <v>29628709.902255774</v>
      </c>
      <c r="Z2" s="15">
        <f>Data!AI18</f>
        <v>30410144.548872232</v>
      </c>
      <c r="AA2" s="15">
        <f>Data!AJ18</f>
        <v>31191579.19548893</v>
      </c>
      <c r="AB2" s="15">
        <f>Data!AK18</f>
        <v>31973013.842105389</v>
      </c>
      <c r="AC2" s="15">
        <f>Data!AL18</f>
        <v>32754448.488721848</v>
      </c>
      <c r="AD2" s="15">
        <f>Data!AM18</f>
        <v>33535883.135338545</v>
      </c>
      <c r="AE2" s="15">
        <f>Data!AN18</f>
        <v>34317317.781955004</v>
      </c>
      <c r="AF2" s="15">
        <f>Data!AO18</f>
        <v>35098752.428571463</v>
      </c>
      <c r="AG2" s="15">
        <f>Data!AP18</f>
        <v>35880187.07518816</v>
      </c>
      <c r="AH2" s="30">
        <f>_xlfn.FORECAST.LINEAR(AH1,$B$2:$AG$2,$B$1:$AG$1)</f>
        <v>36739840.231173038</v>
      </c>
      <c r="AI2" s="30">
        <f t="shared" ref="AI2:BA2" si="0">_xlfn.FORECAST.LINEAR(AI1,$B$2:$AG$2,$B$1:$AG$1)</f>
        <v>37525396.403049707</v>
      </c>
      <c r="AJ2" s="30">
        <f t="shared" si="0"/>
        <v>38310952.574926376</v>
      </c>
      <c r="AK2" s="30">
        <f t="shared" si="0"/>
        <v>39096508.746803045</v>
      </c>
      <c r="AL2" s="30">
        <f t="shared" si="0"/>
        <v>39882064.918679953</v>
      </c>
      <c r="AM2" s="30">
        <f t="shared" si="0"/>
        <v>40667621.090556622</v>
      </c>
      <c r="AN2" s="30">
        <f t="shared" si="0"/>
        <v>41453177.26243329</v>
      </c>
      <c r="AO2" s="30">
        <f t="shared" si="0"/>
        <v>42238733.434309959</v>
      </c>
      <c r="AP2" s="30">
        <f t="shared" si="0"/>
        <v>43024289.606186867</v>
      </c>
      <c r="AQ2" s="30">
        <f t="shared" si="0"/>
        <v>43809845.778063536</v>
      </c>
      <c r="AR2" s="30">
        <f t="shared" si="0"/>
        <v>44595401.949940205</v>
      </c>
      <c r="AS2" s="30">
        <f t="shared" si="0"/>
        <v>45380958.121816874</v>
      </c>
      <c r="AT2" s="30">
        <f t="shared" si="0"/>
        <v>46166514.293693781</v>
      </c>
      <c r="AU2" s="30">
        <f t="shared" si="0"/>
        <v>46952070.46557045</v>
      </c>
      <c r="AV2" s="30">
        <f t="shared" si="0"/>
        <v>47737626.637447119</v>
      </c>
      <c r="AW2" s="30">
        <f t="shared" si="0"/>
        <v>48523182.809323788</v>
      </c>
      <c r="AX2" s="30">
        <f t="shared" si="0"/>
        <v>49308738.981200695</v>
      </c>
      <c r="AY2" s="30">
        <f t="shared" si="0"/>
        <v>50094295.153077364</v>
      </c>
      <c r="AZ2" s="30">
        <f t="shared" si="0"/>
        <v>50879851.324954033</v>
      </c>
      <c r="BA2" s="30">
        <f t="shared" si="0"/>
        <v>51665407.496830702</v>
      </c>
    </row>
    <row r="3" spans="1:53" ht="15.75" customHeight="1" x14ac:dyDescent="0.15">
      <c r="A3" s="8" t="s">
        <v>15</v>
      </c>
      <c r="B3" s="14">
        <v>1000</v>
      </c>
      <c r="C3" s="14">
        <v>1000</v>
      </c>
      <c r="D3" s="14">
        <v>1000</v>
      </c>
      <c r="E3" s="14">
        <v>1000</v>
      </c>
      <c r="F3" s="14">
        <v>1000</v>
      </c>
      <c r="G3" s="14">
        <v>1000</v>
      </c>
      <c r="H3" s="14">
        <v>1000</v>
      </c>
      <c r="I3" s="14">
        <v>1000</v>
      </c>
      <c r="J3" s="14">
        <v>1000</v>
      </c>
      <c r="K3" s="14">
        <v>1000</v>
      </c>
      <c r="L3" s="14">
        <v>1000</v>
      </c>
      <c r="M3" s="14">
        <v>1000</v>
      </c>
      <c r="N3" s="14">
        <v>1000</v>
      </c>
      <c r="O3" s="14">
        <v>1000</v>
      </c>
      <c r="P3" s="14">
        <v>1000</v>
      </c>
      <c r="Q3" s="14">
        <v>1000</v>
      </c>
      <c r="R3" s="14">
        <v>1000</v>
      </c>
      <c r="S3" s="14">
        <v>1000</v>
      </c>
      <c r="T3" s="14">
        <v>1000</v>
      </c>
      <c r="U3" s="14">
        <v>1000</v>
      </c>
      <c r="V3" s="14">
        <v>1000</v>
      </c>
      <c r="W3" s="14">
        <v>1000</v>
      </c>
      <c r="X3" s="14">
        <v>1000</v>
      </c>
      <c r="Y3" s="14">
        <v>1000</v>
      </c>
      <c r="Z3" s="14">
        <v>1000</v>
      </c>
      <c r="AA3" s="14">
        <v>1000</v>
      </c>
      <c r="AB3" s="14">
        <v>1000</v>
      </c>
      <c r="AC3" s="14">
        <v>1000</v>
      </c>
      <c r="AD3" s="14">
        <v>1000</v>
      </c>
      <c r="AE3" s="14">
        <v>1000</v>
      </c>
      <c r="AF3" s="14">
        <v>1000</v>
      </c>
      <c r="AG3" s="14">
        <v>1000</v>
      </c>
      <c r="AH3" s="29">
        <f>AG3</f>
        <v>1000</v>
      </c>
      <c r="AI3" s="29">
        <f t="shared" ref="AI3:BA3" si="1">AH3</f>
        <v>1000</v>
      </c>
      <c r="AJ3" s="29">
        <f t="shared" si="1"/>
        <v>1000</v>
      </c>
      <c r="AK3" s="29">
        <f t="shared" si="1"/>
        <v>1000</v>
      </c>
      <c r="AL3" s="29">
        <f t="shared" si="1"/>
        <v>1000</v>
      </c>
      <c r="AM3" s="29">
        <f t="shared" si="1"/>
        <v>1000</v>
      </c>
      <c r="AN3" s="29">
        <f t="shared" si="1"/>
        <v>1000</v>
      </c>
      <c r="AO3" s="29">
        <f t="shared" si="1"/>
        <v>1000</v>
      </c>
      <c r="AP3" s="29">
        <f t="shared" si="1"/>
        <v>1000</v>
      </c>
      <c r="AQ3" s="29">
        <f t="shared" si="1"/>
        <v>1000</v>
      </c>
      <c r="AR3" s="29">
        <f t="shared" si="1"/>
        <v>1000</v>
      </c>
      <c r="AS3" s="29">
        <f t="shared" si="1"/>
        <v>1000</v>
      </c>
      <c r="AT3" s="29">
        <f t="shared" si="1"/>
        <v>1000</v>
      </c>
      <c r="AU3" s="29">
        <f t="shared" si="1"/>
        <v>1000</v>
      </c>
      <c r="AV3" s="29">
        <f t="shared" si="1"/>
        <v>1000</v>
      </c>
      <c r="AW3" s="29">
        <f t="shared" si="1"/>
        <v>1000</v>
      </c>
      <c r="AX3" s="29">
        <f t="shared" si="1"/>
        <v>1000</v>
      </c>
      <c r="AY3" s="29">
        <f t="shared" si="1"/>
        <v>1000</v>
      </c>
      <c r="AZ3" s="29">
        <f t="shared" si="1"/>
        <v>1000</v>
      </c>
      <c r="BA3" s="29">
        <f t="shared" si="1"/>
        <v>1000</v>
      </c>
    </row>
    <row r="4" spans="1:53" ht="15.75" customHeight="1" x14ac:dyDescent="0.15">
      <c r="A4" s="8" t="s">
        <v>16</v>
      </c>
      <c r="B4" s="14">
        <f t="shared" ref="B4:BA4" si="2">B2*B3</f>
        <v>10690590000</v>
      </c>
      <c r="C4" s="14">
        <f t="shared" si="2"/>
        <v>11026120000</v>
      </c>
      <c r="D4" s="14">
        <f t="shared" si="2"/>
        <v>12829500000</v>
      </c>
      <c r="E4" s="14">
        <f t="shared" si="2"/>
        <v>14060560000</v>
      </c>
      <c r="F4" s="14">
        <f t="shared" si="2"/>
        <v>15347660000</v>
      </c>
      <c r="G4" s="14">
        <f t="shared" si="2"/>
        <v>15984460000</v>
      </c>
      <c r="H4" s="14">
        <f t="shared" si="2"/>
        <v>17318400000</v>
      </c>
      <c r="I4" s="14">
        <f t="shared" si="2"/>
        <v>17649670000</v>
      </c>
      <c r="J4" s="14">
        <f t="shared" si="2"/>
        <v>18126170000</v>
      </c>
      <c r="K4" s="14">
        <f t="shared" si="2"/>
        <v>19125120000</v>
      </c>
      <c r="L4" s="14">
        <f t="shared" si="2"/>
        <v>19510960000</v>
      </c>
      <c r="M4" s="14">
        <f t="shared" si="2"/>
        <v>20100860000</v>
      </c>
      <c r="N4" s="14">
        <f t="shared" si="2"/>
        <v>21032928789.47377</v>
      </c>
      <c r="O4" s="14">
        <f t="shared" si="2"/>
        <v>21814363436.090233</v>
      </c>
      <c r="P4" s="14">
        <f t="shared" si="2"/>
        <v>22595798082.706928</v>
      </c>
      <c r="Q4" s="14">
        <f t="shared" si="2"/>
        <v>23377232729.323387</v>
      </c>
      <c r="R4" s="14">
        <f t="shared" si="2"/>
        <v>24158667375.939846</v>
      </c>
      <c r="S4" s="14">
        <f t="shared" si="2"/>
        <v>24940102022.556541</v>
      </c>
      <c r="T4" s="14">
        <f t="shared" si="2"/>
        <v>25721536669.173004</v>
      </c>
      <c r="U4" s="14">
        <f t="shared" si="2"/>
        <v>26502971315.7897</v>
      </c>
      <c r="V4" s="14">
        <f t="shared" si="2"/>
        <v>27284405962.406158</v>
      </c>
      <c r="W4" s="14">
        <f t="shared" si="2"/>
        <v>28065840609.022617</v>
      </c>
      <c r="X4" s="14">
        <f t="shared" si="2"/>
        <v>28847275255.639313</v>
      </c>
      <c r="Y4" s="14">
        <f t="shared" si="2"/>
        <v>29628709902.255775</v>
      </c>
      <c r="Z4" s="14">
        <f t="shared" si="2"/>
        <v>30410144548.872231</v>
      </c>
      <c r="AA4" s="14">
        <f t="shared" si="2"/>
        <v>31191579195.48893</v>
      </c>
      <c r="AB4" s="14">
        <f t="shared" si="2"/>
        <v>31973013842.105389</v>
      </c>
      <c r="AC4" s="14">
        <f t="shared" si="2"/>
        <v>32754448488.721848</v>
      </c>
      <c r="AD4" s="14">
        <f t="shared" si="2"/>
        <v>33535883135.338547</v>
      </c>
      <c r="AE4" s="14">
        <f t="shared" si="2"/>
        <v>34317317781.955002</v>
      </c>
      <c r="AF4" s="14">
        <f t="shared" si="2"/>
        <v>35098752428.571465</v>
      </c>
      <c r="AG4" s="14">
        <f t="shared" si="2"/>
        <v>35880187075.188156</v>
      </c>
      <c r="AH4" s="14">
        <f t="shared" si="2"/>
        <v>36739840231.173035</v>
      </c>
      <c r="AI4" s="14">
        <f t="shared" si="2"/>
        <v>37525396403.049706</v>
      </c>
      <c r="AJ4" s="14">
        <f t="shared" si="2"/>
        <v>38310952574.926376</v>
      </c>
      <c r="AK4" s="14">
        <f t="shared" si="2"/>
        <v>39096508746.803047</v>
      </c>
      <c r="AL4" s="14">
        <f t="shared" si="2"/>
        <v>39882064918.679955</v>
      </c>
      <c r="AM4" s="14">
        <f t="shared" si="2"/>
        <v>40667621090.556625</v>
      </c>
      <c r="AN4" s="14">
        <f t="shared" si="2"/>
        <v>41453177262.433289</v>
      </c>
      <c r="AO4" s="14">
        <f t="shared" si="2"/>
        <v>42238733434.309959</v>
      </c>
      <c r="AP4" s="14">
        <f t="shared" si="2"/>
        <v>43024289606.186867</v>
      </c>
      <c r="AQ4" s="14">
        <f t="shared" si="2"/>
        <v>43809845778.063538</v>
      </c>
      <c r="AR4" s="14">
        <f t="shared" si="2"/>
        <v>44595401949.940201</v>
      </c>
      <c r="AS4" s="14">
        <f t="shared" si="2"/>
        <v>45380958121.816872</v>
      </c>
      <c r="AT4" s="14">
        <f t="shared" si="2"/>
        <v>46166514293.693779</v>
      </c>
      <c r="AU4" s="14">
        <f t="shared" si="2"/>
        <v>46952070465.57045</v>
      </c>
      <c r="AV4" s="14">
        <f t="shared" si="2"/>
        <v>47737626637.447121</v>
      </c>
      <c r="AW4" s="14">
        <f t="shared" si="2"/>
        <v>48523182809.323792</v>
      </c>
      <c r="AX4" s="14">
        <f t="shared" si="2"/>
        <v>49308738981.200699</v>
      </c>
      <c r="AY4" s="14">
        <f t="shared" si="2"/>
        <v>50094295153.077362</v>
      </c>
      <c r="AZ4" s="14">
        <f t="shared" si="2"/>
        <v>50879851324.954033</v>
      </c>
      <c r="BA4" s="14">
        <f t="shared" si="2"/>
        <v>51665407496.830704</v>
      </c>
    </row>
    <row r="5" spans="1:53" ht="15.75" customHeight="1" x14ac:dyDescent="0.15">
      <c r="A5" s="8" t="s">
        <v>17</v>
      </c>
      <c r="B5" s="14">
        <v>0.99</v>
      </c>
      <c r="C5" s="14">
        <v>0.99</v>
      </c>
      <c r="D5" s="14">
        <v>0.99</v>
      </c>
      <c r="E5" s="14">
        <v>0.99</v>
      </c>
      <c r="F5" s="14">
        <v>0.99</v>
      </c>
      <c r="G5" s="14">
        <v>0.99</v>
      </c>
      <c r="H5" s="14">
        <v>0.99</v>
      </c>
      <c r="I5" s="14">
        <v>0.99</v>
      </c>
      <c r="J5" s="14">
        <v>0.99</v>
      </c>
      <c r="K5" s="14">
        <v>0.99</v>
      </c>
      <c r="L5" s="14">
        <v>0.99</v>
      </c>
      <c r="M5" s="14">
        <v>0.99</v>
      </c>
      <c r="N5" s="14">
        <v>0.99</v>
      </c>
      <c r="O5" s="14">
        <v>0.99</v>
      </c>
      <c r="P5" s="14">
        <v>0.99</v>
      </c>
      <c r="Q5" s="14">
        <v>0.99</v>
      </c>
      <c r="R5" s="14">
        <v>0.99</v>
      </c>
      <c r="S5" s="14">
        <v>0.99</v>
      </c>
      <c r="T5" s="14">
        <v>0.99</v>
      </c>
      <c r="U5" s="14">
        <v>0.99</v>
      </c>
      <c r="V5" s="14">
        <v>0.99</v>
      </c>
      <c r="W5" s="14">
        <v>0.99</v>
      </c>
      <c r="X5" s="14">
        <v>0.99</v>
      </c>
      <c r="Y5" s="14">
        <v>0.99</v>
      </c>
      <c r="Z5" s="14">
        <v>0.99</v>
      </c>
      <c r="AA5" s="14">
        <v>0.99</v>
      </c>
      <c r="AB5" s="14">
        <v>0.99</v>
      </c>
      <c r="AC5" s="14">
        <v>0.99</v>
      </c>
      <c r="AD5" s="14">
        <v>0.99</v>
      </c>
      <c r="AE5" s="14">
        <v>0.99</v>
      </c>
      <c r="AF5" s="14">
        <v>0.99</v>
      </c>
      <c r="AG5" s="14">
        <v>0.99</v>
      </c>
      <c r="AH5" s="29">
        <f>AG5</f>
        <v>0.99</v>
      </c>
      <c r="AI5" s="29">
        <f t="shared" ref="AI5:BA5" si="3">AH5</f>
        <v>0.99</v>
      </c>
      <c r="AJ5" s="29">
        <f t="shared" si="3"/>
        <v>0.99</v>
      </c>
      <c r="AK5" s="29">
        <f t="shared" si="3"/>
        <v>0.99</v>
      </c>
      <c r="AL5" s="29">
        <f t="shared" si="3"/>
        <v>0.99</v>
      </c>
      <c r="AM5" s="29">
        <f t="shared" si="3"/>
        <v>0.99</v>
      </c>
      <c r="AN5" s="29">
        <f t="shared" si="3"/>
        <v>0.99</v>
      </c>
      <c r="AO5" s="29">
        <f t="shared" si="3"/>
        <v>0.99</v>
      </c>
      <c r="AP5" s="29">
        <f t="shared" si="3"/>
        <v>0.99</v>
      </c>
      <c r="AQ5" s="29">
        <f t="shared" si="3"/>
        <v>0.99</v>
      </c>
      <c r="AR5" s="29">
        <f t="shared" si="3"/>
        <v>0.99</v>
      </c>
      <c r="AS5" s="29">
        <f t="shared" si="3"/>
        <v>0.99</v>
      </c>
      <c r="AT5" s="29">
        <f t="shared" si="3"/>
        <v>0.99</v>
      </c>
      <c r="AU5" s="29">
        <f t="shared" si="3"/>
        <v>0.99</v>
      </c>
      <c r="AV5" s="29">
        <f t="shared" si="3"/>
        <v>0.99</v>
      </c>
      <c r="AW5" s="29">
        <f t="shared" si="3"/>
        <v>0.99</v>
      </c>
      <c r="AX5" s="29">
        <f t="shared" si="3"/>
        <v>0.99</v>
      </c>
      <c r="AY5" s="29">
        <f t="shared" si="3"/>
        <v>0.99</v>
      </c>
      <c r="AZ5" s="29">
        <f t="shared" si="3"/>
        <v>0.99</v>
      </c>
      <c r="BA5" s="29">
        <f t="shared" si="3"/>
        <v>0.99</v>
      </c>
    </row>
    <row r="6" spans="1:53" ht="15.75" customHeight="1" x14ac:dyDescent="0.15">
      <c r="A6" s="8" t="s">
        <v>18</v>
      </c>
      <c r="B6" s="14">
        <f t="shared" ref="B6:BA6" si="4">B4*B5</f>
        <v>10583684100</v>
      </c>
      <c r="C6" s="14">
        <f t="shared" si="4"/>
        <v>10915858800</v>
      </c>
      <c r="D6" s="14">
        <f t="shared" si="4"/>
        <v>12701205000</v>
      </c>
      <c r="E6" s="14">
        <f t="shared" si="4"/>
        <v>13919954400</v>
      </c>
      <c r="F6" s="14">
        <f t="shared" si="4"/>
        <v>15194183400</v>
      </c>
      <c r="G6" s="14">
        <f t="shared" si="4"/>
        <v>15824615400</v>
      </c>
      <c r="H6" s="14">
        <f t="shared" si="4"/>
        <v>17145216000</v>
      </c>
      <c r="I6" s="14">
        <f t="shared" si="4"/>
        <v>17473173300</v>
      </c>
      <c r="J6" s="14">
        <f t="shared" si="4"/>
        <v>17944908300</v>
      </c>
      <c r="K6" s="14">
        <f t="shared" si="4"/>
        <v>18933868800</v>
      </c>
      <c r="L6" s="14">
        <f t="shared" si="4"/>
        <v>19315850400</v>
      </c>
      <c r="M6" s="14">
        <f t="shared" si="4"/>
        <v>19899851400</v>
      </c>
      <c r="N6" s="14">
        <f t="shared" si="4"/>
        <v>20822599501.579033</v>
      </c>
      <c r="O6" s="14">
        <f t="shared" si="4"/>
        <v>21596219801.729332</v>
      </c>
      <c r="P6" s="14">
        <f t="shared" si="4"/>
        <v>22369840101.87986</v>
      </c>
      <c r="Q6" s="14">
        <f t="shared" si="4"/>
        <v>23143460402.030151</v>
      </c>
      <c r="R6" s="14">
        <f t="shared" si="4"/>
        <v>23917080702.180447</v>
      </c>
      <c r="S6" s="14">
        <f t="shared" si="4"/>
        <v>24690701002.330975</v>
      </c>
      <c r="T6" s="14">
        <f t="shared" si="4"/>
        <v>25464321302.481274</v>
      </c>
      <c r="U6" s="14">
        <f t="shared" si="4"/>
        <v>26237941602.631802</v>
      </c>
      <c r="V6" s="14">
        <f t="shared" si="4"/>
        <v>27011561902.782097</v>
      </c>
      <c r="W6" s="14">
        <f t="shared" si="4"/>
        <v>27785182202.932392</v>
      </c>
      <c r="X6" s="14">
        <f t="shared" si="4"/>
        <v>28558802503.08292</v>
      </c>
      <c r="Y6" s="14">
        <f t="shared" si="4"/>
        <v>29332422803.233219</v>
      </c>
      <c r="Z6" s="14">
        <f t="shared" si="4"/>
        <v>30106043103.383507</v>
      </c>
      <c r="AA6" s="14">
        <f t="shared" si="4"/>
        <v>30879663403.534039</v>
      </c>
      <c r="AB6" s="14">
        <f t="shared" si="4"/>
        <v>31653283703.684334</v>
      </c>
      <c r="AC6" s="14">
        <f t="shared" si="4"/>
        <v>32426904003.834629</v>
      </c>
      <c r="AD6" s="14">
        <f t="shared" si="4"/>
        <v>33200524303.985161</v>
      </c>
      <c r="AE6" s="14">
        <f t="shared" si="4"/>
        <v>33974144604.135452</v>
      </c>
      <c r="AF6" s="14">
        <f t="shared" si="4"/>
        <v>34747764904.285751</v>
      </c>
      <c r="AG6" s="14">
        <f t="shared" si="4"/>
        <v>35521385204.436272</v>
      </c>
      <c r="AH6" s="14">
        <f t="shared" si="4"/>
        <v>36372441828.861305</v>
      </c>
      <c r="AI6" s="14">
        <f t="shared" si="4"/>
        <v>37150142439.019211</v>
      </c>
      <c r="AJ6" s="14">
        <f t="shared" si="4"/>
        <v>37927843049.177109</v>
      </c>
      <c r="AK6" s="14">
        <f t="shared" si="4"/>
        <v>38705543659.335014</v>
      </c>
      <c r="AL6" s="14">
        <f t="shared" si="4"/>
        <v>39483244269.493156</v>
      </c>
      <c r="AM6" s="14">
        <f t="shared" si="4"/>
        <v>40260944879.651062</v>
      </c>
      <c r="AN6" s="14">
        <f t="shared" si="4"/>
        <v>41038645489.808952</v>
      </c>
      <c r="AO6" s="14">
        <f t="shared" si="4"/>
        <v>41816346099.966858</v>
      </c>
      <c r="AP6" s="14">
        <f t="shared" si="4"/>
        <v>42594046710.125</v>
      </c>
      <c r="AQ6" s="14">
        <f t="shared" si="4"/>
        <v>43371747320.282906</v>
      </c>
      <c r="AR6" s="14">
        <f t="shared" si="4"/>
        <v>44149447930.440796</v>
      </c>
      <c r="AS6" s="14">
        <f t="shared" si="4"/>
        <v>44927148540.598701</v>
      </c>
      <c r="AT6" s="14">
        <f t="shared" si="4"/>
        <v>45704849150.756844</v>
      </c>
      <c r="AU6" s="14">
        <f t="shared" si="4"/>
        <v>46482549760.914742</v>
      </c>
      <c r="AV6" s="14">
        <f t="shared" si="4"/>
        <v>47260250371.072647</v>
      </c>
      <c r="AW6" s="14">
        <f t="shared" si="4"/>
        <v>48037950981.230553</v>
      </c>
      <c r="AX6" s="14">
        <f t="shared" si="4"/>
        <v>48815651591.388695</v>
      </c>
      <c r="AY6" s="14">
        <f t="shared" si="4"/>
        <v>49593352201.546585</v>
      </c>
      <c r="AZ6" s="14">
        <f t="shared" si="4"/>
        <v>50371052811.704491</v>
      </c>
      <c r="BA6" s="14">
        <f t="shared" si="4"/>
        <v>51148753421.862396</v>
      </c>
    </row>
    <row r="7" spans="1:53" ht="15.75" customHeight="1" x14ac:dyDescent="0.15">
      <c r="A7" s="8" t="s">
        <v>19</v>
      </c>
      <c r="B7" s="16">
        <v>9.9999999999999995E-7</v>
      </c>
      <c r="C7" s="16">
        <v>9.9999999999999995E-7</v>
      </c>
      <c r="D7" s="16">
        <v>9.9999999999999995E-7</v>
      </c>
      <c r="E7" s="16">
        <v>9.9999999999999995E-7</v>
      </c>
      <c r="F7" s="16">
        <v>9.9999999999999995E-7</v>
      </c>
      <c r="G7" s="16">
        <v>9.9999999999999995E-7</v>
      </c>
      <c r="H7" s="16">
        <v>9.9999999999999995E-7</v>
      </c>
      <c r="I7" s="16">
        <v>9.9999999999999995E-7</v>
      </c>
      <c r="J7" s="16">
        <v>9.9999999999999995E-7</v>
      </c>
      <c r="K7" s="16">
        <v>9.9999999999999995E-7</v>
      </c>
      <c r="L7" s="16">
        <v>9.9999999999999995E-7</v>
      </c>
      <c r="M7" s="16">
        <v>9.9999999999999995E-7</v>
      </c>
      <c r="N7" s="16">
        <v>9.9999999999999995E-7</v>
      </c>
      <c r="O7" s="16">
        <v>9.9999999999999995E-7</v>
      </c>
      <c r="P7" s="16">
        <v>9.9999999999999995E-7</v>
      </c>
      <c r="Q7" s="16">
        <v>9.9999999999999995E-7</v>
      </c>
      <c r="R7" s="16">
        <v>9.9999999999999995E-7</v>
      </c>
      <c r="S7" s="16">
        <v>9.9999999999999995E-7</v>
      </c>
      <c r="T7" s="16">
        <v>9.9999999999999995E-7</v>
      </c>
      <c r="U7" s="16">
        <v>9.9999999999999995E-7</v>
      </c>
      <c r="V7" s="16">
        <v>9.9999999999999995E-7</v>
      </c>
      <c r="W7" s="16">
        <v>9.9999999999999995E-7</v>
      </c>
      <c r="X7" s="16">
        <v>9.9999999999999995E-7</v>
      </c>
      <c r="Y7" s="16">
        <v>9.9999999999999995E-7</v>
      </c>
      <c r="Z7" s="16">
        <v>9.9999999999999995E-7</v>
      </c>
      <c r="AA7" s="16">
        <v>9.9999999999999995E-7</v>
      </c>
      <c r="AB7" s="16">
        <v>9.9999999999999995E-7</v>
      </c>
      <c r="AC7" s="16">
        <v>9.9999999999999995E-7</v>
      </c>
      <c r="AD7" s="16">
        <v>9.9999999999999995E-7</v>
      </c>
      <c r="AE7" s="16">
        <v>9.9999999999999995E-7</v>
      </c>
      <c r="AF7" s="16">
        <v>9.9999999999999995E-7</v>
      </c>
      <c r="AG7" s="16">
        <v>9.9999999999999995E-7</v>
      </c>
      <c r="AH7">
        <f>AG7</f>
        <v>9.9999999999999995E-7</v>
      </c>
      <c r="AI7">
        <f t="shared" ref="AI7:BA7" si="5">AH7</f>
        <v>9.9999999999999995E-7</v>
      </c>
      <c r="AJ7">
        <f t="shared" si="5"/>
        <v>9.9999999999999995E-7</v>
      </c>
      <c r="AK7">
        <f t="shared" si="5"/>
        <v>9.9999999999999995E-7</v>
      </c>
      <c r="AL7">
        <f t="shared" si="5"/>
        <v>9.9999999999999995E-7</v>
      </c>
      <c r="AM7">
        <f t="shared" si="5"/>
        <v>9.9999999999999995E-7</v>
      </c>
      <c r="AN7">
        <f t="shared" si="5"/>
        <v>9.9999999999999995E-7</v>
      </c>
      <c r="AO7">
        <f t="shared" si="5"/>
        <v>9.9999999999999995E-7</v>
      </c>
      <c r="AP7">
        <f t="shared" si="5"/>
        <v>9.9999999999999995E-7</v>
      </c>
      <c r="AQ7">
        <f t="shared" si="5"/>
        <v>9.9999999999999995E-7</v>
      </c>
      <c r="AR7">
        <f t="shared" si="5"/>
        <v>9.9999999999999995E-7</v>
      </c>
      <c r="AS7">
        <f t="shared" si="5"/>
        <v>9.9999999999999995E-7</v>
      </c>
      <c r="AT7">
        <f t="shared" si="5"/>
        <v>9.9999999999999995E-7</v>
      </c>
      <c r="AU7">
        <f t="shared" si="5"/>
        <v>9.9999999999999995E-7</v>
      </c>
      <c r="AV7">
        <f t="shared" si="5"/>
        <v>9.9999999999999995E-7</v>
      </c>
      <c r="AW7">
        <f t="shared" si="5"/>
        <v>9.9999999999999995E-7</v>
      </c>
      <c r="AX7">
        <f t="shared" si="5"/>
        <v>9.9999999999999995E-7</v>
      </c>
      <c r="AY7">
        <f t="shared" si="5"/>
        <v>9.9999999999999995E-7</v>
      </c>
      <c r="AZ7">
        <f t="shared" si="5"/>
        <v>9.9999999999999995E-7</v>
      </c>
      <c r="BA7">
        <f t="shared" si="5"/>
        <v>9.9999999999999995E-7</v>
      </c>
    </row>
    <row r="8" spans="1:53" ht="15.75" customHeight="1" x14ac:dyDescent="0.15">
      <c r="A8" s="8" t="s">
        <v>20</v>
      </c>
      <c r="B8" s="14">
        <f t="shared" ref="B8:BA8" si="6">B6*B7</f>
        <v>10583.6841</v>
      </c>
      <c r="C8" s="14">
        <f t="shared" si="6"/>
        <v>10915.8588</v>
      </c>
      <c r="D8" s="14">
        <f t="shared" si="6"/>
        <v>12701.205</v>
      </c>
      <c r="E8" s="14">
        <f t="shared" si="6"/>
        <v>13919.954399999999</v>
      </c>
      <c r="F8" s="14">
        <f t="shared" si="6"/>
        <v>15194.1834</v>
      </c>
      <c r="G8" s="14">
        <f t="shared" si="6"/>
        <v>15824.615399999999</v>
      </c>
      <c r="H8" s="14">
        <f t="shared" si="6"/>
        <v>17145.216</v>
      </c>
      <c r="I8" s="14">
        <f t="shared" si="6"/>
        <v>17473.173299999999</v>
      </c>
      <c r="J8" s="14">
        <f t="shared" si="6"/>
        <v>17944.908299999999</v>
      </c>
      <c r="K8" s="14">
        <f t="shared" si="6"/>
        <v>18933.8688</v>
      </c>
      <c r="L8" s="14">
        <f t="shared" si="6"/>
        <v>19315.850399999999</v>
      </c>
      <c r="M8" s="14">
        <f t="shared" si="6"/>
        <v>19899.8514</v>
      </c>
      <c r="N8" s="14">
        <f t="shared" si="6"/>
        <v>20822.599501579032</v>
      </c>
      <c r="O8" s="14">
        <f t="shared" si="6"/>
        <v>21596.21980172933</v>
      </c>
      <c r="P8" s="14">
        <f t="shared" si="6"/>
        <v>22369.840101879858</v>
      </c>
      <c r="Q8" s="14">
        <f t="shared" si="6"/>
        <v>23143.460402030149</v>
      </c>
      <c r="R8" s="14">
        <f t="shared" si="6"/>
        <v>23917.080702180447</v>
      </c>
      <c r="S8" s="14">
        <f t="shared" si="6"/>
        <v>24690.701002330974</v>
      </c>
      <c r="T8" s="14">
        <f t="shared" si="6"/>
        <v>25464.321302481272</v>
      </c>
      <c r="U8" s="14">
        <f t="shared" si="6"/>
        <v>26237.941602631799</v>
      </c>
      <c r="V8" s="14">
        <f t="shared" si="6"/>
        <v>27011.561902782094</v>
      </c>
      <c r="W8" s="14">
        <f t="shared" si="6"/>
        <v>27785.182202932392</v>
      </c>
      <c r="X8" s="14">
        <f t="shared" si="6"/>
        <v>28558.802503082919</v>
      </c>
      <c r="Y8" s="14">
        <f t="shared" si="6"/>
        <v>29332.422803233218</v>
      </c>
      <c r="Z8" s="14">
        <f t="shared" si="6"/>
        <v>30106.043103383505</v>
      </c>
      <c r="AA8" s="14">
        <f t="shared" si="6"/>
        <v>30879.663403534036</v>
      </c>
      <c r="AB8" s="14">
        <f t="shared" si="6"/>
        <v>31653.283703684334</v>
      </c>
      <c r="AC8" s="14">
        <f t="shared" si="6"/>
        <v>32426.904003834628</v>
      </c>
      <c r="AD8" s="14">
        <f t="shared" si="6"/>
        <v>33200.524303985156</v>
      </c>
      <c r="AE8" s="14">
        <f t="shared" si="6"/>
        <v>33974.14460413545</v>
      </c>
      <c r="AF8" s="14">
        <f t="shared" si="6"/>
        <v>34747.764904285752</v>
      </c>
      <c r="AG8" s="14">
        <f t="shared" si="6"/>
        <v>35521.385204436272</v>
      </c>
      <c r="AH8" s="14">
        <f t="shared" si="6"/>
        <v>36372.441828861301</v>
      </c>
      <c r="AI8" s="14">
        <f t="shared" si="6"/>
        <v>37150.142439019211</v>
      </c>
      <c r="AJ8" s="14">
        <f t="shared" si="6"/>
        <v>37927.843049177107</v>
      </c>
      <c r="AK8" s="14">
        <f t="shared" si="6"/>
        <v>38705.54365933501</v>
      </c>
      <c r="AL8" s="14">
        <f t="shared" si="6"/>
        <v>39483.244269493152</v>
      </c>
      <c r="AM8" s="14">
        <f t="shared" si="6"/>
        <v>40260.944879651062</v>
      </c>
      <c r="AN8" s="14">
        <f t="shared" si="6"/>
        <v>41038.645489808951</v>
      </c>
      <c r="AO8" s="14">
        <f t="shared" si="6"/>
        <v>41816.346099966853</v>
      </c>
      <c r="AP8" s="14">
        <f t="shared" si="6"/>
        <v>42594.046710124996</v>
      </c>
      <c r="AQ8" s="14">
        <f t="shared" si="6"/>
        <v>43371.747320282906</v>
      </c>
      <c r="AR8" s="14">
        <f t="shared" si="6"/>
        <v>44149.447930440794</v>
      </c>
      <c r="AS8" s="14">
        <f t="shared" si="6"/>
        <v>44927.148540598697</v>
      </c>
      <c r="AT8" s="14">
        <f t="shared" si="6"/>
        <v>45704.84915075684</v>
      </c>
      <c r="AU8" s="14">
        <f t="shared" si="6"/>
        <v>46482.549760914742</v>
      </c>
      <c r="AV8" s="14">
        <f t="shared" si="6"/>
        <v>47260.250371072645</v>
      </c>
      <c r="AW8" s="14">
        <f t="shared" si="6"/>
        <v>48037.950981230548</v>
      </c>
      <c r="AX8" s="14">
        <f t="shared" si="6"/>
        <v>48815.651591388691</v>
      </c>
      <c r="AY8" s="14">
        <f t="shared" si="6"/>
        <v>49593.352201546586</v>
      </c>
      <c r="AZ8" s="14">
        <f t="shared" si="6"/>
        <v>50371.052811704489</v>
      </c>
      <c r="BA8" s="14">
        <f t="shared" si="6"/>
        <v>51148.753421862391</v>
      </c>
    </row>
    <row r="9" spans="1:53" ht="15.75" customHeight="1" x14ac:dyDescent="0.15">
      <c r="A9" s="8" t="s">
        <v>21</v>
      </c>
      <c r="B9" s="14">
        <v>0.62</v>
      </c>
      <c r="C9" s="14">
        <v>0.62</v>
      </c>
      <c r="D9" s="14">
        <v>0.62</v>
      </c>
      <c r="E9" s="14">
        <v>0.62</v>
      </c>
      <c r="F9" s="14">
        <v>0.62</v>
      </c>
      <c r="G9" s="14">
        <v>0.62</v>
      </c>
      <c r="H9" s="14">
        <v>0.62</v>
      </c>
      <c r="I9" s="14">
        <v>0.62</v>
      </c>
      <c r="J9" s="14">
        <v>0.62</v>
      </c>
      <c r="K9" s="14">
        <v>0.62</v>
      </c>
      <c r="L9" s="14">
        <v>0.62</v>
      </c>
      <c r="M9" s="14">
        <v>0.62</v>
      </c>
      <c r="N9" s="14">
        <v>0.62</v>
      </c>
      <c r="O9" s="14">
        <v>0.62</v>
      </c>
      <c r="P9" s="14">
        <v>0.62</v>
      </c>
      <c r="Q9" s="14">
        <v>0.62</v>
      </c>
      <c r="R9" s="14">
        <v>0.62</v>
      </c>
      <c r="S9" s="14">
        <v>0.62</v>
      </c>
      <c r="T9" s="14">
        <v>0.62</v>
      </c>
      <c r="U9" s="14">
        <v>0.62</v>
      </c>
      <c r="V9" s="14">
        <v>0.62</v>
      </c>
      <c r="W9" s="14">
        <v>0.62</v>
      </c>
      <c r="X9" s="14">
        <v>0.62</v>
      </c>
      <c r="Y9" s="14">
        <v>0.62</v>
      </c>
      <c r="Z9" s="14">
        <v>0.62</v>
      </c>
      <c r="AA9" s="14">
        <v>0.62</v>
      </c>
      <c r="AB9" s="14">
        <v>0.62</v>
      </c>
      <c r="AC9" s="14">
        <v>0.62</v>
      </c>
      <c r="AD9" s="14">
        <v>0.62</v>
      </c>
      <c r="AE9" s="14">
        <v>0.62</v>
      </c>
      <c r="AF9" s="14">
        <v>0.62</v>
      </c>
      <c r="AG9" s="14">
        <v>0.62</v>
      </c>
      <c r="AH9" s="29">
        <f>AG9</f>
        <v>0.62</v>
      </c>
      <c r="AI9" s="29">
        <f t="shared" ref="AI9:BA9" si="7">AH9</f>
        <v>0.62</v>
      </c>
      <c r="AJ9" s="29">
        <f t="shared" si="7"/>
        <v>0.62</v>
      </c>
      <c r="AK9" s="29">
        <f t="shared" si="7"/>
        <v>0.62</v>
      </c>
      <c r="AL9" s="29">
        <f t="shared" si="7"/>
        <v>0.62</v>
      </c>
      <c r="AM9" s="29">
        <f t="shared" si="7"/>
        <v>0.62</v>
      </c>
      <c r="AN9" s="29">
        <f t="shared" si="7"/>
        <v>0.62</v>
      </c>
      <c r="AO9" s="29">
        <f t="shared" si="7"/>
        <v>0.62</v>
      </c>
      <c r="AP9" s="29">
        <f t="shared" si="7"/>
        <v>0.62</v>
      </c>
      <c r="AQ9" s="29">
        <f t="shared" si="7"/>
        <v>0.62</v>
      </c>
      <c r="AR9" s="29">
        <f t="shared" si="7"/>
        <v>0.62</v>
      </c>
      <c r="AS9" s="29">
        <f t="shared" si="7"/>
        <v>0.62</v>
      </c>
      <c r="AT9" s="29">
        <f t="shared" si="7"/>
        <v>0.62</v>
      </c>
      <c r="AU9" s="29">
        <f t="shared" si="7"/>
        <v>0.62</v>
      </c>
      <c r="AV9" s="29">
        <f t="shared" si="7"/>
        <v>0.62</v>
      </c>
      <c r="AW9" s="29">
        <f t="shared" si="7"/>
        <v>0.62</v>
      </c>
      <c r="AX9" s="29">
        <f t="shared" si="7"/>
        <v>0.62</v>
      </c>
      <c r="AY9" s="29">
        <f t="shared" si="7"/>
        <v>0.62</v>
      </c>
      <c r="AZ9" s="29">
        <f t="shared" si="7"/>
        <v>0.62</v>
      </c>
      <c r="BA9" s="29">
        <f t="shared" si="7"/>
        <v>0.62</v>
      </c>
    </row>
    <row r="10" spans="1:53" ht="15.75" customHeight="1" x14ac:dyDescent="0.15">
      <c r="A10" s="17" t="s">
        <v>22</v>
      </c>
      <c r="B10" s="18">
        <f t="shared" ref="B10:BA10" si="8">B8*B9</f>
        <v>6561.8841419999999</v>
      </c>
      <c r="C10" s="18">
        <f t="shared" si="8"/>
        <v>6767.8324560000001</v>
      </c>
      <c r="D10" s="18">
        <f t="shared" si="8"/>
        <v>7874.7470999999996</v>
      </c>
      <c r="E10" s="18">
        <f t="shared" si="8"/>
        <v>8630.3717279999983</v>
      </c>
      <c r="F10" s="18">
        <f t="shared" si="8"/>
        <v>9420.3937079999996</v>
      </c>
      <c r="G10" s="18">
        <f t="shared" si="8"/>
        <v>9811.2615479999986</v>
      </c>
      <c r="H10" s="18">
        <f t="shared" si="8"/>
        <v>10630.03392</v>
      </c>
      <c r="I10" s="18">
        <f t="shared" si="8"/>
        <v>10833.367445999998</v>
      </c>
      <c r="J10" s="18">
        <f t="shared" si="8"/>
        <v>11125.843145999999</v>
      </c>
      <c r="K10" s="18">
        <f t="shared" si="8"/>
        <v>11738.998656</v>
      </c>
      <c r="L10" s="18">
        <f t="shared" si="8"/>
        <v>11975.827248</v>
      </c>
      <c r="M10" s="18">
        <f t="shared" si="8"/>
        <v>12337.907868</v>
      </c>
      <c r="N10" s="18">
        <f t="shared" si="8"/>
        <v>12910.011690978999</v>
      </c>
      <c r="O10" s="18">
        <f t="shared" si="8"/>
        <v>13389.656277072185</v>
      </c>
      <c r="P10" s="18">
        <f t="shared" si="8"/>
        <v>13869.300863165512</v>
      </c>
      <c r="Q10" s="18">
        <f t="shared" si="8"/>
        <v>14348.945449258692</v>
      </c>
      <c r="R10" s="18">
        <f t="shared" si="8"/>
        <v>14828.590035351877</v>
      </c>
      <c r="S10" s="18">
        <f t="shared" si="8"/>
        <v>15308.234621445205</v>
      </c>
      <c r="T10" s="18">
        <f t="shared" si="8"/>
        <v>15787.879207538388</v>
      </c>
      <c r="U10" s="18">
        <f t="shared" si="8"/>
        <v>16267.523793631715</v>
      </c>
      <c r="V10" s="18">
        <f t="shared" si="8"/>
        <v>16747.168379724899</v>
      </c>
      <c r="W10" s="18">
        <f t="shared" si="8"/>
        <v>17226.812965818084</v>
      </c>
      <c r="X10" s="18">
        <f t="shared" si="8"/>
        <v>17706.457551911411</v>
      </c>
      <c r="Y10" s="18">
        <f t="shared" si="8"/>
        <v>18186.102138004593</v>
      </c>
      <c r="Z10" s="18">
        <f t="shared" si="8"/>
        <v>18665.746724097771</v>
      </c>
      <c r="AA10" s="18">
        <f t="shared" si="8"/>
        <v>19145.391310191102</v>
      </c>
      <c r="AB10" s="18">
        <f t="shared" si="8"/>
        <v>19625.035896284287</v>
      </c>
      <c r="AC10" s="18">
        <f t="shared" si="8"/>
        <v>20104.680482377469</v>
      </c>
      <c r="AD10" s="18">
        <f t="shared" si="8"/>
        <v>20584.325068470796</v>
      </c>
      <c r="AE10" s="18">
        <f t="shared" si="8"/>
        <v>21063.969654563978</v>
      </c>
      <c r="AF10" s="18">
        <f t="shared" si="8"/>
        <v>21543.614240657167</v>
      </c>
      <c r="AG10" s="18">
        <f t="shared" si="8"/>
        <v>22023.258826750487</v>
      </c>
      <c r="AH10" s="18">
        <f t="shared" si="8"/>
        <v>22550.913933894008</v>
      </c>
      <c r="AI10" s="18">
        <f t="shared" si="8"/>
        <v>23033.088312191911</v>
      </c>
      <c r="AJ10" s="18">
        <f t="shared" si="8"/>
        <v>23515.262690489806</v>
      </c>
      <c r="AK10" s="18">
        <f t="shared" si="8"/>
        <v>23997.437068787705</v>
      </c>
      <c r="AL10" s="18">
        <f t="shared" si="8"/>
        <v>24479.611447085754</v>
      </c>
      <c r="AM10" s="18">
        <f t="shared" si="8"/>
        <v>24961.78582538366</v>
      </c>
      <c r="AN10" s="18">
        <f t="shared" si="8"/>
        <v>25443.960203681549</v>
      </c>
      <c r="AO10" s="18">
        <f t="shared" si="8"/>
        <v>25926.134581979448</v>
      </c>
      <c r="AP10" s="18">
        <f t="shared" si="8"/>
        <v>26408.308960277496</v>
      </c>
      <c r="AQ10" s="18">
        <f t="shared" si="8"/>
        <v>26890.483338575403</v>
      </c>
      <c r="AR10" s="18">
        <f t="shared" si="8"/>
        <v>27372.657716873291</v>
      </c>
      <c r="AS10" s="18">
        <f t="shared" si="8"/>
        <v>27854.83209517119</v>
      </c>
      <c r="AT10" s="18">
        <f t="shared" si="8"/>
        <v>28337.006473469239</v>
      </c>
      <c r="AU10" s="18">
        <f t="shared" si="8"/>
        <v>28819.180851767142</v>
      </c>
      <c r="AV10" s="18">
        <f t="shared" si="8"/>
        <v>29301.355230065041</v>
      </c>
      <c r="AW10" s="18">
        <f t="shared" si="8"/>
        <v>29783.52960836294</v>
      </c>
      <c r="AX10" s="18">
        <f t="shared" si="8"/>
        <v>30265.703986660988</v>
      </c>
      <c r="AY10" s="18">
        <f t="shared" si="8"/>
        <v>30747.878364958884</v>
      </c>
      <c r="AZ10" s="18">
        <f t="shared" si="8"/>
        <v>31230.052743256783</v>
      </c>
      <c r="BA10" s="18">
        <f t="shared" si="8"/>
        <v>31712.227121554683</v>
      </c>
    </row>
    <row r="11" spans="1:53" ht="15.75" customHeight="1" x14ac:dyDescent="0.15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53" ht="15.75" customHeight="1" x14ac:dyDescent="0.15"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53" ht="15.75" customHeight="1" x14ac:dyDescent="0.15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53" ht="15.75" customHeight="1" x14ac:dyDescent="0.15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53" ht="15.75" customHeight="1" x14ac:dyDescent="0.15"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53" ht="15.75" customHeight="1" x14ac:dyDescent="0.15"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2:11" ht="15.75" customHeight="1" x14ac:dyDescent="0.15"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2:11" ht="15.75" customHeight="1" x14ac:dyDescent="0.15"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2:11" ht="15.75" customHeight="1" x14ac:dyDescent="0.15"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2:11" ht="15.75" customHeight="1" x14ac:dyDescent="0.15"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2:11" ht="15.75" customHeight="1" x14ac:dyDescent="0.15"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2:11" ht="15.75" customHeight="1" x14ac:dyDescent="0.15"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2:11" ht="15.75" customHeight="1" x14ac:dyDescent="0.15"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2:11" ht="15.75" customHeight="1" x14ac:dyDescent="0.15"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2:11" ht="15.75" customHeight="1" x14ac:dyDescent="0.15"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2:11" ht="15.75" customHeight="1" x14ac:dyDescent="0.15"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2:11" ht="15.75" customHeight="1" x14ac:dyDescent="0.15"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2:11" ht="15.75" customHeight="1" x14ac:dyDescent="0.15"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2:11" ht="15.75" customHeight="1" x14ac:dyDescent="0.15"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2:11" ht="13" x14ac:dyDescent="0.15"/>
    <row r="31" spans="2:11" ht="13" x14ac:dyDescent="0.15"/>
    <row r="32" spans="2:11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</sheetData>
  <pageMargins left="0.7" right="0.7" top="0.75" bottom="0.75" header="0" footer="0"/>
  <pageSetup orientation="landscape"/>
  <ignoredErrors>
    <ignoredError sqref="AH4:BA4 AH5:BA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97D"/>
  </sheetPr>
  <dimension ref="A1:BB997"/>
  <sheetViews>
    <sheetView tabSelected="1" topLeftCell="AI1" workbookViewId="0">
      <selection activeCell="AG2" sqref="AG2:BA2"/>
    </sheetView>
  </sheetViews>
  <sheetFormatPr baseColWidth="10" defaultColWidth="12.6640625" defaultRowHeight="15.75" customHeight="1" x14ac:dyDescent="0.15"/>
  <cols>
    <col min="1" max="1" width="33.1640625" customWidth="1"/>
    <col min="2" max="3" width="12.6640625" customWidth="1"/>
    <col min="4" max="33" width="11.33203125" customWidth="1"/>
  </cols>
  <sheetData>
    <row r="1" spans="1:54" ht="15.75" customHeight="1" x14ac:dyDescent="0.15">
      <c r="A1" s="20"/>
      <c r="B1" s="26" t="s">
        <v>23</v>
      </c>
      <c r="C1" s="26" t="s">
        <v>24</v>
      </c>
      <c r="D1" s="26" t="s">
        <v>25</v>
      </c>
      <c r="E1" s="26" t="s">
        <v>26</v>
      </c>
      <c r="F1" s="26" t="s">
        <v>27</v>
      </c>
      <c r="G1" s="26" t="s">
        <v>28</v>
      </c>
      <c r="H1" s="26" t="s">
        <v>29</v>
      </c>
      <c r="I1" s="26" t="s">
        <v>30</v>
      </c>
      <c r="J1" s="26" t="s">
        <v>31</v>
      </c>
      <c r="K1" s="26" t="s">
        <v>32</v>
      </c>
      <c r="L1" s="26" t="s">
        <v>33</v>
      </c>
      <c r="M1" s="26" t="s">
        <v>34</v>
      </c>
      <c r="N1" s="26" t="s">
        <v>35</v>
      </c>
      <c r="O1" s="26" t="s">
        <v>36</v>
      </c>
      <c r="P1" s="26" t="s">
        <v>37</v>
      </c>
      <c r="Q1" s="26" t="s">
        <v>38</v>
      </c>
      <c r="R1" s="26" t="s">
        <v>39</v>
      </c>
      <c r="S1" s="26" t="s">
        <v>40</v>
      </c>
      <c r="T1" s="26" t="s">
        <v>41</v>
      </c>
      <c r="U1" s="26" t="s">
        <v>42</v>
      </c>
      <c r="V1" s="26" t="s">
        <v>43</v>
      </c>
      <c r="W1" s="26" t="s">
        <v>44</v>
      </c>
      <c r="X1" s="26" t="s">
        <v>45</v>
      </c>
      <c r="Y1" s="26" t="s">
        <v>46</v>
      </c>
      <c r="Z1" s="26" t="s">
        <v>47</v>
      </c>
      <c r="AA1" s="26" t="s">
        <v>48</v>
      </c>
      <c r="AB1" s="26" t="s">
        <v>49</v>
      </c>
      <c r="AC1" s="26" t="s">
        <v>50</v>
      </c>
      <c r="AD1" s="26" t="s">
        <v>51</v>
      </c>
      <c r="AE1" s="26" t="s">
        <v>52</v>
      </c>
      <c r="AF1" s="26" t="s">
        <v>53</v>
      </c>
      <c r="AG1" s="26" t="s">
        <v>54</v>
      </c>
      <c r="AH1" s="27">
        <v>2051</v>
      </c>
      <c r="AI1" s="27">
        <v>2052</v>
      </c>
      <c r="AJ1" s="27">
        <v>2053</v>
      </c>
      <c r="AK1" s="27">
        <v>2054</v>
      </c>
      <c r="AL1" s="27">
        <v>2055</v>
      </c>
      <c r="AM1" s="27">
        <v>2056</v>
      </c>
      <c r="AN1" s="27">
        <v>2057</v>
      </c>
      <c r="AO1" s="27">
        <v>2058</v>
      </c>
      <c r="AP1" s="27">
        <v>2059</v>
      </c>
      <c r="AQ1" s="27">
        <v>2060</v>
      </c>
      <c r="AR1" s="27">
        <v>2061</v>
      </c>
      <c r="AS1" s="27">
        <v>2062</v>
      </c>
      <c r="AT1" s="27">
        <v>2063</v>
      </c>
      <c r="AU1" s="27">
        <v>2064</v>
      </c>
      <c r="AV1" s="27">
        <v>2065</v>
      </c>
      <c r="AW1" s="27">
        <v>2066</v>
      </c>
      <c r="AX1" s="27">
        <v>2067</v>
      </c>
      <c r="AY1" s="27">
        <v>2068</v>
      </c>
      <c r="AZ1" s="27">
        <v>2069</v>
      </c>
      <c r="BA1" s="27">
        <v>2070</v>
      </c>
      <c r="BB1" s="27"/>
    </row>
    <row r="2" spans="1:54" ht="15.75" customHeight="1" x14ac:dyDescent="0.15">
      <c r="A2" s="21" t="s">
        <v>55</v>
      </c>
      <c r="B2" s="22">
        <f>'Cal '!B10</f>
        <v>6561.8841419999999</v>
      </c>
      <c r="C2" s="22">
        <f>'Cal '!C10</f>
        <v>6767.8324560000001</v>
      </c>
      <c r="D2" s="22">
        <f>'Cal '!D10</f>
        <v>7874.7470999999996</v>
      </c>
      <c r="E2" s="22">
        <f>'Cal '!E10</f>
        <v>8630.3717279999983</v>
      </c>
      <c r="F2" s="22">
        <f>'Cal '!F10</f>
        <v>9420.3937079999996</v>
      </c>
      <c r="G2" s="22">
        <f>'Cal '!G10</f>
        <v>9811.2615479999986</v>
      </c>
      <c r="H2" s="22">
        <f>'Cal '!H10</f>
        <v>10630.03392</v>
      </c>
      <c r="I2" s="22">
        <f>'Cal '!I10</f>
        <v>10833.367445999998</v>
      </c>
      <c r="J2" s="22">
        <f>'Cal '!J10</f>
        <v>11125.843145999999</v>
      </c>
      <c r="K2" s="22">
        <f>'Cal '!K10</f>
        <v>11738.998656</v>
      </c>
      <c r="L2" s="22">
        <f>'Cal '!L10</f>
        <v>11975.827248</v>
      </c>
      <c r="M2" s="22">
        <f>'Cal '!M10</f>
        <v>12337.907868</v>
      </c>
      <c r="N2" s="22">
        <f>'Cal '!N10</f>
        <v>12910.011690978999</v>
      </c>
      <c r="O2" s="22">
        <f>'Cal '!O10</f>
        <v>13389.656277072185</v>
      </c>
      <c r="P2" s="22">
        <f>'Cal '!P10</f>
        <v>13869.300863165512</v>
      </c>
      <c r="Q2" s="22">
        <f>'Cal '!Q10</f>
        <v>14348.945449258692</v>
      </c>
      <c r="R2" s="22">
        <f>'Cal '!R10</f>
        <v>14828.590035351877</v>
      </c>
      <c r="S2" s="22">
        <f>'Cal '!S10</f>
        <v>15308.234621445205</v>
      </c>
      <c r="T2" s="22">
        <f>'Cal '!T10</f>
        <v>15787.879207538388</v>
      </c>
      <c r="U2" s="22">
        <f>'Cal '!U10</f>
        <v>16267.523793631715</v>
      </c>
      <c r="V2" s="22">
        <f>'Cal '!V10</f>
        <v>16747.168379724899</v>
      </c>
      <c r="W2" s="22">
        <f>'Cal '!W10</f>
        <v>17226.812965818084</v>
      </c>
      <c r="X2" s="22">
        <f>'Cal '!X10</f>
        <v>17706.457551911411</v>
      </c>
      <c r="Y2" s="22">
        <f>'Cal '!Y10</f>
        <v>18186.102138004593</v>
      </c>
      <c r="Z2" s="22">
        <f>'Cal '!Z10</f>
        <v>18665.746724097771</v>
      </c>
      <c r="AA2" s="22">
        <f>'Cal '!AA10</f>
        <v>19145.391310191102</v>
      </c>
      <c r="AB2" s="22">
        <f>'Cal '!AB10</f>
        <v>19625.035896284287</v>
      </c>
      <c r="AC2" s="22">
        <f>'Cal '!AC10</f>
        <v>20104.680482377469</v>
      </c>
      <c r="AD2" s="22">
        <f>'Cal '!AD10</f>
        <v>20584.325068470796</v>
      </c>
      <c r="AE2" s="22">
        <f>'Cal '!AE10</f>
        <v>21063.969654563978</v>
      </c>
      <c r="AF2" s="22">
        <f>'Cal '!AF10</f>
        <v>21543.614240657167</v>
      </c>
      <c r="AG2" s="22">
        <f>'Cal '!AG10</f>
        <v>22023.258826750487</v>
      </c>
      <c r="AH2" s="22">
        <f>'Cal '!AH10</f>
        <v>22550.913933894008</v>
      </c>
      <c r="AI2" s="22">
        <f>'Cal '!AI10</f>
        <v>23033.088312191911</v>
      </c>
      <c r="AJ2" s="22">
        <f>'Cal '!AJ10</f>
        <v>23515.262690489806</v>
      </c>
      <c r="AK2" s="22">
        <f>'Cal '!AK10</f>
        <v>23997.437068787705</v>
      </c>
      <c r="AL2" s="22">
        <f>'Cal '!AL10</f>
        <v>24479.611447085754</v>
      </c>
      <c r="AM2" s="22">
        <f>'Cal '!AM10</f>
        <v>24961.78582538366</v>
      </c>
      <c r="AN2" s="22">
        <f>'Cal '!AN10</f>
        <v>25443.960203681549</v>
      </c>
      <c r="AO2" s="22">
        <f>'Cal '!AO10</f>
        <v>25926.134581979448</v>
      </c>
      <c r="AP2" s="22">
        <f>'Cal '!AP10</f>
        <v>26408.308960277496</v>
      </c>
      <c r="AQ2" s="22">
        <f>'Cal '!AQ10</f>
        <v>26890.483338575403</v>
      </c>
      <c r="AR2" s="22">
        <f>'Cal '!AR10</f>
        <v>27372.657716873291</v>
      </c>
      <c r="AS2" s="22">
        <f>'Cal '!AS10</f>
        <v>27854.83209517119</v>
      </c>
      <c r="AT2" s="22">
        <f>'Cal '!AT10</f>
        <v>28337.006473469239</v>
      </c>
      <c r="AU2" s="22">
        <f>'Cal '!AU10</f>
        <v>28819.180851767142</v>
      </c>
      <c r="AV2" s="22">
        <f>'Cal '!AV10</f>
        <v>29301.355230065041</v>
      </c>
      <c r="AW2" s="22">
        <f>'Cal '!AW10</f>
        <v>29783.52960836294</v>
      </c>
      <c r="AX2" s="22">
        <f>'Cal '!AX10</f>
        <v>30265.703986660988</v>
      </c>
      <c r="AY2" s="22">
        <f>'Cal '!AY10</f>
        <v>30747.878364958884</v>
      </c>
      <c r="AZ2" s="22">
        <f>'Cal '!AZ10</f>
        <v>31230.052743256783</v>
      </c>
      <c r="BA2" s="22">
        <f>'Cal '!BA10</f>
        <v>31712.227121554683</v>
      </c>
    </row>
    <row r="3" spans="1:54" ht="15.75" customHeight="1" x14ac:dyDescent="0.15">
      <c r="A3" s="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</row>
    <row r="4" spans="1:54" ht="15.75" customHeight="1" x14ac:dyDescent="0.15">
      <c r="A4" s="2"/>
      <c r="B4" s="23"/>
      <c r="C4" s="23"/>
      <c r="D4" s="23"/>
      <c r="E4" s="23"/>
      <c r="F4" s="23"/>
      <c r="G4" s="23"/>
      <c r="H4" s="23"/>
      <c r="I4" s="23"/>
      <c r="J4" s="23"/>
      <c r="K4" s="2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54" ht="15.75" customHeight="1" x14ac:dyDescent="0.15">
      <c r="A5" s="2"/>
      <c r="B5" s="23"/>
      <c r="C5" s="23"/>
      <c r="D5" s="23"/>
      <c r="E5" s="23"/>
      <c r="F5" s="23"/>
      <c r="G5" s="23"/>
      <c r="H5" s="23"/>
      <c r="I5" s="23"/>
      <c r="J5" s="23"/>
      <c r="K5" s="2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54" ht="15.75" customHeight="1" x14ac:dyDescent="0.15">
      <c r="A6" s="2"/>
      <c r="B6" s="23"/>
      <c r="C6" s="23"/>
      <c r="D6" s="23"/>
      <c r="E6" s="23"/>
      <c r="F6" s="23"/>
      <c r="G6" s="23"/>
      <c r="H6" s="23"/>
      <c r="I6" s="23"/>
      <c r="J6" s="23"/>
      <c r="K6" s="2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54" ht="15.75" customHeight="1" x14ac:dyDescent="0.15">
      <c r="A7" s="2"/>
      <c r="B7" s="23"/>
      <c r="C7" s="23"/>
      <c r="D7" s="23"/>
      <c r="E7" s="23"/>
      <c r="F7" s="23"/>
      <c r="G7" s="23"/>
      <c r="H7" s="23"/>
      <c r="I7" s="23"/>
      <c r="J7" s="23"/>
      <c r="K7" s="2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54" ht="15.75" customHeight="1" x14ac:dyDescent="0.15">
      <c r="A8" s="2"/>
      <c r="B8" s="23"/>
      <c r="C8" s="23"/>
      <c r="D8" s="23"/>
      <c r="E8" s="23"/>
      <c r="F8" s="23"/>
      <c r="G8" s="23"/>
      <c r="H8" s="23"/>
      <c r="I8" s="23"/>
      <c r="J8" s="23"/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54" ht="15.75" customHeight="1" x14ac:dyDescent="0.15">
      <c r="A9" s="2"/>
      <c r="B9" s="23"/>
      <c r="C9" s="23"/>
      <c r="D9" s="23"/>
      <c r="E9" s="23"/>
      <c r="F9" s="23"/>
      <c r="G9" s="23"/>
      <c r="H9" s="23"/>
      <c r="I9" s="23"/>
      <c r="J9" s="23"/>
      <c r="K9" s="2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54" ht="15.75" customHeight="1" x14ac:dyDescent="0.15">
      <c r="A10" s="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54" ht="15.75" customHeight="1" x14ac:dyDescent="0.15">
      <c r="A11" s="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54" ht="15.75" customHeight="1" x14ac:dyDescent="0.15">
      <c r="A12" s="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54" ht="15.75" customHeight="1" x14ac:dyDescent="0.15">
      <c r="A13" s="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54" ht="15.75" customHeight="1" x14ac:dyDescent="0.15">
      <c r="A14" s="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54" ht="15.75" customHeight="1" x14ac:dyDescent="0.15">
      <c r="A15" s="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54" ht="15.75" customHeight="1" x14ac:dyDescent="0.15">
      <c r="A16" s="2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5.75" customHeight="1" x14ac:dyDescent="0.15">
      <c r="A17" s="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5.75" customHeight="1" x14ac:dyDescent="0.15">
      <c r="A18" s="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5.75" customHeight="1" x14ac:dyDescent="0.15">
      <c r="A19" s="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5.75" customHeight="1" x14ac:dyDescent="0.15">
      <c r="A20" s="2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5.75" customHeight="1" x14ac:dyDescent="0.15">
      <c r="A21" s="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3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spans="1:33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spans="1:33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spans="1:33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spans="1:33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spans="1:33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spans="1:33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spans="1:33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spans="1:33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spans="1:33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spans="1:33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spans="1:33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spans="1:33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spans="1:33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spans="1:33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spans="1:33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spans="1:33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spans="1:33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spans="1:33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spans="1:33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spans="1:33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spans="1:33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spans="1:33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spans="1:33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spans="1:33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spans="1:33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spans="1:33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spans="1:33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spans="1:33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spans="1:33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spans="1:33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spans="1:33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spans="1:33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spans="1:33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spans="1:33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spans="1:33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spans="1:33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spans="1:33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spans="1:33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spans="1:33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spans="1:33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spans="1:33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spans="1:33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spans="1:33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spans="1:33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spans="1:33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spans="1:33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spans="1:33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spans="1:33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spans="1:33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spans="1:33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spans="1:33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spans="1:33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spans="1:33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spans="1:33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spans="1:33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spans="1:33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spans="1:33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spans="1:33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spans="1:33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spans="1:33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spans="1:33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spans="1:33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spans="1:33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spans="1:33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spans="1:33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spans="1:33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spans="1:33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spans="1:33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spans="1:33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spans="1:33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spans="1:33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spans="1:33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spans="1:33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</sheetData>
  <pageMargins left="0.7" right="0.7" top="0.75" bottom="0.75" header="0" footer="0"/>
  <pageSetup orientation="landscape"/>
  <ignoredErrors>
    <ignoredError sqref="B1:A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Cal 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Sy, Saidou Abdoulaye</cp:lastModifiedBy>
  <dcterms:modified xsi:type="dcterms:W3CDTF">2025-04-12T19:33:28Z</dcterms:modified>
</cp:coreProperties>
</file>