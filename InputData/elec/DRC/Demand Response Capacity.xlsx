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DRC/"/>
    </mc:Choice>
  </mc:AlternateContent>
  <xr:revisionPtr revIDLastSave="0" documentId="13_ncr:1_{3518DC2B-1C07-8645-9CEC-E6A34D72C832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Calculations" sheetId="2" r:id="rId2"/>
    <sheet name="DRC-BDRC" sheetId="3" r:id="rId3"/>
    <sheet name="DRC-PADR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4" l="1" a="1"/>
  <c r="AL2" i="4" s="1"/>
  <c r="AM2" i="4" a="1"/>
  <c r="AM2" i="4" s="1"/>
  <c r="AN2" i="4" a="1"/>
  <c r="AN2" i="4"/>
  <c r="AO2" i="4" a="1"/>
  <c r="AO2" i="4"/>
  <c r="AP2" i="4" a="1"/>
  <c r="AP2" i="4" s="1"/>
  <c r="AQ2" i="4" a="1"/>
  <c r="AQ2" i="4" s="1"/>
  <c r="AR2" i="4" a="1"/>
  <c r="AR2" i="4"/>
  <c r="AS2" i="4" a="1"/>
  <c r="AS2" i="4"/>
  <c r="AT2" i="4" a="1"/>
  <c r="AT2" i="4" s="1"/>
  <c r="AU2" i="4" a="1"/>
  <c r="AU2" i="4" s="1"/>
  <c r="AV2" i="4" a="1"/>
  <c r="AV2" i="4"/>
  <c r="AW2" i="4" a="1"/>
  <c r="AW2" i="4"/>
  <c r="AX2" i="4" a="1"/>
  <c r="AX2" i="4" s="1"/>
  <c r="AY2" i="4" a="1"/>
  <c r="AY2" i="4" s="1"/>
  <c r="AZ2" i="4" a="1"/>
  <c r="AZ2" i="4"/>
  <c r="BA2" i="4" a="1"/>
  <c r="BA2" i="4" s="1"/>
  <c r="BB2" i="4" a="1"/>
  <c r="BB2" i="4" s="1"/>
  <c r="BC2" i="4" a="1"/>
  <c r="BC2" i="4" s="1"/>
  <c r="BD2" i="4" a="1"/>
  <c r="BD2" i="4" s="1"/>
  <c r="BE2" i="4" a="1"/>
  <c r="BE2" i="4" s="1"/>
  <c r="AM2" i="3" a="1"/>
  <c r="AM2" i="3" s="1"/>
  <c r="AN2" i="3" a="1"/>
  <c r="AN2" i="3" s="1"/>
  <c r="AO2" i="3" a="1"/>
  <c r="AO2" i="3"/>
  <c r="AP2" i="3" a="1"/>
  <c r="AP2" i="3" s="1"/>
  <c r="AQ2" i="3" a="1"/>
  <c r="AQ2" i="3" s="1"/>
  <c r="AR2" i="3" a="1"/>
  <c r="AR2" i="3" s="1"/>
  <c r="AS2" i="3" a="1"/>
  <c r="AS2" i="3" s="1"/>
  <c r="AT2" i="3" a="1"/>
  <c r="AT2" i="3"/>
  <c r="AU2" i="3" a="1"/>
  <c r="AU2" i="3" s="1"/>
  <c r="AV2" i="3" a="1"/>
  <c r="AV2" i="3" s="1"/>
  <c r="AW2" i="3" a="1"/>
  <c r="AW2" i="3" s="1"/>
  <c r="AX2" i="3" a="1"/>
  <c r="AX2" i="3" s="1"/>
  <c r="AY2" i="3" a="1"/>
  <c r="AY2" i="3" s="1"/>
  <c r="AZ2" i="3" a="1"/>
  <c r="AZ2" i="3" s="1"/>
  <c r="BA2" i="3" a="1"/>
  <c r="BA2" i="3" s="1"/>
  <c r="BB2" i="3" a="1"/>
  <c r="BB2" i="3" s="1"/>
  <c r="BC2" i="3" a="1"/>
  <c r="BC2" i="3" s="1"/>
  <c r="BD2" i="3" a="1"/>
  <c r="BD2" i="3" s="1"/>
  <c r="BE2" i="3" a="1"/>
  <c r="BE2" i="3" s="1"/>
  <c r="AL2" i="3" a="1"/>
  <c r="AL2" i="3" s="1"/>
  <c r="AK2" i="4" a="1"/>
  <c r="AK2" i="4" s="1"/>
  <c r="AJ2" i="4" a="1"/>
  <c r="AJ2" i="4"/>
  <c r="AI2" i="4" a="1"/>
  <c r="AI2" i="4"/>
  <c r="AH2" i="4" a="1"/>
  <c r="AH2" i="4" s="1"/>
  <c r="AG2" i="4" a="1"/>
  <c r="AG2" i="4" s="1"/>
  <c r="AF2" i="4" a="1"/>
  <c r="AF2" i="4" s="1"/>
  <c r="AE2" i="4" a="1"/>
  <c r="AE2" i="4"/>
  <c r="AD2" i="4" a="1"/>
  <c r="AD2" i="4" s="1"/>
  <c r="AC2" i="4" a="1"/>
  <c r="AC2" i="4" s="1"/>
  <c r="AB2" i="4" a="1"/>
  <c r="AB2" i="4"/>
  <c r="AA2" i="4" a="1"/>
  <c r="AA2" i="4"/>
  <c r="Z2" i="4" a="1"/>
  <c r="Z2" i="4" s="1"/>
  <c r="Y2" i="4" a="1"/>
  <c r="Y2" i="4" s="1"/>
  <c r="X2" i="4" a="1"/>
  <c r="X2" i="4" s="1"/>
  <c r="W2" i="4" a="1"/>
  <c r="W2" i="4"/>
  <c r="V2" i="4" a="1"/>
  <c r="V2" i="4" s="1"/>
  <c r="U2" i="4" a="1"/>
  <c r="U2" i="4" s="1"/>
  <c r="T2" i="4" a="1"/>
  <c r="T2" i="4" s="1"/>
  <c r="S2" i="4" a="1"/>
  <c r="S2" i="4"/>
  <c r="R2" i="4" a="1"/>
  <c r="R2" i="4" s="1"/>
  <c r="Q2" i="4" a="1"/>
  <c r="Q2" i="4" s="1"/>
  <c r="P2" i="4" a="1"/>
  <c r="P2" i="4" s="1"/>
  <c r="O2" i="4" a="1"/>
  <c r="O2" i="4"/>
  <c r="N2" i="4" a="1"/>
  <c r="N2" i="4"/>
  <c r="M2" i="4" a="1"/>
  <c r="M2" i="4" s="1"/>
  <c r="L2" i="4" a="1"/>
  <c r="L2" i="4" s="1"/>
  <c r="K2" i="4" a="1"/>
  <c r="K2" i="4"/>
  <c r="J2" i="4" a="1"/>
  <c r="J2" i="4" s="1"/>
  <c r="I2" i="4" a="1"/>
  <c r="I2" i="4" s="1"/>
  <c r="AK2" i="3" a="1"/>
  <c r="AK2" i="3" s="1"/>
  <c r="AJ2" i="3" a="1"/>
  <c r="AJ2" i="3"/>
  <c r="AI2" i="3" a="1"/>
  <c r="AI2" i="3"/>
  <c r="AH2" i="3" a="1"/>
  <c r="AH2" i="3" s="1"/>
  <c r="AG2" i="3" a="1"/>
  <c r="AG2" i="3" s="1"/>
  <c r="AF2" i="3" a="1"/>
  <c r="AF2" i="3" s="1"/>
  <c r="AE2" i="3" a="1"/>
  <c r="AE2" i="3"/>
  <c r="AD2" i="3" a="1"/>
  <c r="AD2" i="3" s="1"/>
  <c r="AC2" i="3" a="1"/>
  <c r="AC2" i="3" s="1"/>
  <c r="AB2" i="3" a="1"/>
  <c r="AB2" i="3"/>
  <c r="AA2" i="3" a="1"/>
  <c r="AA2" i="3"/>
  <c r="Z2" i="3" a="1"/>
  <c r="Z2" i="3" s="1"/>
  <c r="Y2" i="3" a="1"/>
  <c r="Y2" i="3" s="1"/>
  <c r="X2" i="3" a="1"/>
  <c r="X2" i="3"/>
  <c r="W2" i="3" a="1"/>
  <c r="W2" i="3"/>
  <c r="V2" i="3" a="1"/>
  <c r="V2" i="3" s="1"/>
  <c r="U2" i="3" a="1"/>
  <c r="U2" i="3" s="1"/>
  <c r="T2" i="3" a="1"/>
  <c r="T2" i="3"/>
  <c r="S2" i="3" a="1"/>
  <c r="S2" i="3"/>
  <c r="R2" i="3" a="1"/>
  <c r="R2" i="3" s="1"/>
  <c r="Q2" i="3" a="1"/>
  <c r="Q2" i="3" s="1"/>
  <c r="P2" i="3" a="1"/>
  <c r="P2" i="3"/>
  <c r="O2" i="3" a="1"/>
  <c r="O2" i="3"/>
  <c r="N2" i="3" a="1"/>
  <c r="N2" i="3" s="1"/>
  <c r="M2" i="3" a="1"/>
  <c r="M2" i="3" s="1"/>
  <c r="L2" i="3" a="1"/>
  <c r="L2" i="3"/>
  <c r="K2" i="3" a="1"/>
  <c r="K2" i="3" s="1"/>
  <c r="J2" i="3" a="1"/>
  <c r="J2" i="3" s="1"/>
  <c r="I2" i="3" a="1"/>
  <c r="I2" i="3" s="1"/>
  <c r="V4" i="2"/>
  <c r="U4" i="2"/>
  <c r="T4" i="2"/>
  <c r="S4" i="2"/>
  <c r="Q4" i="2"/>
  <c r="P4" i="2"/>
  <c r="O4" i="2"/>
  <c r="N4" i="2"/>
</calcChain>
</file>

<file path=xl/sharedStrings.xml><?xml version="1.0" encoding="utf-8"?>
<sst xmlns="http://schemas.openxmlformats.org/spreadsheetml/2006/main" count="25" uniqueCount="22">
  <si>
    <t>DRC BAU Demand Response Capacity</t>
  </si>
  <si>
    <t>DRC Potential Additional Demand Response Capacity</t>
  </si>
  <si>
    <t>Source:</t>
  </si>
  <si>
    <t>McNeil, M.A., Karali, N. and Letschert, V., 2019. Forecasting Indonesia's electricity load through 2030 and peak demand reductions from appliance and lighting efficiency. Energy for sustainable development, 49, pp.65-77.</t>
  </si>
  <si>
    <t>https://reader.elsevier.com/reader/sd/pii/S0973082618312559?token=9F76233D84CA1C2B03D1F0C75399ADDF2CB2462D94456D2C281D207CB117C735ED84769C40BAC430C3C45EF9861E1594&amp;originRegion=eu-west-1&amp;originCreation=20211014042640</t>
  </si>
  <si>
    <t>Notes</t>
  </si>
  <si>
    <t>Demand response (DR) is the voluntary reduction or shift of electricity use by customers, which can help to keep a power grid stable 
by balancing its supply and demand of electricity.</t>
  </si>
  <si>
    <r>
      <rPr>
        <sz val="11"/>
        <color theme="1"/>
        <rFont val="Calibri"/>
        <family val="2"/>
      </rPr>
      <t xml:space="preserve">This demand response can be considered as </t>
    </r>
    <r>
      <rPr>
        <b/>
        <sz val="11"/>
        <color theme="1"/>
        <rFont val="Calibri"/>
        <family val="2"/>
      </rPr>
      <t>energy efficiency improvements</t>
    </r>
    <r>
      <rPr>
        <sz val="11"/>
        <color theme="1"/>
        <rFont val="Calibri"/>
        <family val="2"/>
      </rPr>
      <t xml:space="preserve"> in which we use this improvements to lower peak electricity demand (Mc Neil et al., 2019)</t>
    </r>
  </si>
  <si>
    <t>Using LOADM and BUENAS model, the study found out how Indonesia's peak demand will surge until 2030 and how much that the DR can reduce the peak demand in 2030.</t>
  </si>
  <si>
    <t>We assume that current Indonesia's DR capacity is 0 (in 2020) and DR strategies will be effective per 2022</t>
  </si>
  <si>
    <t>The difference of the estimated DR capacity between BAU and Best Available Technology (BAT) is approx. 25-30%. We assume that the potential additional DRC will be 25% of the estimated total DRC.</t>
  </si>
  <si>
    <t>Indonesia's Peak Demand 2010-2030 (in MW)</t>
  </si>
  <si>
    <t>Peak Demand</t>
  </si>
  <si>
    <t>For Interpolation</t>
  </si>
  <si>
    <t>Source</t>
  </si>
  <si>
    <t>RUPTL, McNeil et al., 2019</t>
  </si>
  <si>
    <t>Demand Response (GW)</t>
  </si>
  <si>
    <t>McNeil et al., 2019</t>
  </si>
  <si>
    <t>Note: assuming that DRC in 2021 is still 0</t>
  </si>
  <si>
    <t>Year</t>
  </si>
  <si>
    <t>DR Capacity (MW)</t>
  </si>
  <si>
    <t>Potential Additional DR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</si>
</sst>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6" fillId="0" borderId="0" xfId="0" applyNumberFormat="1" applyFont="1"/>
    <xf numFmtId="0" fontId="2" fillId="0" borderId="0" xfId="0" applyFont="1" applyAlignment="1">
      <alignment wrapText="1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13</xdr:row>
      <xdr:rowOff>200025</xdr:rowOff>
    </xdr:from>
    <xdr:ext cx="5467350" cy="29051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14</xdr:row>
      <xdr:rowOff>133350</xdr:rowOff>
    </xdr:from>
    <xdr:ext cx="6086475" cy="21907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ader.elsevier.com/reader/sd/pii/S0973082618312559?token=9F76233D84CA1C2B03D1F0C75399ADDF2CB2462D94456D2C281D207CB117C735ED84769C40BAC430C3C45EF9861E1594&amp;originRegion=eu-west-1&amp;originCreation=2021101404264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6.83203125" customWidth="1"/>
    <col min="2" max="2" width="36.33203125" customWidth="1"/>
    <col min="3" max="26" width="6.83203125" customWidth="1"/>
  </cols>
  <sheetData>
    <row r="1" spans="1:2" ht="14.25" customHeight="1" x14ac:dyDescent="0.2">
      <c r="A1" s="1" t="s">
        <v>0</v>
      </c>
    </row>
    <row r="2" spans="1:2" ht="14.25" customHeight="1" x14ac:dyDescent="0.2">
      <c r="A2" s="1" t="s">
        <v>1</v>
      </c>
    </row>
    <row r="3" spans="1:2" ht="14.25" customHeight="1" x14ac:dyDescent="0.2"/>
    <row r="4" spans="1:2" ht="14.25" customHeight="1" x14ac:dyDescent="0.2">
      <c r="A4" s="1" t="s">
        <v>2</v>
      </c>
      <c r="B4" s="2" t="s">
        <v>3</v>
      </c>
    </row>
    <row r="5" spans="1:2" ht="14.25" customHeight="1" x14ac:dyDescent="0.2">
      <c r="B5" s="3">
        <v>2019</v>
      </c>
    </row>
    <row r="6" spans="1:2" ht="14.25" customHeight="1" x14ac:dyDescent="0.2">
      <c r="B6" s="4" t="s">
        <v>4</v>
      </c>
    </row>
    <row r="7" spans="1:2" ht="14.25" customHeight="1" x14ac:dyDescent="0.2"/>
    <row r="8" spans="1:2" ht="14.25" customHeight="1" x14ac:dyDescent="0.2">
      <c r="A8" s="1" t="s">
        <v>5</v>
      </c>
      <c r="B8" s="2"/>
    </row>
    <row r="9" spans="1:2" ht="14.25" customHeight="1" x14ac:dyDescent="0.2">
      <c r="A9" s="2" t="s">
        <v>6</v>
      </c>
    </row>
    <row r="10" spans="1:2" ht="14.25" customHeight="1" x14ac:dyDescent="0.2">
      <c r="A10" s="2" t="s">
        <v>7</v>
      </c>
    </row>
    <row r="11" spans="1:2" ht="14.25" customHeight="1" x14ac:dyDescent="0.2">
      <c r="A11" s="2" t="s">
        <v>8</v>
      </c>
    </row>
    <row r="12" spans="1:2" ht="14.25" customHeight="1" x14ac:dyDescent="0.2">
      <c r="A12" s="2" t="s">
        <v>9</v>
      </c>
    </row>
    <row r="13" spans="1:2" ht="14.25" customHeight="1" x14ac:dyDescent="0.2">
      <c r="A13" s="2" t="s">
        <v>10</v>
      </c>
    </row>
    <row r="14" spans="1:2" ht="14.25" customHeight="1" x14ac:dyDescent="0.2"/>
    <row r="15" spans="1:2" ht="14.25" customHeight="1" x14ac:dyDescent="0.2"/>
    <row r="16" spans="1:2" ht="14.25" customHeight="1" x14ac:dyDescent="0.2"/>
    <row r="17" spans="1:2" ht="14.25" customHeight="1" x14ac:dyDescent="0.2">
      <c r="A17" s="2"/>
      <c r="B17" s="2"/>
    </row>
    <row r="18" spans="1:2" ht="14.25" customHeight="1" x14ac:dyDescent="0.2">
      <c r="A18" s="2"/>
      <c r="B18" s="2"/>
    </row>
    <row r="19" spans="1:2" ht="14.25" customHeight="1" x14ac:dyDescent="0.2">
      <c r="A19" s="2"/>
      <c r="B19" s="2"/>
    </row>
    <row r="20" spans="1:2" ht="14.25" customHeight="1" x14ac:dyDescent="0.2">
      <c r="A20" s="2"/>
      <c r="B20" s="2"/>
    </row>
    <row r="21" spans="1:2" ht="14.25" customHeight="1" x14ac:dyDescent="0.2">
      <c r="B21" s="2"/>
    </row>
    <row r="22" spans="1:2" ht="14.25" customHeight="1" x14ac:dyDescent="0.2">
      <c r="B22" s="2"/>
    </row>
    <row r="23" spans="1:2" ht="14.25" customHeight="1" x14ac:dyDescent="0.2"/>
    <row r="24" spans="1:2" ht="14.25" customHeight="1" x14ac:dyDescent="0.2">
      <c r="B24" s="5"/>
    </row>
    <row r="25" spans="1:2" ht="14.25" customHeight="1" x14ac:dyDescent="0.2"/>
    <row r="26" spans="1:2" ht="14.25" customHeight="1" x14ac:dyDescent="0.2"/>
    <row r="27" spans="1:2" ht="14.25" customHeight="1" x14ac:dyDescent="0.2">
      <c r="A27" s="2"/>
    </row>
    <row r="28" spans="1:2" ht="14.25" customHeight="1" x14ac:dyDescent="0.2">
      <c r="A28" s="2"/>
      <c r="B28" s="2"/>
    </row>
    <row r="29" spans="1:2" ht="14.25" customHeight="1" x14ac:dyDescent="0.2">
      <c r="A29" s="2"/>
      <c r="B29" s="2"/>
    </row>
    <row r="30" spans="1:2" ht="14.25" customHeight="1" x14ac:dyDescent="0.2">
      <c r="A30" s="2"/>
      <c r="B30" s="2"/>
    </row>
    <row r="31" spans="1:2" ht="14.25" customHeight="1" x14ac:dyDescent="0.2"/>
    <row r="32" spans="1: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hyperlinks>
    <hyperlink ref="B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20.1640625" customWidth="1"/>
    <col min="3" max="23" width="7.5" customWidth="1"/>
    <col min="24" max="26" width="10.5" customWidth="1"/>
  </cols>
  <sheetData>
    <row r="1" spans="2:23" ht="15.75" customHeight="1" x14ac:dyDescent="0.2"/>
    <row r="2" spans="2:23" ht="16" x14ac:dyDescent="0.2">
      <c r="B2" s="5" t="s">
        <v>11</v>
      </c>
    </row>
    <row r="3" spans="2:23" ht="15.75" customHeight="1" x14ac:dyDescent="0.2">
      <c r="B3" s="6"/>
      <c r="C3" s="7">
        <v>2010</v>
      </c>
      <c r="D3" s="7">
        <v>2011</v>
      </c>
      <c r="E3" s="7">
        <v>2012</v>
      </c>
      <c r="F3" s="7">
        <v>2013</v>
      </c>
      <c r="G3" s="7">
        <v>2014</v>
      </c>
      <c r="H3" s="7">
        <v>2015</v>
      </c>
      <c r="I3" s="7">
        <v>2016</v>
      </c>
      <c r="J3" s="7">
        <v>2017</v>
      </c>
      <c r="K3" s="7">
        <v>2018</v>
      </c>
      <c r="L3" s="7">
        <v>2019</v>
      </c>
      <c r="M3" s="7">
        <v>2020</v>
      </c>
      <c r="N3" s="7">
        <v>2021</v>
      </c>
      <c r="O3" s="7">
        <v>2022</v>
      </c>
      <c r="P3" s="7">
        <v>2023</v>
      </c>
      <c r="Q3" s="7">
        <v>2024</v>
      </c>
      <c r="R3" s="7">
        <v>2025</v>
      </c>
      <c r="S3" s="7">
        <v>2026</v>
      </c>
      <c r="T3" s="7">
        <v>2027</v>
      </c>
      <c r="U3" s="7">
        <v>2028</v>
      </c>
      <c r="V3" s="7">
        <v>2029</v>
      </c>
      <c r="W3" s="7">
        <v>2030</v>
      </c>
    </row>
    <row r="4" spans="2:23" ht="15.75" customHeight="1" x14ac:dyDescent="0.2">
      <c r="B4" s="8" t="s">
        <v>12</v>
      </c>
      <c r="C4" s="9">
        <v>25300</v>
      </c>
      <c r="D4" s="9">
        <v>26366</v>
      </c>
      <c r="E4" s="9">
        <v>28559</v>
      </c>
      <c r="F4" s="9">
        <v>30498</v>
      </c>
      <c r="G4" s="9">
        <v>32943</v>
      </c>
      <c r="H4" s="9">
        <v>32959</v>
      </c>
      <c r="I4" s="9">
        <v>36475</v>
      </c>
      <c r="J4" s="9">
        <v>38797</v>
      </c>
      <c r="K4" s="9">
        <v>40243</v>
      </c>
      <c r="L4" s="9">
        <v>41671</v>
      </c>
      <c r="M4" s="9">
        <v>38799</v>
      </c>
      <c r="N4" s="9">
        <f t="shared" ref="N4:Q4" si="0">TREND($C$8:$D$8,$C$7:$D$7,N3)</f>
        <v>43279.199999999255</v>
      </c>
      <c r="O4" s="9">
        <f t="shared" si="0"/>
        <v>47759.400000000373</v>
      </c>
      <c r="P4" s="9">
        <f t="shared" si="0"/>
        <v>52239.599999999627</v>
      </c>
      <c r="Q4" s="9">
        <f t="shared" si="0"/>
        <v>56719.799999998882</v>
      </c>
      <c r="R4" s="9">
        <v>61200</v>
      </c>
      <c r="S4" s="9">
        <f t="shared" ref="S4:V4" si="1">TREND($D$8:$E$8,$D$7:$E$7,S3)</f>
        <v>64420</v>
      </c>
      <c r="T4" s="9">
        <f t="shared" si="1"/>
        <v>67640</v>
      </c>
      <c r="U4" s="9">
        <f t="shared" si="1"/>
        <v>70860</v>
      </c>
      <c r="V4" s="9">
        <f t="shared" si="1"/>
        <v>74080</v>
      </c>
      <c r="W4" s="9">
        <v>77300</v>
      </c>
    </row>
    <row r="5" spans="2:23" ht="15.75" customHeight="1" x14ac:dyDescent="0.2"/>
    <row r="6" spans="2:23" ht="15.75" customHeight="1" x14ac:dyDescent="0.2">
      <c r="C6" s="5" t="s">
        <v>13</v>
      </c>
    </row>
    <row r="7" spans="2:23" ht="15.75" customHeight="1" x14ac:dyDescent="0.2">
      <c r="C7" s="8">
        <v>2020</v>
      </c>
      <c r="D7" s="8">
        <v>2025</v>
      </c>
      <c r="E7" s="8">
        <v>2030</v>
      </c>
    </row>
    <row r="8" spans="2:23" ht="15.75" customHeight="1" x14ac:dyDescent="0.2">
      <c r="B8" s="8" t="s">
        <v>12</v>
      </c>
      <c r="C8" s="9">
        <v>38799</v>
      </c>
      <c r="D8" s="9">
        <v>61200</v>
      </c>
      <c r="E8" s="9">
        <v>77300</v>
      </c>
    </row>
    <row r="9" spans="2:23" ht="15.75" customHeight="1" x14ac:dyDescent="0.2">
      <c r="B9" s="10" t="s">
        <v>14</v>
      </c>
      <c r="C9" s="10" t="s">
        <v>15</v>
      </c>
    </row>
    <row r="10" spans="2:23" ht="15.75" customHeight="1" x14ac:dyDescent="0.2">
      <c r="C10" s="8">
        <v>2021</v>
      </c>
      <c r="D10" s="8">
        <v>2025</v>
      </c>
      <c r="E10" s="8">
        <v>2030</v>
      </c>
    </row>
    <row r="11" spans="2:23" ht="15.75" customHeight="1" x14ac:dyDescent="0.2">
      <c r="B11" s="8" t="s">
        <v>16</v>
      </c>
      <c r="C11" s="9">
        <v>0</v>
      </c>
      <c r="D11" s="9">
        <v>15200</v>
      </c>
      <c r="E11" s="9">
        <v>22900</v>
      </c>
    </row>
    <row r="12" spans="2:23" ht="15.75" customHeight="1" x14ac:dyDescent="0.2">
      <c r="B12" s="10" t="s">
        <v>14</v>
      </c>
      <c r="C12" s="10" t="s">
        <v>17</v>
      </c>
    </row>
    <row r="13" spans="2:23" ht="15.75" customHeight="1" x14ac:dyDescent="0.2">
      <c r="B13" s="10" t="s">
        <v>18</v>
      </c>
    </row>
    <row r="14" spans="2:23" ht="15.75" customHeight="1" x14ac:dyDescent="0.2"/>
    <row r="15" spans="2:23" ht="15.75" customHeight="1" x14ac:dyDescent="0.2"/>
    <row r="16" spans="2:23" ht="15.75" customHeight="1" x14ac:dyDescent="0.2">
      <c r="B16" s="11"/>
      <c r="C16" s="12"/>
    </row>
    <row r="17" spans="2:3" ht="15.75" customHeight="1" x14ac:dyDescent="0.2"/>
    <row r="18" spans="2:3" ht="15.75" customHeight="1" x14ac:dyDescent="0.2"/>
    <row r="19" spans="2:3" ht="15.75" customHeight="1" x14ac:dyDescent="0.2">
      <c r="B19" s="11"/>
      <c r="C19" s="11"/>
    </row>
    <row r="20" spans="2:3" ht="15.75" customHeight="1" x14ac:dyDescent="0.2"/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</sheetPr>
  <dimension ref="A1:BH1000"/>
  <sheetViews>
    <sheetView topLeftCell="AF1" workbookViewId="0">
      <selection activeCell="AL1" sqref="AL1:BE1"/>
    </sheetView>
  </sheetViews>
  <sheetFormatPr baseColWidth="10" defaultColWidth="11.1640625" defaultRowHeight="15" customHeight="1" x14ac:dyDescent="0.2"/>
  <cols>
    <col min="1" max="1" width="15" customWidth="1"/>
    <col min="2" max="37" width="7.33203125" customWidth="1"/>
  </cols>
  <sheetData>
    <row r="1" spans="1:60" ht="14.25" customHeight="1" x14ac:dyDescent="0.2">
      <c r="A1" s="1" t="s">
        <v>19</v>
      </c>
      <c r="B1" s="13">
        <v>2015</v>
      </c>
      <c r="C1" s="13">
        <v>2016</v>
      </c>
      <c r="D1" s="13">
        <v>2017</v>
      </c>
      <c r="E1" s="13">
        <v>2018</v>
      </c>
      <c r="F1" s="13">
        <v>2019</v>
      </c>
      <c r="G1" s="13">
        <v>2020</v>
      </c>
      <c r="H1" s="13">
        <v>2021</v>
      </c>
      <c r="I1" s="13">
        <v>2022</v>
      </c>
      <c r="J1" s="13">
        <v>2023</v>
      </c>
      <c r="K1" s="13">
        <v>2024</v>
      </c>
      <c r="L1" s="13">
        <v>2025</v>
      </c>
      <c r="M1" s="13">
        <v>2026</v>
      </c>
      <c r="N1" s="13">
        <v>2027</v>
      </c>
      <c r="O1" s="13">
        <v>2028</v>
      </c>
      <c r="P1" s="13">
        <v>2029</v>
      </c>
      <c r="Q1" s="13">
        <v>2030</v>
      </c>
      <c r="R1" s="13">
        <v>2031</v>
      </c>
      <c r="S1" s="13">
        <v>2032</v>
      </c>
      <c r="T1" s="13">
        <v>2033</v>
      </c>
      <c r="U1" s="13">
        <v>2034</v>
      </c>
      <c r="V1" s="13">
        <v>2035</v>
      </c>
      <c r="W1" s="13">
        <v>2036</v>
      </c>
      <c r="X1" s="13">
        <v>2037</v>
      </c>
      <c r="Y1" s="13">
        <v>2038</v>
      </c>
      <c r="Z1" s="13">
        <v>2039</v>
      </c>
      <c r="AA1" s="13">
        <v>2040</v>
      </c>
      <c r="AB1" s="13">
        <v>2041</v>
      </c>
      <c r="AC1" s="13">
        <v>2042</v>
      </c>
      <c r="AD1" s="13">
        <v>2043</v>
      </c>
      <c r="AE1" s="13">
        <v>2044</v>
      </c>
      <c r="AF1" s="13">
        <v>2045</v>
      </c>
      <c r="AG1" s="13">
        <v>2046</v>
      </c>
      <c r="AH1" s="13">
        <v>2047</v>
      </c>
      <c r="AI1" s="13">
        <v>2048</v>
      </c>
      <c r="AJ1" s="13">
        <v>2049</v>
      </c>
      <c r="AK1" s="13">
        <v>2050</v>
      </c>
      <c r="AL1" s="16">
        <v>2051</v>
      </c>
      <c r="AM1" s="16">
        <v>2052</v>
      </c>
      <c r="AN1" s="16">
        <v>2053</v>
      </c>
      <c r="AO1" s="16">
        <v>2054</v>
      </c>
      <c r="AP1" s="16">
        <v>2055</v>
      </c>
      <c r="AQ1" s="16">
        <v>2056</v>
      </c>
      <c r="AR1" s="16">
        <v>2057</v>
      </c>
      <c r="AS1" s="16">
        <v>2058</v>
      </c>
      <c r="AT1" s="16">
        <v>2059</v>
      </c>
      <c r="AU1" s="16">
        <v>2060</v>
      </c>
      <c r="AV1" s="16">
        <v>2061</v>
      </c>
      <c r="AW1" s="16">
        <v>2062</v>
      </c>
      <c r="AX1" s="16">
        <v>2063</v>
      </c>
      <c r="AY1" s="16">
        <v>2064</v>
      </c>
      <c r="AZ1" s="16">
        <v>2065</v>
      </c>
      <c r="BA1" s="16">
        <v>2066</v>
      </c>
      <c r="BB1" s="16">
        <v>2067</v>
      </c>
      <c r="BC1" s="16">
        <v>2068</v>
      </c>
      <c r="BD1" s="16">
        <v>2069</v>
      </c>
      <c r="BE1" s="16">
        <v>2070</v>
      </c>
      <c r="BF1" s="16"/>
      <c r="BG1" s="16"/>
      <c r="BH1" s="16"/>
    </row>
    <row r="2" spans="1:60" ht="14.25" customHeight="1" x14ac:dyDescent="0.2">
      <c r="A2" s="1" t="s">
        <v>20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f t="array" ref="I2">(TREND(Calculations!$C$11:$E$11,Calculations!$C$10:$E$10,I1))*0.75</f>
        <v>3266.8032786883414</v>
      </c>
      <c r="J2" s="13">
        <f t="array" ref="J2">(TREND(Calculations!$C$11:$E$11,Calculations!$C$10:$E$10,J1))*0.75</f>
        <v>5144.2622950819787</v>
      </c>
      <c r="K2" s="13">
        <f t="array" ref="K2">(TREND(Calculations!$C$11:$E$11,Calculations!$C$10:$E$10,K1))*0.75</f>
        <v>7021.7213114756159</v>
      </c>
      <c r="L2" s="13">
        <f t="array" ref="L2">(TREND(Calculations!$C$11:$E$11,Calculations!$C$10:$E$10,L1))*0.75</f>
        <v>8899.1803278685547</v>
      </c>
      <c r="M2" s="13">
        <f t="array" ref="M2">(TREND(Calculations!$C$11:$E$11,Calculations!$C$10:$E$10,M1))*0.75</f>
        <v>10776.639344262192</v>
      </c>
      <c r="N2" s="13">
        <f t="array" ref="N2">(TREND(Calculations!$C$11:$E$11,Calculations!$C$10:$E$10,N1))*0.75</f>
        <v>12654.098360655829</v>
      </c>
      <c r="O2" s="13">
        <f t="array" ref="O2">(TREND(Calculations!$C$11:$E$11,Calculations!$C$10:$E$10,O1))*0.75</f>
        <v>14531.557377049467</v>
      </c>
      <c r="P2" s="13">
        <f t="array" ref="P2">(TREND(Calculations!$C$11:$E$11,Calculations!$C$10:$E$10,P1))*0.75</f>
        <v>16409.016393442405</v>
      </c>
      <c r="Q2" s="13">
        <f t="array" ref="Q2">(TREND(Calculations!$C$11:$E$11,Calculations!$C$10:$E$10,Q1))*0.75</f>
        <v>18286.475409836043</v>
      </c>
      <c r="R2" s="13">
        <f t="array" ref="R2">(TREND(Calculations!$C$11:$E$11,Calculations!$C$10:$E$10,R1))*0.75</f>
        <v>20163.93442622968</v>
      </c>
      <c r="S2" s="13">
        <f t="array" ref="S2">(TREND(Calculations!$C$11:$E$11,Calculations!$C$10:$E$10,S1))*0.75</f>
        <v>22041.393442622619</v>
      </c>
      <c r="T2" s="13">
        <f t="array" ref="T2">(TREND(Calculations!$C$11:$E$11,Calculations!$C$10:$E$10,T1))*0.75</f>
        <v>23918.852459016256</v>
      </c>
      <c r="U2" s="13">
        <f t="array" ref="U2">(TREND(Calculations!$C$11:$E$11,Calculations!$C$10:$E$10,U1))*0.75</f>
        <v>25796.311475409893</v>
      </c>
      <c r="V2" s="13">
        <f t="array" ref="V2">(TREND(Calculations!$C$11:$E$11,Calculations!$C$10:$E$10,V1))*0.75</f>
        <v>27673.770491803531</v>
      </c>
      <c r="W2" s="13">
        <f t="array" ref="W2">(TREND(Calculations!$C$11:$E$11,Calculations!$C$10:$E$10,W1))*0.75</f>
        <v>29551.229508196469</v>
      </c>
      <c r="X2" s="13">
        <f t="array" ref="X2">(TREND(Calculations!$C$11:$E$11,Calculations!$C$10:$E$10,X1))*0.75</f>
        <v>31428.688524590107</v>
      </c>
      <c r="Y2" s="13">
        <f t="array" ref="Y2">(TREND(Calculations!$C$11:$E$11,Calculations!$C$10:$E$10,Y1))*0.75</f>
        <v>33306.147540983744</v>
      </c>
      <c r="Z2" s="13">
        <f t="array" ref="Z2">(TREND(Calculations!$C$11:$E$11,Calculations!$C$10:$E$10,Z1))*0.75</f>
        <v>35183.606557377381</v>
      </c>
      <c r="AA2" s="13">
        <f t="array" ref="AA2">(TREND(Calculations!$C$11:$E$11,Calculations!$C$10:$E$10,AA1))*0.75</f>
        <v>37061.06557377032</v>
      </c>
      <c r="AB2" s="13">
        <f t="array" ref="AB2">(TREND(Calculations!$C$11:$E$11,Calculations!$C$10:$E$10,AB1))*0.75</f>
        <v>38938.524590163957</v>
      </c>
      <c r="AC2" s="13">
        <f t="array" ref="AC2">(TREND(Calculations!$C$11:$E$11,Calculations!$C$10:$E$10,AC1))*0.75</f>
        <v>40815.983606557595</v>
      </c>
      <c r="AD2" s="13">
        <f t="array" ref="AD2">(TREND(Calculations!$C$11:$E$11,Calculations!$C$10:$E$10,AD1))*0.75</f>
        <v>42693.442622950533</v>
      </c>
      <c r="AE2" s="13">
        <f t="array" ref="AE2">(TREND(Calculations!$C$11:$E$11,Calculations!$C$10:$E$10,AE1))*0.75</f>
        <v>44570.901639344171</v>
      </c>
      <c r="AF2" s="13">
        <f t="array" ref="AF2">(TREND(Calculations!$C$11:$E$11,Calculations!$C$10:$E$10,AF1))*0.75</f>
        <v>46448.360655737808</v>
      </c>
      <c r="AG2" s="13">
        <f t="array" ref="AG2">(TREND(Calculations!$C$11:$E$11,Calculations!$C$10:$E$10,AG1))*0.75</f>
        <v>48325.819672131445</v>
      </c>
      <c r="AH2" s="13">
        <f t="array" ref="AH2">(TREND(Calculations!$C$11:$E$11,Calculations!$C$10:$E$10,AH1))*0.75</f>
        <v>50203.278688524384</v>
      </c>
      <c r="AI2" s="13">
        <f t="array" ref="AI2">(TREND(Calculations!$C$11:$E$11,Calculations!$C$10:$E$10,AI1))*0.75</f>
        <v>52080.737704918021</v>
      </c>
      <c r="AJ2" s="13">
        <f t="array" ref="AJ2">(TREND(Calculations!$C$11:$E$11,Calculations!$C$10:$E$10,AJ1))*0.75</f>
        <v>53958.196721311659</v>
      </c>
      <c r="AK2" s="13">
        <f t="array" ref="AK2">(TREND(Calculations!$C$11:$E$11,Calculations!$C$10:$E$10,AK1))*0.75</f>
        <v>55835.655737704597</v>
      </c>
      <c r="AL2" s="13">
        <f t="array" ref="AL2">(TREND(Calculations!$C$11:$E$11,Calculations!$C$10:$E$10,AL1))*0.75</f>
        <v>57713.114754098235</v>
      </c>
      <c r="AM2" s="13">
        <f t="array" ref="AM2">(TREND(Calculations!$C$11:$E$11,Calculations!$C$10:$E$10,AM1))*0.75</f>
        <v>59590.573770491872</v>
      </c>
      <c r="AN2" s="13">
        <f t="array" ref="AN2">(TREND(Calculations!$C$11:$E$11,Calculations!$C$10:$E$10,AN1))*0.75</f>
        <v>61468.032786885509</v>
      </c>
      <c r="AO2" s="13">
        <f t="array" ref="AO2">(TREND(Calculations!$C$11:$E$11,Calculations!$C$10:$E$10,AO1))*0.75</f>
        <v>63345.491803278448</v>
      </c>
      <c r="AP2" s="13">
        <f t="array" ref="AP2">(TREND(Calculations!$C$11:$E$11,Calculations!$C$10:$E$10,AP1))*0.75</f>
        <v>65222.950819672085</v>
      </c>
      <c r="AQ2" s="13">
        <f t="array" ref="AQ2">(TREND(Calculations!$C$11:$E$11,Calculations!$C$10:$E$10,AQ1))*0.75</f>
        <v>67100.409836065723</v>
      </c>
      <c r="AR2" s="13">
        <f t="array" ref="AR2">(TREND(Calculations!$C$11:$E$11,Calculations!$C$10:$E$10,AR1))*0.75</f>
        <v>68977.868852458661</v>
      </c>
      <c r="AS2" s="13">
        <f t="array" ref="AS2">(TREND(Calculations!$C$11:$E$11,Calculations!$C$10:$E$10,AS1))*0.75</f>
        <v>70855.327868852299</v>
      </c>
      <c r="AT2" s="13">
        <f t="array" ref="AT2">(TREND(Calculations!$C$11:$E$11,Calculations!$C$10:$E$10,AT1))*0.75</f>
        <v>72732.786885245936</v>
      </c>
      <c r="AU2" s="13">
        <f t="array" ref="AU2">(TREND(Calculations!$C$11:$E$11,Calculations!$C$10:$E$10,AU1))*0.75</f>
        <v>74610.245901639573</v>
      </c>
      <c r="AV2" s="13">
        <f t="array" ref="AV2">(TREND(Calculations!$C$11:$E$11,Calculations!$C$10:$E$10,AV1))*0.75</f>
        <v>76487.704918032512</v>
      </c>
      <c r="AW2" s="13">
        <f t="array" ref="AW2">(TREND(Calculations!$C$11:$E$11,Calculations!$C$10:$E$10,AW1))*0.75</f>
        <v>78365.163934426149</v>
      </c>
      <c r="AX2" s="13">
        <f t="array" ref="AX2">(TREND(Calculations!$C$11:$E$11,Calculations!$C$10:$E$10,AX1))*0.75</f>
        <v>80242.622950819787</v>
      </c>
      <c r="AY2" s="13">
        <f t="array" ref="AY2">(TREND(Calculations!$C$11:$E$11,Calculations!$C$10:$E$10,AY1))*0.75</f>
        <v>82120.081967213424</v>
      </c>
      <c r="AZ2" s="13">
        <f t="array" ref="AZ2">(TREND(Calculations!$C$11:$E$11,Calculations!$C$10:$E$10,AZ1))*0.75</f>
        <v>83997.540983606363</v>
      </c>
      <c r="BA2" s="13">
        <f t="array" ref="BA2">(TREND(Calculations!$C$11:$E$11,Calculations!$C$10:$E$10,BA1))*0.75</f>
        <v>85875</v>
      </c>
      <c r="BB2" s="13">
        <f t="array" ref="BB2">(TREND(Calculations!$C$11:$E$11,Calculations!$C$10:$E$10,BB1))*0.75</f>
        <v>87752.459016393637</v>
      </c>
      <c r="BC2" s="13">
        <f t="array" ref="BC2">(TREND(Calculations!$C$11:$E$11,Calculations!$C$10:$E$10,BC1))*0.75</f>
        <v>89629.918032786576</v>
      </c>
      <c r="BD2" s="13">
        <f t="array" ref="BD2">(TREND(Calculations!$C$11:$E$11,Calculations!$C$10:$E$10,BD1))*0.75</f>
        <v>91507.377049180213</v>
      </c>
      <c r="BE2" s="13">
        <f t="array" ref="BE2">(TREND(Calculations!$C$11:$E$11,Calculations!$C$10:$E$10,BE1))*0.75</f>
        <v>93384.836065573851</v>
      </c>
    </row>
    <row r="3" spans="1:60" ht="14.25" customHeight="1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 spans="1:60" ht="14.25" customHeigh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spans="1:60" ht="14.25" customHeight="1" x14ac:dyDescent="0.2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spans="1:60" ht="14.25" customHeight="1" x14ac:dyDescent="0.2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60" ht="14.25" customHeight="1" x14ac:dyDescent="0.2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60" ht="14.25" customHeight="1" x14ac:dyDescent="0.2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60" ht="14.25" customHeight="1" x14ac:dyDescent="0.2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spans="1:60" ht="14.25" customHeight="1" x14ac:dyDescent="0.2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60" ht="14.25" customHeight="1" x14ac:dyDescent="0.2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60" ht="14.25" customHeigh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spans="1:60" ht="14.25" customHeight="1" x14ac:dyDescent="0.2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60" ht="14.25" customHeight="1" x14ac:dyDescent="0.2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60" ht="14.25" customHeight="1" x14ac:dyDescent="0.2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60" ht="14.25" customHeight="1" x14ac:dyDescent="0.2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2:37" ht="14.25" customHeight="1" x14ac:dyDescent="0.2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2:37" ht="14.25" customHeight="1" x14ac:dyDescent="0.2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2:37" ht="14.25" customHeight="1" x14ac:dyDescent="0.2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2:37" ht="14.25" customHeight="1" x14ac:dyDescent="0.2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2:37" ht="14.25" customHeight="1" x14ac:dyDescent="0.2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2:37" ht="14.25" customHeigh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2:37" ht="14.25" customHeight="1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2:37" ht="14.25" customHeight="1" x14ac:dyDescent="0.2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2:37" ht="14.25" customHeight="1" x14ac:dyDescent="0.2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spans="2:37" ht="14.25" customHeight="1" x14ac:dyDescent="0.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2:37" ht="14.25" customHeigh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2:37" ht="14.25" customHeight="1" x14ac:dyDescent="0.2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spans="2:37" ht="14.25" customHeight="1" x14ac:dyDescent="0.2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2:37" ht="14.25" customHeight="1" x14ac:dyDescent="0.2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2:37" ht="14.25" customHeight="1" x14ac:dyDescent="0.2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2:37" ht="14.25" customHeigh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2:37" ht="14.25" customHeight="1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2:37" ht="14.25" customHeight="1" x14ac:dyDescent="0.2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2:37" ht="14.25" customHeight="1" x14ac:dyDescent="0.2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2:37" ht="14.25" customHeight="1" x14ac:dyDescent="0.2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2:37" ht="14.25" customHeight="1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2:37" ht="14.25" customHeight="1" x14ac:dyDescent="0.2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2:37" ht="14.25" customHeight="1" x14ac:dyDescent="0.2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2:37" ht="14.25" customHeight="1" x14ac:dyDescent="0.2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2:37" ht="14.25" customHeight="1" x14ac:dyDescent="0.2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spans="2:37" ht="14.25" customHeigh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2:37" ht="14.25" customHeight="1" x14ac:dyDescent="0.2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2:37" ht="14.25" customHeight="1" x14ac:dyDescent="0.2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spans="2:37" ht="14.25" customHeight="1" x14ac:dyDescent="0.2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2:37" ht="14.25" customHeight="1" x14ac:dyDescent="0.2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2:37" ht="14.25" customHeigh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2:37" ht="14.25" customHeight="1" x14ac:dyDescent="0.2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2:37" ht="14.25" customHeight="1" x14ac:dyDescent="0.2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2:37" ht="14.25" customHeight="1" x14ac:dyDescent="0.2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2:37" ht="14.25" customHeigh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2:37" ht="14.25" customHeight="1" x14ac:dyDescent="0.2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2:37" ht="14.25" customHeight="1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2:37" ht="14.25" customHeight="1" x14ac:dyDescent="0.2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2:37" ht="14.25" customHeight="1" x14ac:dyDescent="0.2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2:37" ht="14.25" customHeight="1" x14ac:dyDescent="0.2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2:37" ht="14.25" customHeight="1" x14ac:dyDescent="0.2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spans="2:37" ht="14.25" customHeight="1" x14ac:dyDescent="0.2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2:37" ht="14.25" customHeight="1" x14ac:dyDescent="0.2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2:37" ht="14.25" customHeight="1" x14ac:dyDescent="0.2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2:37" ht="14.25" customHeight="1" x14ac:dyDescent="0.2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2:37" ht="14.25" customHeight="1" x14ac:dyDescent="0.2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 spans="2:37" ht="14.25" customHeight="1" x14ac:dyDescent="0.2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2:37" ht="14.25" customHeight="1" x14ac:dyDescent="0.2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2:37" ht="14.25" customHeight="1" x14ac:dyDescent="0.2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spans="2:37" ht="14.25" customHeight="1" x14ac:dyDescent="0.2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2:37" ht="14.25" customHeight="1" x14ac:dyDescent="0.2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2:37" ht="14.25" customHeight="1" x14ac:dyDescent="0.2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2:37" ht="14.25" customHeight="1" x14ac:dyDescent="0.2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2:37" ht="14.25" customHeight="1" x14ac:dyDescent="0.2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2:37" ht="14.25" customHeight="1" x14ac:dyDescent="0.2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2:37" ht="14.25" customHeight="1" x14ac:dyDescent="0.2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2:37" ht="14.25" customHeight="1" x14ac:dyDescent="0.2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2:37" ht="14.25" customHeight="1" x14ac:dyDescent="0.2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2:37" ht="14.25" customHeight="1" x14ac:dyDescent="0.2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2:37" ht="14.25" customHeight="1" x14ac:dyDescent="0.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2:37" ht="14.25" customHeight="1" x14ac:dyDescent="0.2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2:37" ht="14.25" customHeight="1" x14ac:dyDescent="0.2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2:37" ht="14.25" customHeight="1" x14ac:dyDescent="0.2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2:37" ht="14.25" customHeight="1" x14ac:dyDescent="0.2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2:37" ht="14.25" customHeight="1" x14ac:dyDescent="0.2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spans="2:37" ht="14.25" customHeight="1" x14ac:dyDescent="0.2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spans="2:37" ht="14.25" customHeight="1" x14ac:dyDescent="0.2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2:37" ht="14.25" customHeight="1" x14ac:dyDescent="0.2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2:37" ht="14.25" customHeight="1" x14ac:dyDescent="0.2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2:37" ht="14.25" customHeight="1" x14ac:dyDescent="0.2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spans="2:37" ht="14.25" customHeight="1" x14ac:dyDescent="0.2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spans="2:37" ht="14.25" customHeight="1" x14ac:dyDescent="0.2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2:37" ht="14.25" customHeight="1" x14ac:dyDescent="0.2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spans="2:37" ht="14.25" customHeight="1" x14ac:dyDescent="0.2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spans="2:37" ht="14.25" customHeight="1" x14ac:dyDescent="0.2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2:37" ht="14.25" customHeight="1" x14ac:dyDescent="0.2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2:37" ht="14.25" customHeight="1" x14ac:dyDescent="0.2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2:37" ht="14.25" customHeight="1" x14ac:dyDescent="0.2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2:37" ht="14.25" customHeight="1" x14ac:dyDescent="0.2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2:37" ht="14.25" customHeight="1" x14ac:dyDescent="0.2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2:37" ht="14.25" customHeight="1" x14ac:dyDescent="0.2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2:37" ht="14.25" customHeight="1" x14ac:dyDescent="0.2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2:37" ht="14.25" customHeight="1" x14ac:dyDescent="0.2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spans="2:37" ht="14.25" customHeight="1" x14ac:dyDescent="0.2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spans="2:37" ht="14.25" customHeight="1" x14ac:dyDescent="0.2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spans="2:37" ht="14.25" customHeight="1" x14ac:dyDescent="0.2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spans="2:37" ht="14.25" customHeight="1" x14ac:dyDescent="0.2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spans="2:37" ht="14.25" customHeight="1" x14ac:dyDescent="0.2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spans="2:37" ht="14.25" customHeight="1" x14ac:dyDescent="0.2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spans="2:37" ht="14.25" customHeight="1" x14ac:dyDescent="0.2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spans="2:37" ht="14.25" customHeight="1" x14ac:dyDescent="0.2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spans="2:37" ht="14.25" customHeight="1" x14ac:dyDescent="0.2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spans="2:37" ht="14.25" customHeight="1" x14ac:dyDescent="0.2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spans="2:37" ht="14.25" customHeight="1" x14ac:dyDescent="0.2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spans="2:37" ht="14.25" customHeight="1" x14ac:dyDescent="0.2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spans="2:37" ht="14.25" customHeight="1" x14ac:dyDescent="0.2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spans="2:37" ht="14.25" customHeight="1" x14ac:dyDescent="0.2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spans="2:37" ht="14.25" customHeight="1" x14ac:dyDescent="0.2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spans="2:37" ht="14.25" customHeight="1" x14ac:dyDescent="0.2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spans="2:37" ht="14.25" customHeight="1" x14ac:dyDescent="0.2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spans="2:37" ht="14.25" customHeight="1" x14ac:dyDescent="0.2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spans="2:37" ht="14.25" customHeight="1" x14ac:dyDescent="0.2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spans="2:37" ht="14.25" customHeight="1" x14ac:dyDescent="0.2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spans="2:37" ht="14.25" customHeight="1" x14ac:dyDescent="0.2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spans="2:37" ht="14.25" customHeight="1" x14ac:dyDescent="0.2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spans="2:37" ht="14.25" customHeight="1" x14ac:dyDescent="0.2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spans="2:37" ht="14.25" customHeight="1" x14ac:dyDescent="0.2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spans="2:37" ht="14.25" customHeight="1" x14ac:dyDescent="0.2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spans="2:37" ht="14.25" customHeight="1" x14ac:dyDescent="0.2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spans="2:37" ht="14.25" customHeight="1" x14ac:dyDescent="0.2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spans="2:37" ht="14.25" customHeight="1" x14ac:dyDescent="0.2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spans="2:37" ht="14.25" customHeight="1" x14ac:dyDescent="0.2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spans="2:37" ht="14.25" customHeight="1" x14ac:dyDescent="0.2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spans="2:37" ht="14.25" customHeight="1" x14ac:dyDescent="0.2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spans="2:37" ht="14.25" customHeight="1" x14ac:dyDescent="0.2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spans="2:37" ht="14.25" customHeight="1" x14ac:dyDescent="0.2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spans="2:37" ht="14.25" customHeight="1" x14ac:dyDescent="0.2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spans="2:37" ht="14.25" customHeight="1" x14ac:dyDescent="0.2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spans="2:37" ht="14.25" customHeight="1" x14ac:dyDescent="0.2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spans="2:37" ht="14.25" customHeight="1" x14ac:dyDescent="0.2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spans="2:37" ht="14.25" customHeight="1" x14ac:dyDescent="0.2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spans="2:37" ht="14.25" customHeight="1" x14ac:dyDescent="0.2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spans="2:37" ht="14.25" customHeight="1" x14ac:dyDescent="0.2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spans="2:37" ht="14.25" customHeight="1" x14ac:dyDescent="0.2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spans="2:37" ht="14.25" customHeight="1" x14ac:dyDescent="0.2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spans="2:37" ht="14.25" customHeight="1" x14ac:dyDescent="0.2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spans="2:37" ht="14.25" customHeight="1" x14ac:dyDescent="0.2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spans="2:37" ht="14.25" customHeight="1" x14ac:dyDescent="0.2"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spans="2:37" ht="14.25" customHeight="1" x14ac:dyDescent="0.2"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spans="2:37" ht="14.25" customHeight="1" x14ac:dyDescent="0.2"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spans="2:37" ht="14.25" customHeight="1" x14ac:dyDescent="0.2"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spans="2:37" ht="14.25" customHeight="1" x14ac:dyDescent="0.2"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spans="2:37" ht="14.25" customHeight="1" x14ac:dyDescent="0.2"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spans="2:37" ht="14.25" customHeight="1" x14ac:dyDescent="0.2"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spans="2:37" ht="14.25" customHeight="1" x14ac:dyDescent="0.2"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spans="2:37" ht="14.25" customHeight="1" x14ac:dyDescent="0.2"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spans="2:37" ht="14.25" customHeight="1" x14ac:dyDescent="0.2"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spans="2:37" ht="14.25" customHeight="1" x14ac:dyDescent="0.2"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spans="2:37" ht="14.25" customHeight="1" x14ac:dyDescent="0.2"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spans="2:37" ht="14.25" customHeight="1" x14ac:dyDescent="0.2"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spans="2:37" ht="14.25" customHeight="1" x14ac:dyDescent="0.2"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spans="2:37" ht="14.25" customHeight="1" x14ac:dyDescent="0.2"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spans="2:37" ht="14.25" customHeight="1" x14ac:dyDescent="0.2"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spans="2:37" ht="14.25" customHeight="1" x14ac:dyDescent="0.2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2:37" ht="14.25" customHeight="1" x14ac:dyDescent="0.2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spans="2:37" ht="14.25" customHeight="1" x14ac:dyDescent="0.2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spans="2:37" ht="14.25" customHeight="1" x14ac:dyDescent="0.2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spans="2:37" ht="14.25" customHeight="1" x14ac:dyDescent="0.2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spans="2:37" ht="14.25" customHeight="1" x14ac:dyDescent="0.2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spans="2:37" ht="14.25" customHeight="1" x14ac:dyDescent="0.2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spans="2:37" ht="14.25" customHeight="1" x14ac:dyDescent="0.2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spans="2:37" ht="14.25" customHeight="1" x14ac:dyDescent="0.2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spans="2:37" ht="14.25" customHeight="1" x14ac:dyDescent="0.2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spans="2:37" ht="14.25" customHeight="1" x14ac:dyDescent="0.2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spans="2:37" ht="14.25" customHeight="1" x14ac:dyDescent="0.2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spans="2:37" ht="14.25" customHeight="1" x14ac:dyDescent="0.2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 spans="2:37" ht="14.25" customHeight="1" x14ac:dyDescent="0.2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spans="2:37" ht="14.25" customHeight="1" x14ac:dyDescent="0.2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 spans="2:37" ht="14.25" customHeight="1" x14ac:dyDescent="0.2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spans="2:37" ht="14.25" customHeight="1" x14ac:dyDescent="0.2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spans="2:37" ht="14.25" customHeight="1" x14ac:dyDescent="0.2"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spans="2:37" ht="14.25" customHeight="1" x14ac:dyDescent="0.2"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spans="2:37" ht="14.25" customHeight="1" x14ac:dyDescent="0.2"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spans="2:37" ht="14.25" customHeight="1" x14ac:dyDescent="0.2"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spans="2:37" ht="14.25" customHeight="1" x14ac:dyDescent="0.2"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spans="2:37" ht="14.25" customHeight="1" x14ac:dyDescent="0.2"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spans="2:37" ht="14.25" customHeight="1" x14ac:dyDescent="0.2"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spans="2:37" ht="14.25" customHeight="1" x14ac:dyDescent="0.2"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spans="2:37" ht="14.25" customHeight="1" x14ac:dyDescent="0.2"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spans="2:37" ht="14.25" customHeight="1" x14ac:dyDescent="0.2"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spans="2:37" ht="14.25" customHeight="1" x14ac:dyDescent="0.2"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spans="2:37" ht="14.25" customHeight="1" x14ac:dyDescent="0.2"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spans="2:37" ht="14.25" customHeight="1" x14ac:dyDescent="0.2"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spans="2:37" ht="14.25" customHeight="1" x14ac:dyDescent="0.2"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spans="2:37" ht="14.25" customHeight="1" x14ac:dyDescent="0.2"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spans="2:37" ht="14.25" customHeight="1" x14ac:dyDescent="0.2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spans="2:37" ht="14.25" customHeight="1" x14ac:dyDescent="0.2"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spans="2:37" ht="14.25" customHeight="1" x14ac:dyDescent="0.2"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spans="2:37" ht="14.25" customHeight="1" x14ac:dyDescent="0.2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spans="2:37" ht="14.25" customHeight="1" x14ac:dyDescent="0.2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spans="2:37" ht="14.25" customHeight="1" x14ac:dyDescent="0.2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spans="2:37" ht="14.25" customHeight="1" x14ac:dyDescent="0.2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spans="2:37" ht="14.25" customHeight="1" x14ac:dyDescent="0.2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spans="2:37" ht="14.25" customHeight="1" x14ac:dyDescent="0.2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spans="2:37" ht="14.25" customHeight="1" x14ac:dyDescent="0.2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spans="2:37" ht="14.25" customHeight="1" x14ac:dyDescent="0.2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spans="2:37" ht="14.25" customHeight="1" x14ac:dyDescent="0.2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spans="2:37" ht="14.25" customHeight="1" x14ac:dyDescent="0.2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spans="2:37" ht="14.25" customHeight="1" x14ac:dyDescent="0.2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spans="2:37" ht="14.25" customHeight="1" x14ac:dyDescent="0.2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spans="2:37" ht="14.25" customHeight="1" x14ac:dyDescent="0.2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spans="2:37" ht="14.25" customHeight="1" x14ac:dyDescent="0.2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spans="2:37" ht="14.25" customHeight="1" x14ac:dyDescent="0.2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spans="2:37" ht="14.25" customHeight="1" x14ac:dyDescent="0.2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spans="2:37" ht="14.25" customHeight="1" x14ac:dyDescent="0.2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spans="2:37" ht="14.25" customHeight="1" x14ac:dyDescent="0.2"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spans="2:37" ht="14.25" customHeight="1" x14ac:dyDescent="0.2"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spans="2:37" ht="14.25" customHeight="1" x14ac:dyDescent="0.2"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spans="2:37" ht="14.25" customHeight="1" x14ac:dyDescent="0.2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spans="2:37" ht="14.25" customHeight="1" x14ac:dyDescent="0.2"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spans="2:37" ht="14.25" customHeight="1" x14ac:dyDescent="0.2"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spans="2:37" ht="14.25" customHeight="1" x14ac:dyDescent="0.2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spans="2:37" ht="14.25" customHeight="1" x14ac:dyDescent="0.2"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spans="2:37" ht="14.25" customHeight="1" x14ac:dyDescent="0.2"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spans="2:37" ht="14.25" customHeight="1" x14ac:dyDescent="0.2"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spans="2:37" ht="14.25" customHeight="1" x14ac:dyDescent="0.2"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spans="2:37" ht="14.25" customHeight="1" x14ac:dyDescent="0.2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spans="2:37" ht="14.25" customHeight="1" x14ac:dyDescent="0.2"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spans="2:37" ht="14.25" customHeight="1" x14ac:dyDescent="0.2"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spans="2:37" ht="14.25" customHeight="1" x14ac:dyDescent="0.2"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spans="2:37" ht="14.25" customHeight="1" x14ac:dyDescent="0.2"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spans="2:37" ht="14.25" customHeight="1" x14ac:dyDescent="0.2"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spans="2:37" ht="14.25" customHeight="1" x14ac:dyDescent="0.2"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spans="2:37" ht="14.25" customHeight="1" x14ac:dyDescent="0.2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spans="2:37" ht="14.25" customHeight="1" x14ac:dyDescent="0.2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spans="2:37" ht="14.25" customHeight="1" x14ac:dyDescent="0.2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spans="2:37" ht="14.25" customHeight="1" x14ac:dyDescent="0.2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spans="2:37" ht="14.25" customHeight="1" x14ac:dyDescent="0.2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spans="2:37" ht="14.25" customHeight="1" x14ac:dyDescent="0.2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spans="2:37" ht="14.25" customHeight="1" x14ac:dyDescent="0.2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spans="2:37" ht="14.25" customHeight="1" x14ac:dyDescent="0.2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spans="2:37" ht="14.25" customHeight="1" x14ac:dyDescent="0.2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spans="2:37" ht="14.25" customHeight="1" x14ac:dyDescent="0.2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spans="2:37" ht="14.25" customHeight="1" x14ac:dyDescent="0.2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spans="2:37" ht="14.25" customHeight="1" x14ac:dyDescent="0.2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spans="2:37" ht="14.25" customHeight="1" x14ac:dyDescent="0.2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spans="2:37" ht="14.25" customHeight="1" x14ac:dyDescent="0.2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spans="2:37" ht="14.25" customHeight="1" x14ac:dyDescent="0.2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spans="2:37" ht="14.25" customHeight="1" x14ac:dyDescent="0.2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spans="2:37" ht="14.25" customHeight="1" x14ac:dyDescent="0.2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spans="2:37" ht="14.25" customHeight="1" x14ac:dyDescent="0.2"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spans="2:37" ht="14.25" customHeight="1" x14ac:dyDescent="0.2"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spans="2:37" ht="14.25" customHeight="1" x14ac:dyDescent="0.2"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spans="2:37" ht="14.25" customHeight="1" x14ac:dyDescent="0.2"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spans="2:37" ht="14.25" customHeight="1" x14ac:dyDescent="0.2"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spans="2:37" ht="14.25" customHeight="1" x14ac:dyDescent="0.2"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spans="2:37" ht="14.25" customHeight="1" x14ac:dyDescent="0.2"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spans="2:37" ht="14.25" customHeight="1" x14ac:dyDescent="0.2"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spans="2:37" ht="14.25" customHeight="1" x14ac:dyDescent="0.2"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spans="2:37" ht="14.25" customHeight="1" x14ac:dyDescent="0.2"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spans="2:37" ht="14.25" customHeight="1" x14ac:dyDescent="0.2"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spans="2:37" ht="14.25" customHeight="1" x14ac:dyDescent="0.2"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spans="2:37" ht="14.25" customHeight="1" x14ac:dyDescent="0.2"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spans="2:37" ht="14.25" customHeight="1" x14ac:dyDescent="0.2"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spans="2:37" ht="14.25" customHeight="1" x14ac:dyDescent="0.2"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spans="2:37" ht="14.25" customHeight="1" x14ac:dyDescent="0.2"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spans="2:37" ht="14.25" customHeight="1" x14ac:dyDescent="0.2"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spans="2:37" ht="14.25" customHeight="1" x14ac:dyDescent="0.2"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spans="2:37" ht="14.25" customHeight="1" x14ac:dyDescent="0.2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spans="2:37" ht="14.25" customHeight="1" x14ac:dyDescent="0.2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spans="2:37" ht="14.25" customHeight="1" x14ac:dyDescent="0.2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spans="2:37" ht="14.25" customHeight="1" x14ac:dyDescent="0.2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spans="2:37" ht="14.25" customHeight="1" x14ac:dyDescent="0.2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spans="2:37" ht="14.25" customHeight="1" x14ac:dyDescent="0.2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spans="2:37" ht="14.25" customHeight="1" x14ac:dyDescent="0.2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spans="2:37" ht="14.25" customHeight="1" x14ac:dyDescent="0.2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spans="2:37" ht="14.25" customHeight="1" x14ac:dyDescent="0.2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spans="2:37" ht="14.25" customHeight="1" x14ac:dyDescent="0.2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spans="2:37" ht="14.25" customHeight="1" x14ac:dyDescent="0.2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spans="2:37" ht="14.25" customHeight="1" x14ac:dyDescent="0.2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spans="2:37" ht="14.25" customHeight="1" x14ac:dyDescent="0.2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spans="2:37" ht="14.25" customHeight="1" x14ac:dyDescent="0.2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spans="2:37" ht="14.25" customHeight="1" x14ac:dyDescent="0.2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spans="2:37" ht="14.25" customHeight="1" x14ac:dyDescent="0.2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spans="2:37" ht="14.25" customHeight="1" x14ac:dyDescent="0.2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spans="2:37" ht="14.25" customHeight="1" x14ac:dyDescent="0.2"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spans="2:37" ht="14.25" customHeight="1" x14ac:dyDescent="0.2"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spans="2:37" ht="14.25" customHeight="1" x14ac:dyDescent="0.2"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spans="2:37" ht="14.25" customHeight="1" x14ac:dyDescent="0.2"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spans="2:37" ht="14.25" customHeight="1" x14ac:dyDescent="0.2"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spans="2:37" ht="14.25" customHeight="1" x14ac:dyDescent="0.2"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spans="2:37" ht="14.25" customHeight="1" x14ac:dyDescent="0.2"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spans="2:37" ht="14.25" customHeight="1" x14ac:dyDescent="0.2"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spans="2:37" ht="14.25" customHeight="1" x14ac:dyDescent="0.2"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spans="2:37" ht="14.25" customHeight="1" x14ac:dyDescent="0.2"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spans="2:37" ht="14.25" customHeight="1" x14ac:dyDescent="0.2"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spans="2:37" ht="14.25" customHeight="1" x14ac:dyDescent="0.2"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spans="2:37" ht="14.25" customHeight="1" x14ac:dyDescent="0.2"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spans="2:37" ht="14.25" customHeight="1" x14ac:dyDescent="0.2"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spans="2:37" ht="14.25" customHeight="1" x14ac:dyDescent="0.2"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spans="2:37" ht="14.25" customHeight="1" x14ac:dyDescent="0.2"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spans="2:37" ht="14.25" customHeight="1" x14ac:dyDescent="0.2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spans="2:37" ht="14.25" customHeight="1" x14ac:dyDescent="0.2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spans="2:37" ht="14.25" customHeight="1" x14ac:dyDescent="0.2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spans="2:37" ht="14.25" customHeight="1" x14ac:dyDescent="0.2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spans="2:37" ht="14.25" customHeight="1" x14ac:dyDescent="0.2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spans="2:37" ht="14.25" customHeight="1" x14ac:dyDescent="0.2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spans="2:37" ht="14.25" customHeight="1" x14ac:dyDescent="0.2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spans="2:37" ht="14.25" customHeight="1" x14ac:dyDescent="0.2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spans="2:37" ht="14.25" customHeight="1" x14ac:dyDescent="0.2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spans="2:37" ht="14.25" customHeight="1" x14ac:dyDescent="0.2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spans="2:37" ht="14.25" customHeight="1" x14ac:dyDescent="0.2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spans="2:37" ht="14.25" customHeight="1" x14ac:dyDescent="0.2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spans="2:37" ht="14.25" customHeight="1" x14ac:dyDescent="0.2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spans="2:37" ht="14.25" customHeight="1" x14ac:dyDescent="0.2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spans="2:37" ht="14.25" customHeight="1" x14ac:dyDescent="0.2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spans="2:37" ht="14.25" customHeight="1" x14ac:dyDescent="0.2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spans="2:37" ht="14.25" customHeight="1" x14ac:dyDescent="0.2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spans="2:37" ht="14.25" customHeight="1" x14ac:dyDescent="0.2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spans="2:37" ht="14.25" customHeight="1" x14ac:dyDescent="0.2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spans="2:37" ht="14.25" customHeight="1" x14ac:dyDescent="0.2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spans="2:37" ht="14.25" customHeight="1" x14ac:dyDescent="0.2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spans="2:37" ht="14.25" customHeight="1" x14ac:dyDescent="0.2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spans="2:37" ht="14.25" customHeight="1" x14ac:dyDescent="0.2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spans="2:37" ht="14.25" customHeight="1" x14ac:dyDescent="0.2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spans="2:37" ht="14.25" customHeight="1" x14ac:dyDescent="0.2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spans="2:37" ht="14.25" customHeight="1" x14ac:dyDescent="0.2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spans="2:37" ht="14.25" customHeight="1" x14ac:dyDescent="0.2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spans="2:37" ht="14.25" customHeight="1" x14ac:dyDescent="0.2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spans="2:37" ht="14.25" customHeight="1" x14ac:dyDescent="0.2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spans="2:37" ht="14.25" customHeight="1" x14ac:dyDescent="0.2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spans="2:37" ht="14.25" customHeight="1" x14ac:dyDescent="0.2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spans="2:37" ht="14.25" customHeight="1" x14ac:dyDescent="0.2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spans="2:37" ht="14.25" customHeight="1" x14ac:dyDescent="0.2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spans="2:37" ht="14.25" customHeight="1" x14ac:dyDescent="0.2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spans="2:37" ht="14.25" customHeight="1" x14ac:dyDescent="0.2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spans="2:37" ht="14.25" customHeight="1" x14ac:dyDescent="0.2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spans="2:37" ht="14.25" customHeight="1" x14ac:dyDescent="0.2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spans="2:37" ht="14.25" customHeight="1" x14ac:dyDescent="0.2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spans="2:37" ht="14.25" customHeight="1" x14ac:dyDescent="0.2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spans="2:37" ht="14.25" customHeight="1" x14ac:dyDescent="0.2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spans="2:37" ht="14.25" customHeight="1" x14ac:dyDescent="0.2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spans="2:37" ht="14.25" customHeight="1" x14ac:dyDescent="0.2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spans="2:37" ht="14.25" customHeight="1" x14ac:dyDescent="0.2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spans="2:37" ht="14.25" customHeight="1" x14ac:dyDescent="0.2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spans="2:37" ht="14.25" customHeight="1" x14ac:dyDescent="0.2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spans="2:37" ht="14.25" customHeight="1" x14ac:dyDescent="0.2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spans="2:37" ht="14.25" customHeight="1" x14ac:dyDescent="0.2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spans="2:37" ht="14.25" customHeight="1" x14ac:dyDescent="0.2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spans="2:37" ht="14.25" customHeight="1" x14ac:dyDescent="0.2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spans="2:37" ht="14.25" customHeight="1" x14ac:dyDescent="0.2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spans="2:37" ht="14.25" customHeight="1" x14ac:dyDescent="0.2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spans="2:37" ht="14.25" customHeight="1" x14ac:dyDescent="0.2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spans="2:37" ht="14.25" customHeight="1" x14ac:dyDescent="0.2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spans="2:37" ht="14.25" customHeight="1" x14ac:dyDescent="0.2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spans="2:37" ht="14.25" customHeight="1" x14ac:dyDescent="0.2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spans="2:37" ht="14.25" customHeight="1" x14ac:dyDescent="0.2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spans="2:37" ht="14.25" customHeight="1" x14ac:dyDescent="0.2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spans="2:37" ht="14.25" customHeight="1" x14ac:dyDescent="0.2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spans="2:37" ht="14.25" customHeight="1" x14ac:dyDescent="0.2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spans="2:37" ht="14.25" customHeight="1" x14ac:dyDescent="0.2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spans="2:37" ht="14.25" customHeight="1" x14ac:dyDescent="0.2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spans="2:37" ht="14.25" customHeight="1" x14ac:dyDescent="0.2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spans="2:37" ht="14.25" customHeight="1" x14ac:dyDescent="0.2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spans="2:37" ht="14.25" customHeight="1" x14ac:dyDescent="0.2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spans="2:37" ht="14.25" customHeight="1" x14ac:dyDescent="0.2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spans="2:37" ht="14.25" customHeight="1" x14ac:dyDescent="0.2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spans="2:37" ht="14.25" customHeight="1" x14ac:dyDescent="0.2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spans="2:37" ht="14.25" customHeight="1" x14ac:dyDescent="0.2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spans="2:37" ht="14.25" customHeight="1" x14ac:dyDescent="0.2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spans="2:37" ht="14.25" customHeight="1" x14ac:dyDescent="0.2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spans="2:37" ht="14.25" customHeight="1" x14ac:dyDescent="0.2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spans="2:37" ht="14.25" customHeight="1" x14ac:dyDescent="0.2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spans="2:37" ht="14.25" customHeight="1" x14ac:dyDescent="0.2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spans="2:37" ht="14.25" customHeight="1" x14ac:dyDescent="0.2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spans="2:37" ht="14.25" customHeight="1" x14ac:dyDescent="0.2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spans="2:37" ht="14.25" customHeight="1" x14ac:dyDescent="0.2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spans="2:37" ht="14.25" customHeight="1" x14ac:dyDescent="0.2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spans="2:37" ht="14.25" customHeight="1" x14ac:dyDescent="0.2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spans="2:37" ht="14.25" customHeight="1" x14ac:dyDescent="0.2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spans="2:37" ht="14.25" customHeight="1" x14ac:dyDescent="0.2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spans="2:37" ht="14.25" customHeight="1" x14ac:dyDescent="0.2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spans="2:37" ht="14.25" customHeight="1" x14ac:dyDescent="0.2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spans="2:37" ht="14.25" customHeight="1" x14ac:dyDescent="0.2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spans="2:37" ht="14.25" customHeight="1" x14ac:dyDescent="0.2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spans="2:37" ht="14.25" customHeight="1" x14ac:dyDescent="0.2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spans="2:37" ht="14.25" customHeight="1" x14ac:dyDescent="0.2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spans="2:37" ht="14.25" customHeight="1" x14ac:dyDescent="0.2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spans="2:37" ht="14.25" customHeight="1" x14ac:dyDescent="0.2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spans="2:37" ht="14.25" customHeight="1" x14ac:dyDescent="0.2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spans="2:37" ht="14.25" customHeight="1" x14ac:dyDescent="0.2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spans="2:37" ht="14.25" customHeight="1" x14ac:dyDescent="0.2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spans="2:37" ht="14.25" customHeight="1" x14ac:dyDescent="0.2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spans="2:37" ht="14.25" customHeight="1" x14ac:dyDescent="0.2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spans="2:37" ht="14.25" customHeight="1" x14ac:dyDescent="0.2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spans="2:37" ht="14.25" customHeight="1" x14ac:dyDescent="0.2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spans="2:37" ht="14.25" customHeight="1" x14ac:dyDescent="0.2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spans="2:37" ht="14.25" customHeight="1" x14ac:dyDescent="0.2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spans="2:37" ht="14.25" customHeight="1" x14ac:dyDescent="0.2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spans="2:37" ht="14.25" customHeight="1" x14ac:dyDescent="0.2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spans="2:37" ht="14.25" customHeight="1" x14ac:dyDescent="0.2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spans="2:37" ht="14.25" customHeight="1" x14ac:dyDescent="0.2"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spans="2:37" ht="14.25" customHeight="1" x14ac:dyDescent="0.2"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spans="2:37" ht="14.25" customHeight="1" x14ac:dyDescent="0.2"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spans="2:37" ht="14.25" customHeight="1" x14ac:dyDescent="0.2"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spans="2:37" ht="14.25" customHeight="1" x14ac:dyDescent="0.2"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spans="2:37" ht="14.25" customHeight="1" x14ac:dyDescent="0.2"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spans="2:37" ht="14.25" customHeight="1" x14ac:dyDescent="0.2"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spans="2:37" ht="14.25" customHeight="1" x14ac:dyDescent="0.2"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spans="2:37" ht="14.25" customHeight="1" x14ac:dyDescent="0.2"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spans="2:37" ht="14.25" customHeight="1" x14ac:dyDescent="0.2"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spans="2:37" ht="14.25" customHeight="1" x14ac:dyDescent="0.2"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spans="2:37" ht="14.25" customHeight="1" x14ac:dyDescent="0.2"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spans="2:37" ht="14.25" customHeight="1" x14ac:dyDescent="0.2"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spans="2:37" ht="14.25" customHeight="1" x14ac:dyDescent="0.2"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spans="2:37" ht="14.25" customHeight="1" x14ac:dyDescent="0.2"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spans="2:37" ht="14.25" customHeight="1" x14ac:dyDescent="0.2"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spans="2:37" ht="14.25" customHeight="1" x14ac:dyDescent="0.2"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spans="2:37" ht="14.25" customHeight="1" x14ac:dyDescent="0.2"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spans="2:37" ht="14.25" customHeight="1" x14ac:dyDescent="0.2"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spans="2:37" ht="14.25" customHeight="1" x14ac:dyDescent="0.2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spans="2:37" ht="14.25" customHeight="1" x14ac:dyDescent="0.2"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spans="2:37" ht="14.25" customHeight="1" x14ac:dyDescent="0.2"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spans="2:37" ht="14.25" customHeight="1" x14ac:dyDescent="0.2"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spans="2:37" ht="14.25" customHeight="1" x14ac:dyDescent="0.2"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spans="2:37" ht="14.25" customHeight="1" x14ac:dyDescent="0.2"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spans="2:37" ht="14.25" customHeight="1" x14ac:dyDescent="0.2"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spans="2:37" ht="14.25" customHeight="1" x14ac:dyDescent="0.2"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spans="2:37" ht="14.25" customHeight="1" x14ac:dyDescent="0.2"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spans="2:37" ht="14.25" customHeight="1" x14ac:dyDescent="0.2"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spans="2:37" ht="14.25" customHeight="1" x14ac:dyDescent="0.2"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spans="2:37" ht="14.25" customHeight="1" x14ac:dyDescent="0.2"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spans="2:37" ht="14.25" customHeight="1" x14ac:dyDescent="0.2"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spans="2:37" ht="14.25" customHeight="1" x14ac:dyDescent="0.2"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spans="2:37" ht="14.25" customHeight="1" x14ac:dyDescent="0.2"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spans="2:37" ht="14.25" customHeight="1" x14ac:dyDescent="0.2"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spans="2:37" ht="14.25" customHeight="1" x14ac:dyDescent="0.2"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spans="2:37" ht="14.25" customHeight="1" x14ac:dyDescent="0.2"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spans="2:37" ht="14.25" customHeight="1" x14ac:dyDescent="0.2"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spans="2:37" ht="14.25" customHeight="1" x14ac:dyDescent="0.2"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spans="2:37" ht="14.25" customHeight="1" x14ac:dyDescent="0.2"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spans="2:37" ht="14.25" customHeight="1" x14ac:dyDescent="0.2"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spans="2:37" ht="14.25" customHeight="1" x14ac:dyDescent="0.2"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spans="2:37" ht="14.25" customHeight="1" x14ac:dyDescent="0.2"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spans="2:37" ht="14.25" customHeight="1" x14ac:dyDescent="0.2"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spans="2:37" ht="14.25" customHeight="1" x14ac:dyDescent="0.2"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spans="2:37" ht="14.25" customHeight="1" x14ac:dyDescent="0.2"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spans="2:37" ht="14.25" customHeight="1" x14ac:dyDescent="0.2"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spans="2:37" ht="14.25" customHeight="1" x14ac:dyDescent="0.2"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spans="2:37" ht="14.25" customHeight="1" x14ac:dyDescent="0.2"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spans="2:37" ht="14.25" customHeight="1" x14ac:dyDescent="0.2"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spans="2:37" ht="14.25" customHeight="1" x14ac:dyDescent="0.2"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spans="2:37" ht="14.25" customHeight="1" x14ac:dyDescent="0.2"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spans="2:37" ht="14.25" customHeight="1" x14ac:dyDescent="0.2"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spans="2:37" ht="14.25" customHeight="1" x14ac:dyDescent="0.2"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spans="2:37" ht="14.25" customHeight="1" x14ac:dyDescent="0.2"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spans="2:37" ht="14.25" customHeight="1" x14ac:dyDescent="0.2"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spans="2:37" ht="14.25" customHeight="1" x14ac:dyDescent="0.2"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spans="2:37" ht="14.25" customHeight="1" x14ac:dyDescent="0.2"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spans="2:37" ht="14.25" customHeight="1" x14ac:dyDescent="0.2"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spans="2:37" ht="14.25" customHeight="1" x14ac:dyDescent="0.2"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spans="2:37" ht="14.25" customHeight="1" x14ac:dyDescent="0.2"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spans="2:37" ht="14.25" customHeight="1" x14ac:dyDescent="0.2"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spans="2:37" ht="14.25" customHeight="1" x14ac:dyDescent="0.2"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spans="2:37" ht="14.25" customHeight="1" x14ac:dyDescent="0.2"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spans="2:37" ht="14.25" customHeight="1" x14ac:dyDescent="0.2"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spans="2:37" ht="14.25" customHeight="1" x14ac:dyDescent="0.2"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spans="2:37" ht="14.25" customHeight="1" x14ac:dyDescent="0.2"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spans="2:37" ht="14.25" customHeight="1" x14ac:dyDescent="0.2"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spans="2:37" ht="14.25" customHeight="1" x14ac:dyDescent="0.2"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spans="2:37" ht="14.25" customHeight="1" x14ac:dyDescent="0.2"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spans="2:37" ht="14.25" customHeight="1" x14ac:dyDescent="0.2"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spans="2:37" ht="14.25" customHeight="1" x14ac:dyDescent="0.2"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spans="2:37" ht="14.25" customHeight="1" x14ac:dyDescent="0.2"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spans="2:37" ht="14.25" customHeight="1" x14ac:dyDescent="0.2"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spans="2:37" ht="14.25" customHeight="1" x14ac:dyDescent="0.2"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spans="2:37" ht="14.25" customHeight="1" x14ac:dyDescent="0.2"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spans="2:37" ht="14.25" customHeight="1" x14ac:dyDescent="0.2"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spans="2:37" ht="14.25" customHeight="1" x14ac:dyDescent="0.2"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spans="2:37" ht="14.25" customHeight="1" x14ac:dyDescent="0.2"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spans="2:37" ht="14.25" customHeight="1" x14ac:dyDescent="0.2"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spans="2:37" ht="14.25" customHeight="1" x14ac:dyDescent="0.2"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spans="2:37" ht="14.25" customHeight="1" x14ac:dyDescent="0.2"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spans="2:37" ht="14.25" customHeight="1" x14ac:dyDescent="0.2"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spans="2:37" ht="14.25" customHeight="1" x14ac:dyDescent="0.2"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spans="2:37" ht="14.25" customHeight="1" x14ac:dyDescent="0.2"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spans="2:37" ht="14.25" customHeight="1" x14ac:dyDescent="0.2"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spans="2:37" ht="14.25" customHeight="1" x14ac:dyDescent="0.2"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spans="2:37" ht="14.25" customHeight="1" x14ac:dyDescent="0.2"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spans="2:37" ht="14.25" customHeight="1" x14ac:dyDescent="0.2"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spans="2:37" ht="14.25" customHeight="1" x14ac:dyDescent="0.2"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spans="2:37" ht="14.25" customHeight="1" x14ac:dyDescent="0.2"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spans="2:37" ht="14.25" customHeight="1" x14ac:dyDescent="0.2"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spans="2:37" ht="14.25" customHeight="1" x14ac:dyDescent="0.2"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spans="2:37" ht="14.25" customHeight="1" x14ac:dyDescent="0.2"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spans="2:37" ht="14.25" customHeight="1" x14ac:dyDescent="0.2"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spans="2:37" ht="14.25" customHeight="1" x14ac:dyDescent="0.2"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spans="2:37" ht="14.25" customHeight="1" x14ac:dyDescent="0.2"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spans="2:37" ht="14.25" customHeight="1" x14ac:dyDescent="0.2"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spans="2:37" ht="14.25" customHeight="1" x14ac:dyDescent="0.2"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spans="2:37" ht="14.25" customHeight="1" x14ac:dyDescent="0.2"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spans="2:37" ht="14.25" customHeight="1" x14ac:dyDescent="0.2"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spans="2:37" ht="14.25" customHeight="1" x14ac:dyDescent="0.2"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spans="2:37" ht="14.25" customHeight="1" x14ac:dyDescent="0.2"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spans="2:37" ht="14.25" customHeight="1" x14ac:dyDescent="0.2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spans="2:37" ht="14.25" customHeight="1" x14ac:dyDescent="0.2"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spans="2:37" ht="14.25" customHeight="1" x14ac:dyDescent="0.2"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spans="2:37" ht="14.25" customHeight="1" x14ac:dyDescent="0.2"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spans="2:37" ht="14.25" customHeight="1" x14ac:dyDescent="0.2"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spans="2:37" ht="14.25" customHeight="1" x14ac:dyDescent="0.2"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spans="2:37" ht="14.25" customHeight="1" x14ac:dyDescent="0.2"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spans="2:37" ht="14.25" customHeight="1" x14ac:dyDescent="0.2"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spans="2:37" ht="14.25" customHeight="1" x14ac:dyDescent="0.2"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spans="2:37" ht="14.25" customHeight="1" x14ac:dyDescent="0.2"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spans="2:37" ht="14.25" customHeight="1" x14ac:dyDescent="0.2"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spans="2:37" ht="14.25" customHeight="1" x14ac:dyDescent="0.2"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spans="2:37" ht="14.25" customHeight="1" x14ac:dyDescent="0.2"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spans="2:37" ht="14.25" customHeight="1" x14ac:dyDescent="0.2"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spans="2:37" ht="14.25" customHeight="1" x14ac:dyDescent="0.2"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spans="2:37" ht="14.25" customHeight="1" x14ac:dyDescent="0.2"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spans="2:37" ht="14.25" customHeight="1" x14ac:dyDescent="0.2"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spans="2:37" ht="14.25" customHeight="1" x14ac:dyDescent="0.2"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spans="2:37" ht="14.25" customHeight="1" x14ac:dyDescent="0.2"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spans="2:37" ht="14.25" customHeight="1" x14ac:dyDescent="0.2"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spans="2:37" ht="14.25" customHeight="1" x14ac:dyDescent="0.2"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spans="2:37" ht="14.25" customHeight="1" x14ac:dyDescent="0.2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spans="2:37" ht="14.25" customHeight="1" x14ac:dyDescent="0.2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spans="2:37" ht="14.25" customHeight="1" x14ac:dyDescent="0.2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spans="2:37" ht="14.25" customHeight="1" x14ac:dyDescent="0.2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spans="2:37" ht="14.25" customHeight="1" x14ac:dyDescent="0.2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spans="2:37" ht="14.25" customHeight="1" x14ac:dyDescent="0.2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spans="2:37" ht="14.25" customHeight="1" x14ac:dyDescent="0.2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spans="2:37" ht="14.25" customHeight="1" x14ac:dyDescent="0.2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spans="2:37" ht="14.25" customHeight="1" x14ac:dyDescent="0.2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spans="2:37" ht="14.25" customHeight="1" x14ac:dyDescent="0.2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spans="2:37" ht="14.25" customHeight="1" x14ac:dyDescent="0.2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spans="2:37" ht="14.25" customHeight="1" x14ac:dyDescent="0.2"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spans="2:37" ht="14.25" customHeight="1" x14ac:dyDescent="0.2"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spans="2:37" ht="14.25" customHeight="1" x14ac:dyDescent="0.2"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spans="2:37" ht="14.25" customHeight="1" x14ac:dyDescent="0.2"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spans="2:37" ht="14.25" customHeight="1" x14ac:dyDescent="0.2"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spans="2:37" ht="14.25" customHeight="1" x14ac:dyDescent="0.2"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spans="2:37" ht="14.25" customHeight="1" x14ac:dyDescent="0.2"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spans="2:37" ht="14.25" customHeight="1" x14ac:dyDescent="0.2"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spans="2:37" ht="14.25" customHeight="1" x14ac:dyDescent="0.2"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spans="2:37" ht="14.25" customHeight="1" x14ac:dyDescent="0.2"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spans="2:37" ht="14.25" customHeight="1" x14ac:dyDescent="0.2"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spans="2:37" ht="14.25" customHeight="1" x14ac:dyDescent="0.2"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spans="2:37" ht="14.25" customHeight="1" x14ac:dyDescent="0.2"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spans="2:37" ht="14.25" customHeight="1" x14ac:dyDescent="0.2"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spans="2:37" ht="14.25" customHeight="1" x14ac:dyDescent="0.2"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spans="2:37" ht="14.25" customHeight="1" x14ac:dyDescent="0.2"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spans="2:37" ht="14.25" customHeight="1" x14ac:dyDescent="0.2"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spans="2:37" ht="14.25" customHeight="1" x14ac:dyDescent="0.2"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spans="2:37" ht="14.25" customHeight="1" x14ac:dyDescent="0.2"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spans="2:37" ht="14.25" customHeight="1" x14ac:dyDescent="0.2"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spans="2:37" ht="14.25" customHeight="1" x14ac:dyDescent="0.2"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spans="2:37" ht="14.25" customHeight="1" x14ac:dyDescent="0.2"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spans="2:37" ht="14.25" customHeight="1" x14ac:dyDescent="0.2"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spans="2:37" ht="14.25" customHeight="1" x14ac:dyDescent="0.2"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spans="2:37" ht="14.25" customHeight="1" x14ac:dyDescent="0.2"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spans="2:37" ht="14.25" customHeight="1" x14ac:dyDescent="0.2"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spans="2:37" ht="14.25" customHeight="1" x14ac:dyDescent="0.2"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spans="2:37" ht="14.25" customHeight="1" x14ac:dyDescent="0.2"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spans="2:37" ht="14.25" customHeight="1" x14ac:dyDescent="0.2"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spans="2:37" ht="14.25" customHeight="1" x14ac:dyDescent="0.2"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spans="2:37" ht="14.25" customHeight="1" x14ac:dyDescent="0.2"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spans="2:37" ht="14.25" customHeight="1" x14ac:dyDescent="0.2"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spans="2:37" ht="14.25" customHeight="1" x14ac:dyDescent="0.2"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spans="2:37" ht="14.25" customHeight="1" x14ac:dyDescent="0.2"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spans="2:37" ht="14.25" customHeight="1" x14ac:dyDescent="0.2"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spans="2:37" ht="14.25" customHeight="1" x14ac:dyDescent="0.2"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spans="2:37" ht="14.25" customHeight="1" x14ac:dyDescent="0.2"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spans="2:37" ht="14.25" customHeight="1" x14ac:dyDescent="0.2"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spans="2:37" ht="14.25" customHeight="1" x14ac:dyDescent="0.2"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spans="2:37" ht="14.25" customHeight="1" x14ac:dyDescent="0.2"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spans="2:37" ht="14.25" customHeight="1" x14ac:dyDescent="0.2"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spans="2:37" ht="14.25" customHeight="1" x14ac:dyDescent="0.2"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spans="2:37" ht="14.25" customHeight="1" x14ac:dyDescent="0.2"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spans="2:37" ht="14.25" customHeight="1" x14ac:dyDescent="0.2"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spans="2:37" ht="14.25" customHeight="1" x14ac:dyDescent="0.2"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spans="2:37" ht="14.25" customHeight="1" x14ac:dyDescent="0.2"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spans="2:37" ht="14.25" customHeight="1" x14ac:dyDescent="0.2"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spans="2:37" ht="14.25" customHeight="1" x14ac:dyDescent="0.2"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spans="2:37" ht="14.25" customHeight="1" x14ac:dyDescent="0.2"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spans="2:37" ht="14.25" customHeight="1" x14ac:dyDescent="0.2"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spans="2:37" ht="14.25" customHeight="1" x14ac:dyDescent="0.2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spans="2:37" ht="14.25" customHeight="1" x14ac:dyDescent="0.2"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spans="2:37" ht="14.25" customHeight="1" x14ac:dyDescent="0.2"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spans="2:37" ht="14.25" customHeight="1" x14ac:dyDescent="0.2"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spans="2:37" ht="14.25" customHeight="1" x14ac:dyDescent="0.2"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spans="2:37" ht="14.25" customHeight="1" x14ac:dyDescent="0.2"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spans="2:37" ht="14.25" customHeight="1" x14ac:dyDescent="0.2"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spans="2:37" ht="14.25" customHeight="1" x14ac:dyDescent="0.2"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spans="2:37" ht="14.25" customHeight="1" x14ac:dyDescent="0.2"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spans="2:37" ht="14.25" customHeight="1" x14ac:dyDescent="0.2"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spans="2:37" ht="14.25" customHeight="1" x14ac:dyDescent="0.2"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spans="2:37" ht="14.25" customHeight="1" x14ac:dyDescent="0.2"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spans="2:37" ht="14.25" customHeight="1" x14ac:dyDescent="0.2"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spans="2:37" ht="14.25" customHeight="1" x14ac:dyDescent="0.2"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spans="2:37" ht="14.25" customHeight="1" x14ac:dyDescent="0.2"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spans="2:37" ht="14.25" customHeight="1" x14ac:dyDescent="0.2"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spans="2:37" ht="14.25" customHeight="1" x14ac:dyDescent="0.2"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spans="2:37" ht="14.25" customHeight="1" x14ac:dyDescent="0.2"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spans="2:37" ht="14.25" customHeight="1" x14ac:dyDescent="0.2"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spans="2:37" ht="14.25" customHeight="1" x14ac:dyDescent="0.2"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spans="2:37" ht="14.25" customHeight="1" x14ac:dyDescent="0.2"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spans="2:37" ht="14.25" customHeight="1" x14ac:dyDescent="0.2"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spans="2:37" ht="14.25" customHeight="1" x14ac:dyDescent="0.2"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spans="2:37" ht="14.25" customHeight="1" x14ac:dyDescent="0.2"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spans="2:37" ht="14.25" customHeight="1" x14ac:dyDescent="0.2"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spans="2:37" ht="14.25" customHeight="1" x14ac:dyDescent="0.2"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spans="2:37" ht="14.25" customHeight="1" x14ac:dyDescent="0.2"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spans="2:37" ht="14.25" customHeight="1" x14ac:dyDescent="0.2"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spans="2:37" ht="14.25" customHeight="1" x14ac:dyDescent="0.2"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spans="2:37" ht="14.25" customHeight="1" x14ac:dyDescent="0.2"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spans="2:37" ht="14.25" customHeight="1" x14ac:dyDescent="0.2"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spans="2:37" ht="14.25" customHeight="1" x14ac:dyDescent="0.2"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spans="2:37" ht="14.25" customHeight="1" x14ac:dyDescent="0.2"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spans="2:37" ht="14.25" customHeight="1" x14ac:dyDescent="0.2"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spans="2:37" ht="14.25" customHeight="1" x14ac:dyDescent="0.2"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spans="2:37" ht="14.25" customHeight="1" x14ac:dyDescent="0.2"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spans="2:37" ht="14.25" customHeight="1" x14ac:dyDescent="0.2"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spans="2:37" ht="14.25" customHeight="1" x14ac:dyDescent="0.2"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spans="2:37" ht="14.25" customHeight="1" x14ac:dyDescent="0.2"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spans="2:37" ht="14.25" customHeight="1" x14ac:dyDescent="0.2"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spans="2:37" ht="14.25" customHeight="1" x14ac:dyDescent="0.2"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spans="2:37" ht="14.25" customHeight="1" x14ac:dyDescent="0.2"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spans="2:37" ht="14.25" customHeight="1" x14ac:dyDescent="0.2"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spans="2:37" ht="14.25" customHeight="1" x14ac:dyDescent="0.2"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spans="2:37" ht="14.25" customHeight="1" x14ac:dyDescent="0.2"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spans="2:37" ht="14.25" customHeight="1" x14ac:dyDescent="0.2"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spans="2:37" ht="14.25" customHeight="1" x14ac:dyDescent="0.2"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spans="2:37" ht="14.25" customHeight="1" x14ac:dyDescent="0.2"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spans="2:37" ht="14.25" customHeight="1" x14ac:dyDescent="0.2"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spans="2:37" ht="14.25" customHeight="1" x14ac:dyDescent="0.2"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spans="2:37" ht="14.25" customHeight="1" x14ac:dyDescent="0.2"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spans="2:37" ht="14.25" customHeight="1" x14ac:dyDescent="0.2"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spans="2:37" ht="14.25" customHeight="1" x14ac:dyDescent="0.2"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spans="2:37" ht="14.25" customHeight="1" x14ac:dyDescent="0.2"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spans="2:37" ht="14.25" customHeight="1" x14ac:dyDescent="0.2"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spans="2:37" ht="14.25" customHeight="1" x14ac:dyDescent="0.2"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spans="2:37" ht="14.25" customHeight="1" x14ac:dyDescent="0.2"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spans="2:37" ht="14.25" customHeight="1" x14ac:dyDescent="0.2"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spans="2:37" ht="14.25" customHeight="1" x14ac:dyDescent="0.2"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spans="2:37" ht="14.25" customHeight="1" x14ac:dyDescent="0.2"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spans="2:37" ht="14.25" customHeight="1" x14ac:dyDescent="0.2"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spans="2:37" ht="14.25" customHeight="1" x14ac:dyDescent="0.2"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spans="2:37" ht="14.25" customHeight="1" x14ac:dyDescent="0.2"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spans="2:37" ht="14.25" customHeight="1" x14ac:dyDescent="0.2"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spans="2:37" ht="14.25" customHeight="1" x14ac:dyDescent="0.2"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 spans="2:37" ht="14.25" customHeight="1" x14ac:dyDescent="0.2"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 spans="2:37" ht="14.25" customHeight="1" x14ac:dyDescent="0.2"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 spans="2:37" ht="14.25" customHeight="1" x14ac:dyDescent="0.2"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 spans="2:37" ht="14.25" customHeight="1" x14ac:dyDescent="0.2"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spans="2:37" ht="14.25" customHeight="1" x14ac:dyDescent="0.2"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spans="2:37" ht="14.25" customHeight="1" x14ac:dyDescent="0.2"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spans="2:37" ht="14.25" customHeight="1" x14ac:dyDescent="0.2"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spans="2:37" ht="14.25" customHeight="1" x14ac:dyDescent="0.2"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spans="2:37" ht="14.25" customHeight="1" x14ac:dyDescent="0.2"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spans="2:37" ht="14.25" customHeight="1" x14ac:dyDescent="0.2"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spans="2:37" ht="14.25" customHeight="1" x14ac:dyDescent="0.2"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spans="2:37" ht="14.25" customHeight="1" x14ac:dyDescent="0.2"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 spans="2:37" ht="14.25" customHeight="1" x14ac:dyDescent="0.2"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 spans="2:37" ht="14.25" customHeight="1" x14ac:dyDescent="0.2"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 spans="2:37" ht="14.25" customHeight="1" x14ac:dyDescent="0.2"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 spans="2:37" ht="14.25" customHeight="1" x14ac:dyDescent="0.2"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 spans="2:37" ht="14.25" customHeight="1" x14ac:dyDescent="0.2"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 spans="2:37" ht="14.25" customHeight="1" x14ac:dyDescent="0.2"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 spans="2:37" ht="14.25" customHeight="1" x14ac:dyDescent="0.2"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 spans="2:37" ht="14.25" customHeight="1" x14ac:dyDescent="0.2"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 spans="2:37" ht="14.25" customHeight="1" x14ac:dyDescent="0.2"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 spans="2:37" ht="14.25" customHeight="1" x14ac:dyDescent="0.2"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 spans="2:37" ht="14.25" customHeight="1" x14ac:dyDescent="0.2"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 spans="2:37" ht="14.25" customHeight="1" x14ac:dyDescent="0.2"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 spans="2:37" ht="14.25" customHeight="1" x14ac:dyDescent="0.2"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 spans="2:37" ht="14.25" customHeight="1" x14ac:dyDescent="0.2"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 spans="2:37" ht="14.25" customHeight="1" x14ac:dyDescent="0.2"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 spans="2:37" ht="14.25" customHeight="1" x14ac:dyDescent="0.2"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 spans="2:37" ht="14.25" customHeight="1" x14ac:dyDescent="0.2"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 spans="2:37" ht="14.25" customHeight="1" x14ac:dyDescent="0.2"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 spans="2:37" ht="14.25" customHeight="1" x14ac:dyDescent="0.2"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 spans="2:37" ht="14.25" customHeight="1" x14ac:dyDescent="0.2"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 spans="2:37" ht="14.25" customHeight="1" x14ac:dyDescent="0.2"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 spans="2:37" ht="14.25" customHeight="1" x14ac:dyDescent="0.2"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 spans="2:37" ht="14.25" customHeight="1" x14ac:dyDescent="0.2"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 spans="2:37" ht="14.25" customHeight="1" x14ac:dyDescent="0.2"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 spans="2:37" ht="14.25" customHeight="1" x14ac:dyDescent="0.2"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 spans="2:37" ht="14.25" customHeight="1" x14ac:dyDescent="0.2"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 spans="2:37" ht="14.25" customHeight="1" x14ac:dyDescent="0.2"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 spans="2:37" ht="14.25" customHeight="1" x14ac:dyDescent="0.2"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 spans="2:37" ht="14.25" customHeight="1" x14ac:dyDescent="0.2"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 spans="2:37" ht="14.25" customHeight="1" x14ac:dyDescent="0.2"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 spans="2:37" ht="14.25" customHeight="1" x14ac:dyDescent="0.2"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 spans="2:37" ht="14.25" customHeight="1" x14ac:dyDescent="0.2"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 spans="2:37" ht="14.25" customHeight="1" x14ac:dyDescent="0.2"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 spans="2:37" ht="14.25" customHeight="1" x14ac:dyDescent="0.2"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 spans="2:37" ht="14.25" customHeight="1" x14ac:dyDescent="0.2"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 spans="2:37" ht="14.25" customHeight="1" x14ac:dyDescent="0.2"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spans="2:37" ht="14.25" customHeight="1" x14ac:dyDescent="0.2"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spans="2:37" ht="14.25" customHeight="1" x14ac:dyDescent="0.2"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spans="2:37" ht="14.25" customHeight="1" x14ac:dyDescent="0.2"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spans="2:37" ht="14.25" customHeight="1" x14ac:dyDescent="0.2"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spans="2:37" ht="14.25" customHeight="1" x14ac:dyDescent="0.2"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spans="2:37" ht="14.25" customHeight="1" x14ac:dyDescent="0.2"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spans="2:37" ht="14.25" customHeight="1" x14ac:dyDescent="0.2"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spans="2:37" ht="14.25" customHeight="1" x14ac:dyDescent="0.2"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spans="2:37" ht="14.25" customHeight="1" x14ac:dyDescent="0.2"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spans="2:37" ht="14.25" customHeight="1" x14ac:dyDescent="0.2"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spans="2:37" ht="14.25" customHeight="1" x14ac:dyDescent="0.2"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spans="2:37" ht="14.25" customHeight="1" x14ac:dyDescent="0.2"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spans="2:37" ht="14.25" customHeight="1" x14ac:dyDescent="0.2"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spans="2:37" ht="14.25" customHeight="1" x14ac:dyDescent="0.2"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spans="2:37" ht="14.25" customHeight="1" x14ac:dyDescent="0.2"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spans="2:37" ht="14.25" customHeight="1" x14ac:dyDescent="0.2"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spans="2:37" ht="14.25" customHeight="1" x14ac:dyDescent="0.2"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spans="2:37" ht="14.25" customHeight="1" x14ac:dyDescent="0.2"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spans="2:37" ht="14.25" customHeight="1" x14ac:dyDescent="0.2"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spans="2:37" ht="14.25" customHeight="1" x14ac:dyDescent="0.2"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spans="2:37" ht="14.25" customHeight="1" x14ac:dyDescent="0.2"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spans="2:37" ht="14.25" customHeight="1" x14ac:dyDescent="0.2"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spans="2:37" ht="14.25" customHeight="1" x14ac:dyDescent="0.2"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spans="2:37" ht="14.25" customHeight="1" x14ac:dyDescent="0.2"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spans="2:37" ht="14.25" customHeight="1" x14ac:dyDescent="0.2"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spans="2:37" ht="14.25" customHeight="1" x14ac:dyDescent="0.2"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spans="2:37" ht="14.25" customHeight="1" x14ac:dyDescent="0.2"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spans="2:37" ht="14.25" customHeight="1" x14ac:dyDescent="0.2"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spans="2:37" ht="14.25" customHeight="1" x14ac:dyDescent="0.2"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spans="2:37" ht="14.25" customHeight="1" x14ac:dyDescent="0.2"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spans="2:37" ht="14.25" customHeight="1" x14ac:dyDescent="0.2"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spans="2:37" ht="14.25" customHeight="1" x14ac:dyDescent="0.2"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spans="2:37" ht="14.25" customHeight="1" x14ac:dyDescent="0.2"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spans="2:37" ht="14.25" customHeight="1" x14ac:dyDescent="0.2"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spans="2:37" ht="14.25" customHeight="1" x14ac:dyDescent="0.2"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spans="2:37" ht="14.25" customHeight="1" x14ac:dyDescent="0.2"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spans="2:37" ht="14.25" customHeight="1" x14ac:dyDescent="0.2"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spans="2:37" ht="14.25" customHeight="1" x14ac:dyDescent="0.2"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spans="2:37" ht="14.25" customHeight="1" x14ac:dyDescent="0.2"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spans="2:37" ht="14.25" customHeight="1" x14ac:dyDescent="0.2"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spans="2:37" ht="14.25" customHeight="1" x14ac:dyDescent="0.2"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spans="2:37" ht="14.25" customHeight="1" x14ac:dyDescent="0.2"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spans="2:37" ht="14.25" customHeight="1" x14ac:dyDescent="0.2"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spans="2:37" ht="14.25" customHeight="1" x14ac:dyDescent="0.2"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spans="2:37" ht="14.25" customHeight="1" x14ac:dyDescent="0.2"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spans="2:37" ht="14.25" customHeight="1" x14ac:dyDescent="0.2"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spans="2:37" ht="14.25" customHeight="1" x14ac:dyDescent="0.2"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spans="2:37" ht="14.25" customHeight="1" x14ac:dyDescent="0.2"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spans="2:37" ht="14.25" customHeight="1" x14ac:dyDescent="0.2"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spans="2:37" ht="14.25" customHeight="1" x14ac:dyDescent="0.2"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spans="2:37" ht="14.25" customHeight="1" x14ac:dyDescent="0.2"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spans="2:37" ht="14.25" customHeight="1" x14ac:dyDescent="0.2"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spans="2:37" ht="14.25" customHeight="1" x14ac:dyDescent="0.2"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spans="2:37" ht="14.25" customHeight="1" x14ac:dyDescent="0.2"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spans="2:37" ht="14.25" customHeight="1" x14ac:dyDescent="0.2"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spans="2:37" ht="14.25" customHeight="1" x14ac:dyDescent="0.2"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spans="2:37" ht="14.25" customHeight="1" x14ac:dyDescent="0.2"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spans="2:37" ht="14.25" customHeight="1" x14ac:dyDescent="0.2"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spans="2:37" ht="14.25" customHeight="1" x14ac:dyDescent="0.2"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spans="2:37" ht="14.25" customHeight="1" x14ac:dyDescent="0.2"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spans="2:37" ht="14.25" customHeight="1" x14ac:dyDescent="0.2"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spans="2:37" ht="14.25" customHeight="1" x14ac:dyDescent="0.2"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spans="2:37" ht="14.25" customHeight="1" x14ac:dyDescent="0.2"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spans="2:37" ht="14.25" customHeight="1" x14ac:dyDescent="0.2"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spans="2:37" ht="14.25" customHeight="1" x14ac:dyDescent="0.2"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spans="2:37" ht="14.25" customHeight="1" x14ac:dyDescent="0.2"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spans="2:37" ht="14.25" customHeight="1" x14ac:dyDescent="0.2"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spans="2:37" ht="14.25" customHeight="1" x14ac:dyDescent="0.2"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spans="2:37" ht="14.25" customHeight="1" x14ac:dyDescent="0.2"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spans="2:37" ht="14.25" customHeight="1" x14ac:dyDescent="0.2"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spans="2:37" ht="14.25" customHeight="1" x14ac:dyDescent="0.2"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spans="2:37" ht="14.25" customHeight="1" x14ac:dyDescent="0.2"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spans="2:37" ht="14.25" customHeight="1" x14ac:dyDescent="0.2"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spans="2:37" ht="14.25" customHeight="1" x14ac:dyDescent="0.2"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spans="2:37" ht="14.25" customHeight="1" x14ac:dyDescent="0.2"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spans="2:37" ht="14.25" customHeight="1" x14ac:dyDescent="0.2"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spans="2:37" ht="14.25" customHeight="1" x14ac:dyDescent="0.2"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spans="2:37" ht="14.25" customHeight="1" x14ac:dyDescent="0.2"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spans="2:37" ht="14.25" customHeight="1" x14ac:dyDescent="0.2"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spans="2:37" ht="14.25" customHeight="1" x14ac:dyDescent="0.2"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spans="2:37" ht="14.25" customHeight="1" x14ac:dyDescent="0.2"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spans="2:37" ht="14.25" customHeight="1" x14ac:dyDescent="0.2"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spans="2:37" ht="14.25" customHeight="1" x14ac:dyDescent="0.2"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spans="2:37" ht="14.25" customHeight="1" x14ac:dyDescent="0.2"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spans="2:37" ht="14.25" customHeight="1" x14ac:dyDescent="0.2"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spans="2:37" ht="14.25" customHeight="1" x14ac:dyDescent="0.2"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spans="2:37" ht="14.25" customHeight="1" x14ac:dyDescent="0.2"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spans="2:37" ht="14.25" customHeight="1" x14ac:dyDescent="0.2"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spans="2:37" ht="14.25" customHeight="1" x14ac:dyDescent="0.2"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spans="2:37" ht="14.25" customHeight="1" x14ac:dyDescent="0.2"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spans="2:37" ht="14.25" customHeight="1" x14ac:dyDescent="0.2"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spans="2:37" ht="14.25" customHeight="1" x14ac:dyDescent="0.2"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spans="2:37" ht="14.25" customHeight="1" x14ac:dyDescent="0.2"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spans="2:37" ht="14.25" customHeight="1" x14ac:dyDescent="0.2"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spans="2:37" ht="14.25" customHeight="1" x14ac:dyDescent="0.2"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spans="2:37" ht="14.25" customHeight="1" x14ac:dyDescent="0.2"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spans="2:37" ht="14.25" customHeight="1" x14ac:dyDescent="0.2"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spans="2:37" ht="14.25" customHeight="1" x14ac:dyDescent="0.2"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spans="2:37" ht="14.25" customHeight="1" x14ac:dyDescent="0.2"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spans="2:37" ht="14.25" customHeight="1" x14ac:dyDescent="0.2"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spans="2:37" ht="14.25" customHeight="1" x14ac:dyDescent="0.2"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spans="2:37" ht="14.25" customHeight="1" x14ac:dyDescent="0.2"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spans="2:37" ht="14.25" customHeight="1" x14ac:dyDescent="0.2"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spans="2:37" ht="14.25" customHeight="1" x14ac:dyDescent="0.2"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spans="2:37" ht="14.25" customHeight="1" x14ac:dyDescent="0.2"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spans="2:37" ht="14.25" customHeight="1" x14ac:dyDescent="0.2"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spans="2:37" ht="14.25" customHeight="1" x14ac:dyDescent="0.2"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spans="2:37" ht="14.25" customHeight="1" x14ac:dyDescent="0.2"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spans="2:37" ht="14.25" customHeight="1" x14ac:dyDescent="0.2"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spans="2:37" ht="14.25" customHeight="1" x14ac:dyDescent="0.2"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spans="2:37" ht="14.25" customHeight="1" x14ac:dyDescent="0.2"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spans="2:37" ht="14.25" customHeight="1" x14ac:dyDescent="0.2"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spans="2:37" ht="14.25" customHeight="1" x14ac:dyDescent="0.2"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spans="2:37" ht="14.25" customHeight="1" x14ac:dyDescent="0.2"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spans="2:37" ht="14.25" customHeight="1" x14ac:dyDescent="0.2"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spans="2:37" ht="14.25" customHeight="1" x14ac:dyDescent="0.2"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spans="2:37" ht="14.25" customHeight="1" x14ac:dyDescent="0.2"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spans="2:37" ht="14.25" customHeight="1" x14ac:dyDescent="0.2"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spans="2:37" ht="14.25" customHeight="1" x14ac:dyDescent="0.2"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spans="2:37" ht="14.25" customHeight="1" x14ac:dyDescent="0.2"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spans="2:37" ht="14.25" customHeight="1" x14ac:dyDescent="0.2"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spans="2:37" ht="14.25" customHeight="1" x14ac:dyDescent="0.2"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spans="2:37" ht="14.25" customHeight="1" x14ac:dyDescent="0.2"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spans="2:37" ht="14.25" customHeight="1" x14ac:dyDescent="0.2"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spans="2:37" ht="14.25" customHeight="1" x14ac:dyDescent="0.2"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spans="2:37" ht="14.25" customHeight="1" x14ac:dyDescent="0.2"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spans="2:37" ht="14.25" customHeight="1" x14ac:dyDescent="0.2"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spans="2:37" ht="14.25" customHeight="1" x14ac:dyDescent="0.2"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spans="2:37" ht="14.25" customHeight="1" x14ac:dyDescent="0.2"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spans="2:37" ht="14.25" customHeight="1" x14ac:dyDescent="0.2"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spans="2:37" ht="14.25" customHeight="1" x14ac:dyDescent="0.2"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spans="2:37" ht="14.25" customHeight="1" x14ac:dyDescent="0.2"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spans="2:37" ht="14.25" customHeight="1" x14ac:dyDescent="0.2"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spans="2:37" ht="14.25" customHeight="1" x14ac:dyDescent="0.2"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spans="2:37" ht="14.25" customHeight="1" x14ac:dyDescent="0.2"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spans="2:37" ht="14.25" customHeight="1" x14ac:dyDescent="0.2"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spans="2:37" ht="14.25" customHeight="1" x14ac:dyDescent="0.2"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spans="2:37" ht="14.25" customHeight="1" x14ac:dyDescent="0.2"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spans="2:37" ht="14.25" customHeight="1" x14ac:dyDescent="0.2"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spans="2:37" ht="14.25" customHeight="1" x14ac:dyDescent="0.2"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spans="2:37" ht="14.25" customHeight="1" x14ac:dyDescent="0.2"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spans="2:37" ht="14.25" customHeight="1" x14ac:dyDescent="0.2"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spans="2:37" ht="14.25" customHeight="1" x14ac:dyDescent="0.2"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spans="2:37" ht="14.25" customHeight="1" x14ac:dyDescent="0.2"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spans="2:37" ht="14.25" customHeight="1" x14ac:dyDescent="0.2"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spans="2:37" ht="14.25" customHeight="1" x14ac:dyDescent="0.2"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spans="2:37" ht="14.25" customHeight="1" x14ac:dyDescent="0.2"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spans="2:37" ht="14.25" customHeight="1" x14ac:dyDescent="0.2"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spans="2:37" ht="14.25" customHeight="1" x14ac:dyDescent="0.2"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spans="2:37" ht="14.25" customHeight="1" x14ac:dyDescent="0.2"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spans="2:37" ht="14.25" customHeight="1" x14ac:dyDescent="0.2"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spans="2:37" ht="14.25" customHeight="1" x14ac:dyDescent="0.2"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spans="2:37" ht="14.25" customHeight="1" x14ac:dyDescent="0.2"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spans="2:37" ht="14.25" customHeight="1" x14ac:dyDescent="0.2"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spans="2:37" ht="14.25" customHeight="1" x14ac:dyDescent="0.2"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 spans="2:37" ht="14.25" customHeight="1" x14ac:dyDescent="0.2"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 spans="2:37" ht="14.25" customHeight="1" x14ac:dyDescent="0.2"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 spans="2:37" ht="14.25" customHeight="1" x14ac:dyDescent="0.2"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 spans="2:37" ht="14.25" customHeight="1" x14ac:dyDescent="0.2"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 spans="2:37" ht="14.25" customHeight="1" x14ac:dyDescent="0.2"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 spans="2:37" ht="14.25" customHeight="1" x14ac:dyDescent="0.2"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 spans="2:37" ht="14.25" customHeight="1" x14ac:dyDescent="0.2"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 spans="2:37" ht="14.25" customHeight="1" x14ac:dyDescent="0.2"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 spans="2:37" ht="14.25" customHeight="1" x14ac:dyDescent="0.2"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 spans="2:37" ht="14.25" customHeight="1" x14ac:dyDescent="0.2"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 spans="2:37" ht="14.25" customHeight="1" x14ac:dyDescent="0.2"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 spans="2:37" ht="14.25" customHeight="1" x14ac:dyDescent="0.2"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 spans="2:37" ht="14.25" customHeight="1" x14ac:dyDescent="0.2"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 spans="2:37" ht="14.25" customHeight="1" x14ac:dyDescent="0.2"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 spans="2:37" ht="14.25" customHeight="1" x14ac:dyDescent="0.2"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 spans="2:37" ht="14.25" customHeight="1" x14ac:dyDescent="0.2"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 spans="2:37" ht="14.25" customHeight="1" x14ac:dyDescent="0.2"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 spans="2:37" ht="14.25" customHeight="1" x14ac:dyDescent="0.2"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 spans="2:37" ht="14.25" customHeight="1" x14ac:dyDescent="0.2"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 spans="2:37" ht="14.25" customHeight="1" x14ac:dyDescent="0.2"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 spans="2:37" ht="14.25" customHeight="1" x14ac:dyDescent="0.2"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 spans="2:37" ht="14.25" customHeight="1" x14ac:dyDescent="0.2"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 spans="2:37" ht="14.25" customHeight="1" x14ac:dyDescent="0.2"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 spans="2:37" ht="14.25" customHeight="1" x14ac:dyDescent="0.2"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 spans="2:37" ht="14.25" customHeight="1" x14ac:dyDescent="0.2"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 spans="2:37" ht="14.25" customHeight="1" x14ac:dyDescent="0.2"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 spans="2:37" ht="14.25" customHeight="1" x14ac:dyDescent="0.2"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 spans="2:37" ht="14.25" customHeight="1" x14ac:dyDescent="0.2"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 spans="2:37" ht="14.25" customHeight="1" x14ac:dyDescent="0.2"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spans="2:37" ht="14.25" customHeight="1" x14ac:dyDescent="0.2"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spans="2:37" ht="14.25" customHeight="1" x14ac:dyDescent="0.2"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spans="2:37" ht="14.25" customHeight="1" x14ac:dyDescent="0.2"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spans="2:37" ht="14.25" customHeight="1" x14ac:dyDescent="0.2"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spans="2:37" ht="14.25" customHeight="1" x14ac:dyDescent="0.2"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spans="2:37" ht="14.25" customHeight="1" x14ac:dyDescent="0.2"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spans="2:37" ht="14.25" customHeight="1" x14ac:dyDescent="0.2"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spans="2:37" ht="14.25" customHeight="1" x14ac:dyDescent="0.2"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spans="2:37" ht="14.25" customHeight="1" x14ac:dyDescent="0.2"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spans="2:37" ht="14.25" customHeight="1" x14ac:dyDescent="0.2"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spans="2:37" ht="14.25" customHeight="1" x14ac:dyDescent="0.2"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spans="2:37" ht="14.25" customHeight="1" x14ac:dyDescent="0.2"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spans="2:37" ht="14.25" customHeight="1" x14ac:dyDescent="0.2"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spans="2:37" ht="14.25" customHeight="1" x14ac:dyDescent="0.2"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spans="2:37" ht="14.25" customHeight="1" x14ac:dyDescent="0.2"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spans="2:37" ht="14.25" customHeight="1" x14ac:dyDescent="0.2"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spans="2:37" ht="14.25" customHeight="1" x14ac:dyDescent="0.2"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spans="2:37" ht="14.25" customHeight="1" x14ac:dyDescent="0.2"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spans="2:37" ht="14.25" customHeight="1" x14ac:dyDescent="0.2"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spans="2:37" ht="14.25" customHeight="1" x14ac:dyDescent="0.2"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spans="2:37" ht="14.25" customHeight="1" x14ac:dyDescent="0.2"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spans="2:37" ht="14.25" customHeight="1" x14ac:dyDescent="0.2"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spans="2:37" ht="14.25" customHeight="1" x14ac:dyDescent="0.2"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spans="2:37" ht="14.25" customHeight="1" x14ac:dyDescent="0.2"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spans="2:37" ht="14.25" customHeight="1" x14ac:dyDescent="0.2"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spans="2:37" ht="14.25" customHeight="1" x14ac:dyDescent="0.2"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spans="2:37" ht="14.25" customHeight="1" x14ac:dyDescent="0.2"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spans="2:37" ht="14.25" customHeight="1" x14ac:dyDescent="0.2"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spans="2:37" ht="14.25" customHeight="1" x14ac:dyDescent="0.2"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spans="2:37" ht="14.25" customHeight="1" x14ac:dyDescent="0.2"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spans="2:37" ht="14.25" customHeight="1" x14ac:dyDescent="0.2"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spans="2:37" ht="14.25" customHeight="1" x14ac:dyDescent="0.2"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spans="2:37" ht="14.25" customHeight="1" x14ac:dyDescent="0.2"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spans="2:37" ht="14.25" customHeight="1" x14ac:dyDescent="0.2"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spans="2:37" ht="14.25" customHeight="1" x14ac:dyDescent="0.2"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spans="2:37" ht="14.25" customHeight="1" x14ac:dyDescent="0.2"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spans="2:37" ht="14.25" customHeight="1" x14ac:dyDescent="0.2"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spans="2:37" ht="14.25" customHeight="1" x14ac:dyDescent="0.2"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 spans="2:37" ht="14.25" customHeight="1" x14ac:dyDescent="0.2"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 spans="2:37" ht="14.25" customHeight="1" x14ac:dyDescent="0.2"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 spans="2:37" ht="14.25" customHeight="1" x14ac:dyDescent="0.2"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 spans="2:37" ht="14.25" customHeight="1" x14ac:dyDescent="0.2"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 spans="2:37" ht="14.25" customHeight="1" x14ac:dyDescent="0.2"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 spans="2:37" ht="14.25" customHeight="1" x14ac:dyDescent="0.2"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 spans="2:37" ht="14.25" customHeight="1" x14ac:dyDescent="0.2"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 spans="2:37" ht="14.25" customHeight="1" x14ac:dyDescent="0.2"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 spans="2:37" ht="14.25" customHeight="1" x14ac:dyDescent="0.2"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 spans="2:37" ht="14.25" customHeight="1" x14ac:dyDescent="0.2"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 spans="2:37" ht="14.25" customHeight="1" x14ac:dyDescent="0.2"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spans="2:37" ht="14.25" customHeight="1" x14ac:dyDescent="0.2"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 spans="2:37" ht="14.25" customHeight="1" x14ac:dyDescent="0.2"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 spans="2:37" ht="14.25" customHeight="1" x14ac:dyDescent="0.2"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 spans="2:37" ht="14.25" customHeight="1" x14ac:dyDescent="0.2"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spans="2:37" ht="14.25" customHeight="1" x14ac:dyDescent="0.2"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spans="2:37" ht="14.25" customHeight="1" x14ac:dyDescent="0.2"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spans="2:37" ht="14.25" customHeight="1" x14ac:dyDescent="0.2"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spans="2:37" ht="14.25" customHeight="1" x14ac:dyDescent="0.2"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spans="2:37" ht="14.25" customHeight="1" x14ac:dyDescent="0.2"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spans="2:37" ht="14.25" customHeight="1" x14ac:dyDescent="0.2"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spans="2:37" ht="14.25" customHeight="1" x14ac:dyDescent="0.2"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spans="2:37" ht="14.25" customHeight="1" x14ac:dyDescent="0.2"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spans="2:37" ht="14.25" customHeight="1" x14ac:dyDescent="0.2"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spans="2:37" ht="14.25" customHeight="1" x14ac:dyDescent="0.2"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spans="2:37" ht="14.25" customHeight="1" x14ac:dyDescent="0.2"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spans="2:37" ht="14.25" customHeight="1" x14ac:dyDescent="0.2"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spans="2:37" ht="14.25" customHeight="1" x14ac:dyDescent="0.2"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spans="2:37" ht="14.25" customHeight="1" x14ac:dyDescent="0.2"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spans="2:37" ht="14.25" customHeight="1" x14ac:dyDescent="0.2"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spans="2:37" ht="14.25" customHeight="1" x14ac:dyDescent="0.2"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spans="2:37" ht="14.25" customHeight="1" x14ac:dyDescent="0.2"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spans="2:37" ht="14.25" customHeight="1" x14ac:dyDescent="0.2"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spans="2:37" ht="14.25" customHeight="1" x14ac:dyDescent="0.2"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spans="2:37" ht="14.25" customHeight="1" x14ac:dyDescent="0.2"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spans="2:37" ht="14.25" customHeight="1" x14ac:dyDescent="0.2"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spans="2:37" ht="14.25" customHeight="1" x14ac:dyDescent="0.2"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spans="2:37" ht="14.25" customHeight="1" x14ac:dyDescent="0.2"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spans="2:37" ht="14.25" customHeight="1" x14ac:dyDescent="0.2"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spans="2:37" ht="14.25" customHeight="1" x14ac:dyDescent="0.2"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spans="2:37" ht="14.25" customHeight="1" x14ac:dyDescent="0.2"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spans="2:37" ht="14.25" customHeight="1" x14ac:dyDescent="0.2"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spans="2:37" ht="14.25" customHeight="1" x14ac:dyDescent="0.2"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spans="2:37" ht="14.25" customHeight="1" x14ac:dyDescent="0.2"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spans="2:37" ht="14.25" customHeight="1" x14ac:dyDescent="0.2"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spans="2:37" ht="14.25" customHeight="1" x14ac:dyDescent="0.2"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spans="2:37" ht="14.25" customHeight="1" x14ac:dyDescent="0.2"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spans="2:37" ht="14.25" customHeight="1" x14ac:dyDescent="0.2"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spans="2:37" ht="14.25" customHeight="1" x14ac:dyDescent="0.2"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spans="2:37" ht="14.25" customHeight="1" x14ac:dyDescent="0.2"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spans="2:37" ht="14.25" customHeight="1" x14ac:dyDescent="0.2"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spans="2:37" ht="14.25" customHeight="1" x14ac:dyDescent="0.2"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spans="2:37" ht="14.25" customHeight="1" x14ac:dyDescent="0.2"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spans="2:37" ht="14.25" customHeight="1" x14ac:dyDescent="0.2"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spans="2:37" ht="14.25" customHeight="1" x14ac:dyDescent="0.2"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spans="2:37" ht="14.25" customHeight="1" x14ac:dyDescent="0.2"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spans="2:37" ht="14.25" customHeight="1" x14ac:dyDescent="0.2"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spans="2:37" ht="14.25" customHeight="1" x14ac:dyDescent="0.2"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spans="2:37" ht="14.25" customHeight="1" x14ac:dyDescent="0.2"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spans="2:37" ht="14.25" customHeight="1" x14ac:dyDescent="0.2"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spans="2:37" ht="14.25" customHeight="1" x14ac:dyDescent="0.2"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spans="2:37" ht="14.25" customHeight="1" x14ac:dyDescent="0.2"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spans="2:37" ht="14.25" customHeight="1" x14ac:dyDescent="0.2"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spans="2:37" ht="14.25" customHeight="1" x14ac:dyDescent="0.2"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spans="2:37" ht="14.25" customHeight="1" x14ac:dyDescent="0.2"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spans="2:37" ht="14.25" customHeight="1" x14ac:dyDescent="0.2"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spans="2:37" ht="14.25" customHeight="1" x14ac:dyDescent="0.2"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spans="2:37" ht="14.25" customHeight="1" x14ac:dyDescent="0.2"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spans="2:37" ht="14.25" customHeight="1" x14ac:dyDescent="0.2"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spans="2:37" ht="14.25" customHeight="1" x14ac:dyDescent="0.2"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spans="2:37" ht="14.25" customHeight="1" x14ac:dyDescent="0.2"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spans="2:37" ht="14.25" customHeight="1" x14ac:dyDescent="0.2"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spans="2:37" ht="14.25" customHeight="1" x14ac:dyDescent="0.2"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spans="2:37" ht="14.25" customHeight="1" x14ac:dyDescent="0.2"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spans="2:37" ht="14.25" customHeight="1" x14ac:dyDescent="0.2"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spans="2:37" ht="14.25" customHeight="1" x14ac:dyDescent="0.2"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spans="2:37" ht="14.25" customHeight="1" x14ac:dyDescent="0.2"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spans="2:37" ht="14.25" customHeight="1" x14ac:dyDescent="0.2"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spans="2:37" ht="14.25" customHeight="1" x14ac:dyDescent="0.2"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spans="2:37" ht="14.25" customHeight="1" x14ac:dyDescent="0.2"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 spans="2:37" ht="14.25" customHeight="1" x14ac:dyDescent="0.2"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 spans="2:37" ht="14.25" customHeight="1" x14ac:dyDescent="0.2"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 spans="2:37" ht="14.25" customHeight="1" x14ac:dyDescent="0.2"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BF1000"/>
  <sheetViews>
    <sheetView tabSelected="1" topLeftCell="AF1" workbookViewId="0">
      <selection activeCell="AK2" sqref="AK2:BE2"/>
    </sheetView>
  </sheetViews>
  <sheetFormatPr baseColWidth="10" defaultColWidth="11.1640625" defaultRowHeight="15" customHeight="1" x14ac:dyDescent="0.2"/>
  <cols>
    <col min="1" max="1" width="16.33203125" customWidth="1"/>
    <col min="2" max="37" width="6.83203125" customWidth="1"/>
  </cols>
  <sheetData>
    <row r="1" spans="1:58" ht="14.25" customHeight="1" x14ac:dyDescent="0.2">
      <c r="A1" s="10" t="s">
        <v>19</v>
      </c>
      <c r="B1" s="10">
        <v>2015</v>
      </c>
      <c r="C1" s="10">
        <v>2016</v>
      </c>
      <c r="D1" s="10">
        <v>2017</v>
      </c>
      <c r="E1" s="10">
        <v>2018</v>
      </c>
      <c r="F1" s="10">
        <v>2019</v>
      </c>
      <c r="G1" s="10">
        <v>2020</v>
      </c>
      <c r="H1" s="10">
        <v>2021</v>
      </c>
      <c r="I1" s="10">
        <v>2022</v>
      </c>
      <c r="J1" s="10">
        <v>2023</v>
      </c>
      <c r="K1" s="10">
        <v>2024</v>
      </c>
      <c r="L1" s="10">
        <v>2025</v>
      </c>
      <c r="M1" s="10">
        <v>2026</v>
      </c>
      <c r="N1" s="10">
        <v>2027</v>
      </c>
      <c r="O1" s="10">
        <v>2028</v>
      </c>
      <c r="P1" s="10">
        <v>2029</v>
      </c>
      <c r="Q1" s="10">
        <v>2030</v>
      </c>
      <c r="R1" s="10">
        <v>2031</v>
      </c>
      <c r="S1" s="10">
        <v>2032</v>
      </c>
      <c r="T1" s="10">
        <v>2033</v>
      </c>
      <c r="U1" s="10">
        <v>2034</v>
      </c>
      <c r="V1" s="10">
        <v>2035</v>
      </c>
      <c r="W1" s="10">
        <v>2036</v>
      </c>
      <c r="X1" s="10">
        <v>2037</v>
      </c>
      <c r="Y1" s="10">
        <v>2038</v>
      </c>
      <c r="Z1" s="10">
        <v>2039</v>
      </c>
      <c r="AA1" s="10">
        <v>2040</v>
      </c>
      <c r="AB1" s="10">
        <v>2041</v>
      </c>
      <c r="AC1" s="10">
        <v>2042</v>
      </c>
      <c r="AD1" s="10">
        <v>2043</v>
      </c>
      <c r="AE1" s="10">
        <v>2044</v>
      </c>
      <c r="AF1" s="10">
        <v>2045</v>
      </c>
      <c r="AG1" s="10">
        <v>2046</v>
      </c>
      <c r="AH1" s="10">
        <v>2047</v>
      </c>
      <c r="AI1" s="10">
        <v>2048</v>
      </c>
      <c r="AJ1" s="10">
        <v>2049</v>
      </c>
      <c r="AK1" s="13">
        <v>2050</v>
      </c>
      <c r="AL1" s="16">
        <v>2051</v>
      </c>
      <c r="AM1" s="16">
        <v>2052</v>
      </c>
      <c r="AN1" s="16">
        <v>2053</v>
      </c>
      <c r="AO1" s="16">
        <v>2054</v>
      </c>
      <c r="AP1" s="16">
        <v>2055</v>
      </c>
      <c r="AQ1" s="16">
        <v>2056</v>
      </c>
      <c r="AR1" s="16">
        <v>2057</v>
      </c>
      <c r="AS1" s="16">
        <v>2058</v>
      </c>
      <c r="AT1" s="16">
        <v>2059</v>
      </c>
      <c r="AU1" s="16">
        <v>2060</v>
      </c>
      <c r="AV1" s="16">
        <v>2061</v>
      </c>
      <c r="AW1" s="16">
        <v>2062</v>
      </c>
      <c r="AX1" s="16">
        <v>2063</v>
      </c>
      <c r="AY1" s="16">
        <v>2064</v>
      </c>
      <c r="AZ1" s="16">
        <v>2065</v>
      </c>
      <c r="BA1" s="16">
        <v>2066</v>
      </c>
      <c r="BB1" s="16">
        <v>2067</v>
      </c>
      <c r="BC1" s="16">
        <v>2068</v>
      </c>
      <c r="BD1" s="16">
        <v>2069</v>
      </c>
      <c r="BE1" s="16">
        <v>2070</v>
      </c>
      <c r="BF1" s="16"/>
    </row>
    <row r="2" spans="1:58" ht="14.25" customHeight="1" x14ac:dyDescent="0.2">
      <c r="A2" s="14" t="s">
        <v>21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3">
        <f t="array" ref="I2">(TREND(Calculations!$C$11:$E$11,Calculations!$C$10:$E$10,I1))*0.25</f>
        <v>1088.9344262294471</v>
      </c>
      <c r="J2" s="13">
        <f t="array" ref="J2">(TREND(Calculations!$C$11:$E$11,Calculations!$C$10:$E$10,J1))*0.25</f>
        <v>1714.7540983606596</v>
      </c>
      <c r="K2" s="13">
        <f t="array" ref="K2">(TREND(Calculations!$C$11:$E$11,Calculations!$C$10:$E$10,K1))*0.25</f>
        <v>2340.573770491872</v>
      </c>
      <c r="L2" s="13">
        <f t="array" ref="L2">(TREND(Calculations!$C$11:$E$11,Calculations!$C$10:$E$10,L1))*0.25</f>
        <v>2966.3934426228516</v>
      </c>
      <c r="M2" s="13">
        <f t="array" ref="M2">(TREND(Calculations!$C$11:$E$11,Calculations!$C$10:$E$10,M1))*0.25</f>
        <v>3592.213114754064</v>
      </c>
      <c r="N2" s="13">
        <f t="array" ref="N2">(TREND(Calculations!$C$11:$E$11,Calculations!$C$10:$E$10,N1))*0.25</f>
        <v>4218.0327868852764</v>
      </c>
      <c r="O2" s="13">
        <f t="array" ref="O2">(TREND(Calculations!$C$11:$E$11,Calculations!$C$10:$E$10,O1))*0.25</f>
        <v>4843.8524590164889</v>
      </c>
      <c r="P2" s="13">
        <f t="array" ref="P2">(TREND(Calculations!$C$11:$E$11,Calculations!$C$10:$E$10,P1))*0.25</f>
        <v>5469.6721311474685</v>
      </c>
      <c r="Q2" s="13">
        <f t="array" ref="Q2">(TREND(Calculations!$C$11:$E$11,Calculations!$C$10:$E$10,Q1))*0.25</f>
        <v>6095.4918032786809</v>
      </c>
      <c r="R2" s="13">
        <f t="array" ref="R2">(TREND(Calculations!$C$11:$E$11,Calculations!$C$10:$E$10,R1))*0.25</f>
        <v>6721.3114754098933</v>
      </c>
      <c r="S2" s="13">
        <f t="array" ref="S2">(TREND(Calculations!$C$11:$E$11,Calculations!$C$10:$E$10,S1))*0.25</f>
        <v>7347.1311475408729</v>
      </c>
      <c r="T2" s="13">
        <f t="array" ref="T2">(TREND(Calculations!$C$11:$E$11,Calculations!$C$10:$E$10,T1))*0.25</f>
        <v>7972.9508196720853</v>
      </c>
      <c r="U2" s="13">
        <f t="array" ref="U2">(TREND(Calculations!$C$11:$E$11,Calculations!$C$10:$E$10,U1))*0.25</f>
        <v>8598.7704918032978</v>
      </c>
      <c r="V2" s="13">
        <f t="array" ref="V2">(TREND(Calculations!$C$11:$E$11,Calculations!$C$10:$E$10,V1))*0.25</f>
        <v>9224.5901639345102</v>
      </c>
      <c r="W2" s="13">
        <f t="array" ref="W2">(TREND(Calculations!$C$11:$E$11,Calculations!$C$10:$E$10,W1))*0.25</f>
        <v>9850.4098360654898</v>
      </c>
      <c r="X2" s="13">
        <f t="array" ref="X2">(TREND(Calculations!$C$11:$E$11,Calculations!$C$10:$E$10,X1))*0.25</f>
        <v>10476.229508196702</v>
      </c>
      <c r="Y2" s="13">
        <f t="array" ref="Y2">(TREND(Calculations!$C$11:$E$11,Calculations!$C$10:$E$10,Y1))*0.25</f>
        <v>11102.049180327915</v>
      </c>
      <c r="Z2" s="13">
        <f t="array" ref="Z2">(TREND(Calculations!$C$11:$E$11,Calculations!$C$10:$E$10,Z1))*0.25</f>
        <v>11727.868852459127</v>
      </c>
      <c r="AA2" s="13">
        <f t="array" ref="AA2">(TREND(Calculations!$C$11:$E$11,Calculations!$C$10:$E$10,AA1))*0.25</f>
        <v>12353.688524590107</v>
      </c>
      <c r="AB2" s="13">
        <f t="array" ref="AB2">(TREND(Calculations!$C$11:$E$11,Calculations!$C$10:$E$10,AB1))*0.25</f>
        <v>12979.508196721319</v>
      </c>
      <c r="AC2" s="13">
        <f t="array" ref="AC2">(TREND(Calculations!$C$11:$E$11,Calculations!$C$10:$E$10,AC1))*0.25</f>
        <v>13605.327868852532</v>
      </c>
      <c r="AD2" s="13">
        <f t="array" ref="AD2">(TREND(Calculations!$C$11:$E$11,Calculations!$C$10:$E$10,AD1))*0.25</f>
        <v>14231.147540983511</v>
      </c>
      <c r="AE2" s="13">
        <f t="array" ref="AE2">(TREND(Calculations!$C$11:$E$11,Calculations!$C$10:$E$10,AE1))*0.25</f>
        <v>14856.967213114724</v>
      </c>
      <c r="AF2" s="13">
        <f t="array" ref="AF2">(TREND(Calculations!$C$11:$E$11,Calculations!$C$10:$E$10,AF1))*0.25</f>
        <v>15482.786885245936</v>
      </c>
      <c r="AG2" s="13">
        <f t="array" ref="AG2">(TREND(Calculations!$C$11:$E$11,Calculations!$C$10:$E$10,AG1))*0.25</f>
        <v>16108.606557377148</v>
      </c>
      <c r="AH2" s="13">
        <f t="array" ref="AH2">(TREND(Calculations!$C$11:$E$11,Calculations!$C$10:$E$10,AH1))*0.25</f>
        <v>16734.426229508128</v>
      </c>
      <c r="AI2" s="13">
        <f t="array" ref="AI2">(TREND(Calculations!$C$11:$E$11,Calculations!$C$10:$E$10,AI1))*0.25</f>
        <v>17360.24590163934</v>
      </c>
      <c r="AJ2" s="13">
        <f t="array" ref="AJ2">(TREND(Calculations!$C$11:$E$11,Calculations!$C$10:$E$10,AJ1))*0.25</f>
        <v>17986.065573770553</v>
      </c>
      <c r="AK2" s="13">
        <f t="array" ref="AK2">(TREND(Calculations!$C$11:$E$11,Calculations!$C$10:$E$10,AK1))*0.25</f>
        <v>18611.885245901532</v>
      </c>
      <c r="AL2" s="13">
        <f t="array" ref="AL2">(TREND(Calculations!$C$11:$E$11,Calculations!$C$10:$E$10,AL1))*0.25</f>
        <v>19237.704918032745</v>
      </c>
      <c r="AM2" s="13">
        <f t="array" ref="AM2">(TREND(Calculations!$C$11:$E$11,Calculations!$C$10:$E$10,AM1))*0.25</f>
        <v>19863.524590163957</v>
      </c>
      <c r="AN2" s="13">
        <f t="array" ref="AN2">(TREND(Calculations!$C$11:$E$11,Calculations!$C$10:$E$10,AN1))*0.25</f>
        <v>20489.34426229517</v>
      </c>
      <c r="AO2" s="13">
        <f t="array" ref="AO2">(TREND(Calculations!$C$11:$E$11,Calculations!$C$10:$E$10,AO1))*0.25</f>
        <v>21115.163934426149</v>
      </c>
      <c r="AP2" s="13">
        <f t="array" ref="AP2">(TREND(Calculations!$C$11:$E$11,Calculations!$C$10:$E$10,AP1))*0.25</f>
        <v>21740.983606557362</v>
      </c>
      <c r="AQ2" s="13">
        <f t="array" ref="AQ2">(TREND(Calculations!$C$11:$E$11,Calculations!$C$10:$E$10,AQ1))*0.25</f>
        <v>22366.803278688574</v>
      </c>
      <c r="AR2" s="13">
        <f t="array" ref="AR2">(TREND(Calculations!$C$11:$E$11,Calculations!$C$10:$E$10,AR1))*0.25</f>
        <v>22992.622950819554</v>
      </c>
      <c r="AS2" s="13">
        <f t="array" ref="AS2">(TREND(Calculations!$C$11:$E$11,Calculations!$C$10:$E$10,AS1))*0.25</f>
        <v>23618.442622950766</v>
      </c>
      <c r="AT2" s="13">
        <f t="array" ref="AT2">(TREND(Calculations!$C$11:$E$11,Calculations!$C$10:$E$10,AT1))*0.25</f>
        <v>24244.262295081979</v>
      </c>
      <c r="AU2" s="13">
        <f t="array" ref="AU2">(TREND(Calculations!$C$11:$E$11,Calculations!$C$10:$E$10,AU1))*0.25</f>
        <v>24870.081967213191</v>
      </c>
      <c r="AV2" s="13">
        <f t="array" ref="AV2">(TREND(Calculations!$C$11:$E$11,Calculations!$C$10:$E$10,AV1))*0.25</f>
        <v>25495.901639344171</v>
      </c>
      <c r="AW2" s="13">
        <f t="array" ref="AW2">(TREND(Calculations!$C$11:$E$11,Calculations!$C$10:$E$10,AW1))*0.25</f>
        <v>26121.721311475383</v>
      </c>
      <c r="AX2" s="13">
        <f t="array" ref="AX2">(TREND(Calculations!$C$11:$E$11,Calculations!$C$10:$E$10,AX1))*0.25</f>
        <v>26747.540983606596</v>
      </c>
      <c r="AY2" s="13">
        <f t="array" ref="AY2">(TREND(Calculations!$C$11:$E$11,Calculations!$C$10:$E$10,AY1))*0.25</f>
        <v>27373.360655737808</v>
      </c>
      <c r="AZ2" s="13">
        <f t="array" ref="AZ2">(TREND(Calculations!$C$11:$E$11,Calculations!$C$10:$E$10,AZ1))*0.25</f>
        <v>27999.180327868788</v>
      </c>
      <c r="BA2" s="13">
        <f t="array" ref="BA2">(TREND(Calculations!$C$11:$E$11,Calculations!$C$10:$E$10,BA1))*0.25</f>
        <v>28625</v>
      </c>
      <c r="BB2" s="13">
        <f t="array" ref="BB2">(TREND(Calculations!$C$11:$E$11,Calculations!$C$10:$E$10,BB1))*0.25</f>
        <v>29250.819672131212</v>
      </c>
      <c r="BC2" s="13">
        <f t="array" ref="BC2">(TREND(Calculations!$C$11:$E$11,Calculations!$C$10:$E$10,BC1))*0.25</f>
        <v>29876.639344262192</v>
      </c>
      <c r="BD2" s="13">
        <f t="array" ref="BD2">(TREND(Calculations!$C$11:$E$11,Calculations!$C$10:$E$10,BD1))*0.25</f>
        <v>30502.459016393404</v>
      </c>
      <c r="BE2" s="13">
        <f t="array" ref="BE2">(TREND(Calculations!$C$11:$E$11,Calculations!$C$10:$E$10,BE1))*0.25</f>
        <v>31128.278688524617</v>
      </c>
    </row>
    <row r="3" spans="1:58" ht="14.25" customHeight="1" x14ac:dyDescent="0.2"/>
    <row r="4" spans="1:58" ht="14.25" customHeight="1" x14ac:dyDescent="0.2"/>
    <row r="5" spans="1:58" ht="14.25" customHeight="1" x14ac:dyDescent="0.2"/>
    <row r="6" spans="1:58" ht="14.25" customHeight="1" x14ac:dyDescent="0.2"/>
    <row r="7" spans="1:58" ht="14.25" customHeight="1" x14ac:dyDescent="0.2"/>
    <row r="8" spans="1:58" ht="14.25" customHeight="1" x14ac:dyDescent="0.2"/>
    <row r="9" spans="1:58" ht="14.25" customHeight="1" x14ac:dyDescent="0.2"/>
    <row r="10" spans="1:58" ht="14.25" customHeight="1" x14ac:dyDescent="0.2"/>
    <row r="11" spans="1:58" ht="14.25" customHeight="1" x14ac:dyDescent="0.2"/>
    <row r="12" spans="1:58" ht="14.25" customHeight="1" x14ac:dyDescent="0.2"/>
    <row r="13" spans="1:58" ht="14.25" customHeight="1" x14ac:dyDescent="0.2"/>
    <row r="14" spans="1:58" ht="14.25" customHeight="1" x14ac:dyDescent="0.2"/>
    <row r="15" spans="1:58" ht="14.25" customHeight="1" x14ac:dyDescent="0.2"/>
    <row r="16" spans="1:5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DRC-BDRC</vt:lpstr>
      <vt:lpstr>DRC-PADRC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Sy, Saidou Abdoulaye</cp:lastModifiedBy>
  <dcterms:modified xsi:type="dcterms:W3CDTF">2025-04-12T19:40:28Z</dcterms:modified>
</cp:coreProperties>
</file>