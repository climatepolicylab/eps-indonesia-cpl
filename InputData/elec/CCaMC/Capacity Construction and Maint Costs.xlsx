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BA9FF867-7939-EB44-A875-0910E26FD1AE}" xr6:coauthVersionLast="47" xr6:coauthVersionMax="47" xr10:uidLastSave="{00000000-0000-0000-0000-000000000000}"/>
  <bookViews>
    <workbookView xWindow="0" yWindow="780" windowWidth="34200" windowHeight="21360" firstSheet="9" activeTab="15" xr2:uid="{00000000-000D-0000-FFFF-FFFF00000000}"/>
  </bookViews>
  <sheets>
    <sheet name="About" sheetId="1" r:id="rId1"/>
    <sheet name="data - Indonesia" sheetId="2" r:id="rId2"/>
    <sheet name="solar thermal" sheetId="3" r:id="rId3"/>
    <sheet name="nuclear" sheetId="4" r:id="rId4"/>
    <sheet name="capital processing" sheetId="5" r:id="rId5"/>
    <sheet name="2017 TDIPS" sheetId="14" r:id="rId6"/>
    <sheet name="2024 TDIPS" sheetId="15" r:id="rId7"/>
    <sheet name="Cal" sheetId="16" r:id="rId8"/>
    <sheet name="US-CCaMC-BSCpUC" sheetId="17" r:id="rId9"/>
    <sheet name="CCaMC-AFOaMCpUC-pre-ret" sheetId="6" r:id="rId10"/>
    <sheet name="CCaMC-AFOaMCpUC-pre-nonret" sheetId="7" r:id="rId11"/>
    <sheet name="CCaMC-AFOaMCpUC-new" sheetId="8" r:id="rId12"/>
    <sheet name="CCaMC-VOaMCpUC-pre-ret" sheetId="9" r:id="rId13"/>
    <sheet name="CCaMC-VOaMCpUC-pre-nonret" sheetId="10" r:id="rId14"/>
    <sheet name="CCaMC-VOaMCpUC-new" sheetId="11" r:id="rId15"/>
    <sheet name="CCaMC-BCCpUC" sheetId="12" r:id="rId16"/>
    <sheet name="CCaMC-BSCpUC" sheetId="13" r:id="rId17"/>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8" roundtripDataSignature="AMtx7mgE8SvcDr1XnmEra9+mR2GrWqzDGQ=="/>
    </ext>
  </extLst>
</workbook>
</file>

<file path=xl/calcChain.xml><?xml version="1.0" encoding="utf-8"?>
<calcChain xmlns="http://schemas.openxmlformats.org/spreadsheetml/2006/main">
  <c r="C14" i="12" l="1"/>
  <c r="C7" i="12"/>
  <c r="C6" i="12"/>
  <c r="AG6" i="13"/>
  <c r="C2" i="13"/>
  <c r="D2" i="13"/>
  <c r="E2" i="13"/>
  <c r="F2" i="13"/>
  <c r="G2" i="13"/>
  <c r="H2" i="13"/>
  <c r="I2" i="13"/>
  <c r="J2" i="13"/>
  <c r="K2" i="13"/>
  <c r="L2" i="13"/>
  <c r="M2" i="13"/>
  <c r="N2" i="13"/>
  <c r="O2" i="13"/>
  <c r="P2" i="13"/>
  <c r="Q2" i="13"/>
  <c r="R2" i="13"/>
  <c r="S2" i="13"/>
  <c r="T2" i="13"/>
  <c r="U2" i="13"/>
  <c r="V2" i="13"/>
  <c r="W2" i="13"/>
  <c r="X2" i="13"/>
  <c r="Y2" i="13"/>
  <c r="Z2" i="13"/>
  <c r="AA2" i="13"/>
  <c r="AB2" i="13"/>
  <c r="AC2" i="13"/>
  <c r="AD2" i="13"/>
  <c r="AE2" i="13"/>
  <c r="AF2" i="13"/>
  <c r="AG2" i="13"/>
  <c r="C3" i="13"/>
  <c r="D3" i="13"/>
  <c r="E3" i="13"/>
  <c r="F3" i="13"/>
  <c r="G3" i="13"/>
  <c r="H3" i="13"/>
  <c r="I3" i="13"/>
  <c r="J3" i="13"/>
  <c r="K3" i="13"/>
  <c r="L3" i="13"/>
  <c r="M3" i="13"/>
  <c r="N3" i="13"/>
  <c r="O3" i="13"/>
  <c r="P3" i="13"/>
  <c r="Q3" i="13"/>
  <c r="R3" i="13"/>
  <c r="S3" i="13"/>
  <c r="T3" i="13"/>
  <c r="U3" i="13"/>
  <c r="V3" i="13"/>
  <c r="W3" i="13"/>
  <c r="X3" i="13"/>
  <c r="Y3" i="13"/>
  <c r="Z3" i="13"/>
  <c r="AA3" i="13"/>
  <c r="AB3" i="13"/>
  <c r="AC3" i="13"/>
  <c r="AD3" i="13"/>
  <c r="AE3" i="13"/>
  <c r="AF3" i="13"/>
  <c r="AG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AD4" i="13"/>
  <c r="AE4" i="13"/>
  <c r="AF4" i="13"/>
  <c r="AG4" i="13"/>
  <c r="C5" i="13"/>
  <c r="D5" i="13"/>
  <c r="E5" i="13"/>
  <c r="F5" i="13"/>
  <c r="G5" i="13"/>
  <c r="H5" i="13"/>
  <c r="I5" i="13"/>
  <c r="J5" i="13"/>
  <c r="K5" i="13"/>
  <c r="L5" i="13"/>
  <c r="M5" i="13"/>
  <c r="N5" i="13"/>
  <c r="O5" i="13"/>
  <c r="P5" i="13"/>
  <c r="Q5" i="13"/>
  <c r="R5" i="13"/>
  <c r="S5" i="13"/>
  <c r="T5" i="13"/>
  <c r="U5" i="13"/>
  <c r="V5" i="13"/>
  <c r="W5" i="13"/>
  <c r="X5" i="13"/>
  <c r="Y5" i="13"/>
  <c r="Z5" i="13"/>
  <c r="AA5" i="13"/>
  <c r="AB5" i="13"/>
  <c r="AC5" i="13"/>
  <c r="AD5" i="13"/>
  <c r="AE5" i="13"/>
  <c r="AF5" i="13"/>
  <c r="AG5"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AD6" i="13"/>
  <c r="AE6" i="13"/>
  <c r="AF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C11" i="13"/>
  <c r="D11" i="13"/>
  <c r="E11" i="13"/>
  <c r="F11" i="13"/>
  <c r="G11" i="13"/>
  <c r="H11" i="13"/>
  <c r="I11" i="13"/>
  <c r="J11" i="13"/>
  <c r="K11" i="13"/>
  <c r="L11" i="13"/>
  <c r="M11" i="13"/>
  <c r="N11" i="13"/>
  <c r="O11" i="13"/>
  <c r="P11" i="13"/>
  <c r="Q11" i="13"/>
  <c r="R11" i="13"/>
  <c r="S11" i="13"/>
  <c r="T11" i="13"/>
  <c r="U11" i="13"/>
  <c r="V11" i="13"/>
  <c r="W11" i="13"/>
  <c r="X11" i="13"/>
  <c r="Y11" i="13"/>
  <c r="Z11" i="13"/>
  <c r="AA11" i="13"/>
  <c r="AB11" i="13"/>
  <c r="AC11" i="13"/>
  <c r="AD11" i="13"/>
  <c r="AE11" i="13"/>
  <c r="AF11" i="13"/>
  <c r="AG11" i="13"/>
  <c r="C12" i="13"/>
  <c r="D12" i="13"/>
  <c r="E12" i="13"/>
  <c r="F12" i="13"/>
  <c r="G12" i="13"/>
  <c r="H12" i="13"/>
  <c r="I12" i="13"/>
  <c r="J12" i="13"/>
  <c r="K12" i="13"/>
  <c r="L12" i="13"/>
  <c r="M12" i="13"/>
  <c r="N12" i="13"/>
  <c r="O12" i="13"/>
  <c r="P12" i="13"/>
  <c r="Q12" i="13"/>
  <c r="R12" i="13"/>
  <c r="S12" i="13"/>
  <c r="T12" i="13"/>
  <c r="U12" i="13"/>
  <c r="V12" i="13"/>
  <c r="W12" i="13"/>
  <c r="X12" i="13"/>
  <c r="Y12" i="13"/>
  <c r="Z12" i="13"/>
  <c r="AA12" i="13"/>
  <c r="AB12" i="13"/>
  <c r="AC12" i="13"/>
  <c r="AD12" i="13"/>
  <c r="AE12" i="13"/>
  <c r="AF12" i="13"/>
  <c r="AG12" i="13"/>
  <c r="C13" i="13"/>
  <c r="D13" i="13"/>
  <c r="E13" i="13"/>
  <c r="F13" i="13"/>
  <c r="G13" i="13"/>
  <c r="H13" i="13"/>
  <c r="I13" i="13"/>
  <c r="J13" i="13"/>
  <c r="K13" i="13"/>
  <c r="L13" i="13"/>
  <c r="M13" i="13"/>
  <c r="N13" i="13"/>
  <c r="O13" i="13"/>
  <c r="P13" i="13"/>
  <c r="Q13" i="13"/>
  <c r="R13" i="13"/>
  <c r="S13" i="13"/>
  <c r="T13" i="13"/>
  <c r="U13" i="13"/>
  <c r="V13" i="13"/>
  <c r="W13" i="13"/>
  <c r="X13" i="13"/>
  <c r="Y13" i="13"/>
  <c r="Z13" i="13"/>
  <c r="AA13" i="13"/>
  <c r="AB13" i="13"/>
  <c r="AC13" i="13"/>
  <c r="AD13" i="13"/>
  <c r="AE13" i="13"/>
  <c r="AF13" i="13"/>
  <c r="AG13" i="13"/>
  <c r="C14" i="13"/>
  <c r="D14" i="13"/>
  <c r="E14" i="13"/>
  <c r="F14" i="13"/>
  <c r="G14" i="13"/>
  <c r="H14" i="13"/>
  <c r="I14" i="13"/>
  <c r="J14" i="13"/>
  <c r="K14" i="13"/>
  <c r="L14" i="13"/>
  <c r="M14" i="13"/>
  <c r="N14" i="13"/>
  <c r="O14" i="13"/>
  <c r="P14" i="13"/>
  <c r="Q14" i="13"/>
  <c r="R14" i="13"/>
  <c r="S14" i="13"/>
  <c r="T14" i="13"/>
  <c r="U14" i="13"/>
  <c r="V14" i="13"/>
  <c r="W14" i="13"/>
  <c r="X14" i="13"/>
  <c r="Y14" i="13"/>
  <c r="Z14" i="13"/>
  <c r="AA14" i="13"/>
  <c r="AB14" i="13"/>
  <c r="AC14" i="13"/>
  <c r="AD14" i="13"/>
  <c r="AE14" i="13"/>
  <c r="AF14" i="13"/>
  <c r="AG14" i="13"/>
  <c r="C15" i="13"/>
  <c r="D15" i="13"/>
  <c r="E15" i="13"/>
  <c r="F15" i="13"/>
  <c r="G15" i="13"/>
  <c r="H15" i="13"/>
  <c r="I15" i="13"/>
  <c r="J15" i="13"/>
  <c r="K15" i="13"/>
  <c r="L15" i="13"/>
  <c r="M15" i="13"/>
  <c r="N15" i="13"/>
  <c r="O15" i="13"/>
  <c r="P15" i="13"/>
  <c r="Q15" i="13"/>
  <c r="R15" i="13"/>
  <c r="S15" i="13"/>
  <c r="T15" i="13"/>
  <c r="U15" i="13"/>
  <c r="V15" i="13"/>
  <c r="W15" i="13"/>
  <c r="X15" i="13"/>
  <c r="Y15" i="13"/>
  <c r="Z15" i="13"/>
  <c r="AA15" i="13"/>
  <c r="AB15" i="13"/>
  <c r="AC15" i="13"/>
  <c r="AD15" i="13"/>
  <c r="AE15" i="13"/>
  <c r="AF15" i="13"/>
  <c r="AG15" i="13"/>
  <c r="C16" i="13"/>
  <c r="D16" i="13"/>
  <c r="E16" i="13"/>
  <c r="F16" i="13"/>
  <c r="G16" i="13"/>
  <c r="H16" i="13"/>
  <c r="I16" i="13"/>
  <c r="J16" i="13"/>
  <c r="K16" i="13"/>
  <c r="L16" i="13"/>
  <c r="M16" i="13"/>
  <c r="N16" i="13"/>
  <c r="O16" i="13"/>
  <c r="P16" i="13"/>
  <c r="Q16" i="13"/>
  <c r="R16" i="13"/>
  <c r="S16" i="13"/>
  <c r="T16" i="13"/>
  <c r="U16" i="13"/>
  <c r="V16" i="13"/>
  <c r="W16" i="13"/>
  <c r="X16" i="13"/>
  <c r="Y16" i="13"/>
  <c r="Z16" i="13"/>
  <c r="AA16" i="13"/>
  <c r="AB16" i="13"/>
  <c r="AC16" i="13"/>
  <c r="AD16" i="13"/>
  <c r="AE16" i="13"/>
  <c r="AF16" i="13"/>
  <c r="AG16" i="13"/>
  <c r="C17" i="13"/>
  <c r="D17" i="13"/>
  <c r="E17" i="13"/>
  <c r="F17" i="13"/>
  <c r="G17" i="13"/>
  <c r="H17" i="13"/>
  <c r="I17" i="13"/>
  <c r="J17" i="13"/>
  <c r="K17" i="13"/>
  <c r="L17" i="13"/>
  <c r="M17" i="13"/>
  <c r="N17" i="13"/>
  <c r="O17" i="13"/>
  <c r="P17" i="13"/>
  <c r="Q17" i="13"/>
  <c r="R17" i="13"/>
  <c r="S17" i="13"/>
  <c r="T17" i="13"/>
  <c r="U17" i="13"/>
  <c r="V17" i="13"/>
  <c r="W17" i="13"/>
  <c r="X17" i="13"/>
  <c r="Y17" i="13"/>
  <c r="Z17" i="13"/>
  <c r="AA17" i="13"/>
  <c r="AB17" i="13"/>
  <c r="AC17" i="13"/>
  <c r="AD17" i="13"/>
  <c r="AE17" i="13"/>
  <c r="AF17" i="13"/>
  <c r="AG17" i="13"/>
  <c r="B3" i="13"/>
  <c r="B4" i="13"/>
  <c r="B5" i="13"/>
  <c r="B6" i="13"/>
  <c r="B7" i="13"/>
  <c r="B8" i="13"/>
  <c r="B9" i="13"/>
  <c r="B10" i="13"/>
  <c r="B11" i="13"/>
  <c r="B12" i="13"/>
  <c r="B13" i="13"/>
  <c r="B14" i="13"/>
  <c r="B15" i="13"/>
  <c r="B16" i="13"/>
  <c r="B17" i="13"/>
  <c r="B2" i="13"/>
  <c r="B23" i="16"/>
  <c r="C23" i="16"/>
  <c r="D23" i="16"/>
  <c r="E23" i="16"/>
  <c r="B24" i="16"/>
  <c r="B4" i="9" s="1"/>
  <c r="B4" i="11" s="1"/>
  <c r="C24" i="16"/>
  <c r="D24" i="16"/>
  <c r="E24" i="16"/>
  <c r="AF4" i="9" s="1"/>
  <c r="AF4" i="11" s="1"/>
  <c r="B25" i="16"/>
  <c r="C25" i="16"/>
  <c r="D25" i="16"/>
  <c r="E25" i="16"/>
  <c r="B26" i="16"/>
  <c r="B6" i="9" s="1"/>
  <c r="B6" i="11" s="1"/>
  <c r="C26" i="16"/>
  <c r="E6" i="9" s="1"/>
  <c r="D26" i="16"/>
  <c r="L6" i="9" s="1"/>
  <c r="E26" i="16"/>
  <c r="AF6" i="9" s="1"/>
  <c r="AF6" i="11" s="1"/>
  <c r="B27" i="16"/>
  <c r="C27" i="16"/>
  <c r="D27" i="16"/>
  <c r="E27" i="16"/>
  <c r="B28" i="16"/>
  <c r="B8" i="9" s="1"/>
  <c r="C28" i="16"/>
  <c r="E8" i="9" s="1"/>
  <c r="G8" i="9" s="1"/>
  <c r="G8" i="11" s="1"/>
  <c r="D28" i="16"/>
  <c r="E28" i="16"/>
  <c r="AF8" i="9" s="1"/>
  <c r="AF8" i="11" s="1"/>
  <c r="B29" i="16"/>
  <c r="C29" i="16"/>
  <c r="D29" i="16"/>
  <c r="E29" i="16"/>
  <c r="B30" i="16"/>
  <c r="C30" i="16"/>
  <c r="D30" i="16"/>
  <c r="L10" i="9" s="1"/>
  <c r="E30" i="16"/>
  <c r="AF10" i="9" s="1"/>
  <c r="AF10" i="11" s="1"/>
  <c r="B31" i="16"/>
  <c r="C31" i="16"/>
  <c r="D31" i="16"/>
  <c r="E31" i="16"/>
  <c r="B32" i="16"/>
  <c r="B12" i="9" s="1"/>
  <c r="C32" i="16"/>
  <c r="D32" i="16"/>
  <c r="E32" i="16"/>
  <c r="AF12" i="9" s="1"/>
  <c r="AF12" i="11" s="1"/>
  <c r="B33" i="16"/>
  <c r="C33" i="16"/>
  <c r="D33" i="16"/>
  <c r="E33" i="16"/>
  <c r="B34" i="16"/>
  <c r="C34" i="16"/>
  <c r="D34" i="16"/>
  <c r="E34" i="16"/>
  <c r="AF14" i="9" s="1"/>
  <c r="AF14" i="11" s="1"/>
  <c r="B35" i="16"/>
  <c r="C35" i="16"/>
  <c r="D35" i="16"/>
  <c r="E35" i="16"/>
  <c r="B36" i="16"/>
  <c r="C36" i="16"/>
  <c r="D36" i="16"/>
  <c r="E36" i="16"/>
  <c r="B37" i="16"/>
  <c r="C37" i="16"/>
  <c r="D37" i="16"/>
  <c r="E37" i="16"/>
  <c r="C22" i="16"/>
  <c r="D22" i="16"/>
  <c r="E22" i="16"/>
  <c r="B22" i="16"/>
  <c r="B3" i="16"/>
  <c r="C3" i="16"/>
  <c r="D3" i="16"/>
  <c r="E3" i="16"/>
  <c r="AF3" i="6" s="1"/>
  <c r="B4" i="16"/>
  <c r="C4" i="16"/>
  <c r="D4" i="16"/>
  <c r="L4" i="6" s="1"/>
  <c r="L4" i="8" s="1"/>
  <c r="E4" i="16"/>
  <c r="AF4" i="6" s="1"/>
  <c r="AF4" i="8" s="1"/>
  <c r="B5" i="16"/>
  <c r="C5" i="16"/>
  <c r="D5" i="16"/>
  <c r="E5" i="16"/>
  <c r="AF5" i="6" s="1"/>
  <c r="AF5" i="8" s="1"/>
  <c r="B6" i="16"/>
  <c r="C6" i="16"/>
  <c r="D6" i="16"/>
  <c r="L6" i="6" s="1"/>
  <c r="E6" i="16"/>
  <c r="AF6" i="6" s="1"/>
  <c r="AF6" i="8" s="1"/>
  <c r="B7" i="16"/>
  <c r="C7" i="16"/>
  <c r="D7" i="16"/>
  <c r="E7" i="16"/>
  <c r="AF7" i="6" s="1"/>
  <c r="AF7" i="8" s="1"/>
  <c r="B8" i="16"/>
  <c r="C8" i="16"/>
  <c r="D8" i="16"/>
  <c r="L8" i="6" s="1"/>
  <c r="E8" i="16"/>
  <c r="AF8" i="6" s="1"/>
  <c r="AF8" i="8" s="1"/>
  <c r="B9" i="16"/>
  <c r="C9" i="16"/>
  <c r="D9" i="16"/>
  <c r="E9" i="16"/>
  <c r="B10" i="16"/>
  <c r="C10" i="16"/>
  <c r="D10" i="16"/>
  <c r="L10" i="6" s="1"/>
  <c r="E10" i="16"/>
  <c r="AF10" i="6" s="1"/>
  <c r="AF10" i="8" s="1"/>
  <c r="B11" i="16"/>
  <c r="C11" i="16"/>
  <c r="D11" i="16"/>
  <c r="E11" i="16"/>
  <c r="B12" i="16"/>
  <c r="B12" i="6" s="1"/>
  <c r="B12" i="8" s="1"/>
  <c r="C12" i="16"/>
  <c r="D12" i="16"/>
  <c r="L12" i="6" s="1"/>
  <c r="E12" i="16"/>
  <c r="AF12" i="6" s="1"/>
  <c r="AF12" i="8" s="1"/>
  <c r="B13" i="16"/>
  <c r="C13" i="16"/>
  <c r="D13" i="16"/>
  <c r="E13" i="16"/>
  <c r="AF13" i="6" s="1"/>
  <c r="AF13" i="8" s="1"/>
  <c r="B14" i="16"/>
  <c r="C14" i="16"/>
  <c r="D14" i="16"/>
  <c r="L14" i="6" s="1"/>
  <c r="E14" i="16"/>
  <c r="AF14" i="6" s="1"/>
  <c r="AF14" i="8" s="1"/>
  <c r="B15" i="16"/>
  <c r="C15" i="16"/>
  <c r="D15" i="16"/>
  <c r="E15" i="16"/>
  <c r="B16" i="16"/>
  <c r="C16" i="16"/>
  <c r="D16" i="16"/>
  <c r="L16" i="6" s="1"/>
  <c r="E16" i="16"/>
  <c r="B17" i="16"/>
  <c r="C17" i="16"/>
  <c r="D17" i="16"/>
  <c r="E17" i="16"/>
  <c r="AF17" i="6" s="1"/>
  <c r="AF17" i="8" s="1"/>
  <c r="C2" i="16"/>
  <c r="D2" i="16"/>
  <c r="E2" i="16"/>
  <c r="B2" i="16"/>
  <c r="B60" i="16"/>
  <c r="AF7" i="9"/>
  <c r="AF7" i="11" s="1"/>
  <c r="AF11" i="9"/>
  <c r="AF11" i="11" s="1"/>
  <c r="L3" i="9"/>
  <c r="L7" i="9"/>
  <c r="L8" i="9"/>
  <c r="L14" i="9"/>
  <c r="L15" i="9"/>
  <c r="E7" i="9"/>
  <c r="E9" i="9"/>
  <c r="E14" i="9"/>
  <c r="E15" i="9"/>
  <c r="H15" i="9" s="1"/>
  <c r="H15" i="11" s="1"/>
  <c r="E17" i="9"/>
  <c r="E17" i="11" s="1"/>
  <c r="B5" i="9"/>
  <c r="B5" i="11" s="1"/>
  <c r="B7" i="9"/>
  <c r="B10" i="9"/>
  <c r="B14" i="9"/>
  <c r="D14" i="9" s="1"/>
  <c r="D14" i="11" s="1"/>
  <c r="B2" i="9"/>
  <c r="AF9" i="6"/>
  <c r="AF9" i="8" s="1"/>
  <c r="AF11" i="6"/>
  <c r="AF11" i="8" s="1"/>
  <c r="L3" i="6"/>
  <c r="L11" i="6"/>
  <c r="E3" i="6"/>
  <c r="E3" i="8" s="1"/>
  <c r="E4" i="6"/>
  <c r="E5" i="6"/>
  <c r="E6" i="6"/>
  <c r="E7" i="6"/>
  <c r="E12" i="6"/>
  <c r="E12" i="8" s="1"/>
  <c r="E13" i="6"/>
  <c r="E14" i="6"/>
  <c r="AF2" i="6"/>
  <c r="AF2" i="8" s="1"/>
  <c r="L2" i="6"/>
  <c r="L2" i="8" s="1"/>
  <c r="E2" i="6"/>
  <c r="B3" i="6"/>
  <c r="B3" i="8" s="1"/>
  <c r="B4" i="6"/>
  <c r="B5" i="6"/>
  <c r="C5" i="6" s="1"/>
  <c r="C5" i="8" s="1"/>
  <c r="B10" i="6"/>
  <c r="B17" i="6"/>
  <c r="B17" i="8" s="1"/>
  <c r="B2" i="6"/>
  <c r="E8" i="6"/>
  <c r="B8" i="6"/>
  <c r="AF17" i="9"/>
  <c r="AF17" i="11" s="1"/>
  <c r="L17" i="9"/>
  <c r="E10" i="9"/>
  <c r="AF9" i="9"/>
  <c r="AF9" i="11" s="1"/>
  <c r="L9" i="9"/>
  <c r="B9" i="9"/>
  <c r="AF5" i="9"/>
  <c r="AF5" i="11" s="1"/>
  <c r="L5" i="9"/>
  <c r="E5" i="9"/>
  <c r="AF15" i="9"/>
  <c r="AF15" i="11" s="1"/>
  <c r="B16" i="9"/>
  <c r="L12" i="9"/>
  <c r="E12" i="9"/>
  <c r="AF3" i="9"/>
  <c r="AF3" i="11" s="1"/>
  <c r="E3" i="9"/>
  <c r="B3" i="9"/>
  <c r="AF13" i="9"/>
  <c r="AF13" i="11" s="1"/>
  <c r="L13" i="9"/>
  <c r="E13" i="9"/>
  <c r="B13" i="9"/>
  <c r="B13" i="11" s="1"/>
  <c r="L13" i="6"/>
  <c r="B13" i="6"/>
  <c r="L17" i="6"/>
  <c r="E17" i="6"/>
  <c r="B14" i="6"/>
  <c r="L5" i="6"/>
  <c r="AF16" i="6"/>
  <c r="E16" i="6"/>
  <c r="B15" i="6"/>
  <c r="E10" i="6"/>
  <c r="L9" i="6"/>
  <c r="E9" i="6"/>
  <c r="B9" i="6"/>
  <c r="L7" i="6"/>
  <c r="B7" i="6"/>
  <c r="B6" i="6"/>
  <c r="AG4" i="12"/>
  <c r="AF4" i="12"/>
  <c r="AE4" i="12"/>
  <c r="AD4" i="12"/>
  <c r="AC4" i="12"/>
  <c r="AB4" i="12"/>
  <c r="AA4" i="12"/>
  <c r="Z4" i="12"/>
  <c r="Y4" i="12"/>
  <c r="X4" i="12"/>
  <c r="W4" i="12"/>
  <c r="V4" i="12"/>
  <c r="U4" i="12"/>
  <c r="T4" i="12"/>
  <c r="S4" i="12"/>
  <c r="R4" i="12"/>
  <c r="Q4" i="12"/>
  <c r="P4" i="12"/>
  <c r="O4" i="12"/>
  <c r="N4" i="12"/>
  <c r="M4" i="12"/>
  <c r="L4" i="12"/>
  <c r="K4" i="12"/>
  <c r="J4" i="12"/>
  <c r="I4" i="12"/>
  <c r="H4" i="12"/>
  <c r="G4" i="12"/>
  <c r="F4" i="12"/>
  <c r="E4" i="12"/>
  <c r="D4" i="12"/>
  <c r="C4" i="12"/>
  <c r="B4" i="12"/>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F1" i="5"/>
  <c r="C16" i="5" s="1"/>
  <c r="B8" i="3"/>
  <c r="B7" i="3"/>
  <c r="Y6" i="9" l="1"/>
  <c r="Y6" i="11" s="1"/>
  <c r="P6" i="9"/>
  <c r="P6" i="11" s="1"/>
  <c r="Z6" i="9"/>
  <c r="Z6" i="11" s="1"/>
  <c r="J6" i="9"/>
  <c r="J6" i="11" s="1"/>
  <c r="U8" i="9"/>
  <c r="U8" i="11" s="1"/>
  <c r="N8" i="9"/>
  <c r="N8" i="11" s="1"/>
  <c r="P14" i="9"/>
  <c r="P14" i="11" s="1"/>
  <c r="X7" i="9"/>
  <c r="X7" i="11" s="1"/>
  <c r="AA8" i="9"/>
  <c r="AA8" i="11" s="1"/>
  <c r="J9" i="9"/>
  <c r="J9" i="11" s="1"/>
  <c r="G14" i="6"/>
  <c r="G14" i="8" s="1"/>
  <c r="T11" i="6"/>
  <c r="T11" i="8" s="1"/>
  <c r="C4" i="6"/>
  <c r="C4" i="8" s="1"/>
  <c r="S3" i="6"/>
  <c r="S3" i="8" s="1"/>
  <c r="N16" i="6"/>
  <c r="N16" i="8" s="1"/>
  <c r="AF16" i="8"/>
  <c r="S16" i="6"/>
  <c r="S16" i="8" s="1"/>
  <c r="AD16" i="6"/>
  <c r="AD16" i="8" s="1"/>
  <c r="Y16" i="6"/>
  <c r="Y16" i="8" s="1"/>
  <c r="C6" i="6"/>
  <c r="C6" i="8" s="1"/>
  <c r="B6" i="8"/>
  <c r="D6" i="6"/>
  <c r="D6" i="8" s="1"/>
  <c r="C7" i="6"/>
  <c r="C7" i="8" s="1"/>
  <c r="B7" i="8"/>
  <c r="D7" i="6"/>
  <c r="D7" i="8" s="1"/>
  <c r="C12" i="9"/>
  <c r="C12" i="11" s="1"/>
  <c r="B12" i="11"/>
  <c r="D12" i="9"/>
  <c r="D12" i="11" s="1"/>
  <c r="D10" i="6"/>
  <c r="D10" i="8" s="1"/>
  <c r="W14" i="6"/>
  <c r="W14" i="8" s="1"/>
  <c r="U6" i="6"/>
  <c r="U6" i="8" s="1"/>
  <c r="AC6" i="6"/>
  <c r="AC6" i="8" s="1"/>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P6" i="6"/>
  <c r="P6" i="8" s="1"/>
  <c r="R6" i="6"/>
  <c r="R6" i="8" s="1"/>
  <c r="V6" i="6"/>
  <c r="V6" i="8" s="1"/>
  <c r="W6" i="6"/>
  <c r="W6" i="8" s="1"/>
  <c r="L7" i="8"/>
  <c r="S7" i="6"/>
  <c r="S7" i="8" s="1"/>
  <c r="AA7" i="6"/>
  <c r="AA7" i="8" s="1"/>
  <c r="T7" i="6"/>
  <c r="T7" i="8" s="1"/>
  <c r="AC7" i="6"/>
  <c r="AC7" i="8" s="1"/>
  <c r="U7" i="6"/>
  <c r="U7" i="8" s="1"/>
  <c r="AD7" i="6"/>
  <c r="AD7" i="8" s="1"/>
  <c r="Q7" i="6"/>
  <c r="Q7" i="8" s="1"/>
  <c r="Z7" i="6"/>
  <c r="Z7" i="8" s="1"/>
  <c r="V7" i="6"/>
  <c r="V7" i="8" s="1"/>
  <c r="W7" i="6"/>
  <c r="W7" i="8" s="1"/>
  <c r="X7" i="6"/>
  <c r="X7" i="8" s="1"/>
  <c r="Y7" i="6"/>
  <c r="Y7" i="8" s="1"/>
  <c r="N7" i="6"/>
  <c r="N7" i="8" s="1"/>
  <c r="AB7" i="6"/>
  <c r="AB7" i="8" s="1"/>
  <c r="M7" i="6"/>
  <c r="M7" i="8" s="1"/>
  <c r="O7" i="6"/>
  <c r="O7" i="8" s="1"/>
  <c r="AE7" i="6"/>
  <c r="AE7" i="8" s="1"/>
  <c r="P7" i="6"/>
  <c r="P7" i="8" s="1"/>
  <c r="R7" i="6"/>
  <c r="R7" i="8" s="1"/>
  <c r="U10" i="6"/>
  <c r="U10" i="8" s="1"/>
  <c r="AC10" i="6"/>
  <c r="AC10" i="8" s="1"/>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AC5" i="8" s="1"/>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AC17" i="8" s="1"/>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Q13" i="9"/>
  <c r="Q13" i="11" s="1"/>
  <c r="X13" i="9"/>
  <c r="X13" i="11" s="1"/>
  <c r="P13" i="9"/>
  <c r="P13" i="11" s="1"/>
  <c r="AC13" i="9"/>
  <c r="AC13" i="11" s="1"/>
  <c r="U13" i="9"/>
  <c r="U13" i="11" s="1"/>
  <c r="M13" i="9"/>
  <c r="M13" i="11" s="1"/>
  <c r="L13" i="11"/>
  <c r="T13" i="9"/>
  <c r="T13" i="11" s="1"/>
  <c r="AE13" i="9"/>
  <c r="AE13" i="11" s="1"/>
  <c r="S13" i="9"/>
  <c r="S13" i="11" s="1"/>
  <c r="W13" i="9"/>
  <c r="W13" i="11" s="1"/>
  <c r="AA13" i="9"/>
  <c r="AA13" i="11" s="1"/>
  <c r="Z13" i="9"/>
  <c r="Z13" i="11" s="1"/>
  <c r="V13" i="9"/>
  <c r="V13" i="11" s="1"/>
  <c r="R13" i="9"/>
  <c r="R13" i="11" s="1"/>
  <c r="O13" i="9"/>
  <c r="O13" i="11" s="1"/>
  <c r="N13" i="9"/>
  <c r="N13" i="11" s="1"/>
  <c r="AD13" i="9"/>
  <c r="AD13" i="11" s="1"/>
  <c r="AB13" i="9"/>
  <c r="AB13" i="11" s="1"/>
  <c r="L12" i="11"/>
  <c r="AB12" i="9"/>
  <c r="AB12" i="11" s="1"/>
  <c r="T12" i="9"/>
  <c r="T12" i="11" s="1"/>
  <c r="AA12" i="9"/>
  <c r="AA12" i="11" s="1"/>
  <c r="S12" i="9"/>
  <c r="S12" i="11" s="1"/>
  <c r="X12" i="9"/>
  <c r="X12" i="11" s="1"/>
  <c r="P12" i="9"/>
  <c r="P12" i="11" s="1"/>
  <c r="Z12" i="9"/>
  <c r="Z12" i="11" s="1"/>
  <c r="N12" i="9"/>
  <c r="N12" i="11" s="1"/>
  <c r="Y12" i="9"/>
  <c r="Y12" i="11" s="1"/>
  <c r="M12" i="9"/>
  <c r="M12" i="11" s="1"/>
  <c r="AD12" i="9"/>
  <c r="AD12" i="11" s="1"/>
  <c r="Q12" i="9"/>
  <c r="Q12" i="11" s="1"/>
  <c r="W12" i="9"/>
  <c r="W12" i="11" s="1"/>
  <c r="V12" i="9"/>
  <c r="V12" i="11" s="1"/>
  <c r="U12" i="9"/>
  <c r="U12" i="11" s="1"/>
  <c r="R12" i="9"/>
  <c r="R12" i="11" s="1"/>
  <c r="O12" i="9"/>
  <c r="O12" i="11" s="1"/>
  <c r="AE12" i="9"/>
  <c r="AE12" i="11" s="1"/>
  <c r="AC12" i="9"/>
  <c r="AC12" i="11" s="1"/>
  <c r="L5" i="11"/>
  <c r="Y5" i="9"/>
  <c r="Y5" i="11" s="1"/>
  <c r="Q5" i="9"/>
  <c r="Q5" i="11" s="1"/>
  <c r="X5" i="9"/>
  <c r="X5" i="11" s="1"/>
  <c r="P5" i="9"/>
  <c r="P5" i="11" s="1"/>
  <c r="AA5" i="9"/>
  <c r="AA5" i="11" s="1"/>
  <c r="O5" i="9"/>
  <c r="O5" i="11" s="1"/>
  <c r="Z5" i="9"/>
  <c r="Z5" i="11" s="1"/>
  <c r="N5" i="9"/>
  <c r="N5" i="11" s="1"/>
  <c r="AC5" i="9"/>
  <c r="AC5" i="11" s="1"/>
  <c r="S5" i="9"/>
  <c r="S5" i="11" s="1"/>
  <c r="V5" i="9"/>
  <c r="V5" i="11" s="1"/>
  <c r="U5" i="9"/>
  <c r="U5" i="11" s="1"/>
  <c r="T5" i="9"/>
  <c r="T5" i="11" s="1"/>
  <c r="R5" i="9"/>
  <c r="R5" i="11" s="1"/>
  <c r="AE5" i="9"/>
  <c r="AE5" i="11" s="1"/>
  <c r="M5" i="9"/>
  <c r="M5" i="11" s="1"/>
  <c r="AD5" i="9"/>
  <c r="AD5" i="11" s="1"/>
  <c r="AB5" i="9"/>
  <c r="AB5" i="11" s="1"/>
  <c r="W5" i="9"/>
  <c r="W5" i="11" s="1"/>
  <c r="L10" i="11"/>
  <c r="Z10" i="9"/>
  <c r="Z10" i="11" s="1"/>
  <c r="R10" i="9"/>
  <c r="R10" i="11" s="1"/>
  <c r="Y10" i="9"/>
  <c r="Y10" i="11" s="1"/>
  <c r="Q10" i="9"/>
  <c r="Q10" i="11" s="1"/>
  <c r="AD10" i="9"/>
  <c r="AD10" i="11" s="1"/>
  <c r="V10" i="9"/>
  <c r="V10" i="11" s="1"/>
  <c r="N10" i="9"/>
  <c r="N10" i="11" s="1"/>
  <c r="AA10" i="9"/>
  <c r="AA10" i="11" s="1"/>
  <c r="M10" i="9"/>
  <c r="M10" i="11" s="1"/>
  <c r="X10" i="9"/>
  <c r="X10" i="11" s="1"/>
  <c r="AC10" i="9"/>
  <c r="AC10" i="11" s="1"/>
  <c r="P10" i="9"/>
  <c r="P10" i="11" s="1"/>
  <c r="U10" i="9"/>
  <c r="U10" i="11" s="1"/>
  <c r="T10" i="9"/>
  <c r="T10" i="11" s="1"/>
  <c r="S10" i="9"/>
  <c r="S10" i="11" s="1"/>
  <c r="O10" i="9"/>
  <c r="O10" i="11" s="1"/>
  <c r="AE10" i="9"/>
  <c r="AE10" i="11" s="1"/>
  <c r="AB10" i="9"/>
  <c r="AB10" i="11" s="1"/>
  <c r="W10" i="9"/>
  <c r="W10" i="11" s="1"/>
  <c r="H8" i="6"/>
  <c r="H8" i="8" s="1"/>
  <c r="E8" i="8"/>
  <c r="G8" i="6"/>
  <c r="G8" i="8" s="1"/>
  <c r="I8" i="6"/>
  <c r="I8" i="8" s="1"/>
  <c r="J8" i="6"/>
  <c r="J8" i="8" s="1"/>
  <c r="F8" i="6"/>
  <c r="F8" i="8" s="1"/>
  <c r="K8" i="6"/>
  <c r="K8" i="8" s="1"/>
  <c r="I7" i="6"/>
  <c r="I7" i="8" s="1"/>
  <c r="E10" i="8"/>
  <c r="G10" i="6"/>
  <c r="G10" i="8" s="1"/>
  <c r="H10" i="6"/>
  <c r="H10" i="8" s="1"/>
  <c r="I10" i="6"/>
  <c r="I10" i="8" s="1"/>
  <c r="J10" i="6"/>
  <c r="J10" i="8" s="1"/>
  <c r="F10" i="6"/>
  <c r="F10" i="8" s="1"/>
  <c r="K10" i="6"/>
  <c r="K10" i="8" s="1"/>
  <c r="H17" i="6"/>
  <c r="H17" i="8" s="1"/>
  <c r="E17" i="8"/>
  <c r="J17" i="6"/>
  <c r="J17" i="8" s="1"/>
  <c r="K17" i="6"/>
  <c r="K17" i="8" s="1"/>
  <c r="F17" i="6"/>
  <c r="F17" i="8" s="1"/>
  <c r="G17" i="6"/>
  <c r="G17" i="8" s="1"/>
  <c r="I17" i="6"/>
  <c r="I17" i="8" s="1"/>
  <c r="F13" i="9"/>
  <c r="F13" i="11" s="1"/>
  <c r="E13" i="11"/>
  <c r="K13" i="9"/>
  <c r="K13" i="11" s="1"/>
  <c r="J13" i="9"/>
  <c r="J13" i="11" s="1"/>
  <c r="I13" i="9"/>
  <c r="I13" i="11" s="1"/>
  <c r="H13" i="9"/>
  <c r="H13" i="11" s="1"/>
  <c r="G13" i="9"/>
  <c r="G13" i="11" s="1"/>
  <c r="E12" i="11"/>
  <c r="K12" i="9"/>
  <c r="K12" i="11" s="1"/>
  <c r="H12" i="9"/>
  <c r="H12" i="11" s="1"/>
  <c r="G12" i="9"/>
  <c r="G12" i="11" s="1"/>
  <c r="J12" i="9"/>
  <c r="J12" i="11" s="1"/>
  <c r="I12" i="9"/>
  <c r="I12" i="11" s="1"/>
  <c r="F12" i="9"/>
  <c r="F12" i="11" s="1"/>
  <c r="F5" i="9"/>
  <c r="F5" i="11" s="1"/>
  <c r="H5" i="9"/>
  <c r="H5" i="11" s="1"/>
  <c r="G5" i="9"/>
  <c r="G5" i="11" s="1"/>
  <c r="E5" i="11"/>
  <c r="J5" i="9"/>
  <c r="J5" i="11" s="1"/>
  <c r="K5" i="9"/>
  <c r="K5" i="11" s="1"/>
  <c r="I5" i="9"/>
  <c r="I5" i="11" s="1"/>
  <c r="E10" i="11"/>
  <c r="H10" i="9"/>
  <c r="H10" i="11" s="1"/>
  <c r="G10" i="9"/>
  <c r="G10" i="11" s="1"/>
  <c r="J10" i="9"/>
  <c r="J10" i="11" s="1"/>
  <c r="I10" i="9"/>
  <c r="I10" i="11" s="1"/>
  <c r="K10" i="9"/>
  <c r="K10" i="11" s="1"/>
  <c r="F10" i="9"/>
  <c r="F10" i="11" s="1"/>
  <c r="B8" i="8"/>
  <c r="C8" i="6"/>
  <c r="C8" i="8" s="1"/>
  <c r="D8" i="6"/>
  <c r="D8" i="8" s="1"/>
  <c r="N12" i="6"/>
  <c r="N12" i="8" s="1"/>
  <c r="N15" i="9"/>
  <c r="N15" i="11" s="1"/>
  <c r="L8" i="8"/>
  <c r="Q8" i="6"/>
  <c r="Q8" i="8" s="1"/>
  <c r="Y8" i="6"/>
  <c r="Y8" i="8" s="1"/>
  <c r="T8" i="6"/>
  <c r="T8" i="8" s="1"/>
  <c r="AC8" i="6"/>
  <c r="AC8" i="8" s="1"/>
  <c r="U8" i="6"/>
  <c r="U8" i="8" s="1"/>
  <c r="AD8" i="6"/>
  <c r="AD8" i="8" s="1"/>
  <c r="R8" i="6"/>
  <c r="R8" i="8" s="1"/>
  <c r="AA8" i="6"/>
  <c r="AA8" i="8" s="1"/>
  <c r="P8" i="6"/>
  <c r="P8" i="8" s="1"/>
  <c r="S8" i="6"/>
  <c r="S8" i="8" s="1"/>
  <c r="V8" i="6"/>
  <c r="V8" i="8" s="1"/>
  <c r="W8" i="6"/>
  <c r="W8" i="8" s="1"/>
  <c r="X8" i="6"/>
  <c r="X8" i="8" s="1"/>
  <c r="Z8" i="6"/>
  <c r="Z8" i="8" s="1"/>
  <c r="M8" i="6"/>
  <c r="M8" i="8" s="1"/>
  <c r="N8" i="6"/>
  <c r="N8" i="8" s="1"/>
  <c r="AB8" i="6"/>
  <c r="AB8" i="8" s="1"/>
  <c r="O8" i="6"/>
  <c r="O8" i="8" s="1"/>
  <c r="AE8" i="6"/>
  <c r="AE8" i="8" s="1"/>
  <c r="K6" i="6"/>
  <c r="K6" i="8" s="1"/>
  <c r="B15" i="8"/>
  <c r="B16" i="11"/>
  <c r="C9" i="6"/>
  <c r="C9" i="8" s="1"/>
  <c r="D9" i="6"/>
  <c r="D9" i="8" s="1"/>
  <c r="B9" i="8"/>
  <c r="D14" i="6"/>
  <c r="D14" i="8" s="1"/>
  <c r="B14" i="8"/>
  <c r="C14" i="6"/>
  <c r="C14" i="8" s="1"/>
  <c r="C3" i="9"/>
  <c r="C3" i="11" s="1"/>
  <c r="B3" i="11"/>
  <c r="D3" i="9"/>
  <c r="D3" i="11" s="1"/>
  <c r="B9" i="11"/>
  <c r="C9" i="9"/>
  <c r="C9" i="11" s="1"/>
  <c r="D9" i="9"/>
  <c r="D9" i="11" s="1"/>
  <c r="E16" i="8"/>
  <c r="G16" i="6"/>
  <c r="G16" i="8" s="1"/>
  <c r="I16" i="6"/>
  <c r="I16" i="8" s="1"/>
  <c r="F16" i="6"/>
  <c r="F16" i="8" s="1"/>
  <c r="J16" i="6"/>
  <c r="J16" i="8" s="1"/>
  <c r="K16" i="6"/>
  <c r="K16" i="8" s="1"/>
  <c r="H16" i="6"/>
  <c r="H16" i="8" s="1"/>
  <c r="H5" i="6"/>
  <c r="H5" i="8" s="1"/>
  <c r="K9" i="6"/>
  <c r="K9" i="8" s="1"/>
  <c r="F9" i="6"/>
  <c r="F9" i="8" s="1"/>
  <c r="E9" i="8"/>
  <c r="H9" i="6"/>
  <c r="H9" i="8" s="1"/>
  <c r="I9" i="6"/>
  <c r="I9" i="8" s="1"/>
  <c r="J9" i="6"/>
  <c r="J9" i="8" s="1"/>
  <c r="G9" i="6"/>
  <c r="G9" i="8" s="1"/>
  <c r="O9" i="6"/>
  <c r="O9" i="8" s="1"/>
  <c r="W9" i="6"/>
  <c r="W9" i="8" s="1"/>
  <c r="AE9" i="6"/>
  <c r="AE9" i="8" s="1"/>
  <c r="T9" i="6"/>
  <c r="T9" i="8" s="1"/>
  <c r="AC9" i="6"/>
  <c r="AC9" i="8" s="1"/>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K3" i="9"/>
  <c r="K3" i="11" s="1"/>
  <c r="F3" i="9"/>
  <c r="F3" i="11" s="1"/>
  <c r="J3" i="9"/>
  <c r="J3" i="11" s="1"/>
  <c r="I3" i="9"/>
  <c r="I3" i="11" s="1"/>
  <c r="H3" i="9"/>
  <c r="H3" i="11" s="1"/>
  <c r="G3" i="9"/>
  <c r="G3" i="11" s="1"/>
  <c r="L9" i="11"/>
  <c r="AC9" i="9"/>
  <c r="AC9" i="11" s="1"/>
  <c r="U9" i="9"/>
  <c r="U9" i="11" s="1"/>
  <c r="M9" i="9"/>
  <c r="M9" i="11" s="1"/>
  <c r="AB9" i="9"/>
  <c r="AB9" i="11" s="1"/>
  <c r="T9" i="9"/>
  <c r="T9" i="11" s="1"/>
  <c r="Y9" i="9"/>
  <c r="Y9" i="11" s="1"/>
  <c r="Q9" i="9"/>
  <c r="Q9" i="11" s="1"/>
  <c r="S9" i="9"/>
  <c r="S9" i="11" s="1"/>
  <c r="AE9" i="9"/>
  <c r="AE9" i="11" s="1"/>
  <c r="R9" i="9"/>
  <c r="R9" i="11" s="1"/>
  <c r="W9" i="9"/>
  <c r="W9" i="11" s="1"/>
  <c r="V9" i="9"/>
  <c r="V9" i="11" s="1"/>
  <c r="P9" i="9"/>
  <c r="P9" i="11" s="1"/>
  <c r="O9" i="9"/>
  <c r="O9" i="11" s="1"/>
  <c r="N9" i="9"/>
  <c r="N9" i="11" s="1"/>
  <c r="AD9" i="9"/>
  <c r="AD9" i="11" s="1"/>
  <c r="AA9" i="9"/>
  <c r="AA9" i="11" s="1"/>
  <c r="K9" i="9"/>
  <c r="K9" i="11" s="1"/>
  <c r="Z9" i="9"/>
  <c r="Z9" i="11" s="1"/>
  <c r="X9" i="9"/>
  <c r="X9" i="11" s="1"/>
  <c r="L17" i="11"/>
  <c r="AC17" i="9"/>
  <c r="AC17" i="11" s="1"/>
  <c r="U17" i="9"/>
  <c r="U17" i="11" s="1"/>
  <c r="M17" i="9"/>
  <c r="M17" i="11" s="1"/>
  <c r="AB17" i="9"/>
  <c r="AB17" i="11" s="1"/>
  <c r="T17" i="9"/>
  <c r="T17" i="11" s="1"/>
  <c r="Y17" i="9"/>
  <c r="Y17" i="11" s="1"/>
  <c r="Q17" i="9"/>
  <c r="Q17" i="11" s="1"/>
  <c r="V17" i="9"/>
  <c r="V17" i="11" s="1"/>
  <c r="S17" i="9"/>
  <c r="S17" i="11" s="1"/>
  <c r="AE17" i="9"/>
  <c r="AE17" i="11" s="1"/>
  <c r="R17" i="9"/>
  <c r="R17" i="11" s="1"/>
  <c r="X17" i="9"/>
  <c r="X17" i="11" s="1"/>
  <c r="O17" i="9"/>
  <c r="O17" i="11" s="1"/>
  <c r="N17" i="9"/>
  <c r="N17" i="11" s="1"/>
  <c r="AD17" i="9"/>
  <c r="AD17" i="11" s="1"/>
  <c r="AA17" i="9"/>
  <c r="AA17" i="11" s="1"/>
  <c r="Z17" i="9"/>
  <c r="Z17" i="11" s="1"/>
  <c r="W17" i="9"/>
  <c r="W17" i="11" s="1"/>
  <c r="P17" i="9"/>
  <c r="P17" i="11" s="1"/>
  <c r="C17" i="6"/>
  <c r="C17" i="8" s="1"/>
  <c r="AC3" i="9"/>
  <c r="AC3" i="11" s="1"/>
  <c r="J7" i="9"/>
  <c r="J7" i="11" s="1"/>
  <c r="I7" i="9"/>
  <c r="I7" i="11" s="1"/>
  <c r="F7" i="9"/>
  <c r="F7" i="11" s="1"/>
  <c r="H7" i="9"/>
  <c r="H7" i="11" s="1"/>
  <c r="B2" i="11"/>
  <c r="B10" i="11"/>
  <c r="C10" i="9"/>
  <c r="C10" i="11" s="1"/>
  <c r="E2" i="9"/>
  <c r="D2" i="9" s="1"/>
  <c r="D2" i="11" s="1"/>
  <c r="J12" i="6"/>
  <c r="J12" i="8" s="1"/>
  <c r="H7" i="6"/>
  <c r="H7" i="8" s="1"/>
  <c r="I5" i="6"/>
  <c r="I5" i="8" s="1"/>
  <c r="M11" i="6"/>
  <c r="M11" i="8" s="1"/>
  <c r="AA16" i="6"/>
  <c r="AA16" i="8" s="1"/>
  <c r="X14" i="6"/>
  <c r="X14" i="8" s="1"/>
  <c r="AE12" i="6"/>
  <c r="AE12" i="8" s="1"/>
  <c r="P12" i="6"/>
  <c r="P12" i="8" s="1"/>
  <c r="T3" i="6"/>
  <c r="T3" i="8" s="1"/>
  <c r="I6" i="9"/>
  <c r="I6" i="11" s="1"/>
  <c r="I9" i="9"/>
  <c r="I9" i="11" s="1"/>
  <c r="F15" i="9"/>
  <c r="F15" i="11" s="1"/>
  <c r="K17" i="9"/>
  <c r="K17" i="11" s="1"/>
  <c r="X6" i="9"/>
  <c r="X6" i="11" s="1"/>
  <c r="V7" i="9"/>
  <c r="V7"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X3" i="9"/>
  <c r="X3" i="11" s="1"/>
  <c r="N3" i="9"/>
  <c r="N3" i="11" s="1"/>
  <c r="W3" i="9"/>
  <c r="W3" i="11" s="1"/>
  <c r="M3" i="9"/>
  <c r="M3" i="11" s="1"/>
  <c r="Z3" i="9"/>
  <c r="Z3" i="11" s="1"/>
  <c r="P3" i="9"/>
  <c r="P3" i="11" s="1"/>
  <c r="B16" i="6"/>
  <c r="O16" i="6"/>
  <c r="O16" i="8" s="1"/>
  <c r="W16" i="6"/>
  <c r="W16" i="8" s="1"/>
  <c r="AE16" i="6"/>
  <c r="AE16" i="8" s="1"/>
  <c r="P16" i="6"/>
  <c r="P16" i="8" s="1"/>
  <c r="X16" i="6"/>
  <c r="X16" i="8" s="1"/>
  <c r="U16" i="6"/>
  <c r="U16" i="8" s="1"/>
  <c r="B10" i="8"/>
  <c r="B17" i="9"/>
  <c r="L2" i="9"/>
  <c r="E11" i="9"/>
  <c r="X8" i="9"/>
  <c r="X8" i="11" s="1"/>
  <c r="P8" i="9"/>
  <c r="P8" i="11" s="1"/>
  <c r="AE8" i="9"/>
  <c r="AE8" i="11" s="1"/>
  <c r="W8" i="9"/>
  <c r="W8" i="11" s="1"/>
  <c r="O8" i="9"/>
  <c r="O8" i="11" s="1"/>
  <c r="L8" i="11"/>
  <c r="AB8" i="9"/>
  <c r="AB8" i="11" s="1"/>
  <c r="T8" i="9"/>
  <c r="T8" i="11" s="1"/>
  <c r="Z8" i="9"/>
  <c r="Z8" i="11" s="1"/>
  <c r="M8" i="9"/>
  <c r="M8" i="11" s="1"/>
  <c r="Y8" i="9"/>
  <c r="Y8" i="11" s="1"/>
  <c r="AC8" i="9"/>
  <c r="AC8" i="11" s="1"/>
  <c r="Q8" i="9"/>
  <c r="Q8" i="11" s="1"/>
  <c r="D17" i="6"/>
  <c r="D17" i="8" s="1"/>
  <c r="I12" i="6"/>
  <c r="I12" i="8" s="1"/>
  <c r="G7" i="6"/>
  <c r="G7" i="8" s="1"/>
  <c r="Z16" i="6"/>
  <c r="Z16" i="8" s="1"/>
  <c r="AB12" i="6"/>
  <c r="AB12" i="8" s="1"/>
  <c r="O12" i="6"/>
  <c r="O12" i="8" s="1"/>
  <c r="Q11" i="6"/>
  <c r="Q11" i="8" s="1"/>
  <c r="G15" i="9"/>
  <c r="G15" i="11" s="1"/>
  <c r="AD3" i="9"/>
  <c r="AD3" i="11" s="1"/>
  <c r="V8" i="9"/>
  <c r="V8" i="11" s="1"/>
  <c r="E7" i="11"/>
  <c r="D5" i="6"/>
  <c r="D5" i="8" s="1"/>
  <c r="L14" i="8"/>
  <c r="S14" i="6"/>
  <c r="S14" i="8" s="1"/>
  <c r="AA14" i="6"/>
  <c r="AA14" i="8" s="1"/>
  <c r="T14" i="6"/>
  <c r="T14" i="8" s="1"/>
  <c r="AB14" i="6"/>
  <c r="AB14" i="8" s="1"/>
  <c r="Q14" i="6"/>
  <c r="Q14" i="8" s="1"/>
  <c r="Y14" i="6"/>
  <c r="Y14" i="8" s="1"/>
  <c r="AC3" i="6"/>
  <c r="AC3" i="8" s="1"/>
  <c r="AF3" i="8"/>
  <c r="B8" i="11"/>
  <c r="C8" i="9"/>
  <c r="C8" i="11" s="1"/>
  <c r="D8" i="9"/>
  <c r="D8" i="11" s="1"/>
  <c r="AF2" i="9"/>
  <c r="AF2" i="11" s="1"/>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E7" i="9"/>
  <c r="AE7" i="11" s="1"/>
  <c r="U7" i="9"/>
  <c r="U7" i="11" s="1"/>
  <c r="AD7" i="9"/>
  <c r="AD7" i="11" s="1"/>
  <c r="T7" i="9"/>
  <c r="T7" i="11" s="1"/>
  <c r="W7" i="9"/>
  <c r="W7" i="11" s="1"/>
  <c r="M7" i="9"/>
  <c r="M7" i="11" s="1"/>
  <c r="C12" i="6"/>
  <c r="C12" i="8" s="1"/>
  <c r="H12" i="6"/>
  <c r="H12" i="8" s="1"/>
  <c r="H3" i="6"/>
  <c r="H3" i="8" s="1"/>
  <c r="V14" i="6"/>
  <c r="V14" i="8" s="1"/>
  <c r="Z12" i="6"/>
  <c r="Z12" i="8" s="1"/>
  <c r="P11" i="6"/>
  <c r="P11" i="8" s="1"/>
  <c r="D5" i="9"/>
  <c r="D5" i="11" s="1"/>
  <c r="C13" i="9"/>
  <c r="C13" i="11" s="1"/>
  <c r="G7" i="9"/>
  <c r="G7" i="11" s="1"/>
  <c r="O3" i="9"/>
  <c r="O3" i="11" s="1"/>
  <c r="AE3" i="9"/>
  <c r="AE3" i="11" s="1"/>
  <c r="Y7" i="9"/>
  <c r="Y7" i="11" s="1"/>
  <c r="P15" i="9"/>
  <c r="P15" i="11" s="1"/>
  <c r="L16" i="8"/>
  <c r="E6" i="8"/>
  <c r="J6" i="6"/>
  <c r="J6" i="8" s="1"/>
  <c r="Q12" i="6"/>
  <c r="Q12" i="8" s="1"/>
  <c r="L12" i="8"/>
  <c r="U12" i="6"/>
  <c r="U12" i="8" s="1"/>
  <c r="AC12" i="6"/>
  <c r="AC12" i="8" s="1"/>
  <c r="V12" i="6"/>
  <c r="V12" i="8" s="1"/>
  <c r="AD12" i="6"/>
  <c r="AD12" i="8" s="1"/>
  <c r="S12" i="6"/>
  <c r="S12" i="8" s="1"/>
  <c r="AA12" i="6"/>
  <c r="AA12" i="8" s="1"/>
  <c r="B7" i="11"/>
  <c r="D7" i="9"/>
  <c r="D7" i="11" s="1"/>
  <c r="F17" i="9"/>
  <c r="F17" i="11" s="1"/>
  <c r="J17" i="9"/>
  <c r="J17" i="11" s="1"/>
  <c r="I17" i="9"/>
  <c r="I17" i="11" s="1"/>
  <c r="E9" i="11"/>
  <c r="F9" i="9"/>
  <c r="F9" i="11" s="1"/>
  <c r="H9" i="9"/>
  <c r="H9" i="11" s="1"/>
  <c r="AD14" i="9"/>
  <c r="AD14" i="11" s="1"/>
  <c r="V14" i="9"/>
  <c r="V14" i="11" s="1"/>
  <c r="N14" i="9"/>
  <c r="N14" i="11" s="1"/>
  <c r="AC14" i="9"/>
  <c r="AC14" i="11" s="1"/>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6"/>
  <c r="F7" i="8" s="1"/>
  <c r="K14" i="6"/>
  <c r="K14" i="8" s="1"/>
  <c r="G12" i="6"/>
  <c r="G12" i="8" s="1"/>
  <c r="I6" i="6"/>
  <c r="I6" i="8" s="1"/>
  <c r="V16" i="6"/>
  <c r="V16" i="8" s="1"/>
  <c r="U14" i="6"/>
  <c r="U14" i="8" s="1"/>
  <c r="Y12" i="6"/>
  <c r="Y12" i="8" s="1"/>
  <c r="AC11" i="6"/>
  <c r="AC11" i="8" s="1"/>
  <c r="O11" i="6"/>
  <c r="O11" i="8" s="1"/>
  <c r="C6" i="9"/>
  <c r="C6" i="11" s="1"/>
  <c r="K7" i="9"/>
  <c r="K7" i="11" s="1"/>
  <c r="Q3" i="9"/>
  <c r="Q3" i="11" s="1"/>
  <c r="AE6" i="9"/>
  <c r="AE6" i="11" s="1"/>
  <c r="AB7" i="9"/>
  <c r="AB7" i="11" s="1"/>
  <c r="AD8" i="9"/>
  <c r="AD8" i="11" s="1"/>
  <c r="S14" i="9"/>
  <c r="S14" i="11" s="1"/>
  <c r="Q15" i="9"/>
  <c r="Q15" i="11" s="1"/>
  <c r="E14" i="8"/>
  <c r="E7" i="8"/>
  <c r="B14" i="11"/>
  <c r="C14" i="9"/>
  <c r="C14" i="11" s="1"/>
  <c r="E8" i="11"/>
  <c r="K8" i="9"/>
  <c r="K8" i="11" s="1"/>
  <c r="J8" i="9"/>
  <c r="J8" i="11" s="1"/>
  <c r="I8" i="9"/>
  <c r="I8" i="11" s="1"/>
  <c r="C3" i="6"/>
  <c r="C3" i="8" s="1"/>
  <c r="C10" i="6"/>
  <c r="C10" i="8" s="1"/>
  <c r="D12" i="6"/>
  <c r="D12" i="8" s="1"/>
  <c r="F6" i="6"/>
  <c r="F6" i="8" s="1"/>
  <c r="J14" i="6"/>
  <c r="J14" i="8" s="1"/>
  <c r="H6" i="6"/>
  <c r="H6" i="8" s="1"/>
  <c r="M16" i="6"/>
  <c r="M16" i="8" s="1"/>
  <c r="T16" i="6"/>
  <c r="T16" i="8" s="1"/>
  <c r="AE14" i="6"/>
  <c r="AE14" i="8" s="1"/>
  <c r="R14" i="6"/>
  <c r="R14" i="8" s="1"/>
  <c r="X12" i="6"/>
  <c r="X12" i="8" s="1"/>
  <c r="Z11" i="6"/>
  <c r="Z11" i="8" s="1"/>
  <c r="N11" i="6"/>
  <c r="N11" i="8" s="1"/>
  <c r="D6" i="9"/>
  <c r="D6" i="11" s="1"/>
  <c r="F8" i="9"/>
  <c r="F8" i="11" s="1"/>
  <c r="R3" i="9"/>
  <c r="R3" i="11" s="1"/>
  <c r="O6" i="9"/>
  <c r="O6" i="11" s="1"/>
  <c r="N7" i="9"/>
  <c r="N7" i="11" s="1"/>
  <c r="AC7" i="9"/>
  <c r="AC7" i="11" s="1"/>
  <c r="T14" i="9"/>
  <c r="T14" i="11" s="1"/>
  <c r="V15" i="9"/>
  <c r="V15" i="11" s="1"/>
  <c r="B11" i="6"/>
  <c r="E5" i="8"/>
  <c r="G5" i="6"/>
  <c r="G5" i="8" s="1"/>
  <c r="D3" i="6"/>
  <c r="D3" i="8" s="1"/>
  <c r="O7" i="9"/>
  <c r="O7" i="11" s="1"/>
  <c r="W14" i="9"/>
  <c r="W14" i="11" s="1"/>
  <c r="Y15" i="9"/>
  <c r="Y15" i="11" s="1"/>
  <c r="D13" i="9"/>
  <c r="D13" i="11" s="1"/>
  <c r="E15" i="11"/>
  <c r="J15" i="9"/>
  <c r="J15" i="11" s="1"/>
  <c r="I15" i="9"/>
  <c r="I15" i="11" s="1"/>
  <c r="K15" i="9"/>
  <c r="K15" i="11" s="1"/>
  <c r="F5" i="6"/>
  <c r="F5" i="8" s="1"/>
  <c r="I14" i="6"/>
  <c r="I14" i="8" s="1"/>
  <c r="K7" i="6"/>
  <c r="K7" i="8" s="1"/>
  <c r="G6" i="6"/>
  <c r="G6" i="8" s="1"/>
  <c r="AD14" i="6"/>
  <c r="AD14" i="8" s="1"/>
  <c r="P14" i="6"/>
  <c r="P14" i="8" s="1"/>
  <c r="W12" i="6"/>
  <c r="W12" i="8" s="1"/>
  <c r="Y11" i="6"/>
  <c r="Y11" i="8" s="1"/>
  <c r="E11" i="6"/>
  <c r="B5" i="8"/>
  <c r="H14" i="9"/>
  <c r="H14" i="11" s="1"/>
  <c r="G14" i="9"/>
  <c r="G14" i="11" s="1"/>
  <c r="E14" i="11"/>
  <c r="F14" i="9"/>
  <c r="F14" i="11" s="1"/>
  <c r="J14" i="9"/>
  <c r="J14" i="11" s="1"/>
  <c r="H6" i="9"/>
  <c r="H6" i="11" s="1"/>
  <c r="G6" i="9"/>
  <c r="G6" i="11" s="1"/>
  <c r="K6" i="9"/>
  <c r="K6" i="11" s="1"/>
  <c r="E6" i="11"/>
  <c r="L11" i="9"/>
  <c r="F14" i="6"/>
  <c r="F14" i="8" s="1"/>
  <c r="H14" i="6"/>
  <c r="H14" i="8" s="1"/>
  <c r="J7" i="6"/>
  <c r="J7" i="8" s="1"/>
  <c r="K5" i="6"/>
  <c r="K5" i="8" s="1"/>
  <c r="M14" i="6"/>
  <c r="M14" i="8" s="1"/>
  <c r="AC16" i="6"/>
  <c r="AC16" i="8" s="1"/>
  <c r="R16" i="6"/>
  <c r="R16" i="8" s="1"/>
  <c r="AC14" i="6"/>
  <c r="AC14" i="8" s="1"/>
  <c r="O14" i="6"/>
  <c r="O14" i="8" s="1"/>
  <c r="T12" i="6"/>
  <c r="T12" i="8" s="1"/>
  <c r="X11" i="6"/>
  <c r="X11" i="8" s="1"/>
  <c r="W3" i="6"/>
  <c r="W3" i="8" s="1"/>
  <c r="H8" i="9"/>
  <c r="H8" i="11" s="1"/>
  <c r="I14" i="9"/>
  <c r="I14" i="11" s="1"/>
  <c r="G17" i="9"/>
  <c r="G17" i="11" s="1"/>
  <c r="V3" i="9"/>
  <c r="V3" i="11" s="1"/>
  <c r="S6" i="9"/>
  <c r="S6" i="11" s="1"/>
  <c r="P7" i="9"/>
  <c r="P7" i="11" s="1"/>
  <c r="R8" i="9"/>
  <c r="R8" i="11" s="1"/>
  <c r="X14" i="9"/>
  <c r="X14" i="11" s="1"/>
  <c r="AB15" i="9"/>
  <c r="AB15" i="11" s="1"/>
  <c r="C5" i="9"/>
  <c r="C5" i="11" s="1"/>
  <c r="C7" i="9"/>
  <c r="C7" i="11" s="1"/>
  <c r="U3" i="9"/>
  <c r="U3" i="11" s="1"/>
  <c r="B11" i="9"/>
  <c r="F12" i="6"/>
  <c r="F12" i="8" s="1"/>
  <c r="K12" i="6"/>
  <c r="K12" i="8" s="1"/>
  <c r="J5" i="6"/>
  <c r="J5" i="8" s="1"/>
  <c r="M12" i="6"/>
  <c r="M12" i="8" s="1"/>
  <c r="AB16" i="6"/>
  <c r="AB16" i="8" s="1"/>
  <c r="Q16" i="6"/>
  <c r="Q16" i="8" s="1"/>
  <c r="Z14" i="6"/>
  <c r="Z14" i="8" s="1"/>
  <c r="N14" i="6"/>
  <c r="N14" i="8" s="1"/>
  <c r="R12" i="6"/>
  <c r="R12" i="8" s="1"/>
  <c r="W11" i="6"/>
  <c r="W11" i="8" s="1"/>
  <c r="U3" i="6"/>
  <c r="U3" i="8" s="1"/>
  <c r="D10" i="9"/>
  <c r="D10" i="11" s="1"/>
  <c r="F6" i="9"/>
  <c r="F6" i="11" s="1"/>
  <c r="G9" i="9"/>
  <c r="G9" i="11" s="1"/>
  <c r="K14" i="9"/>
  <c r="K14" i="11" s="1"/>
  <c r="H17" i="9"/>
  <c r="H17" i="11" s="1"/>
  <c r="Y3" i="9"/>
  <c r="Y3" i="11" s="1"/>
  <c r="W6" i="9"/>
  <c r="W6" i="11" s="1"/>
  <c r="Q7" i="9"/>
  <c r="Q7" i="11" s="1"/>
  <c r="S8" i="9"/>
  <c r="S8" i="11" s="1"/>
  <c r="AB14" i="9"/>
  <c r="AB14" i="11" s="1"/>
  <c r="AC15" i="9"/>
  <c r="AC15" i="11" s="1"/>
  <c r="L15" i="11"/>
  <c r="O13" i="6"/>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AC13" i="8" s="1"/>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AC2" i="8" s="1"/>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AC4" i="8" s="1"/>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AF15" i="6"/>
  <c r="AF15" i="8" s="1"/>
  <c r="AF16" i="9"/>
  <c r="AF16" i="11" s="1"/>
  <c r="B15" i="9"/>
  <c r="L15" i="6"/>
  <c r="L16" i="9"/>
  <c r="E15" i="6"/>
  <c r="E16" i="9"/>
  <c r="C16" i="9" s="1"/>
  <c r="C16" i="11" s="1"/>
  <c r="D9" i="5"/>
  <c r="C3" i="5"/>
  <c r="C12" i="5" s="1"/>
  <c r="B5" i="5"/>
  <c r="B9" i="5"/>
  <c r="AE10" i="12" s="1" a="1"/>
  <c r="AE10" i="12" s="1"/>
  <c r="B13" i="5"/>
  <c r="B6" i="5"/>
  <c r="C9" i="5"/>
  <c r="B7" i="5"/>
  <c r="B4" i="5"/>
  <c r="C7" i="5"/>
  <c r="C11" i="5"/>
  <c r="D16" i="5"/>
  <c r="B10" i="5"/>
  <c r="B15" i="5" s="1"/>
  <c r="C10" i="5"/>
  <c r="C15" i="5" s="1"/>
  <c r="C4" i="5"/>
  <c r="AB3" i="12" s="1" a="1"/>
  <c r="AB3" i="12" s="1"/>
  <c r="D7" i="5"/>
  <c r="D11" i="5"/>
  <c r="C6" i="5"/>
  <c r="D6" i="5"/>
  <c r="D3" i="5"/>
  <c r="D12" i="5" s="1"/>
  <c r="D4" i="5"/>
  <c r="P3" i="12" s="1" a="1"/>
  <c r="P3" i="12" s="1"/>
  <c r="D8" i="5"/>
  <c r="AE3" i="12" a="1"/>
  <c r="AE3" i="12" s="1"/>
  <c r="L3" i="12" a="1"/>
  <c r="L3" i="12" s="1"/>
  <c r="AF3" i="12" a="1"/>
  <c r="AF3" i="12" s="1"/>
  <c r="K3" i="12" a="1"/>
  <c r="K3" i="12" s="1"/>
  <c r="AG3" i="12" a="1"/>
  <c r="AG3" i="12" s="1"/>
  <c r="AC3" i="12" a="1"/>
  <c r="AC3" i="12" s="1"/>
  <c r="E3" i="12" a="1"/>
  <c r="E3" i="12" s="1"/>
  <c r="J3" i="12" a="1"/>
  <c r="J3" i="12" s="1"/>
  <c r="C7" i="3"/>
  <c r="C8" i="3"/>
  <c r="D8" i="3" s="1"/>
  <c r="E8" i="3" s="1"/>
  <c r="E7" i="3" s="1"/>
  <c r="B7" i="12" a="1"/>
  <c r="B7" i="12" s="1"/>
  <c r="Z10" i="12" a="1"/>
  <c r="Z10" i="12" s="1"/>
  <c r="C10" i="12" a="1"/>
  <c r="C10" i="12" s="1"/>
  <c r="AA10" i="12" a="1"/>
  <c r="AA10" i="12" s="1"/>
  <c r="D10" i="12" a="1"/>
  <c r="D10" i="12" s="1"/>
  <c r="AG10" i="12" a="1"/>
  <c r="AG10" i="12" s="1"/>
  <c r="S10" i="12" a="1"/>
  <c r="S10" i="12" s="1"/>
  <c r="AC10" i="12" a="1"/>
  <c r="AC10" i="12" s="1"/>
  <c r="J10" i="12" a="1"/>
  <c r="J10" i="12" s="1"/>
  <c r="C5" i="5"/>
  <c r="B8" i="5"/>
  <c r="D10" i="5"/>
  <c r="V11" i="12" s="1" a="1"/>
  <c r="V11" i="12" s="1"/>
  <c r="C13" i="5"/>
  <c r="B16" i="5"/>
  <c r="B3" i="5"/>
  <c r="D5" i="5"/>
  <c r="C8" i="5"/>
  <c r="B11" i="5"/>
  <c r="D13" i="5"/>
  <c r="C2" i="9" l="1"/>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AC2" i="11" s="1"/>
  <c r="P2" i="9"/>
  <c r="P2" i="11" s="1"/>
  <c r="AB2" i="9"/>
  <c r="AB2" i="11" s="1"/>
  <c r="X2" i="9"/>
  <c r="X2" i="11" s="1"/>
  <c r="E15" i="8"/>
  <c r="J15" i="6"/>
  <c r="J15" i="8" s="1"/>
  <c r="K15" i="6"/>
  <c r="K15" i="8" s="1"/>
  <c r="F15" i="6"/>
  <c r="F15" i="8" s="1"/>
  <c r="G15" i="6"/>
  <c r="G15" i="8" s="1"/>
  <c r="H15" i="6"/>
  <c r="H15" i="8" s="1"/>
  <c r="I15" i="6"/>
  <c r="I15" i="8" s="1"/>
  <c r="B17" i="11"/>
  <c r="D17" i="9"/>
  <c r="D17" i="11" s="1"/>
  <c r="C17" i="9"/>
  <c r="C17" i="11" s="1"/>
  <c r="C16" i="6"/>
  <c r="C16" i="8" s="1"/>
  <c r="B16" i="8"/>
  <c r="D16" i="6"/>
  <c r="D16" i="8" s="1"/>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AC16" i="11" s="1"/>
  <c r="V16" i="9"/>
  <c r="V16" i="11" s="1"/>
  <c r="U16" i="9"/>
  <c r="U16" i="11" s="1"/>
  <c r="S16" i="9"/>
  <c r="S16" i="11" s="1"/>
  <c r="Q16" i="9"/>
  <c r="Q16" i="11" s="1"/>
  <c r="D16" i="9"/>
  <c r="D16" i="11" s="1"/>
  <c r="D11" i="6"/>
  <c r="D11" i="8" s="1"/>
  <c r="C11" i="6"/>
  <c r="C11" i="8" s="1"/>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AC15" i="8" s="1"/>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C11" i="11" s="1"/>
  <c r="AB11" i="9"/>
  <c r="AB11" i="11" s="1"/>
  <c r="Z11" i="9"/>
  <c r="Z11" i="11" s="1"/>
  <c r="E16" i="11"/>
  <c r="K16" i="9"/>
  <c r="K16" i="11" s="1"/>
  <c r="F16" i="9"/>
  <c r="F16" i="11" s="1"/>
  <c r="H16" i="9"/>
  <c r="H16" i="11" s="1"/>
  <c r="J16" i="9"/>
  <c r="J16" i="11" s="1"/>
  <c r="I16" i="9"/>
  <c r="I16" i="11" s="1"/>
  <c r="G16" i="9"/>
  <c r="G16" i="11" s="1"/>
  <c r="B11" i="11"/>
  <c r="D11" i="9"/>
  <c r="D11" i="11" s="1"/>
  <c r="C11" i="9"/>
  <c r="C11" i="11" s="1"/>
  <c r="C15" i="6"/>
  <c r="C15" i="8" s="1"/>
  <c r="D15" i="6"/>
  <c r="D15" i="8" s="1"/>
  <c r="E11" i="8"/>
  <c r="I11" i="6"/>
  <c r="I11" i="8" s="1"/>
  <c r="G11" i="6"/>
  <c r="G11" i="8" s="1"/>
  <c r="H11" i="6"/>
  <c r="H11" i="8" s="1"/>
  <c r="J11" i="6"/>
  <c r="J11" i="8" s="1"/>
  <c r="K11" i="6"/>
  <c r="K11" i="8" s="1"/>
  <c r="F11" i="6"/>
  <c r="F11" i="8" s="1"/>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C4" i="11" s="1"/>
  <c r="AB4" i="9"/>
  <c r="AB4" i="11" s="1"/>
  <c r="T4" i="9"/>
  <c r="T4" i="11" s="1"/>
  <c r="Z4" i="9"/>
  <c r="Z4" i="11" s="1"/>
  <c r="R4" i="9"/>
  <c r="R4" i="11" s="1"/>
  <c r="S4" i="9"/>
  <c r="S4" i="11" s="1"/>
  <c r="Y4" i="9"/>
  <c r="Y4" i="11" s="1"/>
  <c r="Q4" i="9"/>
  <c r="Q4" i="11" s="1"/>
  <c r="AA4" i="9"/>
  <c r="AA4" i="11" s="1"/>
  <c r="X4" i="9"/>
  <c r="X4" i="11" s="1"/>
  <c r="P4" i="9"/>
  <c r="P4" i="11" s="1"/>
  <c r="W4" i="9"/>
  <c r="W4" i="11" s="1"/>
  <c r="O4" i="9"/>
  <c r="O4" i="11" s="1"/>
  <c r="K10" i="12" a="1"/>
  <c r="K10" i="12" s="1"/>
  <c r="B10" i="12" a="1"/>
  <c r="B10" i="12" s="1"/>
  <c r="I10" i="12" a="1"/>
  <c r="I10" i="12" s="1"/>
  <c r="L10" i="12" a="1"/>
  <c r="L10" i="12" s="1"/>
  <c r="I3" i="12" a="1"/>
  <c r="I3" i="12" s="1"/>
  <c r="M3" i="12" a="1"/>
  <c r="M3" i="12" s="1"/>
  <c r="C3" i="12" a="1"/>
  <c r="C3" i="12" s="1"/>
  <c r="D3" i="12" a="1"/>
  <c r="D3" i="12" s="1"/>
  <c r="AB10" i="12" a="1"/>
  <c r="AB10" i="12" s="1"/>
  <c r="T10" i="12" a="1"/>
  <c r="T10" i="12" s="1"/>
  <c r="R10" i="12" a="1"/>
  <c r="R10" i="12" s="1"/>
  <c r="Q10" i="12" a="1"/>
  <c r="Q10" i="12" s="1"/>
  <c r="Y3" i="12" a="1"/>
  <c r="Y3" i="12" s="1"/>
  <c r="U3" i="12" a="1"/>
  <c r="U3" i="12" s="1"/>
  <c r="G3" i="12" a="1"/>
  <c r="G3" i="12" s="1"/>
  <c r="H3" i="12" a="1"/>
  <c r="H3" i="12" s="1"/>
  <c r="G5" i="12" a="1"/>
  <c r="G5" i="12" s="1"/>
  <c r="E10" i="12" a="1"/>
  <c r="E10" i="12" s="1"/>
  <c r="F10" i="12" a="1"/>
  <c r="F10" i="12" s="1"/>
  <c r="G10" i="12" a="1"/>
  <c r="G10" i="12" s="1"/>
  <c r="H10" i="12" a="1"/>
  <c r="H10" i="12" s="1"/>
  <c r="Z3" i="12" a="1"/>
  <c r="Z3" i="12" s="1"/>
  <c r="F3" i="12" a="1"/>
  <c r="F3" i="12" s="1"/>
  <c r="O3" i="12" a="1"/>
  <c r="O3" i="12" s="1"/>
  <c r="W10" i="12" a="1"/>
  <c r="W10" i="12" s="1"/>
  <c r="O10" i="12" a="1"/>
  <c r="O10" i="12" s="1"/>
  <c r="P10" i="12" a="1"/>
  <c r="P10" i="12" s="1"/>
  <c r="M10" i="12" a="1"/>
  <c r="M10" i="12" s="1"/>
  <c r="C14" i="5"/>
  <c r="Q3" i="12" a="1"/>
  <c r="Q3" i="12" s="1"/>
  <c r="N3" i="12" a="1"/>
  <c r="N3" i="12" s="1"/>
  <c r="S3" i="12" a="1"/>
  <c r="S3" i="12" s="1"/>
  <c r="T3" i="12" a="1"/>
  <c r="T3" i="12" s="1"/>
  <c r="B6" i="12" a="1"/>
  <c r="B6" i="12" s="1"/>
  <c r="N10" i="12" a="1"/>
  <c r="N10" i="12" s="1"/>
  <c r="X10" i="12" a="1"/>
  <c r="X10" i="12" s="1"/>
  <c r="U10" i="12" a="1"/>
  <c r="U10" i="12" s="1"/>
  <c r="V10" i="12" a="1"/>
  <c r="V10" i="12" s="1"/>
  <c r="B14" i="5"/>
  <c r="B3" i="12" a="1"/>
  <c r="B3" i="12" s="1"/>
  <c r="V3" i="12" a="1"/>
  <c r="V3" i="12" s="1"/>
  <c r="W3" i="12" a="1"/>
  <c r="W3" i="12" s="1"/>
  <c r="X3" i="12" a="1"/>
  <c r="X3" i="12" s="1"/>
  <c r="AF10" i="12" a="1"/>
  <c r="AF10" i="12" s="1"/>
  <c r="Y10" i="12" a="1"/>
  <c r="Y10" i="12" s="1"/>
  <c r="AD10" i="12" a="1"/>
  <c r="AD10"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B5" i="12" a="1"/>
  <c r="B5" i="12" s="1"/>
  <c r="V5" i="12" a="1"/>
  <c r="V5" i="12" s="1"/>
  <c r="F5" i="12" a="1"/>
  <c r="F5" i="12" s="1"/>
  <c r="O5" i="12" a="1"/>
  <c r="O5" i="12" s="1"/>
  <c r="AG11" i="12" a="1"/>
  <c r="AG11" i="12" s="1"/>
  <c r="J11" i="12" a="1"/>
  <c r="J11" i="12" s="1"/>
  <c r="I11" i="12" a="1"/>
  <c r="I11" i="12" s="1"/>
  <c r="L11" i="12" a="1"/>
  <c r="L11" i="12" s="1"/>
  <c r="AC5" i="12" a="1"/>
  <c r="AC5" i="12" s="1"/>
  <c r="H5" i="12" a="1"/>
  <c r="H5" i="12" s="1"/>
  <c r="M5" i="12" a="1"/>
  <c r="M5" i="12" s="1"/>
  <c r="S5" i="12" a="1"/>
  <c r="S5" i="12" s="1"/>
  <c r="F11" i="12" a="1"/>
  <c r="F11" i="12" s="1"/>
  <c r="S11" i="12" a="1"/>
  <c r="S11" i="12" s="1"/>
  <c r="R11" i="12" a="1"/>
  <c r="R11" i="12" s="1"/>
  <c r="Q11" i="12" a="1"/>
  <c r="Q11"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AF5" i="12" a="1"/>
  <c r="AF5" i="12" s="1"/>
  <c r="E5" i="12" a="1"/>
  <c r="E5" i="12" s="1"/>
  <c r="Z5" i="12" a="1"/>
  <c r="Z5" i="12" s="1"/>
  <c r="AA5" i="12" a="1"/>
  <c r="AA5" i="12" s="1"/>
  <c r="Y11" i="12" a="1"/>
  <c r="Y11" i="12" s="1"/>
  <c r="AC11" i="12" a="1"/>
  <c r="AC11" i="12" s="1"/>
  <c r="G11" i="12" a="1"/>
  <c r="G11" i="12" s="1"/>
  <c r="H11" i="12" a="1"/>
  <c r="H11" i="12" s="1"/>
  <c r="AA11" i="3"/>
  <c r="AA8" i="12" s="1"/>
  <c r="AB11" i="3"/>
  <c r="AB8" i="12" s="1"/>
  <c r="C11" i="3"/>
  <c r="C8" i="12" s="1"/>
  <c r="AF11" i="3"/>
  <c r="AF8" i="12" s="1"/>
  <c r="U11" i="3"/>
  <c r="U8" i="12" s="1"/>
  <c r="N11" i="3"/>
  <c r="N8" i="12" s="1"/>
  <c r="AD11" i="3"/>
  <c r="AD8" i="12" s="1"/>
  <c r="P11" i="3"/>
  <c r="P8" i="12" s="1"/>
  <c r="I11" i="3"/>
  <c r="I8" i="12" s="1"/>
  <c r="AG11" i="3"/>
  <c r="AG8" i="12" s="1"/>
  <c r="V11" i="3"/>
  <c r="V8"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T8" i="12" s="1"/>
  <c r="B14" i="12" a="1"/>
  <c r="B14" i="12" s="1"/>
  <c r="N11" i="12" a="1"/>
  <c r="N11" i="12" s="1"/>
  <c r="K11" i="12" a="1"/>
  <c r="K11" i="12" s="1"/>
  <c r="U11" i="12" a="1"/>
  <c r="U11"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B12" i="5"/>
  <c r="C5" i="12" a="1"/>
  <c r="C5" i="12" s="1"/>
  <c r="D15" i="5"/>
  <c r="D14" i="5"/>
  <c r="Z15" i="12" s="1"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G15" i="12" l="1"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H8" i="12" s="1"/>
  <c r="E11" i="3"/>
  <c r="E8" i="12" s="1"/>
  <c r="G11" i="3"/>
  <c r="G8" i="12" s="1"/>
  <c r="B11" i="3"/>
  <c r="B8" i="12" s="1"/>
  <c r="J11" i="3"/>
  <c r="J8" i="12" s="1"/>
  <c r="R11" i="3"/>
  <c r="R8" i="12" s="1"/>
  <c r="Z11" i="3"/>
  <c r="Z8" i="12" s="1"/>
  <c r="W11" i="3"/>
  <c r="W8" i="12" s="1"/>
  <c r="O11" i="3"/>
  <c r="O8" i="12" s="1"/>
  <c r="K11" i="3"/>
  <c r="K8" i="12" s="1"/>
  <c r="M11" i="3"/>
  <c r="M8" i="12" s="1"/>
  <c r="F11" i="3"/>
  <c r="F8" i="12" s="1"/>
  <c r="S11" i="3"/>
  <c r="S8" i="12" s="1"/>
  <c r="X11" i="3"/>
  <c r="X8" i="12" s="1"/>
  <c r="D11" i="3"/>
  <c r="D8" i="12" s="1"/>
  <c r="Q11" i="3"/>
  <c r="Q8" i="12" s="1"/>
  <c r="X15" i="12" a="1"/>
  <c r="X15" i="12" s="1"/>
  <c r="X16" i="12" s="1"/>
  <c r="Y11" i="3"/>
  <c r="Y8" i="12" s="1"/>
  <c r="AC11" i="3"/>
  <c r="AC8" i="12" s="1"/>
  <c r="AE11" i="3"/>
  <c r="AE8" i="12" s="1"/>
  <c r="L11" i="3"/>
  <c r="L8" i="12" s="1"/>
</calcChain>
</file>

<file path=xl/sharedStrings.xml><?xml version="1.0" encoding="utf-8"?>
<sst xmlns="http://schemas.openxmlformats.org/spreadsheetml/2006/main" count="1412" uniqueCount="1190">
  <si>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</si>
  <si>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</si>
  <si>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</si>
  <si>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</si>
  <si>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</si>
  <si>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</si>
  <si>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</si>
  <si>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</si>
  <si>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https://ens.dk/sites/ens.dk/files/Globalcooperation/technology_data_for_the_indonesian_power_sector_-_final.pdf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</si>
  <si>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</si>
  <si>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</si>
  <si>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</si>
  <si>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</si>
  <si>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</si>
  <si>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</si>
  <si>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</si>
  <si>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</si>
  <si>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</si>
  <si>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</si>
  <si>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Currency is in 2019 USD with start year 2019</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</si>
  <si>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</si>
  <si>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</si>
  <si>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</si>
  <si>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</si>
  <si>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</si>
  <si>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</si>
  <si>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2018 USD to 2019 USD</t>
  </si>
  <si>
    <t>2020 USD to 2019 USD</t>
  </si>
  <si>
    <t>Geothermal</t>
  </si>
  <si>
    <t>Coal - ultra supercritical</t>
  </si>
  <si>
    <r>
      <rPr>
        <b/>
        <sz val="6"/>
        <color theme="1"/>
        <rFont val="Times New Roman"/>
        <family val="1"/>
      </rPr>
      <t>Technology</t>
    </r>
  </si>
  <si>
    <r>
      <rPr>
        <b/>
        <sz val="6"/>
        <color theme="1"/>
        <rFont val="Times New Roman"/>
        <family val="1"/>
      </rPr>
      <t>Geothermal power plant - large system (flash or dry)</t>
    </r>
  </si>
  <si>
    <r>
      <rPr>
        <b/>
        <sz val="7"/>
        <color theme="1"/>
        <rFont val="Times New Roman"/>
        <family val="1"/>
      </rPr>
      <t>Technology</t>
    </r>
  </si>
  <si>
    <r>
      <rPr>
        <b/>
        <sz val="7"/>
        <color theme="1"/>
        <rFont val="Times New Roman"/>
        <family val="1"/>
      </rPr>
      <t>Ultra-supercritical coal power plant</t>
    </r>
  </si>
  <si>
    <r>
      <rPr>
        <b/>
        <sz val="6"/>
        <color theme="1"/>
        <rFont val="Times New Roman"/>
        <family val="1"/>
      </rPr>
      <t>Uncertainty (2020)</t>
    </r>
  </si>
  <si>
    <r>
      <rPr>
        <b/>
        <sz val="6"/>
        <color theme="1"/>
        <rFont val="Times New Roman"/>
        <family val="1"/>
      </rPr>
      <t>Uncertainty (2050)</t>
    </r>
  </si>
  <si>
    <r>
      <rPr>
        <b/>
        <sz val="6"/>
        <color theme="1"/>
        <rFont val="Times New Roman"/>
        <family val="1"/>
      </rPr>
      <t>Note</t>
    </r>
  </si>
  <si>
    <r>
      <rPr>
        <b/>
        <sz val="6"/>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</si>
  <si>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</si>
  <si>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</si>
  <si>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</si>
  <si>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</si>
  <si>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6"/>
        <color theme="1"/>
        <rFont val="Times New Roman"/>
        <family val="1"/>
      </rPr>
      <t>Energy/technical data</t>
    </r>
  </si>
  <si>
    <r>
      <rPr>
        <b/>
        <sz val="6"/>
        <color theme="1"/>
        <rFont val="Times New Roman"/>
        <family val="1"/>
      </rPr>
      <t>Lower</t>
    </r>
  </si>
  <si>
    <r>
      <rPr>
        <b/>
        <sz val="6"/>
        <color theme="1"/>
        <rFont val="Times New Roman"/>
        <family val="1"/>
      </rPr>
      <t>Upper</t>
    </r>
  </si>
  <si>
    <r>
      <rPr>
        <b/>
        <sz val="6"/>
        <color theme="1"/>
        <rFont val="Times New Roman"/>
        <family val="1"/>
      </rPr>
      <t>Lower</t>
    </r>
  </si>
  <si>
    <r>
      <rPr>
        <b/>
        <sz val="6"/>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</si>
  <si>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</si>
  <si>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</si>
  <si>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</si>
  <si>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</si>
  <si>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</si>
  <si>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</si>
  <si>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</si>
  <si>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</si>
  <si>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</si>
  <si>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</si>
  <si>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</si>
  <si>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</si>
  <si>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</si>
  <si>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</si>
  <si>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</si>
  <si>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</si>
  <si>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</si>
  <si>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</si>
  <si>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</si>
  <si>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</si>
  <si>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</si>
  <si>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</si>
  <si>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</si>
  <si>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</si>
  <si>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</si>
  <si>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</si>
  <si>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</si>
  <si>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</si>
  <si>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</si>
  <si>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</si>
  <si>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</si>
  <si>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</si>
  <si>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</si>
  <si>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6"/>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</si>
  <si>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</si>
  <si>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</si>
  <si>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</si>
  <si>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</si>
  <si>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</si>
  <si>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</si>
  <si>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</si>
  <si>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</si>
  <si>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</si>
  <si>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</si>
  <si>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</si>
  <si>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</si>
  <si>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</si>
  <si>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</si>
  <si>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</si>
  <si>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</si>
  <si>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</si>
  <si>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</si>
  <si>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</si>
  <si>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</si>
  <si>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</si>
  <si>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</si>
  <si>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</si>
  <si>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</si>
  <si>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</si>
  <si>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</si>
  <si>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</si>
  <si>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</si>
  <si>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</si>
  <si>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</si>
  <si>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</si>
  <si>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</si>
  <si>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</si>
  <si>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6"/>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</si>
  <si>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</si>
  <si>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</si>
  <si>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</si>
  <si>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</si>
  <si>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</si>
  <si>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</si>
  <si>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</si>
  <si>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</si>
  <si>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</si>
  <si>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</si>
  <si>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</si>
  <si>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</si>
  <si>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</si>
  <si>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</si>
  <si>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</si>
  <si>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</si>
  <si>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</si>
  <si>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</si>
  <si>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</si>
  <si>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</si>
  <si>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</si>
  <si>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</si>
  <si>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</si>
  <si>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</si>
  <si>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</si>
  <si>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</si>
  <si>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</si>
  <si>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</si>
  <si>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</si>
  <si>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</si>
  <si>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</si>
  <si>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</si>
  <si>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</si>
  <si>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</si>
  <si>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</si>
  <si>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</si>
  <si>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</si>
  <si>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</si>
  <si>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</si>
  <si>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</si>
  <si>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</si>
  <si>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</si>
  <si>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</si>
  <si>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</si>
  <si>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</si>
  <si>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</si>
  <si>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</si>
  <si>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</si>
  <si>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</si>
  <si>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</si>
  <si>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</si>
  <si>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</si>
  <si>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</si>
  <si>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</si>
  <si>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</si>
  <si>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</si>
  <si>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</si>
  <si>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</si>
  <si>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</si>
  <si>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</si>
  <si>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</si>
  <si>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</si>
  <si>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</si>
  <si>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</si>
  <si>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</si>
  <si>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</si>
  <si>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</si>
  <si>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</si>
  <si>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</si>
  <si>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</si>
  <si>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</si>
  <si>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6"/>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</si>
  <si>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</si>
  <si>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</si>
  <si>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B,D,E,F</t>
    </r>
  </si>
  <si>
    <r>
      <rPr>
        <sz val="6"/>
        <color theme="1"/>
        <rFont val="Times New Roman"/>
        <family val="1"/>
      </rPr>
      <t>1,2,3,4</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</si>
  <si>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</si>
  <si>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</si>
  <si>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</si>
  <si>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</si>
  <si>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</si>
  <si>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</si>
  <si>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</si>
  <si>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</si>
  <si>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B,D</t>
    </r>
  </si>
  <si>
    <r>
      <rPr>
        <sz val="6"/>
        <color theme="1"/>
        <rFont val="Times New Roman"/>
        <family val="1"/>
      </rPr>
      <t>1,4</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</si>
  <si>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</si>
  <si>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</si>
  <si>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</si>
  <si>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</si>
  <si>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B,D</t>
    </r>
  </si>
  <si>
    <r>
      <rPr>
        <sz val="6"/>
        <color theme="1"/>
        <rFont val="Times New Roman"/>
        <family val="1"/>
      </rPr>
      <t>1,4</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</si>
  <si>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</si>
  <si>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</si>
  <si>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</si>
  <si>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</si>
  <si>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</si>
  <si>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</si>
  <si>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</si>
  <si>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</si>
  <si>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</si>
  <si>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</si>
  <si>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</si>
  <si>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</si>
  <si>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r>
      <rPr>
        <b/>
        <sz val="6"/>
        <color theme="1"/>
        <rFont val="Times New Roman"/>
        <family val="1"/>
      </rPr>
      <t>Technology specific data</t>
    </r>
  </si>
  <si>
    <r>
      <rPr>
        <sz val="6"/>
        <color theme="1"/>
        <rFont val="Times New Roman"/>
        <family val="1"/>
      </rPr>
      <t>Exploration costs (M$/MWe)</t>
    </r>
  </si>
  <si>
    <r>
      <rPr>
        <sz val="6"/>
        <color theme="1"/>
        <rFont val="Times New Roman"/>
        <family val="1"/>
      </rPr>
      <t>Confirmation costs (M$/MWe)</t>
    </r>
  </si>
  <si>
    <t>Hydropower</t>
  </si>
  <si>
    <t>Coal - supercritical</t>
  </si>
  <si>
    <r>
      <rPr>
        <b/>
        <sz val="7"/>
        <color theme="1"/>
        <rFont val="Times New Roman"/>
        <family val="1"/>
      </rPr>
      <t>Technology</t>
    </r>
  </si>
  <si>
    <r>
      <rPr>
        <b/>
        <sz val="7"/>
        <color theme="1"/>
        <rFont val="Times New Roman"/>
        <family val="1"/>
      </rPr>
      <t>Hydro power plant - large system</t>
    </r>
  </si>
  <si>
    <r>
      <rPr>
        <b/>
        <sz val="7"/>
        <color theme="1"/>
        <rFont val="Times New Roman"/>
        <family val="1"/>
      </rPr>
      <t>Technology</t>
    </r>
  </si>
  <si>
    <r>
      <rPr>
        <b/>
        <sz val="7"/>
        <color theme="1"/>
        <rFont val="Times New Roman"/>
        <family val="1"/>
      </rPr>
      <t>Supercritical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</si>
  <si>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</si>
  <si>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</si>
  <si>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</si>
  <si>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</si>
  <si>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</si>
  <si>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</si>
  <si>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</si>
  <si>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</si>
  <si>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</si>
  <si>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</si>
  <si>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</si>
  <si>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</si>
  <si>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</si>
  <si>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</si>
  <si>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</si>
  <si>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1,8,10</t>
    </r>
  </si>
  <si>
    <r>
      <rPr>
        <sz val="7"/>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</si>
  <si>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</si>
  <si>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1,8,10</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</si>
  <si>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</si>
  <si>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</si>
  <si>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</si>
  <si>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</si>
  <si>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1,3,6,7</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</si>
  <si>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</si>
  <si>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</si>
  <si>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</si>
  <si>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7"/>
        <color theme="1"/>
        <rFont val="Times New Roman"/>
        <family val="1"/>
      </rPr>
      <t>1,3</t>
    </r>
  </si>
  <si>
    <r>
      <rPr>
        <sz val="6"/>
        <color theme="1"/>
        <rFont val="Times New Roman"/>
        <family val="1"/>
      </rPr>
      <t>Forced outage (%)</t>
    </r>
  </si>
  <si>
    <r>
      <rPr>
        <sz val="7"/>
        <color theme="1"/>
        <rFont val="Times New Roman"/>
        <family val="1"/>
      </rPr>
      <t>Forced outage (%)</t>
    </r>
  </si>
  <si>
    <r>
      <rPr>
        <sz val="7"/>
        <color theme="1"/>
        <rFont val="Times New Roman"/>
        <family val="1"/>
      </rPr>
      <t>A</t>
    </r>
  </si>
  <si>
    <r>
      <rPr>
        <sz val="6"/>
        <color theme="1"/>
        <rFont val="Times New Roman"/>
        <family val="1"/>
      </rPr>
      <t>Planned outage (weeks per year)</t>
    </r>
  </si>
  <si>
    <r>
      <rPr>
        <sz val="7"/>
        <color theme="1"/>
        <rFont val="Times New Roman"/>
        <family val="1"/>
      </rPr>
      <t>Planned outage (weeks per year)</t>
    </r>
  </si>
  <si>
    <r>
      <rPr>
        <sz val="7"/>
        <color theme="1"/>
        <rFont val="Times New Roman"/>
        <family val="1"/>
      </rPr>
      <t>A</t>
    </r>
  </si>
  <si>
    <r>
      <rPr>
        <sz val="6"/>
        <color theme="1"/>
        <rFont val="Times New Roman"/>
        <family val="1"/>
      </rPr>
      <t>Technical lifetime (years)</t>
    </r>
  </si>
  <si>
    <r>
      <rPr>
        <sz val="6"/>
        <color theme="1"/>
        <rFont val="Times New Roman"/>
        <family val="1"/>
      </rPr>
      <t>B</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</si>
  <si>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</si>
  <si>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</si>
  <si>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</si>
  <si>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A</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</si>
  <si>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</si>
  <si>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C</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</si>
  <si>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</si>
  <si>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</si>
  <si>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</si>
  <si>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</si>
  <si>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</si>
  <si>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</si>
  <si>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</si>
  <si>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</si>
  <si>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</si>
  <si>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</si>
  <si>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</si>
  <si>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2,12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</si>
  <si>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</si>
  <si>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</si>
  <si>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</si>
  <si>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</si>
  <si>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</si>
  <si>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</si>
  <si>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</si>
  <si>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</si>
  <si>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</si>
  <si>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6"/>
        <color theme="1"/>
        <rFont val="Times New Roman"/>
        <family val="1"/>
      </rPr>
      <t>2,12</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</si>
  <si>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</si>
  <si>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</si>
  <si>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</si>
  <si>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</si>
  <si>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</si>
  <si>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</si>
  <si>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</si>
  <si>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</si>
  <si>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</si>
  <si>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t>
    </r>
  </si>
  <si>
    <r>
      <rPr>
        <sz val="6"/>
        <color theme="1"/>
        <rFont val="Times New Roman"/>
        <family val="1"/>
      </rPr>
      <t>Ramping (% per minute)</t>
    </r>
  </si>
  <si>
    <r>
      <rPr>
        <sz val="7"/>
        <color theme="1"/>
        <rFont val="Times New Roman"/>
        <family val="1"/>
      </rPr>
      <t>Ramping (% per minute)</t>
    </r>
  </si>
  <si>
    <r>
      <rPr>
        <sz val="7"/>
        <color theme="1"/>
        <rFont val="Times New Roman"/>
        <family val="1"/>
      </rPr>
      <t>B</t>
    </r>
  </si>
  <si>
    <r>
      <rPr>
        <sz val="6"/>
        <color theme="1"/>
        <rFont val="Times New Roman"/>
        <family val="1"/>
      </rPr>
      <t>Minimum load (% of full load)</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</si>
  <si>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</si>
  <si>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</si>
  <si>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</si>
  <si>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7"/>
        <color theme="1"/>
        <rFont val="Times New Roman"/>
        <family val="1"/>
      </rPr>
      <t>Warm start-up time (hours)</t>
    </r>
  </si>
  <si>
    <r>
      <rPr>
        <sz val="7"/>
        <color theme="1"/>
        <rFont val="Times New Roman"/>
        <family val="1"/>
      </rPr>
      <t>B</t>
    </r>
  </si>
  <si>
    <r>
      <rPr>
        <sz val="6"/>
        <color theme="1"/>
        <rFont val="Times New Roman"/>
        <family val="1"/>
      </rPr>
      <t>Cold start-up time (hours)</t>
    </r>
  </si>
  <si>
    <r>
      <rPr>
        <sz val="7"/>
        <color theme="1"/>
        <rFont val="Times New Roman"/>
        <family val="1"/>
      </rPr>
      <t>Cold start-up time (hours)</t>
    </r>
  </si>
  <si>
    <r>
      <rPr>
        <sz val="7"/>
        <color theme="1"/>
        <rFont val="Times New Roman"/>
        <family val="1"/>
      </rPr>
      <t>B</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</si>
  <si>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</si>
  <si>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</si>
  <si>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</si>
  <si>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</si>
  <si>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F</t>
    </r>
  </si>
  <si>
    <r>
      <rPr>
        <sz val="7"/>
        <color theme="1"/>
        <rFont val="Times New Roman"/>
        <family val="1"/>
      </rPr>
      <t>2,4</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</si>
  <si>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</si>
  <si>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</si>
  <si>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C,D</t>
    </r>
  </si>
  <si>
    <r>
      <rPr>
        <sz val="7"/>
        <color theme="1"/>
        <rFont val="Times New Roman"/>
        <family val="1"/>
      </rPr>
      <t>2,4</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</si>
  <si>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</si>
  <si>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</si>
  <si>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D</t>
    </r>
  </si>
  <si>
    <r>
      <rPr>
        <sz val="7"/>
        <color theme="1"/>
        <rFont val="Times New Roman"/>
        <family val="1"/>
      </rPr>
      <t>2,4</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</si>
  <si>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</si>
  <si>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</si>
  <si>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</si>
  <si>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</si>
  <si>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</si>
  <si>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</si>
  <si>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</si>
  <si>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</si>
  <si>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</si>
  <si>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</si>
  <si>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</si>
  <si>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</si>
  <si>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</si>
  <si>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</si>
  <si>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</si>
  <si>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</si>
  <si>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</si>
  <si>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</si>
  <si>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</si>
  <si>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</si>
  <si>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</si>
  <si>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D,E,F</t>
    </r>
  </si>
  <si>
    <r>
      <rPr>
        <sz val="6"/>
        <color theme="1"/>
        <rFont val="Times New Roman"/>
        <family val="1"/>
      </rPr>
      <t>1,4,5,6,9</t>
    </r>
  </si>
  <si>
    <r>
      <rPr>
        <sz val="7"/>
        <color theme="1"/>
        <rFont val="Times New Roman"/>
        <family val="1"/>
      </rPr>
      <t>Nominal investment (M$/MWe)</t>
    </r>
  </si>
  <si>
    <r>
      <rPr>
        <sz val="7"/>
        <color theme="1"/>
        <rFont val="Times New Roman"/>
        <family val="1"/>
      </rPr>
      <t>E,G,H</t>
    </r>
  </si>
  <si>
    <r>
      <rPr>
        <sz val="7"/>
        <color theme="1"/>
        <rFont val="Times New Roman"/>
        <family val="1"/>
      </rPr>
      <t>1,3,6,7</t>
    </r>
  </si>
  <si>
    <r>
      <rPr>
        <sz val="6"/>
        <color theme="1"/>
        <rFont val="Times New Roman"/>
        <family val="1"/>
      </rPr>
      <t>- of which equipment</t>
    </r>
  </si>
  <si>
    <r>
      <rPr>
        <sz val="7"/>
        <color theme="1"/>
        <rFont val="Times New Roman"/>
        <family val="1"/>
      </rPr>
      <t>- of which equipment</t>
    </r>
  </si>
  <si>
    <r>
      <rPr>
        <sz val="6"/>
        <color theme="1"/>
        <rFont val="Times New Roman"/>
        <family val="1"/>
      </rPr>
      <t>- of which installation</t>
    </r>
  </si>
  <si>
    <r>
      <rPr>
        <sz val="7"/>
        <color theme="1"/>
        <rFont val="Times New Roman"/>
        <family val="1"/>
      </rPr>
      <t>- of which installation</t>
    </r>
  </si>
  <si>
    <r>
      <rPr>
        <sz val="6"/>
        <color theme="1"/>
        <rFont val="Times New Roman"/>
        <family val="1"/>
      </rPr>
      <t>Fixed O&amp;M  ($/MWe/year)</t>
    </r>
  </si>
  <si>
    <r>
      <rPr>
        <sz val="6"/>
        <color theme="1"/>
        <rFont val="Times New Roman"/>
        <family val="1"/>
      </rPr>
      <t>C</t>
    </r>
  </si>
  <si>
    <r>
      <rPr>
        <sz val="6"/>
        <color theme="1"/>
        <rFont val="Times New Roman"/>
        <family val="1"/>
      </rPr>
      <t>1,4,5,6</t>
    </r>
  </si>
  <si>
    <r>
      <rPr>
        <sz val="7"/>
        <color theme="1"/>
        <rFont val="Times New Roman"/>
        <family val="1"/>
      </rPr>
      <t>Fixed O&amp;M ($/MWe/year)</t>
    </r>
  </si>
  <si>
    <r>
      <rPr>
        <sz val="7"/>
        <color theme="1"/>
        <rFont val="Times New Roman"/>
        <family val="1"/>
      </rPr>
      <t>G</t>
    </r>
  </si>
  <si>
    <r>
      <rPr>
        <sz val="7"/>
        <color theme="1"/>
        <rFont val="Times New Roman"/>
        <family val="1"/>
      </rPr>
      <t>1,3,6,7</t>
    </r>
  </si>
  <si>
    <r>
      <rPr>
        <sz val="6"/>
        <color theme="1"/>
        <rFont val="Times New Roman"/>
        <family val="1"/>
      </rPr>
      <t>Variable O&amp;M  ($/MWh)</t>
    </r>
  </si>
  <si>
    <r>
      <rPr>
        <sz val="6"/>
        <color theme="1"/>
        <rFont val="Times New Roman"/>
        <family val="1"/>
      </rPr>
      <t>C</t>
    </r>
  </si>
  <si>
    <r>
      <rPr>
        <sz val="6"/>
        <color theme="1"/>
        <rFont val="Times New Roman"/>
        <family val="1"/>
      </rPr>
      <t>1,5</t>
    </r>
  </si>
  <si>
    <r>
      <rPr>
        <sz val="7"/>
        <color theme="1"/>
        <rFont val="Times New Roman"/>
        <family val="1"/>
      </rPr>
      <t>Variable O&amp;M ($/MWh)</t>
    </r>
  </si>
  <si>
    <r>
      <rPr>
        <sz val="7"/>
        <color theme="1"/>
        <rFont val="Times New Roman"/>
        <family val="1"/>
      </rPr>
      <t>G</t>
    </r>
  </si>
  <si>
    <r>
      <rPr>
        <sz val="7"/>
        <color theme="1"/>
        <rFont val="Times New Roman"/>
        <family val="1"/>
      </rPr>
      <t>1,3</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</si>
  <si>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</si>
  <si>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</si>
  <si>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</si>
  <si>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</si>
  <si>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</si>
  <si>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</si>
  <si>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</si>
  <si>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</si>
  <si>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Start-up costs ($/MWe/start-up)</t>
    </r>
  </si>
  <si>
    <t>Solar PV</t>
  </si>
  <si>
    <t>Coal - subcritical &amp; lignite</t>
  </si>
  <si>
    <r>
      <rPr>
        <b/>
        <sz val="7"/>
        <color theme="1"/>
        <rFont val="Times New Roman"/>
        <family val="1"/>
      </rPr>
      <t>Technology</t>
    </r>
  </si>
  <si>
    <r>
      <rPr>
        <b/>
        <sz val="7"/>
        <color theme="1"/>
        <rFont val="Times New Roman"/>
        <family val="1"/>
      </rPr>
      <t>Utility-scale Solar PV</t>
    </r>
  </si>
  <si>
    <r>
      <rPr>
        <b/>
        <sz val="7"/>
        <color theme="1"/>
        <rFont val="Times New Roman"/>
        <family val="1"/>
      </rPr>
      <t>Technology</t>
    </r>
  </si>
  <si>
    <r>
      <rPr>
        <b/>
        <sz val="7"/>
        <color theme="1"/>
        <rFont val="Times New Roman"/>
        <family val="1"/>
      </rPr>
      <t>Subcritical coal power plant</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</si>
  <si>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</si>
  <si>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</si>
  <si>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</si>
  <si>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</si>
  <si>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</si>
  <si>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</si>
  <si>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</si>
  <si>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</si>
  <si>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</si>
  <si>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b/>
        <sz val="7"/>
        <color theme="1"/>
        <rFont val="Times New Roman"/>
        <family val="1"/>
      </rPr>
      <t>Energy/technical data                                                                                                          Lower           Upper           Lower           Upper</t>
    </r>
  </si>
  <si>
    <r>
      <rPr>
        <sz val="7"/>
        <color theme="1"/>
        <rFont val="Times New Roman"/>
        <family val="1"/>
      </rPr>
      <t>Generating capacity a typical power plant (MWe)</t>
    </r>
  </si>
  <si>
    <r>
      <rPr>
        <sz val="7"/>
        <color theme="1"/>
        <rFont val="Times New Roman"/>
        <family val="1"/>
      </rPr>
      <t>C</t>
    </r>
  </si>
  <si>
    <r>
      <rPr>
        <sz val="7"/>
        <color theme="1"/>
        <rFont val="Times New Roman"/>
        <family val="1"/>
      </rPr>
      <t>Generating capacity for one unit (MWe)</t>
    </r>
  </si>
  <si>
    <r>
      <rPr>
        <sz val="7"/>
        <color theme="1"/>
        <rFont val="Times New Roman"/>
        <family val="1"/>
      </rPr>
      <t>Electricity efficiency, net (%), name plate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</si>
  <si>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</si>
  <si>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</si>
  <si>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</si>
  <si>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</si>
  <si>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Generating capacity for total power plant (MWe)</t>
    </r>
  </si>
  <si>
    <r>
      <rPr>
        <sz val="7"/>
        <color theme="1"/>
        <rFont val="Times New Roman"/>
        <family val="1"/>
      </rPr>
      <t>Electricity efficiency, net (%), annual average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</si>
  <si>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</si>
  <si>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</si>
  <si>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</si>
  <si>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A</t>
    </r>
  </si>
  <si>
    <r>
      <rPr>
        <sz val="7"/>
        <color theme="1"/>
        <rFont val="Times New Roman"/>
        <family val="1"/>
      </rPr>
      <t>Electricity efficiency, net (%), name plate</t>
    </r>
  </si>
  <si>
    <r>
      <rPr>
        <sz val="7"/>
        <color theme="1"/>
        <rFont val="Times New Roman"/>
        <family val="1"/>
      </rPr>
      <t>1,2,3</t>
    </r>
  </si>
  <si>
    <r>
      <rPr>
        <sz val="7"/>
        <color theme="1"/>
        <rFont val="Times New Roman"/>
        <family val="1"/>
      </rPr>
      <t>Forced outage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</si>
  <si>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</si>
  <si>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</si>
  <si>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</si>
  <si>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Electricity efficiency, net (%), annual average</t>
    </r>
  </si>
  <si>
    <r>
      <rPr>
        <sz val="7"/>
        <color theme="1"/>
        <rFont val="Times New Roman"/>
        <family val="1"/>
      </rPr>
      <t>1,2,3</t>
    </r>
  </si>
  <si>
    <r>
      <rPr>
        <sz val="7"/>
        <color theme="1"/>
        <rFont val="Times New Roman"/>
        <family val="1"/>
      </rPr>
      <t>Planned outage (weeks per year)</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</si>
  <si>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</si>
  <si>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</si>
  <si>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</si>
  <si>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Forced outage (%)</t>
    </r>
  </si>
  <si>
    <r>
      <rPr>
        <sz val="7"/>
        <color theme="1"/>
        <rFont val="Times New Roman"/>
        <family val="1"/>
      </rPr>
      <t>A</t>
    </r>
  </si>
  <si>
    <r>
      <rPr>
        <sz val="7"/>
        <color theme="1"/>
        <rFont val="Times New Roman"/>
        <family val="1"/>
      </rPr>
      <t>Technical lifetime (years)</t>
    </r>
  </si>
  <si>
    <r>
      <rPr>
        <sz val="7"/>
        <color theme="1"/>
        <rFont val="Times New Roman"/>
        <family val="1"/>
      </rPr>
      <t>1,6</t>
    </r>
  </si>
  <si>
    <r>
      <rPr>
        <sz val="7"/>
        <color theme="1"/>
        <rFont val="Times New Roman"/>
        <family val="1"/>
      </rPr>
      <t>Planned outage (weeks per year)</t>
    </r>
  </si>
  <si>
    <r>
      <rPr>
        <sz val="7"/>
        <color theme="1"/>
        <rFont val="Times New Roman"/>
        <family val="1"/>
      </rPr>
      <t>A</t>
    </r>
  </si>
  <si>
    <r>
      <rPr>
        <sz val="7"/>
        <color theme="1"/>
        <rFont val="Times New Roman"/>
        <family val="1"/>
      </rPr>
      <t>Construction time (years)</t>
    </r>
  </si>
  <si>
    <r>
      <rPr>
        <sz val="7"/>
        <color theme="1"/>
        <rFont val="Times New Roman"/>
        <family val="1"/>
      </rPr>
      <t>Technical lifetime (years)</t>
    </r>
  </si>
  <si>
    <r>
      <rPr>
        <sz val="7"/>
        <color theme="1"/>
        <rFont val="Times New Roman"/>
        <family val="1"/>
      </rPr>
      <t>Space requirement (1000 m</t>
    </r>
    <r>
      <rPr>
        <vertAlign val="superscript"/>
        <sz val="7"/>
        <color theme="1"/>
        <rFont val="Times New Roman"/>
        <family val="1"/>
      </rPr>
      <t>2</t>
    </r>
    <r>
      <rPr>
        <sz val="7"/>
        <color theme="1"/>
        <rFont val="Times New Roman"/>
        <family val="1"/>
      </rPr>
      <t>/MWp)</t>
    </r>
  </si>
  <si>
    <r>
      <rPr>
        <sz val="7"/>
        <color theme="1"/>
        <rFont val="Times New Roman"/>
        <family val="1"/>
      </rPr>
      <t>Construction time (years)</t>
    </r>
  </si>
  <si>
    <r>
      <rPr>
        <b/>
        <i/>
        <sz val="7"/>
        <color theme="1"/>
        <rFont val="Times New Roman"/>
        <family val="1"/>
      </rPr>
      <t>Additional data for non thermal plants</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</si>
  <si>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</si>
  <si>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</si>
  <si>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</si>
  <si>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</si>
  <si>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</si>
  <si>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</si>
  <si>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</si>
  <si>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</si>
  <si>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Capacity factor (%), theoretical</t>
    </r>
  </si>
  <si>
    <r>
      <rPr>
        <sz val="7"/>
        <color theme="1"/>
        <rFont val="Times New Roman"/>
        <family val="1"/>
      </rPr>
      <t>1,2</t>
    </r>
  </si>
  <si>
    <r>
      <rPr>
        <b/>
        <i/>
        <sz val="7"/>
        <color theme="1"/>
        <rFont val="Times New Roman"/>
        <family val="1"/>
      </rPr>
      <t>Additional data for non thermal plants</t>
    </r>
  </si>
  <si>
    <r>
      <rPr>
        <sz val="7"/>
        <color theme="1"/>
        <rFont val="Times New Roman"/>
        <family val="1"/>
      </rPr>
      <t>Capacity factor (%), incl. outages</t>
    </r>
  </si>
  <si>
    <r>
      <rPr>
        <sz val="7"/>
        <color theme="1"/>
        <rFont val="Times New Roman"/>
        <family val="1"/>
      </rPr>
      <t>1,2</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</si>
  <si>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</si>
  <si>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</si>
  <si>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</si>
  <si>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</si>
  <si>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</si>
  <si>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</si>
  <si>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</si>
  <si>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</si>
  <si>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</si>
  <si>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</si>
  <si>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</si>
  <si>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</si>
  <si>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</si>
  <si>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</si>
  <si>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</si>
  <si>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</si>
  <si>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</si>
  <si>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Ramping (% per minute)</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</si>
  <si>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</si>
  <si>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</si>
  <si>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</si>
  <si>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</si>
  <si>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</si>
  <si>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</si>
  <si>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</si>
  <si>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</si>
  <si>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b/>
        <sz val="7"/>
        <color theme="1"/>
        <rFont val="Times New Roman"/>
        <family val="1"/>
      </rPr>
      <t>Ramping configuration</t>
    </r>
  </si>
  <si>
    <r>
      <rPr>
        <sz val="7"/>
        <color theme="1"/>
        <rFont val="Times New Roman"/>
        <family val="1"/>
      </rPr>
      <t>Minimum load (% of full load)</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</si>
  <si>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</si>
  <si>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</si>
  <si>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</si>
  <si>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</si>
  <si>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</si>
  <si>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</si>
  <si>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</si>
  <si>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</si>
  <si>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Ramping (% per minute)</t>
    </r>
  </si>
  <si>
    <r>
      <rPr>
        <sz val="7"/>
        <color theme="1"/>
        <rFont val="Times New Roman"/>
        <family val="1"/>
      </rPr>
      <t>B</t>
    </r>
  </si>
  <si>
    <r>
      <rPr>
        <sz val="7"/>
        <color theme="1"/>
        <rFont val="Times New Roman"/>
        <family val="1"/>
      </rPr>
      <t>Warm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</si>
  <si>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</si>
  <si>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</si>
  <si>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</si>
  <si>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</si>
  <si>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</si>
  <si>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</si>
  <si>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</si>
  <si>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</si>
  <si>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Minimum load (% of full load)</t>
    </r>
  </si>
  <si>
    <r>
      <rPr>
        <sz val="7"/>
        <color theme="1"/>
        <rFont val="Times New Roman"/>
        <family val="1"/>
      </rPr>
      <t>A</t>
    </r>
  </si>
  <si>
    <r>
      <rPr>
        <sz val="7"/>
        <color theme="1"/>
        <rFont val="Times New Roman"/>
        <family val="1"/>
      </rPr>
      <t>Cold start-up time (hours)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</si>
  <si>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</si>
  <si>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</si>
  <si>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</si>
  <si>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</si>
  <si>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</si>
  <si>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</si>
  <si>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</si>
  <si>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B</t>
    </r>
  </si>
  <si>
    <r>
      <rPr>
        <sz val="7"/>
        <color theme="1"/>
        <rFont val="Times New Roman"/>
        <family val="1"/>
      </rPr>
      <t>Warm start-up time (hours)</t>
    </r>
  </si>
  <si>
    <r>
      <rPr>
        <sz val="7"/>
        <color theme="1"/>
        <rFont val="Times New Roman"/>
        <family val="1"/>
      </rPr>
      <t>B</t>
    </r>
  </si>
  <si>
    <r>
      <rPr>
        <b/>
        <sz val="7"/>
        <color theme="1"/>
        <rFont val="Times New Roman"/>
        <family val="1"/>
      </rPr>
      <t>Environment</t>
    </r>
  </si>
  <si>
    <r>
      <rPr>
        <sz val="7"/>
        <color theme="1"/>
        <rFont val="Times New Roman"/>
        <family val="1"/>
      </rPr>
      <t>Cold start-up time (hours)</t>
    </r>
  </si>
  <si>
    <r>
      <rPr>
        <sz val="7"/>
        <color theme="1"/>
        <rFont val="Times New Roman"/>
        <family val="1"/>
      </rPr>
      <t>B</t>
    </r>
  </si>
  <si>
    <r>
      <rPr>
        <sz val="7"/>
        <color theme="1"/>
        <rFont val="Times New Roman"/>
        <family val="1"/>
      </rPr>
      <t>PM 2.5 (gram per Nm</t>
    </r>
    <r>
      <rPr>
        <vertAlign val="superscript"/>
        <sz val="7"/>
        <color theme="1"/>
        <rFont val="Times New Roman"/>
        <family val="1"/>
      </rPr>
      <t>3</t>
    </r>
    <r>
      <rPr>
        <sz val="7"/>
        <color theme="1"/>
        <rFont val="Times New Roman"/>
        <family val="1"/>
      </rPr>
      <t>)</t>
    </r>
  </si>
  <si>
    <r>
      <rPr>
        <b/>
        <sz val="7"/>
        <color theme="1"/>
        <rFont val="Times New Roman"/>
        <family val="1"/>
      </rPr>
      <t>Environment</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</si>
  <si>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</si>
  <si>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</si>
  <si>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7"/>
        <color theme="1"/>
        <rFont val="Times New Roman"/>
        <family val="1"/>
      </rPr>
      <t>A,F</t>
    </r>
  </si>
  <si>
    <r>
      <rPr>
        <sz val="7"/>
        <color theme="1"/>
        <rFont val="Times New Roman"/>
        <family val="1"/>
      </rPr>
      <t>2,4</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</si>
  <si>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</si>
  <si>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</si>
  <si>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A,C,D</t>
    </r>
  </si>
  <si>
    <r>
      <rPr>
        <sz val="7"/>
        <color theme="1"/>
        <rFont val="Times New Roman"/>
        <family val="1"/>
      </rPr>
      <t>2,4</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</si>
  <si>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</si>
  <si>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</si>
  <si>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</si>
  <si>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2,4</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</si>
  <si>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</si>
  <si>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</si>
  <si>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b/>
        <sz val="7"/>
        <color theme="1"/>
        <rFont val="Times New Roman"/>
        <family val="1"/>
      </rPr>
      <t>Financial data</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</si>
  <si>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</si>
  <si>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Nominal investment (M$/MWe)</t>
    </r>
  </si>
  <si>
    <r>
      <rPr>
        <sz val="7"/>
        <color theme="1"/>
        <rFont val="Times New Roman"/>
        <family val="1"/>
      </rPr>
      <t>D,R,S</t>
    </r>
  </si>
  <si>
    <r>
      <rPr>
        <sz val="7"/>
        <color theme="1"/>
        <rFont val="Times New Roman"/>
        <family val="1"/>
      </rPr>
      <t>1,3,4</t>
    </r>
  </si>
  <si>
    <r>
      <rPr>
        <b/>
        <sz val="7"/>
        <color theme="1"/>
        <rFont val="Times New Roman"/>
        <family val="1"/>
      </rPr>
      <t>Financial data</t>
    </r>
  </si>
  <si>
    <r>
      <rPr>
        <sz val="7"/>
        <color theme="1"/>
        <rFont val="Times New Roman"/>
        <family val="1"/>
      </rPr>
      <t>- of which equipment</t>
    </r>
  </si>
  <si>
    <r>
      <rPr>
        <sz val="7"/>
        <color theme="1"/>
        <rFont val="Times New Roman"/>
        <family val="1"/>
      </rPr>
      <t>Nominal investment (M$/MWe)</t>
    </r>
  </si>
  <si>
    <r>
      <rPr>
        <sz val="7"/>
        <color theme="1"/>
        <rFont val="Times New Roman"/>
        <family val="1"/>
      </rPr>
      <t>E,H</t>
    </r>
  </si>
  <si>
    <r>
      <rPr>
        <sz val="7"/>
        <color theme="1"/>
        <rFont val="Times New Roman"/>
        <family val="1"/>
      </rPr>
      <t>1,3</t>
    </r>
  </si>
  <si>
    <r>
      <rPr>
        <sz val="7"/>
        <color theme="1"/>
        <rFont val="Times New Roman"/>
        <family val="1"/>
      </rPr>
      <t>- of which installation</t>
    </r>
  </si>
  <si>
    <r>
      <rPr>
        <sz val="7"/>
        <color theme="1"/>
        <rFont val="Times New Roman"/>
        <family val="1"/>
      </rPr>
      <t>- of which equipment</t>
    </r>
  </si>
  <si>
    <r>
      <rPr>
        <sz val="7"/>
        <color theme="1"/>
        <rFont val="Times New Roman"/>
        <family val="1"/>
      </rPr>
      <t>Fixed O&amp;M ($/MWe/year)</t>
    </r>
  </si>
  <si>
    <r>
      <rPr>
        <sz val="7"/>
        <color theme="1"/>
        <rFont val="Arial"/>
        <family val="2"/>
      </rPr>
      <t>E,Q</t>
    </r>
  </si>
  <si>
    <r>
      <rPr>
        <sz val="7"/>
        <color theme="1"/>
        <rFont val="Times New Roman"/>
        <family val="1"/>
      </rPr>
      <t>5,6</t>
    </r>
  </si>
  <si>
    <r>
      <rPr>
        <sz val="7"/>
        <color theme="1"/>
        <rFont val="Times New Roman"/>
        <family val="1"/>
      </rPr>
      <t>- of which installation</t>
    </r>
  </si>
  <si>
    <r>
      <rPr>
        <sz val="7"/>
        <color theme="1"/>
        <rFont val="Times New Roman"/>
        <family val="1"/>
      </rPr>
      <t>Variable O&amp;M ($/MWh)</t>
    </r>
  </si>
  <si>
    <r>
      <rPr>
        <sz val="7"/>
        <color theme="1"/>
        <rFont val="Times New Roman"/>
        <family val="1"/>
      </rPr>
      <t>Fixed O&amp;M ($/MWe/year)</t>
    </r>
  </si>
  <si>
    <r>
      <rPr>
        <sz val="7"/>
        <color theme="1"/>
        <rFont val="Times New Roman"/>
        <family val="1"/>
      </rPr>
      <t>G</t>
    </r>
  </si>
  <si>
    <r>
      <rPr>
        <sz val="7"/>
        <color theme="1"/>
        <rFont val="Times New Roman"/>
        <family val="1"/>
      </rPr>
      <t>1,3</t>
    </r>
  </si>
  <si>
    <r>
      <rPr>
        <sz val="7"/>
        <color theme="1"/>
        <rFont val="Times New Roman"/>
        <family val="1"/>
      </rPr>
      <t>Start-up costs ($/MWe/start-up)</t>
    </r>
  </si>
  <si>
    <r>
      <rPr>
        <sz val="7"/>
        <color theme="1"/>
        <rFont val="Times New Roman"/>
        <family val="1"/>
      </rPr>
      <t>Variable O&amp;M ($/MWh)</t>
    </r>
  </si>
  <si>
    <r>
      <rPr>
        <sz val="7"/>
        <color theme="1"/>
        <rFont val="Times New Roman"/>
        <family val="1"/>
      </rPr>
      <t>G</t>
    </r>
  </si>
  <si>
    <r>
      <rPr>
        <sz val="7"/>
        <color theme="1"/>
        <rFont val="Times New Roman"/>
        <family val="1"/>
      </rPr>
      <t>1,3</t>
    </r>
  </si>
  <si>
    <r>
      <rPr>
        <b/>
        <sz val="7"/>
        <color theme="1"/>
        <rFont val="Times New Roman"/>
        <family val="1"/>
      </rPr>
      <t>Technology specific data</t>
    </r>
  </si>
  <si>
    <r>
      <rPr>
        <sz val="7"/>
        <color theme="1"/>
        <rFont val="Times New Roman"/>
        <family val="1"/>
      </rPr>
      <t>Start-up costs ($/MWe/start-up)</t>
    </r>
  </si>
  <si>
    <r>
      <rPr>
        <sz val="7"/>
        <color theme="1"/>
        <rFont val="Times New Roman"/>
        <family val="1"/>
      </rPr>
      <t>Global horizontal irradiance (kWh/m2/y)</t>
    </r>
  </si>
  <si>
    <r>
      <rPr>
        <sz val="7"/>
        <color theme="1"/>
        <rFont val="Times New Roman"/>
        <family val="1"/>
      </rPr>
      <t>F</t>
    </r>
  </si>
  <si>
    <r>
      <rPr>
        <sz val="7"/>
        <color theme="1"/>
        <rFont val="Times New Roman"/>
        <family val="1"/>
      </rPr>
      <t>DC/AC sizing factor (Wp/W)</t>
    </r>
  </si>
  <si>
    <r>
      <rPr>
        <sz val="7"/>
        <color theme="1"/>
        <rFont val="Times New Roman"/>
        <family val="1"/>
      </rPr>
      <t>G</t>
    </r>
  </si>
  <si>
    <r>
      <rPr>
        <sz val="7"/>
        <color theme="1"/>
        <rFont val="Times New Roman"/>
        <family val="1"/>
      </rPr>
      <t>Transposition Factor for fixed tilt system</t>
    </r>
  </si>
  <si>
    <r>
      <rPr>
        <sz val="7"/>
        <color theme="1"/>
        <rFont val="Times New Roman"/>
        <family val="1"/>
      </rPr>
      <t>H</t>
    </r>
  </si>
  <si>
    <r>
      <rPr>
        <sz val="7"/>
        <color theme="1"/>
        <rFont val="Times New Roman"/>
        <family val="1"/>
      </rPr>
      <t>Performance ratio [-]</t>
    </r>
  </si>
  <si>
    <r>
      <rPr>
        <sz val="7"/>
        <color theme="1"/>
        <rFont val="Times New Roman"/>
        <family val="1"/>
      </rPr>
      <t>I</t>
    </r>
  </si>
  <si>
    <r>
      <rPr>
        <sz val="7"/>
        <color theme="1"/>
        <rFont val="Times New Roman"/>
        <family val="1"/>
      </rPr>
      <t>PV module conversion efficiency (%)</t>
    </r>
  </si>
  <si>
    <r>
      <rPr>
        <sz val="7"/>
        <color theme="1"/>
        <rFont val="Times New Roman"/>
        <family val="1"/>
      </rPr>
      <t>Inverter lifetime (years)</t>
    </r>
  </si>
  <si>
    <r>
      <rPr>
        <b/>
        <sz val="7"/>
        <color theme="1"/>
        <rFont val="Times New Roman"/>
        <family val="1"/>
      </rPr>
      <t>Output</t>
    </r>
  </si>
  <si>
    <r>
      <rPr>
        <sz val="7"/>
        <color theme="1"/>
        <rFont val="Times New Roman"/>
        <family val="1"/>
      </rPr>
      <t>Full load hours (kWh/kW)</t>
    </r>
  </si>
  <si>
    <r>
      <rPr>
        <sz val="7"/>
        <color theme="1"/>
        <rFont val="Times New Roman"/>
        <family val="1"/>
      </rPr>
      <t>J, L</t>
    </r>
  </si>
  <si>
    <r>
      <rPr>
        <sz val="7"/>
        <color theme="1"/>
        <rFont val="Times New Roman"/>
        <family val="1"/>
      </rPr>
      <t>Peak power full load hours (kWh/kWp)</t>
    </r>
  </si>
  <si>
    <r>
      <rPr>
        <sz val="7"/>
        <color theme="1"/>
        <rFont val="Times New Roman"/>
        <family val="1"/>
      </rPr>
      <t>K, L</t>
    </r>
  </si>
  <si>
    <r>
      <rPr>
        <b/>
        <sz val="7"/>
        <color theme="1"/>
        <rFont val="Times New Roman"/>
        <family val="1"/>
      </rPr>
      <t>Financial data</t>
    </r>
  </si>
  <si>
    <r>
      <rPr>
        <sz val="7"/>
        <color theme="1"/>
        <rFont val="Times New Roman"/>
        <family val="1"/>
      </rPr>
      <t>PV module &amp; inverter cost ($/Wp)</t>
    </r>
  </si>
  <si>
    <r>
      <rPr>
        <sz val="7"/>
        <color theme="1"/>
        <rFont val="Times New Roman"/>
        <family val="1"/>
      </rPr>
      <t>Balance Of Plant cost ($/Wp)</t>
    </r>
  </si>
  <si>
    <r>
      <rPr>
        <sz val="7"/>
        <color theme="1"/>
        <rFont val="Times New Roman"/>
        <family val="1"/>
      </rPr>
      <t>Specific investment, total system ($/Wp)</t>
    </r>
  </si>
  <si>
    <r>
      <rPr>
        <sz val="7"/>
        <color theme="1"/>
        <rFont val="Times New Roman"/>
        <family val="1"/>
      </rPr>
      <t>M</t>
    </r>
  </si>
  <si>
    <r>
      <rPr>
        <sz val="7"/>
        <color theme="1"/>
        <rFont val="Times New Roman"/>
        <family val="1"/>
      </rPr>
      <t>5,6,9</t>
    </r>
  </si>
  <si>
    <r>
      <rPr>
        <sz val="7"/>
        <color theme="1"/>
        <rFont val="Times New Roman"/>
        <family val="1"/>
      </rPr>
      <t>Specific investment, total system (M$/MW)</t>
    </r>
  </si>
  <si>
    <r>
      <rPr>
        <sz val="7"/>
        <color theme="1"/>
        <rFont val="Times New Roman"/>
        <family val="1"/>
      </rPr>
      <t>P</t>
    </r>
  </si>
  <si>
    <t>Wind - onshore</t>
  </si>
  <si>
    <t>Natural gas non peaker</t>
  </si>
  <si>
    <r>
      <rPr>
        <b/>
        <sz val="7"/>
        <color theme="1"/>
        <rFont val="Times New Roman"/>
        <family val="1"/>
      </rPr>
      <t>Technology</t>
    </r>
  </si>
  <si>
    <r>
      <rPr>
        <b/>
        <sz val="7"/>
        <color theme="1"/>
        <rFont val="Times New Roman"/>
        <family val="1"/>
      </rPr>
      <t>Wind power - Onshore</t>
    </r>
  </si>
  <si>
    <r>
      <rPr>
        <b/>
        <sz val="7"/>
        <color theme="1"/>
        <rFont val="Times New Roman"/>
        <family val="1"/>
      </rPr>
      <t>Technology</t>
    </r>
  </si>
  <si>
    <r>
      <rPr>
        <b/>
        <sz val="7"/>
        <color theme="1"/>
        <rFont val="Times New Roman"/>
        <family val="1"/>
      </rPr>
      <t>Simple Cycle Gas Turbine - large system</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</si>
  <si>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</si>
  <si>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</si>
  <si>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</si>
  <si>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</si>
  <si>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</si>
  <si>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</si>
  <si>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</si>
  <si>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</si>
  <si>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</si>
  <si>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</si>
  <si>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</si>
  <si>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</si>
  <si>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</si>
  <si>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</si>
  <si>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</si>
  <si>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</si>
  <si>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</si>
  <si>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</si>
  <si>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</si>
  <si>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</si>
  <si>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</si>
  <si>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</si>
  <si>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</si>
  <si>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</si>
  <si>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</si>
  <si>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1,2</t>
    </r>
  </si>
  <si>
    <r>
      <rPr>
        <sz val="6"/>
        <color theme="1"/>
        <rFont val="Times New Roman"/>
        <family val="1"/>
      </rPr>
      <t>Electricity efficiency, net (%), annual average</t>
    </r>
  </si>
  <si>
    <r>
      <rPr>
        <sz val="7"/>
        <color theme="1"/>
        <rFont val="Times New Roman"/>
        <family val="1"/>
      </rPr>
      <t>Electricity efficiency, net (%), annual average</t>
    </r>
  </si>
  <si>
    <r>
      <rPr>
        <sz val="7"/>
        <color theme="1"/>
        <rFont val="Times New Roman"/>
        <family val="1"/>
      </rPr>
      <t>1,2</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</si>
  <si>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</si>
  <si>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</si>
  <si>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</si>
  <si>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</si>
  <si>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</si>
  <si>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</si>
  <si>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</si>
  <si>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</si>
  <si>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7"/>
        <color theme="1"/>
        <rFont val="Times New Roman"/>
        <family val="1"/>
      </rPr>
      <t>B</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</si>
  <si>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</si>
  <si>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</si>
  <si>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sz val="7"/>
        <color theme="1"/>
        <rFont val="Times New Roman"/>
        <family val="1"/>
      </rPr>
      <t>B</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</si>
  <si>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</si>
  <si>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</si>
  <si>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</si>
  <si>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</si>
  <si>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</si>
  <si>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</si>
  <si>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</si>
  <si>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</si>
  <si>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</si>
  <si>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</si>
  <si>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</si>
  <si>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</si>
  <si>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</si>
  <si>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</si>
  <si>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</si>
  <si>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</si>
  <si>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</si>
  <si>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</si>
  <si>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</si>
  <si>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</si>
  <si>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</si>
  <si>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</si>
  <si>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</si>
  <si>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</si>
  <si>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</si>
  <si>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</si>
  <si>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</si>
  <si>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</si>
  <si>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</si>
  <si>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</si>
  <si>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7"/>
        <color theme="1"/>
        <rFont val="Times New Roman"/>
        <family val="1"/>
      </rPr>
      <t>3,8</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</si>
  <si>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</si>
  <si>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</si>
  <si>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</si>
  <si>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</si>
  <si>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</si>
  <si>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</si>
  <si>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A</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</si>
  <si>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</si>
  <si>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</si>
  <si>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</si>
  <si>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</si>
  <si>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</si>
  <si>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</si>
  <si>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</si>
  <si>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</si>
  <si>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</si>
  <si>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</si>
  <si>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b/>
        <sz val="7"/>
        <color theme="1"/>
        <rFont val="Times New Roman"/>
        <family val="1"/>
      </rPr>
      <t>Environment</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</si>
  <si>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</si>
  <si>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</si>
  <si>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</si>
  <si>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</si>
  <si>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</si>
  <si>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</si>
  <si>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</si>
  <si>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</si>
  <si>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</si>
  <si>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</si>
  <si>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</si>
  <si>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</si>
  <si>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</si>
  <si>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</si>
  <si>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</si>
  <si>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7"/>
        <color theme="1"/>
        <rFont val="Times New Roman"/>
        <family val="1"/>
      </rPr>
      <t>A,D</t>
    </r>
  </si>
  <si>
    <r>
      <rPr>
        <sz val="7"/>
        <color theme="1"/>
        <rFont val="Times New Roman"/>
        <family val="1"/>
      </rPr>
      <t>3,7</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</si>
  <si>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</si>
  <si>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</si>
  <si>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</si>
  <si>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</si>
  <si>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</si>
  <si>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</si>
  <si>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</si>
  <si>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</si>
  <si>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</si>
  <si>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</si>
  <si>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</si>
  <si>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</si>
  <si>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</si>
  <si>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</si>
  <si>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</si>
  <si>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</si>
  <si>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</si>
  <si>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</si>
  <si>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</si>
  <si>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</si>
  <si>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</si>
  <si>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</si>
  <si>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(M$/MWe)</t>
    </r>
  </si>
  <si>
    <r>
      <rPr>
        <sz val="7"/>
        <color theme="1"/>
        <rFont val="Times New Roman"/>
        <family val="1"/>
      </rPr>
      <t>F,G,H</t>
    </r>
  </si>
  <si>
    <r>
      <rPr>
        <sz val="7"/>
        <color theme="1"/>
        <rFont val="Times New Roman"/>
        <family val="1"/>
      </rPr>
      <t>1-5</t>
    </r>
  </si>
  <si>
    <r>
      <rPr>
        <sz val="6"/>
        <color theme="1"/>
        <rFont val="Times New Roman"/>
        <family val="1"/>
      </rPr>
      <t>- of which equipment</t>
    </r>
  </si>
  <si>
    <r>
      <rPr>
        <sz val="6"/>
        <color theme="1"/>
        <rFont val="Times New Roman"/>
        <family val="1"/>
      </rPr>
      <t>C</t>
    </r>
  </si>
  <si>
    <r>
      <rPr>
        <sz val="6"/>
        <color theme="1"/>
        <rFont val="Times New Roman"/>
        <family val="1"/>
      </rPr>
      <t>2, 3</t>
    </r>
  </si>
  <si>
    <r>
      <rPr>
        <sz val="7"/>
        <color theme="1"/>
        <rFont val="Times New Roman"/>
        <family val="1"/>
      </rPr>
      <t>- of which equipment (%)</t>
    </r>
  </si>
  <si>
    <r>
      <rPr>
        <sz val="6"/>
        <color theme="1"/>
        <rFont val="Times New Roman"/>
        <family val="1"/>
      </rPr>
      <t>- of which installation</t>
    </r>
  </si>
  <si>
    <r>
      <rPr>
        <sz val="6"/>
        <color theme="1"/>
        <rFont val="Times New Roman"/>
        <family val="1"/>
      </rPr>
      <t>C</t>
    </r>
  </si>
  <si>
    <r>
      <rPr>
        <sz val="6"/>
        <color theme="1"/>
        <rFont val="Times New Roman"/>
        <family val="1"/>
      </rPr>
      <t>2, 3</t>
    </r>
  </si>
  <si>
    <r>
      <rPr>
        <sz val="7"/>
        <color theme="1"/>
        <rFont val="Times New Roman"/>
        <family val="1"/>
      </rPr>
      <t>- of which installation (%)</t>
    </r>
  </si>
  <si>
    <r>
      <rPr>
        <sz val="6"/>
        <color theme="1"/>
        <rFont val="Times New Roman"/>
        <family val="1"/>
      </rPr>
      <t>Fixed O&amp;M ($/MWe/year)</t>
    </r>
  </si>
  <si>
    <r>
      <rPr>
        <sz val="7"/>
        <color theme="1"/>
        <rFont val="Times New Roman"/>
        <family val="1"/>
      </rPr>
      <t>Fixed O&amp;M ($/MWe/year)</t>
    </r>
  </si>
  <si>
    <r>
      <rPr>
        <sz val="7"/>
        <color theme="1"/>
        <rFont val="Times New Roman"/>
        <family val="1"/>
      </rPr>
      <t>B</t>
    </r>
  </si>
  <si>
    <r>
      <rPr>
        <sz val="7"/>
        <color theme="1"/>
        <rFont val="Times New Roman"/>
        <family val="1"/>
      </rPr>
      <t>1-5</t>
    </r>
  </si>
  <si>
    <r>
      <rPr>
        <sz val="6"/>
        <color theme="1"/>
        <rFont val="Times New Roman"/>
        <family val="1"/>
      </rPr>
      <t>Variable O&amp;M ($/MWh)</t>
    </r>
  </si>
  <si>
    <r>
      <rPr>
        <sz val="7"/>
        <color theme="1"/>
        <rFont val="Times New Roman"/>
        <family val="1"/>
      </rPr>
      <t>Variable O&amp;M ($/MWh)</t>
    </r>
  </si>
  <si>
    <r>
      <rPr>
        <sz val="6"/>
        <color theme="1"/>
        <rFont val="Times New Roman"/>
        <family val="1"/>
      </rPr>
      <t>Start-up costs ($/MWe/start-up)</t>
    </r>
  </si>
  <si>
    <r>
      <rPr>
        <sz val="7"/>
        <color theme="1"/>
        <rFont val="Times New Roman"/>
        <family val="1"/>
      </rPr>
      <t>Start-up costs ($/MWe/start-up)</t>
    </r>
  </si>
  <si>
    <r>
      <rPr>
        <sz val="7"/>
        <color theme="1"/>
        <rFont val="Times New Roman"/>
        <family val="1"/>
      </rPr>
      <t>B</t>
    </r>
  </si>
  <si>
    <t>Wind - offshore</t>
  </si>
  <si>
    <t>MSW</t>
  </si>
  <si>
    <r>
      <rPr>
        <b/>
        <sz val="7"/>
        <color theme="1"/>
        <rFont val="Times New Roman"/>
        <family val="1"/>
      </rPr>
      <t>Technology</t>
    </r>
  </si>
  <si>
    <r>
      <rPr>
        <b/>
        <sz val="7"/>
        <color theme="1"/>
        <rFont val="Times New Roman"/>
        <family val="1"/>
      </rPr>
      <t>Wind power - Offshore</t>
    </r>
  </si>
  <si>
    <r>
      <rPr>
        <b/>
        <sz val="8"/>
        <color theme="1"/>
        <rFont val="Times New Roman"/>
        <family val="1"/>
      </rPr>
      <t>Technology</t>
    </r>
  </si>
  <si>
    <r>
      <rPr>
        <b/>
        <sz val="8"/>
        <color theme="1"/>
        <rFont val="Times New Roman"/>
        <family val="1"/>
      </rPr>
      <t>Incineration Power Plant - Municipal Solid Waste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</si>
  <si>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</si>
  <si>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</si>
  <si>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</si>
  <si>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</si>
  <si>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8"/>
        <color theme="1"/>
        <rFont val="Times New Roman"/>
        <family val="1"/>
      </rPr>
      <t>Uncertainty (2020)</t>
    </r>
  </si>
  <si>
    <r>
      <rPr>
        <b/>
        <sz val="8"/>
        <color theme="1"/>
        <rFont val="Times New Roman"/>
        <family val="1"/>
      </rPr>
      <t>Uncertainty (2050)</t>
    </r>
  </si>
  <si>
    <r>
      <rPr>
        <b/>
        <sz val="8"/>
        <color theme="1"/>
        <rFont val="Times New Roman"/>
        <family val="1"/>
      </rPr>
      <t>Note</t>
    </r>
  </si>
  <si>
    <r>
      <rPr>
        <b/>
        <sz val="8"/>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</si>
  <si>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</si>
  <si>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</si>
  <si>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</si>
  <si>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</si>
  <si>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</si>
  <si>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8"/>
        <color theme="1"/>
        <rFont val="Times New Roman"/>
        <family val="1"/>
      </rPr>
      <t>Energy/technical data</t>
    </r>
  </si>
  <si>
    <r>
      <rPr>
        <b/>
        <sz val="8"/>
        <color theme="1"/>
        <rFont val="Times New Roman"/>
        <family val="1"/>
      </rPr>
      <t>Lower</t>
    </r>
  </si>
  <si>
    <r>
      <rPr>
        <b/>
        <sz val="8"/>
        <color theme="1"/>
        <rFont val="Times New Roman"/>
        <family val="1"/>
      </rPr>
      <t>Upper</t>
    </r>
  </si>
  <si>
    <r>
      <rPr>
        <b/>
        <sz val="8"/>
        <color theme="1"/>
        <rFont val="Times New Roman"/>
        <family val="1"/>
      </rPr>
      <t>Lower</t>
    </r>
  </si>
  <si>
    <r>
      <rPr>
        <b/>
        <sz val="8"/>
        <color theme="1"/>
        <rFont val="Times New Roman"/>
        <family val="1"/>
      </rPr>
      <t>Upper</t>
    </r>
  </si>
  <si>
    <r>
      <rPr>
        <sz val="6"/>
        <color theme="1"/>
        <rFont val="Times New Roman"/>
        <family val="1"/>
      </rPr>
      <t>Generating capacity for one unit (MWe)</t>
    </r>
  </si>
  <si>
    <r>
      <rPr>
        <sz val="7"/>
        <color theme="1"/>
        <rFont val="Times New Roman"/>
        <family val="1"/>
      </rPr>
      <t>Generating capacity for one unit (MWe)</t>
    </r>
  </si>
  <si>
    <r>
      <rPr>
        <sz val="6"/>
        <color theme="1"/>
        <rFont val="Times New Roman"/>
        <family val="1"/>
      </rPr>
      <t>Generating capacity for total power plant (MWe)</t>
    </r>
  </si>
  <si>
    <r>
      <rPr>
        <sz val="7"/>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</si>
  <si>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</si>
  <si>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A</t>
    </r>
  </si>
  <si>
    <r>
      <rPr>
        <sz val="7"/>
        <color theme="1"/>
        <rFont val="Times New Roman"/>
        <family val="1"/>
      </rPr>
      <t>Electricity efficiency, net (%), name plate</t>
    </r>
  </si>
  <si>
    <r>
      <rPr>
        <sz val="7"/>
        <color theme="1"/>
        <rFont val="Times New Roman"/>
        <family val="1"/>
      </rPr>
      <t>A</t>
    </r>
  </si>
  <si>
    <r>
      <rPr>
        <sz val="6"/>
        <color theme="1"/>
        <rFont val="Times New Roman"/>
        <family val="1"/>
      </rPr>
      <t>Electricity efficiency, net (%), annual average</t>
    </r>
  </si>
  <si>
    <r>
      <rPr>
        <sz val="6"/>
        <color theme="1"/>
        <rFont val="Times New Roman"/>
        <family val="1"/>
      </rPr>
      <t>A</t>
    </r>
  </si>
  <si>
    <r>
      <rPr>
        <sz val="7"/>
        <color theme="1"/>
        <rFont val="Times New Roman"/>
        <family val="1"/>
      </rPr>
      <t>Electricity efficiency, net (%), annual average</t>
    </r>
  </si>
  <si>
    <r>
      <rPr>
        <sz val="6"/>
        <color theme="1"/>
        <rFont val="Times New Roman"/>
        <family val="1"/>
      </rPr>
      <t>Forced outage (%)</t>
    </r>
  </si>
  <si>
    <r>
      <rPr>
        <sz val="7"/>
        <color theme="1"/>
        <rFont val="Times New Roman"/>
        <family val="1"/>
      </rPr>
      <t>Forced outage (%)</t>
    </r>
  </si>
  <si>
    <r>
      <rPr>
        <sz val="6"/>
        <color theme="1"/>
        <rFont val="Times New Roman"/>
        <family val="1"/>
      </rPr>
      <t>Planned outage (weeks per year)</t>
    </r>
  </si>
  <si>
    <r>
      <rPr>
        <sz val="7"/>
        <color theme="1"/>
        <rFont val="Times New Roman"/>
        <family val="1"/>
      </rPr>
      <t>Planned outage (weeks per year)</t>
    </r>
  </si>
  <si>
    <r>
      <rPr>
        <sz val="6"/>
        <color theme="1"/>
        <rFont val="Times New Roman"/>
        <family val="1"/>
      </rPr>
      <t>Technical lifetime (years)</t>
    </r>
  </si>
  <si>
    <r>
      <rPr>
        <sz val="7"/>
        <color theme="1"/>
        <rFont val="Times New Roman"/>
        <family val="1"/>
      </rPr>
      <t>Technical lifetime (years)</t>
    </r>
  </si>
  <si>
    <r>
      <rPr>
        <sz val="6"/>
        <color theme="1"/>
        <rFont val="Times New Roman"/>
        <family val="1"/>
      </rPr>
      <t>Construction time (years)</t>
    </r>
  </si>
  <si>
    <r>
      <rPr>
        <sz val="7"/>
        <color theme="1"/>
        <rFont val="Times New Roman"/>
        <family val="1"/>
      </rPr>
      <t>Construction time (years)</t>
    </r>
  </si>
  <si>
    <r>
      <rPr>
        <sz val="6"/>
        <color theme="1"/>
        <rFont val="Times New Roman"/>
        <family val="1"/>
      </rPr>
      <t>Space requirement (1000 m</t>
    </r>
    <r>
      <rPr>
        <vertAlign val="superscript"/>
        <sz val="5"/>
        <color theme="1"/>
        <rFont val="Carlito"/>
      </rPr>
      <t>2</t>
    </r>
    <r>
      <rPr>
        <sz val="8"/>
        <color theme="1"/>
        <rFont val="Carlito"/>
      </rPr>
      <t>/MWe)</t>
    </r>
  </si>
  <si>
    <r>
      <rPr>
        <sz val="7"/>
        <color theme="1"/>
        <rFont val="Times New Roman"/>
        <family val="1"/>
      </rPr>
      <t>Space requirement (1000 m</t>
    </r>
    <r>
      <rPr>
        <vertAlign val="superscript"/>
        <sz val="7"/>
        <color theme="1"/>
        <rFont val="Times New Roman"/>
        <family val="1"/>
      </rPr>
      <t>2</t>
    </r>
    <r>
      <rPr>
        <sz val="7"/>
        <color theme="1"/>
        <rFont val="Times New Roman"/>
        <family val="1"/>
      </rPr>
      <t>/MWe)</t>
    </r>
  </si>
  <si>
    <r>
      <rPr>
        <b/>
        <i/>
        <sz val="7"/>
        <color theme="1"/>
        <rFont val="Times New Roman"/>
        <family val="1"/>
      </rPr>
      <t>Additional data for non thermal plants</t>
    </r>
  </si>
  <si>
    <r>
      <rPr>
        <b/>
        <i/>
        <sz val="8"/>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</si>
  <si>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</si>
  <si>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B</t>
    </r>
  </si>
  <si>
    <r>
      <rPr>
        <sz val="7"/>
        <color theme="1"/>
        <rFont val="Times New Roman"/>
        <family val="1"/>
      </rPr>
      <t>Capacity factor (%), theoretical</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</si>
  <si>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</si>
  <si>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</si>
  <si>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</si>
  <si>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</si>
  <si>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</si>
  <si>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</si>
  <si>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</si>
  <si>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6"/>
        <color theme="1"/>
        <rFont val="Times New Roman"/>
        <family val="1"/>
      </rPr>
      <t>Capacity factor (%), incl. outages</t>
    </r>
  </si>
  <si>
    <r>
      <rPr>
        <sz val="7"/>
        <color theme="1"/>
        <rFont val="Times New Roman"/>
        <family val="1"/>
      </rPr>
      <t>Capacity factor (%), incl. outages</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</si>
  <si>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</si>
  <si>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</si>
  <si>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</si>
  <si>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</si>
  <si>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</si>
  <si>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</si>
  <si>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sz val="7"/>
        <color theme="1"/>
        <rFont val="Times New Roman"/>
        <family val="1"/>
      </rPr>
      <t>-</t>
    </r>
  </si>
  <si>
    <r>
      <rPr>
        <b/>
        <sz val="7"/>
        <color theme="1"/>
        <rFont val="Times New Roman"/>
        <family val="1"/>
      </rPr>
      <t>Ramping configurations</t>
    </r>
  </si>
  <si>
    <r>
      <rPr>
        <b/>
        <sz val="8"/>
        <color theme="1"/>
        <rFont val="Times New Roman"/>
        <family val="1"/>
      </rPr>
      <t>Ramping configurations</t>
    </r>
  </si>
  <si>
    <r>
      <rPr>
        <sz val="6"/>
        <color theme="1"/>
        <rFont val="Times New Roman"/>
        <family val="1"/>
      </rPr>
      <t>Ramping (% per minute)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</si>
  <si>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</si>
  <si>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</si>
  <si>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</si>
  <si>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</si>
  <si>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Ramping (% per minute)</t>
    </r>
  </si>
  <si>
    <r>
      <rPr>
        <sz val="7"/>
        <color theme="1"/>
        <rFont val="Times New Roman"/>
        <family val="1"/>
      </rPr>
      <t>C</t>
    </r>
  </si>
  <si>
    <r>
      <rPr>
        <sz val="6"/>
        <color theme="1"/>
        <rFont val="Times New Roman"/>
        <family val="1"/>
      </rPr>
      <t>Minimum load (% of full load)</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</si>
  <si>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</si>
  <si>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</si>
  <si>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</si>
  <si>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F</t>
    </r>
  </si>
  <si>
    <r>
      <rPr>
        <sz val="7"/>
        <color theme="1"/>
        <rFont val="Times New Roman"/>
        <family val="1"/>
      </rPr>
      <t>Minimum load (% of full load)</t>
    </r>
  </si>
  <si>
    <r>
      <rPr>
        <sz val="7"/>
        <color theme="1"/>
        <rFont val="Times New Roman"/>
        <family val="1"/>
      </rPr>
      <t>C</t>
    </r>
  </si>
  <si>
    <r>
      <rPr>
        <sz val="6"/>
        <color theme="1"/>
        <rFont val="Times New Roman"/>
        <family val="1"/>
      </rPr>
      <t>Warm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</si>
  <si>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</si>
  <si>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</si>
  <si>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</si>
  <si>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Warm start-up time (hours)</t>
    </r>
  </si>
  <si>
    <r>
      <rPr>
        <sz val="7"/>
        <color theme="1"/>
        <rFont val="Times New Roman"/>
        <family val="1"/>
      </rPr>
      <t>C</t>
    </r>
  </si>
  <si>
    <r>
      <rPr>
        <sz val="6"/>
        <color theme="1"/>
        <rFont val="Times New Roman"/>
        <family val="1"/>
      </rPr>
      <t>Cold start-up time (hours)</t>
    </r>
  </si>
  <si>
    <r>
      <rPr>
        <sz val="6"/>
        <color theme="1"/>
        <rFont val="Times New Roman"/>
        <family val="1"/>
      </rPr>
      <t>-</t>
    </r>
  </si>
  <si>
    <r>
      <rPr>
        <sz val="6"/>
        <color theme="1"/>
        <rFont val="Times New Roman"/>
        <family val="1"/>
      </rPr>
      <t>-</t>
    </r>
  </si>
  <si>
    <r>
      <rPr>
        <sz val="6"/>
        <color theme="1"/>
        <rFont val="Times New Roman"/>
        <family val="1"/>
      </rPr>
      <t>-</t>
    </r>
  </si>
  <si>
    <r>
      <rPr>
        <sz val="7"/>
        <color theme="1"/>
        <rFont val="Times New Roman"/>
        <family val="1"/>
      </rPr>
      <t>Cold start-up time (hours)</t>
    </r>
  </si>
  <si>
    <r>
      <rPr>
        <sz val="7"/>
        <color theme="1"/>
        <rFont val="Times New Roman"/>
        <family val="1"/>
      </rPr>
      <t>C</t>
    </r>
  </si>
  <si>
    <r>
      <rPr>
        <b/>
        <sz val="7"/>
        <color theme="1"/>
        <rFont val="Times New Roman"/>
        <family val="1"/>
      </rPr>
      <t>Environment</t>
    </r>
  </si>
  <si>
    <r>
      <rPr>
        <b/>
        <sz val="8"/>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</si>
  <si>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</si>
  <si>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7"/>
        <color theme="1"/>
        <rFont val="Times New Roman"/>
        <family val="1"/>
      </rPr>
      <t>PM  2.5 (mg per Nm</t>
    </r>
    <r>
      <rPr>
        <vertAlign val="superscript"/>
        <sz val="7"/>
        <color theme="1"/>
        <rFont val="Times New Roman"/>
        <family val="1"/>
      </rPr>
      <t>3</t>
    </r>
    <r>
      <rPr>
        <sz val="7"/>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</si>
  <si>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</si>
  <si>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7"/>
        <color theme="1"/>
        <rFont val="Times New Roman"/>
        <family val="1"/>
      </rPr>
      <t>SO</t>
    </r>
    <r>
      <rPr>
        <vertAlign val="subscript"/>
        <sz val="7"/>
        <color theme="1"/>
        <rFont val="Times New Roman"/>
        <family val="1"/>
      </rPr>
      <t>2</t>
    </r>
    <r>
      <rPr>
        <sz val="7"/>
        <color theme="1"/>
        <rFont val="Times New Roman"/>
        <family val="1"/>
      </rPr>
      <t xml:space="preserve"> (degree of desulphuring, %)</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</si>
  <si>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</si>
  <si>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7"/>
        <color theme="1"/>
        <rFont val="Times New Roman"/>
        <family val="1"/>
      </rPr>
      <t>NO</t>
    </r>
    <r>
      <rPr>
        <vertAlign val="subscript"/>
        <sz val="7"/>
        <color theme="1"/>
        <rFont val="Times New Roman"/>
        <family val="1"/>
      </rPr>
      <t>X</t>
    </r>
    <r>
      <rPr>
        <sz val="7"/>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</si>
  <si>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</si>
  <si>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7"/>
        <color theme="1"/>
        <rFont val="Times New Roman"/>
        <family val="1"/>
      </rPr>
      <t>CH</t>
    </r>
    <r>
      <rPr>
        <vertAlign val="subscript"/>
        <sz val="7"/>
        <color theme="1"/>
        <rFont val="Times New Roman"/>
        <family val="1"/>
      </rPr>
      <t>4</t>
    </r>
    <r>
      <rPr>
        <sz val="7"/>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</si>
  <si>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</si>
  <si>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7"/>
        <color theme="1"/>
        <rFont val="Times New Roman"/>
        <family val="1"/>
      </rPr>
      <t>N</t>
    </r>
    <r>
      <rPr>
        <vertAlign val="subscript"/>
        <sz val="7"/>
        <color theme="1"/>
        <rFont val="Times New Roman"/>
        <family val="1"/>
      </rPr>
      <t>2</t>
    </r>
    <r>
      <rPr>
        <sz val="7"/>
        <color theme="1"/>
        <rFont val="Times New Roman"/>
        <family val="1"/>
      </rPr>
      <t>O (g per GJ fuel)</t>
    </r>
  </si>
  <si>
    <r>
      <rPr>
        <b/>
        <sz val="7"/>
        <color theme="1"/>
        <rFont val="Times New Roman"/>
        <family val="1"/>
      </rPr>
      <t>Financial data</t>
    </r>
  </si>
  <si>
    <r>
      <rPr>
        <b/>
        <sz val="8"/>
        <color theme="1"/>
        <rFont val="Times New Roman"/>
        <family val="1"/>
      </rPr>
      <t>Financial data</t>
    </r>
  </si>
  <si>
    <r>
      <rPr>
        <sz val="6"/>
        <color theme="1"/>
        <rFont val="Times New Roman"/>
        <family val="1"/>
      </rPr>
      <t>Nominal investment (M$/MWe)</t>
    </r>
  </si>
  <si>
    <r>
      <rPr>
        <sz val="6"/>
        <color theme="1"/>
        <rFont val="Times New Roman"/>
        <family val="1"/>
      </rPr>
      <t>D,G</t>
    </r>
  </si>
  <si>
    <r>
      <rPr>
        <sz val="7"/>
        <color theme="1"/>
        <rFont val="Times New Roman"/>
        <family val="1"/>
      </rPr>
      <t>Nominal investment ( million $/MWe)</t>
    </r>
  </si>
  <si>
    <r>
      <rPr>
        <sz val="7"/>
        <color theme="1"/>
        <rFont val="Times New Roman"/>
        <family val="1"/>
      </rPr>
      <t>C</t>
    </r>
  </si>
  <si>
    <r>
      <rPr>
        <sz val="6"/>
        <color theme="1"/>
        <rFont val="Times New Roman"/>
        <family val="1"/>
      </rPr>
      <t>- of which equipment</t>
    </r>
  </si>
  <si>
    <r>
      <rPr>
        <sz val="6"/>
        <color theme="1"/>
        <rFont val="Times New Roman"/>
        <family val="1"/>
      </rPr>
      <t>C</t>
    </r>
  </si>
  <si>
    <r>
      <rPr>
        <sz val="7"/>
        <color theme="1"/>
        <rFont val="Times New Roman"/>
        <family val="1"/>
      </rPr>
      <t>- of which equipment</t>
    </r>
  </si>
  <si>
    <r>
      <rPr>
        <sz val="6"/>
        <color theme="1"/>
        <rFont val="Times New Roman"/>
        <family val="1"/>
      </rPr>
      <t>- of which installation</t>
    </r>
  </si>
  <si>
    <r>
      <rPr>
        <sz val="6"/>
        <color theme="1"/>
        <rFont val="Times New Roman"/>
        <family val="1"/>
      </rPr>
      <t>C</t>
    </r>
  </si>
  <si>
    <r>
      <rPr>
        <sz val="7"/>
        <color theme="1"/>
        <rFont val="Times New Roman"/>
        <family val="1"/>
      </rPr>
      <t>- of which installation</t>
    </r>
  </si>
  <si>
    <r>
      <rPr>
        <sz val="6"/>
        <color theme="1"/>
        <rFont val="Times New Roman"/>
        <family val="1"/>
      </rPr>
      <t>Fixed O&amp;M ($/MWe/year)</t>
    </r>
  </si>
  <si>
    <r>
      <rPr>
        <sz val="7"/>
        <color theme="1"/>
        <rFont val="Times New Roman"/>
        <family val="1"/>
      </rPr>
      <t>Fixed O&amp;M  ($/MWe/year)</t>
    </r>
  </si>
  <si>
    <r>
      <rPr>
        <sz val="7"/>
        <color theme="1"/>
        <rFont val="Times New Roman"/>
        <family val="1"/>
      </rPr>
      <t>C</t>
    </r>
  </si>
  <si>
    <r>
      <rPr>
        <sz val="6"/>
        <color theme="1"/>
        <rFont val="Times New Roman"/>
        <family val="1"/>
      </rPr>
      <t>Variable O&amp;M ($/MWh)</t>
    </r>
  </si>
  <si>
    <r>
      <rPr>
        <sz val="7"/>
        <color theme="1"/>
        <rFont val="Times New Roman"/>
        <family val="1"/>
      </rPr>
      <t>Variable O&amp;M  ($/MWh)</t>
    </r>
  </si>
  <si>
    <r>
      <rPr>
        <sz val="7"/>
        <color theme="1"/>
        <rFont val="Times New Roman"/>
        <family val="1"/>
      </rPr>
      <t>C</t>
    </r>
  </si>
  <si>
    <r>
      <rPr>
        <sz val="6"/>
        <color theme="1"/>
        <rFont val="Times New Roman"/>
        <family val="1"/>
      </rPr>
      <t>Start-up costs ($/MWe/start-up)</t>
    </r>
  </si>
  <si>
    <r>
      <rPr>
        <sz val="7"/>
        <color theme="1"/>
        <rFont val="Times New Roman"/>
        <family val="1"/>
      </rPr>
      <t>Start-up costs ($/MWe/start-up)</t>
    </r>
  </si>
  <si>
    <r>
      <rPr>
        <b/>
        <sz val="8"/>
        <color theme="1"/>
        <rFont val="Times New Roman"/>
        <family val="1"/>
      </rPr>
      <t>Technology specific data</t>
    </r>
  </si>
  <si>
    <r>
      <rPr>
        <sz val="7"/>
        <color theme="1"/>
        <rFont val="Times New Roman"/>
        <family val="1"/>
      </rPr>
      <t>Waste treatment capacity (tonnes/h)</t>
    </r>
  </si>
  <si>
    <r>
      <rPr>
        <sz val="7"/>
        <color theme="1"/>
        <rFont val="Times New Roman"/>
        <family val="1"/>
      </rPr>
      <t>B</t>
    </r>
  </si>
  <si>
    <t>Biomass</t>
  </si>
  <si>
    <t>Natural gas - peaker</t>
  </si>
  <si>
    <r>
      <rPr>
        <b/>
        <sz val="7"/>
        <color theme="1"/>
        <rFont val="Times New Roman"/>
        <family val="1"/>
      </rPr>
      <t>Technology</t>
    </r>
  </si>
  <si>
    <r>
      <rPr>
        <b/>
        <sz val="7"/>
        <color theme="1"/>
        <rFont val="Times New Roman"/>
        <family val="1"/>
      </rPr>
      <t>Biomass power plant (smal plant - palm oil / rice husk )</t>
    </r>
  </si>
  <si>
    <r>
      <rPr>
        <b/>
        <sz val="7"/>
        <color theme="1"/>
        <rFont val="Times New Roman"/>
        <family val="1"/>
      </rPr>
      <t>Technology</t>
    </r>
  </si>
  <si>
    <r>
      <rPr>
        <b/>
        <sz val="7"/>
        <color theme="1"/>
        <rFont val="Times New Roman"/>
        <family val="1"/>
      </rPr>
      <t>Combined Cycle Gas Turbine</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</si>
  <si>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</si>
  <si>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</si>
  <si>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</si>
  <si>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</si>
  <si>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</si>
  <si>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</si>
  <si>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</si>
  <si>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</si>
  <si>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</si>
  <si>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</si>
  <si>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</si>
  <si>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</si>
  <si>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</si>
  <si>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b/>
        <sz val="7"/>
        <color theme="1"/>
        <rFont val="Times New Roman"/>
        <family val="1"/>
      </rPr>
      <t>Energy/technical data</t>
    </r>
  </si>
  <si>
    <r>
      <rPr>
        <b/>
        <sz val="7"/>
        <color theme="1"/>
        <rFont val="Times New Roman"/>
        <family val="1"/>
      </rPr>
      <t>Lower</t>
    </r>
  </si>
  <si>
    <r>
      <rPr>
        <b/>
        <sz val="7"/>
        <color theme="1"/>
        <rFont val="Times New Roman"/>
        <family val="1"/>
      </rPr>
      <t>Upper</t>
    </r>
  </si>
  <si>
    <r>
      <rPr>
        <b/>
        <sz val="7"/>
        <color theme="1"/>
        <rFont val="Times New Roman"/>
        <family val="1"/>
      </rPr>
      <t>Lower</t>
    </r>
  </si>
  <si>
    <r>
      <rPr>
        <b/>
        <sz val="7"/>
        <color theme="1"/>
        <rFont val="Times New Roman"/>
        <family val="1"/>
      </rPr>
      <t>Upper</t>
    </r>
  </si>
  <si>
    <r>
      <rPr>
        <sz val="6"/>
        <color theme="1"/>
        <rFont val="Times New Roman"/>
        <family val="1"/>
      </rPr>
      <t>Generating capacity for one unit (MWe)</t>
    </r>
  </si>
  <si>
    <r>
      <rPr>
        <sz val="6"/>
        <color theme="1"/>
        <rFont val="Times New Roman"/>
        <family val="1"/>
      </rPr>
      <t>1,5</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</si>
  <si>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</si>
  <si>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</si>
  <si>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1,5</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</si>
  <si>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</si>
  <si>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</si>
  <si>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1,3,7</t>
    </r>
  </si>
  <si>
    <r>
      <rPr>
        <sz val="6"/>
        <color theme="1"/>
        <rFont val="Times New Roman"/>
        <family val="1"/>
      </rPr>
      <t>Electricity efficiency, net (%), name plate</t>
    </r>
  </si>
  <si>
    <r>
      <rPr>
        <sz val="6"/>
        <color theme="1"/>
        <rFont val="Times New Roman"/>
        <family val="1"/>
      </rPr>
      <t>1,3,5,10</t>
    </r>
  </si>
  <si>
    <r>
      <rPr>
        <sz val="6"/>
        <color theme="1"/>
        <rFont val="Times New Roman"/>
        <family val="1"/>
      </rPr>
      <t>Electricity efficiency, net (%), annual average</t>
    </r>
  </si>
  <si>
    <r>
      <rPr>
        <sz val="6"/>
        <color theme="1"/>
        <rFont val="Times New Roman"/>
        <family val="1"/>
      </rPr>
      <t>1,3,7</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</si>
  <si>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</si>
  <si>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</si>
  <si>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A</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</si>
  <si>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</si>
  <si>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</si>
  <si>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A</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</si>
  <si>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</si>
  <si>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</si>
  <si>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A</t>
    </r>
  </si>
  <si>
    <r>
      <rPr>
        <sz val="6"/>
        <color theme="1"/>
        <rFont val="Times New Roman"/>
        <family val="1"/>
      </rPr>
      <t>8,10</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</si>
  <si>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</si>
  <si>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</si>
  <si>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A</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</si>
  <si>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</si>
  <si>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</si>
  <si>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A</t>
    </r>
  </si>
  <si>
    <r>
      <rPr>
        <sz val="6"/>
        <color theme="1"/>
        <rFont val="Times New Roman"/>
        <family val="1"/>
      </rPr>
      <t>1,9</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</si>
  <si>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</si>
  <si>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</si>
  <si>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</si>
  <si>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</si>
  <si>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</si>
  <si>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</si>
  <si>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</si>
  <si>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</si>
  <si>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i/>
        <sz val="7"/>
        <color theme="1"/>
        <rFont val="Times New Roman"/>
        <family val="1"/>
      </rPr>
      <t>Additional data for non thermal plants</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</si>
  <si>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</si>
  <si>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</si>
  <si>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</si>
  <si>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</si>
  <si>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</si>
  <si>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</si>
  <si>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</si>
  <si>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</si>
  <si>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</si>
  <si>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</si>
  <si>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</si>
  <si>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</si>
  <si>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</si>
  <si>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</si>
  <si>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</si>
  <si>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</si>
  <si>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</si>
  <si>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</si>
  <si>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</si>
  <si>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</si>
  <si>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</si>
  <si>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</si>
  <si>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</si>
  <si>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</si>
  <si>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</si>
  <si>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</si>
  <si>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</si>
  <si>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</si>
  <si>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</si>
  <si>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</si>
  <si>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</si>
  <si>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</si>
  <si>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</si>
  <si>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</si>
  <si>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</si>
  <si>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</si>
  <si>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Ramping (% per minute)</t>
    </r>
  </si>
  <si>
    <r>
      <rPr>
        <sz val="6"/>
        <color theme="1"/>
        <rFont val="Times New Roman"/>
        <family val="1"/>
      </rPr>
      <t>C</t>
    </r>
  </si>
  <si>
    <r>
      <rPr>
        <sz val="6"/>
        <color theme="1"/>
        <rFont val="Times New Roman"/>
        <family val="1"/>
      </rPr>
      <t>1,2</t>
    </r>
  </si>
  <si>
    <r>
      <rPr>
        <sz val="6"/>
        <color theme="1"/>
        <rFont val="Times New Roman"/>
        <family val="1"/>
      </rPr>
      <t>Minimum load (% of full load)</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</si>
  <si>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</si>
  <si>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</si>
  <si>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</si>
  <si>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Warm start-up time (hours)</t>
    </r>
  </si>
  <si>
    <r>
      <rPr>
        <sz val="6"/>
        <color theme="1"/>
        <rFont val="Times New Roman"/>
        <family val="1"/>
      </rPr>
      <t>A</t>
    </r>
  </si>
  <si>
    <r>
      <rPr>
        <sz val="6"/>
        <color theme="1"/>
        <rFont val="Times New Roman"/>
        <family val="1"/>
      </rPr>
      <t>1,5</t>
    </r>
  </si>
  <si>
    <r>
      <rPr>
        <sz val="6"/>
        <color theme="1"/>
        <rFont val="Times New Roman"/>
        <family val="1"/>
      </rPr>
      <t>Cold start-up time (hours)</t>
    </r>
  </si>
  <si>
    <r>
      <rPr>
        <sz val="6"/>
        <color theme="1"/>
        <rFont val="Times New Roman"/>
        <family val="1"/>
      </rPr>
      <t>Cold start-up time (hours)</t>
    </r>
  </si>
  <si>
    <r>
      <rPr>
        <sz val="6"/>
        <color theme="1"/>
        <rFont val="Times New Roman"/>
        <family val="1"/>
      </rPr>
      <t>1,5</t>
    </r>
  </si>
  <si>
    <r>
      <rPr>
        <b/>
        <sz val="7"/>
        <color theme="1"/>
        <rFont val="Times New Roman"/>
        <family val="1"/>
      </rPr>
      <t>Environment</t>
    </r>
  </si>
  <si>
    <r>
      <rPr>
        <b/>
        <sz val="7"/>
        <color theme="1"/>
        <rFont val="Times New Roman"/>
        <family val="1"/>
      </rPr>
      <t>Environment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</si>
  <si>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</si>
  <si>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PM 2.5 (mg per Nm</t>
    </r>
    <r>
      <rPr>
        <vertAlign val="superscript"/>
        <sz val="6"/>
        <color theme="1"/>
        <rFont val="Times New Roman"/>
        <family val="1"/>
      </rPr>
      <t>3</t>
    </r>
    <r>
      <rPr>
        <sz val="6"/>
        <color theme="1"/>
        <rFont val="Times New Roman"/>
        <family val="1"/>
      </rPr>
      <t>)</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</si>
  <si>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</si>
  <si>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</si>
  <si>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</si>
  <si>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</si>
  <si>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</si>
  <si>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</si>
  <si>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</si>
  <si>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</si>
  <si>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</si>
  <si>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E</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</si>
  <si>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</si>
  <si>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</si>
  <si>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A,D</t>
    </r>
  </si>
  <si>
    <r>
      <rPr>
        <sz val="6"/>
        <color theme="1"/>
        <rFont val="Times New Roman"/>
        <family val="1"/>
      </rPr>
      <t>7,8</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</si>
  <si>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</si>
  <si>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</si>
  <si>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</si>
  <si>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</si>
  <si>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</si>
  <si>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</si>
  <si>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</si>
  <si>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</si>
  <si>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</si>
  <si>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</si>
  <si>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</si>
  <si>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</si>
  <si>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</si>
  <si>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</si>
  <si>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</si>
  <si>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</si>
  <si>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</si>
  <si>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</si>
  <si>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Financial data</t>
    </r>
  </si>
  <si>
    <r>
      <rPr>
        <b/>
        <sz val="7"/>
        <color theme="1"/>
        <rFont val="Times New Roman"/>
        <family val="1"/>
      </rPr>
      <t>Financial data</t>
    </r>
  </si>
  <si>
    <r>
      <rPr>
        <sz val="6"/>
        <color theme="1"/>
        <rFont val="Times New Roman"/>
        <family val="1"/>
      </rPr>
      <t>Nominal investment (M$/MWe)</t>
    </r>
  </si>
  <si>
    <r>
      <rPr>
        <sz val="6"/>
        <color theme="1"/>
        <rFont val="Times New Roman"/>
        <family val="1"/>
      </rPr>
      <t>B,C</t>
    </r>
  </si>
  <si>
    <r>
      <rPr>
        <sz val="6"/>
        <color theme="1"/>
        <rFont val="Times New Roman"/>
        <family val="1"/>
      </rPr>
      <t>4-8,11</t>
    </r>
  </si>
  <si>
    <r>
      <rPr>
        <sz val="6"/>
        <color theme="1"/>
        <rFont val="Times New Roman"/>
        <family val="1"/>
      </rPr>
      <t>Nominal investment (M$/MWe)</t>
    </r>
  </si>
  <si>
    <r>
      <rPr>
        <sz val="6"/>
        <color theme="1"/>
        <rFont val="Times New Roman"/>
        <family val="1"/>
      </rPr>
      <t>F,H</t>
    </r>
  </si>
  <si>
    <r>
      <rPr>
        <sz val="6"/>
        <color theme="1"/>
        <rFont val="Times New Roman"/>
        <family val="1"/>
      </rPr>
      <t>1,3,10</t>
    </r>
  </si>
  <si>
    <r>
      <rPr>
        <sz val="6"/>
        <color theme="1"/>
        <rFont val="Times New Roman"/>
        <family val="1"/>
      </rPr>
      <t>- of which equipment</t>
    </r>
  </si>
  <si>
    <r>
      <rPr>
        <sz val="6"/>
        <color theme="1"/>
        <rFont val="Times New Roman"/>
        <family val="1"/>
      </rPr>
      <t>1,2</t>
    </r>
  </si>
  <si>
    <r>
      <rPr>
        <sz val="6"/>
        <color theme="1"/>
        <rFont val="Times New Roman"/>
        <family val="1"/>
      </rPr>
      <t>- of which equipment (%)</t>
    </r>
  </si>
  <si>
    <r>
      <rPr>
        <sz val="6"/>
        <color theme="1"/>
        <rFont val="Times New Roman"/>
        <family val="1"/>
      </rPr>
      <t>- of which installation</t>
    </r>
  </si>
  <si>
    <r>
      <rPr>
        <sz val="6"/>
        <color theme="1"/>
        <rFont val="Times New Roman"/>
        <family val="1"/>
      </rPr>
      <t>1,2</t>
    </r>
  </si>
  <si>
    <r>
      <rPr>
        <sz val="6"/>
        <color theme="1"/>
        <rFont val="Times New Roman"/>
        <family val="1"/>
      </rPr>
      <t>- of which installation (%)</t>
    </r>
  </si>
  <si>
    <r>
      <rPr>
        <sz val="6"/>
        <color theme="1"/>
        <rFont val="Times New Roman"/>
        <family val="1"/>
      </rPr>
      <t>Fixed O&amp;M ($/MWe/year)</t>
    </r>
  </si>
  <si>
    <r>
      <rPr>
        <sz val="6"/>
        <color theme="1"/>
        <rFont val="Times New Roman"/>
        <family val="1"/>
      </rPr>
      <t>A</t>
    </r>
  </si>
  <si>
    <r>
      <rPr>
        <sz val="6"/>
        <color theme="1"/>
        <rFont val="Times New Roman"/>
        <family val="1"/>
      </rPr>
      <t>4,5,8,11</t>
    </r>
  </si>
  <si>
    <r>
      <rPr>
        <sz val="6"/>
        <color theme="1"/>
        <rFont val="Times New Roman"/>
        <family val="1"/>
      </rPr>
      <t>Fixed O&amp;M ($/MWe/year)</t>
    </r>
  </si>
  <si>
    <r>
      <rPr>
        <sz val="6"/>
        <color theme="1"/>
        <rFont val="Times New Roman"/>
        <family val="1"/>
      </rPr>
      <t>B</t>
    </r>
  </si>
  <si>
    <r>
      <rPr>
        <sz val="6"/>
        <color theme="1"/>
        <rFont val="Times New Roman"/>
        <family val="1"/>
      </rPr>
      <t>1,3</t>
    </r>
  </si>
  <si>
    <r>
      <rPr>
        <sz val="6"/>
        <color theme="1"/>
        <rFont val="Times New Roman"/>
        <family val="1"/>
      </rPr>
      <t>Variable O&amp;M ($/MWh)</t>
    </r>
  </si>
  <si>
    <r>
      <rPr>
        <sz val="6"/>
        <color theme="1"/>
        <rFont val="Times New Roman"/>
        <family val="1"/>
      </rPr>
      <t>A</t>
    </r>
  </si>
  <si>
    <r>
      <rPr>
        <sz val="6"/>
        <color theme="1"/>
        <rFont val="Times New Roman"/>
        <family val="1"/>
      </rPr>
      <t>5,11</t>
    </r>
  </si>
  <si>
    <r>
      <rPr>
        <sz val="6"/>
        <color theme="1"/>
        <rFont val="Times New Roman"/>
        <family val="1"/>
      </rPr>
      <t>Variable O&amp;M ($/MWh)</t>
    </r>
  </si>
  <si>
    <r>
      <rPr>
        <sz val="6"/>
        <color theme="1"/>
        <rFont val="Times New Roman"/>
        <family val="1"/>
      </rPr>
      <t>B</t>
    </r>
  </si>
  <si>
    <r>
      <rPr>
        <sz val="6"/>
        <color theme="1"/>
        <rFont val="Times New Roman"/>
        <family val="1"/>
      </rPr>
      <t>Start-up costs ($/MWe/start-up)</t>
    </r>
  </si>
  <si>
    <r>
      <rPr>
        <sz val="6"/>
        <color theme="1"/>
        <rFont val="Times New Roman"/>
        <family val="1"/>
      </rPr>
      <t>Start-up costs ($/MWe/start-up)</t>
    </r>
  </si>
  <si>
    <r>
      <rPr>
        <sz val="6"/>
        <color theme="1"/>
        <rFont val="Times New Roman"/>
        <family val="1"/>
      </rPr>
      <t>B</t>
    </r>
  </si>
  <si>
    <t>Heavy or residual fuel oil, petroleum, crude oil</t>
  </si>
  <si>
    <r>
      <rPr>
        <b/>
        <sz val="7"/>
        <color theme="1"/>
        <rFont val="Times New Roman"/>
        <family val="1"/>
      </rPr>
      <t>Technology</t>
    </r>
  </si>
  <si>
    <r>
      <rPr>
        <b/>
        <sz val="7"/>
        <color theme="1"/>
        <rFont val="Times New Roman"/>
        <family val="1"/>
      </rPr>
      <t>Diesel engine (using fuel oil)</t>
    </r>
  </si>
  <si>
    <r>
      <rPr>
        <b/>
        <sz val="7"/>
        <color theme="1"/>
        <rFont val="Times New Roman"/>
        <family val="1"/>
      </rPr>
      <t>Uncertainty (2020)</t>
    </r>
  </si>
  <si>
    <r>
      <rPr>
        <b/>
        <sz val="7"/>
        <color theme="1"/>
        <rFont val="Times New Roman"/>
        <family val="1"/>
      </rPr>
      <t>Uncertainty (2050)</t>
    </r>
  </si>
  <si>
    <r>
      <rPr>
        <b/>
        <sz val="7"/>
        <color theme="1"/>
        <rFont val="Times New Roman"/>
        <family val="1"/>
      </rPr>
      <t>Note</t>
    </r>
  </si>
  <si>
    <r>
      <rPr>
        <b/>
        <sz val="7"/>
        <color theme="1"/>
        <rFont val="Times New Roman"/>
        <family val="1"/>
      </rPr>
      <t>Ref</t>
    </r>
  </si>
  <si>
    <r>
      <rPr>
        <b/>
        <sz val="7"/>
        <color theme="1"/>
        <rFont val="Times New Roman"/>
        <family val="1"/>
      </rPr>
      <t>Energy/technical data                                                                                                     Lower           Upper          Lower          Upper</t>
    </r>
  </si>
  <si>
    <r>
      <rPr>
        <sz val="6"/>
        <color theme="1"/>
        <rFont val="Times New Roman"/>
        <family val="1"/>
      </rPr>
      <t>Generating capacity for one unit (MWe)</t>
    </r>
  </si>
  <si>
    <r>
      <rPr>
        <sz val="6"/>
        <color theme="1"/>
        <rFont val="Times New Roman"/>
        <family val="1"/>
      </rPr>
      <t>Generating capacity for total power plant (MWe)</t>
    </r>
  </si>
  <si>
    <r>
      <rPr>
        <sz val="6"/>
        <color theme="1"/>
        <rFont val="Times New Roman"/>
        <family val="1"/>
      </rPr>
      <t>Electricity efficiency, net (%), name plate</t>
    </r>
  </si>
  <si>
    <r>
      <rPr>
        <sz val="6"/>
        <color theme="1"/>
        <rFont val="Times New Roman"/>
        <family val="1"/>
      </rPr>
      <t>Electricity efficiency, net (%), annual average</t>
    </r>
  </si>
  <si>
    <r>
      <rPr>
        <sz val="6"/>
        <color theme="1"/>
        <rFont val="Times New Roman"/>
        <family val="1"/>
      </rPr>
      <t>Forced outage (%)</t>
    </r>
  </si>
  <si>
    <r>
      <rPr>
        <sz val="6"/>
        <color theme="1"/>
        <rFont val="Times New Roman"/>
        <family val="1"/>
      </rPr>
      <t>Planned outage (weeks per year)</t>
    </r>
  </si>
  <si>
    <r>
      <rPr>
        <sz val="6"/>
        <color theme="1"/>
        <rFont val="Times New Roman"/>
        <family val="1"/>
      </rPr>
      <t>Technical lifetime (years)</t>
    </r>
  </si>
  <si>
    <r>
      <rPr>
        <sz val="6"/>
        <color theme="1"/>
        <rFont val="Times New Roman"/>
        <family val="1"/>
      </rPr>
      <t>Construction time (years)</t>
    </r>
  </si>
  <si>
    <r>
      <rPr>
        <sz val="6"/>
        <color theme="1"/>
        <rFont val="Times New Roman"/>
        <family val="1"/>
      </rPr>
      <t>Space requirement (1000 m</t>
    </r>
    <r>
      <rPr>
        <vertAlign val="superscript"/>
        <sz val="6"/>
        <color theme="1"/>
        <rFont val="Times New Roman"/>
        <family val="1"/>
      </rPr>
      <t>2</t>
    </r>
    <r>
      <rPr>
        <sz val="6"/>
        <color theme="1"/>
        <rFont val="Times New Roman"/>
        <family val="1"/>
      </rPr>
      <t>/MWe)</t>
    </r>
  </si>
  <si>
    <r>
      <rPr>
        <b/>
        <i/>
        <sz val="7"/>
        <color theme="1"/>
        <rFont val="Times New Roman"/>
        <family val="1"/>
      </rPr>
      <t>Additional data for non thermal plants</t>
    </r>
  </si>
  <si>
    <r>
      <rPr>
        <sz val="6"/>
        <color theme="1"/>
        <rFont val="Times New Roman"/>
        <family val="1"/>
      </rPr>
      <t>Capacity factor (%), theoretical</t>
    </r>
  </si>
  <si>
    <r>
      <rPr>
        <sz val="6"/>
        <color theme="1"/>
        <rFont val="Times New Roman"/>
        <family val="1"/>
      </rPr>
      <t>-</t>
    </r>
  </si>
  <si>
    <r>
      <rPr>
        <sz val="6"/>
        <color theme="1"/>
        <rFont val="Times New Roman"/>
        <family val="1"/>
      </rPr>
      <t>-</t>
    </r>
  </si>
  <si>
    <r>
      <rPr>
        <sz val="6"/>
        <color theme="1"/>
        <rFont val="Times New Roman"/>
        <family val="1"/>
      </rPr>
      <t>-</t>
    </r>
  </si>
  <si>
    <r>
      <rPr>
        <sz val="6"/>
        <color theme="1"/>
        <rFont val="Times New Roman"/>
        <family val="1"/>
      </rPr>
      <t>Capacity factor (%), incl. outages</t>
    </r>
  </si>
  <si>
    <r>
      <rPr>
        <sz val="6"/>
        <color theme="1"/>
        <rFont val="Times New Roman"/>
        <family val="1"/>
      </rPr>
      <t>-</t>
    </r>
  </si>
  <si>
    <r>
      <rPr>
        <sz val="6"/>
        <color theme="1"/>
        <rFont val="Times New Roman"/>
        <family val="1"/>
      </rPr>
      <t>-</t>
    </r>
  </si>
  <si>
    <r>
      <rPr>
        <sz val="6"/>
        <color theme="1"/>
        <rFont val="Times New Roman"/>
        <family val="1"/>
      </rPr>
      <t>-</t>
    </r>
  </si>
  <si>
    <r>
      <rPr>
        <b/>
        <sz val="7"/>
        <color theme="1"/>
        <rFont val="Times New Roman"/>
        <family val="1"/>
      </rPr>
      <t>Ramping configurations</t>
    </r>
  </si>
  <si>
    <r>
      <rPr>
        <sz val="6"/>
        <color theme="1"/>
        <rFont val="Times New Roman"/>
        <family val="1"/>
      </rPr>
      <t>Ramping (% per minute)</t>
    </r>
  </si>
  <si>
    <r>
      <rPr>
        <sz val="6"/>
        <color theme="1"/>
        <rFont val="Times New Roman"/>
        <family val="1"/>
      </rPr>
      <t>Minimum load (% of full load)</t>
    </r>
  </si>
  <si>
    <r>
      <rPr>
        <sz val="6"/>
        <color theme="1"/>
        <rFont val="Times New Roman"/>
        <family val="1"/>
      </rPr>
      <t>A</t>
    </r>
  </si>
  <si>
    <r>
      <rPr>
        <sz val="6"/>
        <color theme="1"/>
        <rFont val="Times New Roman"/>
        <family val="1"/>
      </rPr>
      <t>Warm start-up time (hours)</t>
    </r>
  </si>
  <si>
    <r>
      <rPr>
        <sz val="6"/>
        <color theme="1"/>
        <rFont val="Times New Roman"/>
        <family val="1"/>
      </rPr>
      <t>Cold start-up time (hours)</t>
    </r>
  </si>
  <si>
    <r>
      <rPr>
        <b/>
        <sz val="7"/>
        <color theme="1"/>
        <rFont val="Times New Roman"/>
        <family val="1"/>
      </rPr>
      <t>Environment</t>
    </r>
  </si>
  <si>
    <r>
      <rPr>
        <sz val="6"/>
        <color theme="1"/>
        <rFont val="Times New Roman"/>
        <family val="1"/>
      </rPr>
      <t>PM  2.5 (gram per Nm</t>
    </r>
    <r>
      <rPr>
        <vertAlign val="superscript"/>
        <sz val="6"/>
        <color theme="1"/>
        <rFont val="Times New Roman"/>
        <family val="1"/>
      </rPr>
      <t>3</t>
    </r>
    <r>
      <rPr>
        <sz val="6"/>
        <color theme="1"/>
        <rFont val="Times New Roman"/>
        <family val="1"/>
      </rPr>
      <t>)</t>
    </r>
  </si>
  <si>
    <r>
      <rPr>
        <sz val="6"/>
        <color theme="1"/>
        <rFont val="Times New Roman"/>
        <family val="1"/>
      </rPr>
      <t>B, C</t>
    </r>
  </si>
  <si>
    <r>
      <rPr>
        <sz val="6"/>
        <color theme="1"/>
        <rFont val="Times New Roman"/>
        <family val="1"/>
      </rPr>
      <t>SO</t>
    </r>
    <r>
      <rPr>
        <vertAlign val="subscript"/>
        <sz val="6"/>
        <color theme="1"/>
        <rFont val="Times New Roman"/>
        <family val="1"/>
      </rPr>
      <t>2</t>
    </r>
    <r>
      <rPr>
        <sz val="6"/>
        <color theme="1"/>
        <rFont val="Times New Roman"/>
        <family val="1"/>
      </rPr>
      <t xml:space="preserve"> (degree of desulphuring, %)</t>
    </r>
  </si>
  <si>
    <r>
      <rPr>
        <sz val="6"/>
        <color theme="1"/>
        <rFont val="Times New Roman"/>
        <family val="1"/>
      </rPr>
      <t>C</t>
    </r>
  </si>
  <si>
    <r>
      <rPr>
        <sz val="6"/>
        <color theme="1"/>
        <rFont val="Times New Roman"/>
        <family val="1"/>
      </rPr>
      <t>3,4</t>
    </r>
  </si>
  <si>
    <r>
      <rPr>
        <sz val="6"/>
        <color theme="1"/>
        <rFont val="Times New Roman"/>
        <family val="1"/>
      </rPr>
      <t>SO</t>
    </r>
    <r>
      <rPr>
        <vertAlign val="subscript"/>
        <sz val="6"/>
        <color theme="1"/>
        <rFont val="Times New Roman"/>
        <family val="1"/>
      </rPr>
      <t>2</t>
    </r>
    <r>
      <rPr>
        <sz val="6"/>
        <color theme="1"/>
        <rFont val="Times New Roman"/>
        <family val="1"/>
      </rPr>
      <t xml:space="preserve"> (g per GJ fuel)</t>
    </r>
  </si>
  <si>
    <r>
      <rPr>
        <sz val="6"/>
        <color theme="1"/>
        <rFont val="Times New Roman"/>
        <family val="1"/>
      </rPr>
      <t>C</t>
    </r>
  </si>
  <si>
    <r>
      <rPr>
        <sz val="6"/>
        <color theme="1"/>
        <rFont val="Times New Roman"/>
        <family val="1"/>
      </rPr>
      <t>NO</t>
    </r>
    <r>
      <rPr>
        <vertAlign val="subscript"/>
        <sz val="6"/>
        <color theme="1"/>
        <rFont val="Times New Roman"/>
        <family val="1"/>
      </rPr>
      <t>X</t>
    </r>
    <r>
      <rPr>
        <sz val="6"/>
        <color theme="1"/>
        <rFont val="Times New Roman"/>
        <family val="1"/>
      </rPr>
      <t xml:space="preserve"> (g per GJ fuel)</t>
    </r>
  </si>
  <si>
    <r>
      <rPr>
        <sz val="6"/>
        <color theme="1"/>
        <rFont val="Times New Roman"/>
        <family val="1"/>
      </rPr>
      <t>C</t>
    </r>
  </si>
  <si>
    <r>
      <rPr>
        <sz val="6"/>
        <color theme="1"/>
        <rFont val="Times New Roman"/>
        <family val="1"/>
      </rPr>
      <t>CH</t>
    </r>
    <r>
      <rPr>
        <vertAlign val="subscript"/>
        <sz val="6"/>
        <color theme="1"/>
        <rFont val="Times New Roman"/>
        <family val="1"/>
      </rPr>
      <t>4</t>
    </r>
    <r>
      <rPr>
        <sz val="6"/>
        <color theme="1"/>
        <rFont val="Times New Roman"/>
        <family val="1"/>
      </rPr>
      <t xml:space="preserve"> (g per GJ fuel)</t>
    </r>
  </si>
  <si>
    <r>
      <rPr>
        <sz val="6"/>
        <color theme="1"/>
        <rFont val="Times New Roman"/>
        <family val="1"/>
      </rPr>
      <t>N</t>
    </r>
    <r>
      <rPr>
        <vertAlign val="subscript"/>
        <sz val="6"/>
        <color theme="1"/>
        <rFont val="Times New Roman"/>
        <family val="1"/>
      </rPr>
      <t>2</t>
    </r>
    <r>
      <rPr>
        <sz val="6"/>
        <color theme="1"/>
        <rFont val="Times New Roman"/>
        <family val="1"/>
      </rPr>
      <t>O (g per GJ fuel)</t>
    </r>
  </si>
  <si>
    <r>
      <rPr>
        <b/>
        <sz val="7"/>
        <color theme="1"/>
        <rFont val="Times New Roman"/>
        <family val="1"/>
      </rPr>
      <t>Financial data</t>
    </r>
  </si>
  <si>
    <r>
      <rPr>
        <sz val="6"/>
        <color theme="1"/>
        <rFont val="Times New Roman"/>
        <family val="1"/>
      </rPr>
      <t>Nominal investment (M$/MWe)</t>
    </r>
  </si>
  <si>
    <r>
      <rPr>
        <sz val="6"/>
        <color theme="1"/>
        <rFont val="Times New Roman"/>
        <family val="1"/>
      </rPr>
      <t>D</t>
    </r>
  </si>
  <si>
    <r>
      <rPr>
        <sz val="6"/>
        <color theme="1"/>
        <rFont val="Times New Roman"/>
        <family val="1"/>
      </rPr>
      <t>- of which equipment</t>
    </r>
  </si>
  <si>
    <r>
      <rPr>
        <sz val="6"/>
        <color theme="1"/>
        <rFont val="Times New Roman"/>
        <family val="1"/>
      </rPr>
      <t>- of which installation</t>
    </r>
  </si>
  <si>
    <r>
      <rPr>
        <sz val="6"/>
        <color theme="1"/>
        <rFont val="Times New Roman"/>
        <family val="1"/>
      </rPr>
      <t>Fixed O&amp;M  ($/MWe/year)</t>
    </r>
  </si>
  <si>
    <r>
      <rPr>
        <sz val="6"/>
        <color theme="1"/>
        <rFont val="Times New Roman"/>
        <family val="1"/>
      </rPr>
      <t>8,000</t>
    </r>
  </si>
  <si>
    <r>
      <rPr>
        <sz val="6"/>
        <color theme="1"/>
        <rFont val="Times New Roman"/>
        <family val="1"/>
      </rPr>
      <t>7,760</t>
    </r>
  </si>
  <si>
    <r>
      <rPr>
        <sz val="6"/>
        <color theme="1"/>
        <rFont val="Times New Roman"/>
        <family val="1"/>
      </rPr>
      <t>Variable O&amp;M  ($/MWh)</t>
    </r>
  </si>
  <si>
    <r>
      <rPr>
        <sz val="6"/>
        <color theme="1"/>
        <rFont val="Times New Roman"/>
        <family val="1"/>
      </rPr>
      <t>Start-up costs ($/MWe/start-up)</t>
    </r>
  </si>
  <si>
    <r>
      <rPr>
        <sz val="6"/>
        <color theme="1"/>
        <rFont val="Times New Roman"/>
        <family val="1"/>
      </rPr>
      <t>-</t>
    </r>
  </si>
  <si>
    <r>
      <rPr>
        <sz val="6"/>
        <color theme="1"/>
        <rFont val="Times New Roman"/>
        <family val="1"/>
      </rPr>
      <t>-</t>
    </r>
  </si>
  <si>
    <r>
      <rPr>
        <sz val="6"/>
        <color theme="1"/>
        <rFont val="Times New Roman"/>
        <family val="1"/>
      </rPr>
      <t>-</t>
    </r>
  </si>
  <si>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</si>
  <si>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</si>
  <si>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</si>
  <si>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</si>
  <si>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</si>
  <si>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</si>
  <si>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</si>
  <si>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</si>
  <si>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</si>
  <si>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</si>
  <si>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</si>
  <si>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</si>
  <si>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</si>
  <si>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</si>
  <si>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</si>
  <si>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</si>
  <si>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</si>
  <si>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</si>
  <si>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</si>
  <si>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</si>
  <si>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</si>
  <si>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</si>
  <si>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</si>
  <si>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</si>
  <si>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</si>
  <si>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</si>
  <si>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</si>
  <si>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</si>
  <si>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</si>
  <si>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</si>
  <si>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</si>
  <si>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</si>
  <si>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</si>
  <si>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</si>
  <si>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</si>
  <si>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</si>
  <si>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</si>
  <si>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</si>
  <si>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</si>
  <si>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</si>
  <si>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</si>
  <si>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</si>
  <si>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</si>
  <si>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</si>
  <si>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</si>
  <si>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</si>
  <si>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</si>
  <si>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</si>
  <si>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</si>
  <si>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</si>
  <si>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</si>
  <si>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</si>
  <si>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</si>
  <si>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</si>
  <si>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</si>
  <si>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</si>
  <si>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</si>
  <si>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</si>
  <si>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</si>
  <si>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</si>
  <si>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</si>
  <si>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</si>
  <si>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</si>
  <si>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Solar Thermal (NOT USED)</t>
  </si>
  <si>
    <t>Biomass (NOT USED)</t>
  </si>
  <si>
    <t>Geothermal (NOT USED)</t>
  </si>
  <si>
    <t>Petroleum (NOT USED)</t>
  </si>
  <si>
    <t>Natural Gas Peaker (NOT USED)</t>
  </si>
  <si>
    <t>Lignite (NOT USED)</t>
  </si>
  <si>
    <t>Crude Oil (NOT USED)</t>
  </si>
  <si>
    <t>Heavy or Residual Fuel Oil (NOT USED)</t>
  </si>
  <si>
    <t>Municipal Solid Waste (NOT USED)</t>
  </si>
  <si>
    <t>Technology</t>
  </si>
  <si>
    <t>Year</t>
  </si>
  <si>
    <t>Fixed O&amp;M ($/MWe/year)</t>
  </si>
  <si>
    <t>Var. O&amp;M ($/MWh)</t>
  </si>
  <si>
    <t>Geothermal - small</t>
  </si>
  <si>
    <t>-</t>
  </si>
  <si>
    <t>Geothermal - large</t>
  </si>
  <si>
    <t>Hydro - mini</t>
  </si>
  <si>
    <t>Hydro - medium</t>
  </si>
  <si>
    <t>Hydro - large</t>
  </si>
  <si>
    <t>Solar PV - large</t>
  </si>
  <si>
    <t>Wind - small onshore</t>
  </si>
  <si>
    <t>Wind - large onshore</t>
  </si>
  <si>
    <t>Coal - sub crit.</t>
  </si>
  <si>
    <t>Coal - super crit.</t>
  </si>
  <si>
    <t>Coal - ultra-super crit.</t>
  </si>
  <si>
    <t>Biomass - small</t>
  </si>
  <si>
    <t>Waste - incineration</t>
  </si>
  <si>
    <t>Waste - landfill gas</t>
  </si>
  <si>
    <t>Biogas - small</t>
  </si>
  <si>
    <t>Gas - SCGT</t>
  </si>
  <si>
    <t>Gas - CCGT</t>
  </si>
  <si>
    <t>Diesel - engine</t>
  </si>
  <si>
    <t>Fixed O&amp;M Cost ($/MW)</t>
  </si>
  <si>
    <t>Variable O&amp;M Cost ($/MWh)</t>
  </si>
  <si>
    <t>Solar thermal</t>
  </si>
  <si>
    <t xml:space="preserve">2017-2024 </t>
  </si>
  <si>
    <t>Natural Gas-CCS</t>
  </si>
  <si>
    <t>$2016 to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</si>
</sst>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33">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b/>
      <sz val="6"/>
      <color theme="1"/>
      <name val="Times New Roman"/>
      <family val="1"/>
    </font>
    <font>
      <sz val="11"/>
      <name val="Calibri"/>
      <family val="2"/>
    </font>
    <font>
      <b/>
      <sz val="7"/>
      <color theme="1"/>
      <name val="Times New Roman"/>
      <family val="1"/>
    </font>
    <font>
      <b/>
      <sz val="6"/>
      <color rgb="FF000000"/>
      <name val="Times New Roman"/>
      <family val="1"/>
    </font>
    <font>
      <b/>
      <sz val="7"/>
      <color rgb="FF000000"/>
      <name val="Times New Roman"/>
      <family val="1"/>
    </font>
    <font>
      <sz val="6"/>
      <color theme="1"/>
      <name val="Times New Roman"/>
      <family val="1"/>
    </font>
    <font>
      <sz val="6"/>
      <color rgb="FF000000"/>
      <name val="Times New Roman"/>
      <family val="1"/>
    </font>
    <font>
      <sz val="7"/>
      <color theme="1"/>
      <name val="Times New Roman"/>
      <family val="1"/>
    </font>
    <font>
      <sz val="7"/>
      <color rgb="FF000000"/>
      <name val="Times New Roman"/>
      <family val="1"/>
    </font>
    <font>
      <b/>
      <i/>
      <sz val="6"/>
      <color theme="1"/>
      <name val="Times New Roman"/>
      <family val="1"/>
    </font>
    <font>
      <b/>
      <i/>
      <sz val="7"/>
      <color theme="1"/>
      <name val="Times New Roman"/>
      <family val="1"/>
    </font>
    <font>
      <sz val="7"/>
      <color theme="1"/>
      <name val="Arial"/>
      <family val="2"/>
    </font>
    <font>
      <b/>
      <sz val="8"/>
      <color theme="1"/>
      <name val="Times New Roman"/>
      <family val="1"/>
    </font>
    <font>
      <b/>
      <sz val="8"/>
      <color rgb="FF000000"/>
      <name val="Times New Roman"/>
      <family val="1"/>
    </font>
    <font>
      <b/>
      <i/>
      <sz val="8"/>
      <color theme="1"/>
      <name val="Times New Roman"/>
      <family val="1"/>
    </font>
    <font>
      <i/>
      <sz val="11"/>
      <color theme="1"/>
      <name val="Calibri"/>
      <family val="2"/>
    </font>
    <font>
      <vertAlign val="superscript"/>
      <sz val="6"/>
      <color theme="1"/>
      <name val="Times New Roman"/>
      <family val="1"/>
    </font>
    <font>
      <vertAlign val="superscript"/>
      <sz val="7"/>
      <color theme="1"/>
      <name val="Times New Roman"/>
      <family val="1"/>
    </font>
    <font>
      <vertAlign val="subscript"/>
      <sz val="6"/>
      <color theme="1"/>
      <name val="Times New Roman"/>
      <family val="1"/>
    </font>
    <font>
      <vertAlign val="subscript"/>
      <sz val="7"/>
      <color theme="1"/>
      <name val="Times New Roman"/>
      <family val="1"/>
    </font>
    <font>
      <vertAlign val="superscript"/>
      <sz val="5"/>
      <color theme="1"/>
      <name val="Carlito"/>
    </font>
    <font>
      <sz val="8"/>
      <color theme="1"/>
      <name val="Carlito"/>
    </font>
    <font>
      <b/>
      <sz val="11"/>
      <color theme="1"/>
      <name val="Calibri"/>
      <family val="2"/>
      <scheme val="minor"/>
    </font>
    <font>
      <sz val="10"/>
      <color theme="1"/>
      <name val="Calibri (Body)"/>
    </font>
    <font>
      <sz val="10"/>
      <color theme="1"/>
      <name val="Calibri"/>
      <family val="2"/>
    </font>
    <font>
      <i/>
      <sz val="11"/>
      <color rgb="FF000000"/>
      <name val="Calibri"/>
      <family val="2"/>
      <scheme val="minor"/>
    </font>
    <font>
      <b/>
      <sz val="11"/>
      <color rgb="FF000000"/>
      <name val="Calibri"/>
      <family val="2"/>
      <scheme val="minor"/>
    </font>
    <font>
      <sz val="11"/>
      <color rgb="FF000000"/>
      <name val="Calibri"/>
      <family val="2"/>
      <scheme val="minor"/>
    </font>
  </fonts>
  <fills count="8">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92D050"/>
        <bgColor rgb="FF92D050"/>
      </patternFill>
    </fill>
    <fill>
      <patternFill patternType="solid">
        <fgColor rgb="FFBFBFBF"/>
        <bgColor rgb="FF000000"/>
      </patternFill>
    </fill>
    <fill>
      <patternFill patternType="solid">
        <fgColor rgb="FFFFFF00"/>
        <bgColor rgb="FF000000"/>
      </patternFill>
    </fill>
    <fill>
      <patternFill patternType="solid">
        <fgColor rgb="FFFFFF00"/>
        <bgColor indexed="64"/>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style="thin">
        <color rgb="FFD3D3D3"/>
      </right>
      <top style="thin">
        <color rgb="FF000000"/>
      </top>
      <bottom style="thin">
        <color rgb="FF000000"/>
      </bottom>
      <diagonal/>
    </border>
    <border>
      <left style="thin">
        <color rgb="FFD3D3D3"/>
      </left>
      <right style="thin">
        <color rgb="FFD3D3D3"/>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rgb="FF000000"/>
      </left>
      <right style="thin">
        <color rgb="FFD3D3D3"/>
      </right>
      <top style="thin">
        <color rgb="FF000000"/>
      </top>
      <bottom style="thin">
        <color rgb="FF000000"/>
      </bottom>
      <diagonal/>
    </border>
    <border>
      <left style="thin">
        <color rgb="FFD3D3D3"/>
      </left>
      <right/>
      <top style="thin">
        <color rgb="FF000000"/>
      </top>
      <bottom style="thin">
        <color rgb="FF000000"/>
      </bottom>
      <diagonal/>
    </border>
  </borders>
  <cellStyleXfs count="1">
    <xf numFmtId="0" fontId="0" fillId="0" borderId="0"/>
  </cellStyleXfs>
  <cellXfs count="179">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5" fillId="0" borderId="2" xfId="0" applyFont="1" applyBorder="1" applyAlignment="1">
      <alignment horizontal="left" vertical="top" wrapText="1"/>
    </xf>
    <xf numFmtId="0" fontId="5" fillId="0" borderId="3" xfId="0" applyFont="1" applyBorder="1" applyAlignment="1">
      <alignment horizontal="left" vertical="top" wrapText="1"/>
    </xf>
    <xf numFmtId="0" fontId="2" fillId="0" borderId="0" xfId="0" applyFont="1" applyAlignment="1">
      <alignment horizontal="left" vertical="top"/>
    </xf>
    <xf numFmtId="0" fontId="7" fillId="0" borderId="2" xfId="0" applyFont="1" applyBorder="1" applyAlignment="1">
      <alignment horizontal="left" vertical="top" wrapText="1"/>
    </xf>
    <xf numFmtId="0" fontId="2" fillId="0" borderId="2" xfId="0" applyFont="1" applyBorder="1" applyAlignment="1">
      <alignment horizontal="left" wrapText="1"/>
    </xf>
    <xf numFmtId="1" fontId="8" fillId="0" borderId="2" xfId="0" applyNumberFormat="1" applyFont="1" applyBorder="1" applyAlignment="1">
      <alignment horizontal="center" vertical="top" shrinkToFit="1"/>
    </xf>
    <xf numFmtId="0" fontId="5" fillId="0" borderId="2" xfId="0" applyFont="1" applyBorder="1" applyAlignment="1">
      <alignment horizontal="center" vertical="top" wrapText="1"/>
    </xf>
    <xf numFmtId="1" fontId="9" fillId="0" borderId="2" xfId="0" applyNumberFormat="1" applyFont="1" applyBorder="1" applyAlignment="1">
      <alignment horizontal="center" vertical="top" shrinkToFit="1"/>
    </xf>
    <xf numFmtId="1" fontId="9" fillId="0" borderId="2" xfId="0" applyNumberFormat="1" applyFont="1" applyBorder="1" applyAlignment="1">
      <alignment horizontal="right" vertical="top" shrinkToFit="1"/>
    </xf>
    <xf numFmtId="0" fontId="7" fillId="0" borderId="3" xfId="0" applyFont="1" applyBorder="1" applyAlignment="1">
      <alignment horizontal="left" vertical="top" wrapText="1"/>
    </xf>
    <xf numFmtId="0" fontId="7" fillId="0" borderId="2" xfId="0" applyFont="1" applyBorder="1" applyAlignment="1">
      <alignment horizontal="center" vertical="top" wrapText="1"/>
    </xf>
    <xf numFmtId="0" fontId="2" fillId="0" borderId="4" xfId="0" applyFont="1" applyBorder="1" applyAlignment="1">
      <alignment horizontal="left" wrapText="1"/>
    </xf>
    <xf numFmtId="0" fontId="5" fillId="0" borderId="4" xfId="0" applyFont="1" applyBorder="1" applyAlignment="1">
      <alignment horizontal="left" vertical="top" wrapText="1"/>
    </xf>
    <xf numFmtId="0" fontId="5" fillId="0" borderId="4" xfId="0" applyFont="1" applyBorder="1" applyAlignment="1">
      <alignment horizontal="right" vertical="top" wrapText="1"/>
    </xf>
    <xf numFmtId="0" fontId="5" fillId="0" borderId="4" xfId="0" applyFont="1" applyBorder="1" applyAlignment="1">
      <alignment horizontal="center" vertical="top" wrapText="1"/>
    </xf>
    <xf numFmtId="0" fontId="2" fillId="0" borderId="5" xfId="0" applyFont="1" applyBorder="1" applyAlignment="1">
      <alignment horizontal="left" wrapText="1"/>
    </xf>
    <xf numFmtId="0" fontId="10" fillId="0" borderId="2" xfId="0" applyFont="1" applyBorder="1" applyAlignment="1">
      <alignment horizontal="left" vertical="top" wrapText="1"/>
    </xf>
    <xf numFmtId="1" fontId="11" fillId="0" borderId="2" xfId="0" applyNumberFormat="1" applyFont="1" applyBorder="1" applyAlignment="1">
      <alignment horizontal="center" vertical="top" shrinkToFit="1"/>
    </xf>
    <xf numFmtId="0" fontId="12" fillId="0" borderId="2" xfId="0" applyFont="1" applyBorder="1" applyAlignment="1">
      <alignment horizontal="left" vertical="top" wrapText="1"/>
    </xf>
    <xf numFmtId="1" fontId="13" fillId="0" borderId="2" xfId="0" applyNumberFormat="1" applyFont="1" applyBorder="1" applyAlignment="1">
      <alignment horizontal="center" vertical="top" shrinkToFit="1"/>
    </xf>
    <xf numFmtId="1" fontId="13" fillId="0" borderId="2" xfId="0" applyNumberFormat="1" applyFont="1" applyBorder="1" applyAlignment="1">
      <alignment horizontal="right" vertical="top" shrinkToFit="1"/>
    </xf>
    <xf numFmtId="1" fontId="13" fillId="0" borderId="2" xfId="0" applyNumberFormat="1" applyFont="1" applyBorder="1" applyAlignment="1">
      <alignment horizontal="left" vertical="top" shrinkToFit="1"/>
    </xf>
    <xf numFmtId="0" fontId="10" fillId="0" borderId="2" xfId="0" applyFont="1" applyBorder="1" applyAlignment="1">
      <alignment horizontal="center" vertical="top" wrapText="1"/>
    </xf>
    <xf numFmtId="0" fontId="12" fillId="0" borderId="2" xfId="0" applyFont="1" applyBorder="1" applyAlignment="1">
      <alignment horizontal="center" vertical="top" wrapText="1"/>
    </xf>
    <xf numFmtId="164" fontId="11" fillId="0" borderId="2" xfId="0" applyNumberFormat="1" applyFont="1" applyBorder="1" applyAlignment="1">
      <alignment horizontal="center" vertical="top" shrinkToFit="1"/>
    </xf>
    <xf numFmtId="0" fontId="10" fillId="3" borderId="2" xfId="0" applyFont="1" applyFill="1" applyBorder="1" applyAlignment="1">
      <alignment horizontal="left" vertical="top" wrapText="1"/>
    </xf>
    <xf numFmtId="2" fontId="11" fillId="3" borderId="2" xfId="0" applyNumberFormat="1" applyFont="1" applyFill="1" applyBorder="1" applyAlignment="1">
      <alignment horizontal="center" vertical="top" shrinkToFit="1"/>
    </xf>
    <xf numFmtId="2" fontId="11" fillId="3" borderId="2" xfId="0" applyNumberFormat="1" applyFont="1" applyFill="1" applyBorder="1" applyAlignment="1">
      <alignment horizontal="left" vertical="top" shrinkToFit="1"/>
    </xf>
    <xf numFmtId="2" fontId="11" fillId="3" borderId="2" xfId="0" applyNumberFormat="1" applyFont="1" applyFill="1" applyBorder="1" applyAlignment="1">
      <alignment horizontal="right" vertical="top" shrinkToFit="1"/>
    </xf>
    <xf numFmtId="0" fontId="10" fillId="3" borderId="2" xfId="0" applyFont="1" applyFill="1" applyBorder="1" applyAlignment="1">
      <alignment horizontal="center" vertical="top" wrapText="1"/>
    </xf>
    <xf numFmtId="0" fontId="2" fillId="3" borderId="1" xfId="0" applyFont="1" applyFill="1" applyBorder="1" applyAlignment="1">
      <alignment horizontal="left" vertical="top"/>
    </xf>
    <xf numFmtId="0" fontId="12" fillId="3" borderId="2" xfId="0" applyFont="1" applyFill="1" applyBorder="1" applyAlignment="1">
      <alignment horizontal="left" vertical="top" wrapText="1"/>
    </xf>
    <xf numFmtId="2" fontId="13" fillId="3" borderId="2" xfId="0" applyNumberFormat="1" applyFont="1" applyFill="1" applyBorder="1" applyAlignment="1">
      <alignment horizontal="center" vertical="top" shrinkToFit="1"/>
    </xf>
    <xf numFmtId="2" fontId="13" fillId="3" borderId="2" xfId="0" applyNumberFormat="1" applyFont="1" applyFill="1" applyBorder="1" applyAlignment="1">
      <alignment horizontal="right" vertical="top" shrinkToFit="1"/>
    </xf>
    <xf numFmtId="0" fontId="12" fillId="3" borderId="2" xfId="0" applyFont="1" applyFill="1" applyBorder="1" applyAlignment="1">
      <alignment horizontal="center" vertical="top" wrapText="1"/>
    </xf>
    <xf numFmtId="0" fontId="2" fillId="3" borderId="1" xfId="0" applyFont="1" applyFill="1" applyBorder="1"/>
    <xf numFmtId="9" fontId="11" fillId="0" borderId="2" xfId="0" applyNumberFormat="1" applyFont="1" applyBorder="1" applyAlignment="1">
      <alignment horizontal="center" vertical="top" shrinkToFit="1"/>
    </xf>
    <xf numFmtId="9" fontId="11" fillId="0" borderId="2" xfId="0" applyNumberFormat="1" applyFont="1" applyBorder="1" applyAlignment="1">
      <alignment horizontal="left" vertical="top" shrinkToFit="1"/>
    </xf>
    <xf numFmtId="9" fontId="11" fillId="0" borderId="2" xfId="0" applyNumberFormat="1" applyFont="1" applyBorder="1" applyAlignment="1">
      <alignment horizontal="right" vertical="top" shrinkToFit="1"/>
    </xf>
    <xf numFmtId="0" fontId="10" fillId="4" borderId="2" xfId="0" applyFont="1" applyFill="1" applyBorder="1" applyAlignment="1">
      <alignment horizontal="left" vertical="top" wrapText="1"/>
    </xf>
    <xf numFmtId="3" fontId="11" fillId="4" borderId="2" xfId="0" applyNumberFormat="1" applyFont="1" applyFill="1" applyBorder="1" applyAlignment="1">
      <alignment horizontal="center" vertical="top" shrinkToFit="1"/>
    </xf>
    <xf numFmtId="3" fontId="11" fillId="4" borderId="2" xfId="0" applyNumberFormat="1" applyFont="1" applyFill="1" applyBorder="1" applyAlignment="1">
      <alignment horizontal="left" vertical="top" shrinkToFit="1"/>
    </xf>
    <xf numFmtId="3" fontId="11" fillId="4" borderId="2" xfId="0" applyNumberFormat="1" applyFont="1" applyFill="1" applyBorder="1" applyAlignment="1">
      <alignment horizontal="right" vertical="top" shrinkToFit="1"/>
    </xf>
    <xf numFmtId="0" fontId="10" fillId="4" borderId="2" xfId="0" applyFont="1" applyFill="1" applyBorder="1" applyAlignment="1">
      <alignment horizontal="center" vertical="top" wrapText="1"/>
    </xf>
    <xf numFmtId="0" fontId="12" fillId="4" borderId="2" xfId="0" applyFont="1" applyFill="1" applyBorder="1" applyAlignment="1">
      <alignment horizontal="left" vertical="top" wrapText="1"/>
    </xf>
    <xf numFmtId="3" fontId="13" fillId="4" borderId="2" xfId="0" applyNumberFormat="1" applyFont="1" applyFill="1" applyBorder="1" applyAlignment="1">
      <alignment horizontal="center" vertical="top" shrinkToFit="1"/>
    </xf>
    <xf numFmtId="3" fontId="13" fillId="4" borderId="2" xfId="0" applyNumberFormat="1" applyFont="1" applyFill="1" applyBorder="1" applyAlignment="1">
      <alignment horizontal="right" vertical="top" shrinkToFit="1"/>
    </xf>
    <xf numFmtId="3" fontId="13" fillId="4" borderId="2" xfId="0" applyNumberFormat="1" applyFont="1" applyFill="1" applyBorder="1" applyAlignment="1">
      <alignment horizontal="left" vertical="top" shrinkToFit="1"/>
    </xf>
    <xf numFmtId="0" fontId="12" fillId="4" borderId="2" xfId="0" applyFont="1" applyFill="1" applyBorder="1" applyAlignment="1">
      <alignment horizontal="center" vertical="top" wrapText="1"/>
    </xf>
    <xf numFmtId="2" fontId="11" fillId="4" borderId="2" xfId="0" applyNumberFormat="1" applyFont="1" applyFill="1" applyBorder="1" applyAlignment="1">
      <alignment horizontal="center" vertical="top" shrinkToFit="1"/>
    </xf>
    <xf numFmtId="2" fontId="11" fillId="4" borderId="2" xfId="0" applyNumberFormat="1" applyFont="1" applyFill="1" applyBorder="1" applyAlignment="1">
      <alignment horizontal="left" vertical="top" shrinkToFit="1"/>
    </xf>
    <xf numFmtId="2" fontId="11" fillId="4" borderId="2" xfId="0" applyNumberFormat="1" applyFont="1" applyFill="1" applyBorder="1" applyAlignment="1">
      <alignment horizontal="right" vertical="top" shrinkToFit="1"/>
    </xf>
    <xf numFmtId="2" fontId="13" fillId="4" borderId="2" xfId="0" applyNumberFormat="1" applyFont="1" applyFill="1" applyBorder="1" applyAlignment="1">
      <alignment horizontal="center" vertical="top" shrinkToFit="1"/>
    </xf>
    <xf numFmtId="2" fontId="13" fillId="4" borderId="2" xfId="0" applyNumberFormat="1" applyFont="1" applyFill="1" applyBorder="1" applyAlignment="1">
      <alignment horizontal="right" vertical="top" shrinkToFit="1"/>
    </xf>
    <xf numFmtId="2" fontId="11" fillId="0" borderId="2" xfId="0" applyNumberFormat="1" applyFont="1" applyBorder="1" applyAlignment="1">
      <alignment horizontal="center" vertical="top" shrinkToFit="1"/>
    </xf>
    <xf numFmtId="2" fontId="11" fillId="0" borderId="2" xfId="0" applyNumberFormat="1" applyFont="1" applyBorder="1" applyAlignment="1">
      <alignment horizontal="left" vertical="top" shrinkToFit="1"/>
    </xf>
    <xf numFmtId="0" fontId="7" fillId="0" borderId="4" xfId="0" applyFont="1" applyBorder="1" applyAlignment="1">
      <alignment horizontal="center" vertical="top" wrapText="1"/>
    </xf>
    <xf numFmtId="0" fontId="2" fillId="0" borderId="2" xfId="0" applyFont="1" applyBorder="1" applyAlignment="1">
      <alignment horizontal="left" vertical="center" wrapText="1"/>
    </xf>
    <xf numFmtId="164" fontId="13" fillId="0" borderId="2" xfId="0" applyNumberFormat="1" applyFont="1" applyBorder="1" applyAlignment="1">
      <alignment horizontal="center" vertical="top" shrinkToFit="1"/>
    </xf>
    <xf numFmtId="164" fontId="13" fillId="0" borderId="2" xfId="0" applyNumberFormat="1" applyFont="1" applyBorder="1" applyAlignment="1">
      <alignment horizontal="right" vertical="top" shrinkToFit="1"/>
    </xf>
    <xf numFmtId="2" fontId="13" fillId="0" borderId="2" xfId="0" applyNumberFormat="1" applyFont="1" applyBorder="1" applyAlignment="1">
      <alignment horizontal="left" vertical="top" shrinkToFit="1"/>
    </xf>
    <xf numFmtId="2" fontId="13" fillId="3" borderId="2" xfId="0" applyNumberFormat="1" applyFont="1" applyFill="1" applyBorder="1" applyAlignment="1">
      <alignment horizontal="left" vertical="top" shrinkToFit="1"/>
    </xf>
    <xf numFmtId="9" fontId="13" fillId="0" borderId="2" xfId="0" applyNumberFormat="1" applyFont="1" applyBorder="1" applyAlignment="1">
      <alignment horizontal="center" vertical="top" shrinkToFit="1"/>
    </xf>
    <xf numFmtId="9" fontId="13" fillId="0" borderId="2" xfId="0" applyNumberFormat="1" applyFont="1" applyBorder="1" applyAlignment="1">
      <alignment horizontal="right" vertical="top" shrinkToFit="1"/>
    </xf>
    <xf numFmtId="0" fontId="16" fillId="4" borderId="2" xfId="0" applyFont="1" applyFill="1" applyBorder="1" applyAlignment="1">
      <alignment horizontal="center" vertical="top" wrapText="1"/>
    </xf>
    <xf numFmtId="1" fontId="13" fillId="4" borderId="2" xfId="0" applyNumberFormat="1" applyFont="1" applyFill="1" applyBorder="1" applyAlignment="1">
      <alignment horizontal="center" vertical="top" shrinkToFit="1"/>
    </xf>
    <xf numFmtId="0" fontId="2" fillId="4" borderId="2" xfId="0" applyFont="1" applyFill="1" applyBorder="1" applyAlignment="1">
      <alignment horizontal="left" wrapText="1"/>
    </xf>
    <xf numFmtId="0" fontId="2" fillId="0" borderId="9" xfId="0" applyFont="1" applyBorder="1" applyAlignment="1">
      <alignment horizontal="left" wrapText="1"/>
    </xf>
    <xf numFmtId="0" fontId="2" fillId="0" borderId="10" xfId="0" applyFont="1" applyBorder="1" applyAlignment="1">
      <alignment horizontal="left" wrapText="1"/>
    </xf>
    <xf numFmtId="3" fontId="13" fillId="0" borderId="2" xfId="0" applyNumberFormat="1" applyFont="1" applyBorder="1" applyAlignment="1">
      <alignment horizontal="center" vertical="top" shrinkToFit="1"/>
    </xf>
    <xf numFmtId="3" fontId="13" fillId="0" borderId="2" xfId="0" applyNumberFormat="1" applyFont="1" applyBorder="1" applyAlignment="1">
      <alignment horizontal="right" vertical="top" shrinkToFit="1"/>
    </xf>
    <xf numFmtId="2" fontId="13" fillId="0" borderId="2" xfId="0" applyNumberFormat="1" applyFont="1" applyBorder="1" applyAlignment="1">
      <alignment horizontal="center" vertical="top" shrinkToFit="1"/>
    </xf>
    <xf numFmtId="2" fontId="13" fillId="0" borderId="2" xfId="0" applyNumberFormat="1" applyFont="1" applyBorder="1" applyAlignment="1">
      <alignment horizontal="right" vertical="top" shrinkToFit="1"/>
    </xf>
    <xf numFmtId="165" fontId="13" fillId="0" borderId="2" xfId="0" applyNumberFormat="1" applyFont="1" applyBorder="1" applyAlignment="1">
      <alignment horizontal="center" vertical="top" shrinkToFit="1"/>
    </xf>
    <xf numFmtId="165" fontId="13" fillId="0" borderId="2" xfId="0" applyNumberFormat="1" applyFont="1" applyBorder="1" applyAlignment="1">
      <alignment horizontal="right" vertical="top" shrinkToFit="1"/>
    </xf>
    <xf numFmtId="0" fontId="7" fillId="0" borderId="11" xfId="0" applyFont="1" applyBorder="1" applyAlignment="1">
      <alignment horizontal="left" vertical="top" wrapText="1"/>
    </xf>
    <xf numFmtId="1" fontId="9" fillId="0" borderId="2" xfId="0" applyNumberFormat="1" applyFont="1" applyBorder="1" applyAlignment="1">
      <alignment horizontal="left" vertical="top" shrinkToFit="1"/>
    </xf>
    <xf numFmtId="0" fontId="7" fillId="0" borderId="2" xfId="0" applyFont="1" applyBorder="1" applyAlignment="1">
      <alignment horizontal="right" vertical="top" wrapText="1"/>
    </xf>
    <xf numFmtId="0" fontId="7" fillId="0" borderId="4" xfId="0" applyFont="1" applyBorder="1" applyAlignment="1">
      <alignment horizontal="right" vertical="top" wrapText="1"/>
    </xf>
    <xf numFmtId="0" fontId="7" fillId="0" borderId="4" xfId="0" applyFont="1" applyBorder="1" applyAlignment="1">
      <alignment horizontal="left" vertical="top" wrapText="1"/>
    </xf>
    <xf numFmtId="1" fontId="11" fillId="0" borderId="2" xfId="0" applyNumberFormat="1" applyFont="1" applyBorder="1" applyAlignment="1">
      <alignment horizontal="right" vertical="top" shrinkToFit="1"/>
    </xf>
    <xf numFmtId="165" fontId="11" fillId="0" borderId="2" xfId="0" applyNumberFormat="1" applyFont="1" applyBorder="1" applyAlignment="1">
      <alignment horizontal="right" vertical="top" shrinkToFit="1"/>
    </xf>
    <xf numFmtId="165" fontId="11" fillId="0" borderId="2" xfId="0" applyNumberFormat="1" applyFont="1" applyBorder="1" applyAlignment="1">
      <alignment horizontal="left" vertical="top" shrinkToFit="1"/>
    </xf>
    <xf numFmtId="2" fontId="11" fillId="0" borderId="2" xfId="0" applyNumberFormat="1" applyFont="1" applyBorder="1" applyAlignment="1">
      <alignment horizontal="right" vertical="top" shrinkToFit="1"/>
    </xf>
    <xf numFmtId="166" fontId="13" fillId="0" borderId="2" xfId="0" applyNumberFormat="1" applyFont="1" applyBorder="1" applyAlignment="1">
      <alignment horizontal="center" vertical="top" shrinkToFit="1"/>
    </xf>
    <xf numFmtId="1" fontId="11" fillId="3" borderId="2" xfId="0" applyNumberFormat="1" applyFont="1" applyFill="1" applyBorder="1" applyAlignment="1">
      <alignment horizontal="right" vertical="top" shrinkToFit="1"/>
    </xf>
    <xf numFmtId="0" fontId="10" fillId="0" borderId="2" xfId="0" applyFont="1" applyBorder="1" applyAlignment="1">
      <alignment horizontal="right" vertical="top" wrapText="1"/>
    </xf>
    <xf numFmtId="1" fontId="11" fillId="4" borderId="2" xfId="0" applyNumberFormat="1" applyFont="1" applyFill="1" applyBorder="1" applyAlignment="1">
      <alignment horizontal="right" vertical="top" shrinkToFit="1"/>
    </xf>
    <xf numFmtId="1" fontId="11" fillId="4" borderId="2" xfId="0" applyNumberFormat="1" applyFont="1" applyFill="1" applyBorder="1" applyAlignment="1">
      <alignment horizontal="center" vertical="top" shrinkToFit="1"/>
    </xf>
    <xf numFmtId="0" fontId="17" fillId="0" borderId="2" xfId="0" applyFont="1" applyBorder="1" applyAlignment="1">
      <alignment horizontal="left" vertical="top" wrapText="1"/>
    </xf>
    <xf numFmtId="0" fontId="17" fillId="0" borderId="3" xfId="0" applyFont="1" applyBorder="1" applyAlignment="1">
      <alignment horizontal="left" vertical="top" wrapText="1"/>
    </xf>
    <xf numFmtId="1" fontId="18" fillId="0" borderId="2" xfId="0" applyNumberFormat="1" applyFont="1" applyBorder="1" applyAlignment="1">
      <alignment horizontal="right" vertical="top" shrinkToFit="1"/>
    </xf>
    <xf numFmtId="1" fontId="18" fillId="0" borderId="2" xfId="0" applyNumberFormat="1" applyFont="1" applyBorder="1" applyAlignment="1">
      <alignment horizontal="center" vertical="top" shrinkToFit="1"/>
    </xf>
    <xf numFmtId="0" fontId="17" fillId="0" borderId="2" xfId="0" applyFont="1" applyBorder="1" applyAlignment="1">
      <alignment horizontal="center" vertical="top" wrapText="1"/>
    </xf>
    <xf numFmtId="0" fontId="17" fillId="0" borderId="4" xfId="0" applyFont="1" applyBorder="1" applyAlignment="1">
      <alignment horizontal="center" vertical="top" wrapText="1"/>
    </xf>
    <xf numFmtId="0" fontId="17" fillId="0" borderId="4" xfId="0" applyFont="1" applyBorder="1" applyAlignment="1">
      <alignment horizontal="left" vertical="top" wrapText="1"/>
    </xf>
    <xf numFmtId="164" fontId="11" fillId="0" borderId="2" xfId="0" applyNumberFormat="1" applyFont="1" applyBorder="1" applyAlignment="1">
      <alignment horizontal="right" vertical="top" shrinkToFit="1"/>
    </xf>
    <xf numFmtId="9" fontId="13" fillId="0" borderId="2" xfId="0" applyNumberFormat="1" applyFont="1" applyBorder="1" applyAlignment="1">
      <alignment horizontal="left" vertical="top" shrinkToFit="1"/>
    </xf>
    <xf numFmtId="165" fontId="11" fillId="0" borderId="2" xfId="0" applyNumberFormat="1" applyFont="1" applyBorder="1" applyAlignment="1">
      <alignment horizontal="center" vertical="top" shrinkToFit="1"/>
    </xf>
    <xf numFmtId="0" fontId="2" fillId="0" borderId="2" xfId="0" applyFont="1" applyBorder="1" applyAlignment="1">
      <alignment horizontal="left" vertical="top" wrapText="1"/>
    </xf>
    <xf numFmtId="0" fontId="15" fillId="0" borderId="11" xfId="0" applyFont="1" applyBorder="1" applyAlignment="1">
      <alignment horizontal="left" vertical="top" wrapText="1"/>
    </xf>
    <xf numFmtId="1" fontId="11" fillId="3" borderId="2" xfId="0" applyNumberFormat="1" applyFont="1" applyFill="1" applyBorder="1" applyAlignment="1">
      <alignment horizontal="center" vertical="top" shrinkToFit="1"/>
    </xf>
    <xf numFmtId="164" fontId="13" fillId="3" borderId="2" xfId="0" applyNumberFormat="1" applyFont="1" applyFill="1" applyBorder="1" applyAlignment="1">
      <alignment horizontal="center" vertical="top" shrinkToFit="1"/>
    </xf>
    <xf numFmtId="1" fontId="13" fillId="3"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center" vertical="top" shrinkToFit="1"/>
    </xf>
    <xf numFmtId="164" fontId="11" fillId="4" borderId="2" xfId="0" applyNumberFormat="1" applyFont="1" applyFill="1" applyBorder="1" applyAlignment="1">
      <alignment horizontal="right" vertical="top" shrinkToFit="1"/>
    </xf>
    <xf numFmtId="164" fontId="13" fillId="4" borderId="2" xfId="0" applyNumberFormat="1" applyFont="1" applyFill="1" applyBorder="1" applyAlignment="1">
      <alignment horizontal="left" vertical="top" shrinkToFit="1"/>
    </xf>
    <xf numFmtId="164" fontId="13" fillId="4" borderId="2" xfId="0" applyNumberFormat="1" applyFont="1" applyFill="1" applyBorder="1" applyAlignment="1">
      <alignment horizontal="center" vertical="top" shrinkToFit="1"/>
    </xf>
    <xf numFmtId="164" fontId="13" fillId="0" borderId="2" xfId="0" applyNumberFormat="1" applyFont="1" applyBorder="1" applyAlignment="1">
      <alignment horizontal="left" vertical="top" shrinkToFit="1"/>
    </xf>
    <xf numFmtId="164" fontId="11" fillId="3" borderId="2" xfId="0" applyNumberFormat="1" applyFont="1" applyFill="1" applyBorder="1" applyAlignment="1">
      <alignment horizontal="center" vertical="top" shrinkToFit="1"/>
    </xf>
    <xf numFmtId="0" fontId="10" fillId="3" borderId="2" xfId="0" applyFont="1" applyFill="1" applyBorder="1" applyAlignment="1">
      <alignment horizontal="right" vertical="top" wrapText="1"/>
    </xf>
    <xf numFmtId="0" fontId="10" fillId="4" borderId="2" xfId="0" applyFont="1" applyFill="1" applyBorder="1" applyAlignment="1">
      <alignment horizontal="right" vertical="top" wrapText="1"/>
    </xf>
    <xf numFmtId="1" fontId="11" fillId="0" borderId="2" xfId="0" applyNumberFormat="1" applyFont="1" applyBorder="1" applyAlignment="1">
      <alignment horizontal="left" vertical="top" shrinkToFit="1"/>
    </xf>
    <xf numFmtId="0" fontId="1" fillId="2" borderId="1" xfId="0" applyFont="1" applyFill="1" applyBorder="1"/>
    <xf numFmtId="9" fontId="2" fillId="0" borderId="0" xfId="0" applyNumberFormat="1" applyFont="1"/>
    <xf numFmtId="0" fontId="2" fillId="0" borderId="0" xfId="0" applyFont="1"/>
    <xf numFmtId="167"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 fontId="3" fillId="0" borderId="0" xfId="0" applyNumberFormat="1" applyFont="1"/>
    <xf numFmtId="0" fontId="1" fillId="0" borderId="0" xfId="0" applyFont="1" applyAlignment="1">
      <alignment horizontal="left" wrapText="1"/>
    </xf>
    <xf numFmtId="0" fontId="2" fillId="0" borderId="0" xfId="0" applyFont="1" applyAlignment="1">
      <alignment horizontal="right" wrapText="1"/>
    </xf>
    <xf numFmtId="2" fontId="3" fillId="0" borderId="0" xfId="0" applyNumberFormat="1" applyFont="1"/>
    <xf numFmtId="0" fontId="20" fillId="0" borderId="0" xfId="0" applyFont="1"/>
    <xf numFmtId="0" fontId="27" fillId="0" borderId="0" xfId="0" applyFont="1"/>
    <xf numFmtId="3" fontId="3" fillId="0" borderId="0" xfId="0" applyNumberFormat="1" applyFont="1"/>
    <xf numFmtId="0" fontId="27" fillId="0" borderId="0" xfId="0" applyFont="1" applyAlignment="1">
      <alignment horizontal="left"/>
    </xf>
    <xf numFmtId="0" fontId="3" fillId="0" borderId="0" xfId="0" applyFont="1" applyAlignment="1">
      <alignment horizontal="left"/>
    </xf>
    <xf numFmtId="3" fontId="3" fillId="0" borderId="0" xfId="0" applyNumberFormat="1"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3" fontId="3" fillId="0" borderId="0" xfId="0" applyNumberFormat="1" applyFont="1" applyAlignment="1">
      <alignment horizontal="right"/>
    </xf>
    <xf numFmtId="11" fontId="2" fillId="0" borderId="0" xfId="0" applyNumberFormat="1" applyFont="1"/>
    <xf numFmtId="11" fontId="28" fillId="0" borderId="0" xfId="0" applyNumberFormat="1" applyFont="1"/>
    <xf numFmtId="11" fontId="29" fillId="0" borderId="0" xfId="0" applyNumberFormat="1" applyFont="1"/>
    <xf numFmtId="11" fontId="2" fillId="2" borderId="1" xfId="0" applyNumberFormat="1" applyFont="1" applyFill="1" applyBorder="1"/>
    <xf numFmtId="0" fontId="30" fillId="0" borderId="1" xfId="0" applyFont="1" applyBorder="1"/>
    <xf numFmtId="0" fontId="31" fillId="0" borderId="1" xfId="0" applyFont="1" applyBorder="1"/>
    <xf numFmtId="0" fontId="31" fillId="5" borderId="1" xfId="0" applyFont="1" applyFill="1" applyBorder="1"/>
    <xf numFmtId="1" fontId="32" fillId="5" borderId="1" xfId="0" applyNumberFormat="1" applyFont="1" applyFill="1" applyBorder="1"/>
    <xf numFmtId="1" fontId="32" fillId="0" borderId="1" xfId="0" applyNumberFormat="1" applyFont="1" applyBorder="1"/>
    <xf numFmtId="1" fontId="32" fillId="6" borderId="1" xfId="0" applyNumberFormat="1" applyFont="1" applyFill="1" applyBorder="1"/>
    <xf numFmtId="1" fontId="31" fillId="0" borderId="1" xfId="0" applyNumberFormat="1" applyFont="1" applyBorder="1"/>
    <xf numFmtId="11" fontId="2" fillId="7" borderId="0" xfId="0" applyNumberFormat="1" applyFont="1" applyFill="1"/>
    <xf numFmtId="0" fontId="7" fillId="0" borderId="3" xfId="0" applyFont="1" applyBorder="1" applyAlignment="1">
      <alignment horizontal="left" vertical="top" wrapText="1"/>
    </xf>
    <xf numFmtId="0" fontId="6" fillId="0" borderId="4" xfId="0" applyFont="1" applyBorder="1"/>
    <xf numFmtId="0" fontId="6" fillId="0" borderId="5" xfId="0" applyFont="1" applyBorder="1"/>
    <xf numFmtId="0" fontId="15" fillId="0" borderId="3" xfId="0" applyFont="1" applyBorder="1" applyAlignment="1">
      <alignment horizontal="left" vertical="top" wrapText="1"/>
    </xf>
    <xf numFmtId="0" fontId="1" fillId="3" borderId="6" xfId="0" applyFont="1" applyFill="1" applyBorder="1" applyAlignment="1">
      <alignment horizontal="center"/>
    </xf>
    <xf numFmtId="0" fontId="6" fillId="0" borderId="7" xfId="0" applyFont="1" applyBorder="1"/>
    <xf numFmtId="0" fontId="7" fillId="0" borderId="3" xfId="0" applyFont="1" applyBorder="1" applyAlignment="1">
      <alignment horizontal="center" vertical="top" wrapText="1"/>
    </xf>
    <xf numFmtId="1" fontId="11" fillId="0" borderId="3" xfId="0" applyNumberFormat="1" applyFont="1" applyBorder="1" applyAlignment="1">
      <alignment horizontal="left" vertical="top" shrinkToFit="1"/>
    </xf>
    <xf numFmtId="0" fontId="5" fillId="0" borderId="3" xfId="0" applyFont="1" applyBorder="1" applyAlignment="1">
      <alignment horizontal="left" vertical="top" wrapText="1"/>
    </xf>
    <xf numFmtId="0" fontId="14" fillId="0" borderId="3" xfId="0" applyFont="1" applyBorder="1" applyAlignment="1">
      <alignment horizontal="left" vertical="top" wrapText="1"/>
    </xf>
    <xf numFmtId="0" fontId="17" fillId="0" borderId="3" xfId="0" applyFont="1" applyBorder="1" applyAlignment="1">
      <alignment horizontal="left" vertical="top" wrapText="1"/>
    </xf>
    <xf numFmtId="0" fontId="6" fillId="0" borderId="8" xfId="0" applyFont="1" applyBorder="1"/>
    <xf numFmtId="0" fontId="2" fillId="0" borderId="12" xfId="0" applyFont="1" applyBorder="1" applyAlignment="1">
      <alignment horizontal="left" wrapText="1"/>
    </xf>
    <xf numFmtId="0" fontId="19" fillId="0" borderId="3" xfId="0" applyFont="1" applyBorder="1" applyAlignment="1">
      <alignment horizontal="left" vertical="top" wrapText="1"/>
    </xf>
    <xf numFmtId="0" fontId="2" fillId="0" borderId="0" xfId="0" applyFont="1" applyAlignment="1">
      <alignment wrapText="1"/>
    </xf>
    <xf numFmtId="0" fontId="0" fillId="0" borderId="0" xfId="0"/>
    <xf numFmtId="0" fontId="2" fillId="0" borderId="0" xfId="0" applyFont="1"/>
    <xf numFmtId="0" fontId="27"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0" sqref="B10"/>
    </sheetView>
  </sheetViews>
  <sheetFormatPr baseColWidth="10" defaultColWidth="14.5" defaultRowHeight="15" customHeight="1"/>
  <cols>
    <col min="1" max="1" width="8.6640625" customWidth="1"/>
    <col min="2" max="2" width="58.1640625" customWidth="1"/>
    <col min="3" max="26" width="8.6640625" customWidth="1"/>
  </cols>
  <sheetData>
    <row r="1" spans="1:2" ht="14.25" customHeight="1">
      <c r="A1" s="1" t="s">
        <v>0</v>
      </c>
      <c r="B1" s="2"/>
    </row>
    <row r="2" spans="1:2" ht="14.25" customHeight="1">
      <c r="A2" s="1" t="s">
        <v>1</v>
      </c>
      <c r="B2" s="2"/>
    </row>
    <row r="3" spans="1:2" ht="14.25" customHeight="1">
      <c r="A3" s="1" t="s">
        <v>2</v>
      </c>
      <c r="B3" s="2"/>
    </row>
    <row r="4" spans="1:2" ht="14.25" customHeight="1">
      <c r="A4" s="1" t="s">
        <v>3</v>
      </c>
      <c r="B4" s="2"/>
    </row>
    <row r="5" spans="1:2" ht="14.25" customHeight="1">
      <c r="A5" s="2"/>
      <c r="B5" s="2"/>
    </row>
    <row r="6" spans="1:2" ht="14.25" customHeight="1">
      <c r="A6" s="3" t="s">
        <v>4</v>
      </c>
      <c r="B6" s="4" t="s">
        <v>5</v>
      </c>
    </row>
    <row r="7" spans="1:2" ht="14.25" customHeight="1">
      <c r="A7" s="2"/>
      <c r="B7" s="5" t="s">
        <v>6</v>
      </c>
    </row>
    <row r="8" spans="1:2" ht="14.25" customHeight="1">
      <c r="A8" s="2"/>
      <c r="B8" s="2" t="s">
        <v>1187</v>
      </c>
    </row>
    <row r="9" spans="1:2" ht="14.25" customHeight="1">
      <c r="A9" s="2"/>
      <c r="B9" s="5" t="s">
        <v>7</v>
      </c>
    </row>
    <row r="10" spans="1:2" ht="14.25" customHeight="1">
      <c r="A10" s="2"/>
      <c r="B10" s="6" t="s">
        <v>8</v>
      </c>
    </row>
    <row r="11" spans="1:2" ht="14.25" customHeight="1">
      <c r="A11" s="2"/>
    </row>
    <row r="12" spans="1:2" ht="14.25" customHeight="1">
      <c r="A12" s="2"/>
      <c r="B12" s="7" t="s">
        <v>9</v>
      </c>
    </row>
    <row r="13" spans="1:2" ht="14.25" customHeight="1">
      <c r="A13" s="2"/>
      <c r="B13" s="5" t="s">
        <v>10</v>
      </c>
    </row>
    <row r="14" spans="1:2" ht="14.25" customHeight="1">
      <c r="A14" s="2"/>
      <c r="B14" s="2">
        <v>2020</v>
      </c>
    </row>
    <row r="15" spans="1:2" ht="14.25" customHeight="1">
      <c r="A15" s="2"/>
      <c r="B15" s="2" t="s">
        <v>10</v>
      </c>
    </row>
    <row r="16" spans="1:2" ht="14.25" customHeight="1">
      <c r="A16" s="2"/>
      <c r="B16" s="6" t="s">
        <v>11</v>
      </c>
    </row>
    <row r="17" spans="1:2" ht="14.25" customHeight="1">
      <c r="A17" s="2"/>
      <c r="B17" s="5" t="s">
        <v>12</v>
      </c>
    </row>
    <row r="18" spans="1:2" ht="14.25" customHeight="1">
      <c r="A18" s="2"/>
    </row>
    <row r="19" spans="1:2" ht="14.25" customHeight="1">
      <c r="B19" s="7" t="s">
        <v>13</v>
      </c>
    </row>
    <row r="20" spans="1:2" ht="14.25" customHeight="1">
      <c r="B20" s="5" t="s">
        <v>14</v>
      </c>
    </row>
    <row r="21" spans="1:2" ht="14.25" customHeight="1">
      <c r="B21" s="2">
        <v>2020</v>
      </c>
    </row>
    <row r="22" spans="1:2" ht="14.25" customHeight="1">
      <c r="B22" s="5" t="s">
        <v>15</v>
      </c>
    </row>
    <row r="23" spans="1:2" ht="14.25" customHeight="1">
      <c r="B23" s="6" t="s">
        <v>16</v>
      </c>
    </row>
    <row r="24" spans="1:2" ht="14.25" customHeight="1">
      <c r="B24" s="5" t="s">
        <v>17</v>
      </c>
    </row>
    <row r="25" spans="1:2" ht="14.25" customHeight="1"/>
    <row r="26" spans="1:2" ht="14.25" customHeight="1">
      <c r="A26" s="3" t="s">
        <v>18</v>
      </c>
      <c r="B26" s="5" t="s">
        <v>19</v>
      </c>
    </row>
    <row r="27" spans="1:2" ht="14.25" customHeight="1">
      <c r="B27" s="8" t="s">
        <v>20</v>
      </c>
    </row>
    <row r="28" spans="1:2" ht="14.25" customHeight="1">
      <c r="B28" s="8" t="s">
        <v>21</v>
      </c>
    </row>
    <row r="29" spans="1:2" ht="14.25" customHeight="1">
      <c r="B29" s="8" t="s">
        <v>22</v>
      </c>
    </row>
    <row r="30" spans="1:2" ht="14.25" customHeight="1">
      <c r="B30" s="8" t="s">
        <v>23</v>
      </c>
    </row>
    <row r="31" spans="1:2" ht="14.25" customHeight="1">
      <c r="B31" s="8" t="s">
        <v>24</v>
      </c>
    </row>
    <row r="32" spans="1:2" ht="14.25" customHeight="1"/>
    <row r="33" spans="1:2" ht="14.25" customHeight="1">
      <c r="A33" s="1" t="s">
        <v>25</v>
      </c>
    </row>
    <row r="34" spans="1:2" ht="14.25" customHeight="1">
      <c r="A34" s="5">
        <v>1.02</v>
      </c>
      <c r="B34" s="8" t="s">
        <v>26</v>
      </c>
    </row>
    <row r="35" spans="1:2" ht="14.25" customHeight="1">
      <c r="A35" s="5">
        <v>0.99</v>
      </c>
      <c r="B35" s="8" t="s">
        <v>27</v>
      </c>
    </row>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B16" r:id="rId1" xr:uid="{00000000-0004-0000-0000-000000000000}"/>
    <hyperlink ref="B23"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3" workbookViewId="0">
      <selection activeCell="A52" sqref="A52:J52"/>
    </sheetView>
  </sheetViews>
  <sheetFormatPr baseColWidth="10" defaultColWidth="14.5" defaultRowHeight="15" customHeight="1"/>
  <cols>
    <col min="1" max="1" width="16.1640625" customWidth="1"/>
    <col min="2" max="11" width="8.6640625" customWidth="1"/>
    <col min="12" max="12" width="17.1640625" customWidth="1"/>
    <col min="13" max="26" width="8.6640625" customWidth="1"/>
  </cols>
  <sheetData>
    <row r="1" spans="1:21" ht="14.25" customHeight="1">
      <c r="A1" s="9" t="s">
        <v>28</v>
      </c>
      <c r="L1" s="9" t="s">
        <v>29</v>
      </c>
    </row>
    <row r="2" spans="1:21" ht="14.25" customHeight="1">
      <c r="A2" s="10" t="s">
        <v>30</v>
      </c>
      <c r="B2" s="169" t="s">
        <v>31</v>
      </c>
      <c r="C2" s="162"/>
      <c r="D2" s="162"/>
      <c r="E2" s="162"/>
      <c r="F2" s="162"/>
      <c r="G2" s="162"/>
      <c r="H2" s="162"/>
      <c r="I2" s="162"/>
      <c r="J2" s="163"/>
      <c r="K2" s="12"/>
      <c r="L2" s="13" t="s">
        <v>32</v>
      </c>
      <c r="M2" s="167" t="s">
        <v>33</v>
      </c>
      <c r="N2" s="162"/>
      <c r="O2" s="162"/>
      <c r="P2" s="162"/>
      <c r="Q2" s="162"/>
      <c r="R2" s="162"/>
      <c r="S2" s="162"/>
      <c r="T2" s="162"/>
      <c r="U2" s="163"/>
    </row>
    <row r="3" spans="1:21" ht="14.25" customHeight="1">
      <c r="A3" s="14"/>
      <c r="B3" s="15">
        <v>2020</v>
      </c>
      <c r="C3" s="15">
        <v>2030</v>
      </c>
      <c r="D3" s="15">
        <v>2050</v>
      </c>
      <c r="E3" s="169" t="s">
        <v>34</v>
      </c>
      <c r="F3" s="163"/>
      <c r="G3" s="169" t="s">
        <v>35</v>
      </c>
      <c r="H3" s="163"/>
      <c r="I3" s="16" t="s">
        <v>36</v>
      </c>
      <c r="J3" s="16" t="s">
        <v>37</v>
      </c>
      <c r="K3" s="12"/>
      <c r="L3" s="14"/>
      <c r="M3" s="17">
        <v>2020</v>
      </c>
      <c r="N3" s="17">
        <v>2030</v>
      </c>
      <c r="O3" s="18">
        <v>2050</v>
      </c>
      <c r="P3" s="161" t="s">
        <v>38</v>
      </c>
      <c r="Q3" s="163"/>
      <c r="R3" s="161" t="s">
        <v>39</v>
      </c>
      <c r="S3" s="163"/>
      <c r="T3" s="13" t="s">
        <v>40</v>
      </c>
      <c r="U3" s="20" t="s">
        <v>41</v>
      </c>
    </row>
    <row r="4" spans="1:21" ht="14.25" customHeight="1">
      <c r="A4" s="11" t="s">
        <v>42</v>
      </c>
      <c r="B4" s="21"/>
      <c r="C4" s="21"/>
      <c r="D4" s="21"/>
      <c r="E4" s="22" t="s">
        <v>43</v>
      </c>
      <c r="F4" s="23" t="s">
        <v>44</v>
      </c>
      <c r="G4" s="24" t="s">
        <v>45</v>
      </c>
      <c r="H4" s="24" t="s">
        <v>46</v>
      </c>
      <c r="I4" s="21"/>
      <c r="J4" s="25"/>
      <c r="K4" s="12"/>
      <c r="L4" s="161" t="s">
        <v>47</v>
      </c>
      <c r="M4" s="162"/>
      <c r="N4" s="162"/>
      <c r="O4" s="162"/>
      <c r="P4" s="162"/>
      <c r="Q4" s="162"/>
      <c r="R4" s="162"/>
      <c r="S4" s="162"/>
      <c r="T4" s="162"/>
      <c r="U4" s="163"/>
    </row>
    <row r="5" spans="1:21" ht="14.25" customHeight="1">
      <c r="A5" s="26" t="s">
        <v>48</v>
      </c>
      <c r="B5" s="27">
        <v>55</v>
      </c>
      <c r="C5" s="27">
        <v>55</v>
      </c>
      <c r="D5" s="27">
        <v>55</v>
      </c>
      <c r="E5" s="27">
        <v>30</v>
      </c>
      <c r="F5" s="27">
        <v>500</v>
      </c>
      <c r="G5" s="27">
        <v>30</v>
      </c>
      <c r="H5" s="27">
        <v>500</v>
      </c>
      <c r="I5" s="14"/>
      <c r="J5" s="27">
        <v>1</v>
      </c>
      <c r="K5" s="12"/>
      <c r="L5" s="28" t="s">
        <v>49</v>
      </c>
      <c r="M5" s="29">
        <v>1000</v>
      </c>
      <c r="N5" s="29">
        <v>1000</v>
      </c>
      <c r="O5" s="30">
        <v>1000</v>
      </c>
      <c r="P5" s="29">
        <v>700</v>
      </c>
      <c r="Q5" s="31">
        <v>1200</v>
      </c>
      <c r="R5" s="29">
        <v>700</v>
      </c>
      <c r="S5" s="30">
        <v>1200</v>
      </c>
      <c r="T5" s="14"/>
      <c r="U5" s="29">
        <v>1</v>
      </c>
    </row>
    <row r="6" spans="1:21" ht="28.5" customHeight="1">
      <c r="A6" s="26" t="s">
        <v>50</v>
      </c>
      <c r="B6" s="27">
        <v>110</v>
      </c>
      <c r="C6" s="27">
        <v>110</v>
      </c>
      <c r="D6" s="27">
        <v>110</v>
      </c>
      <c r="E6" s="27">
        <v>30</v>
      </c>
      <c r="F6" s="27">
        <v>500</v>
      </c>
      <c r="G6" s="27">
        <v>30</v>
      </c>
      <c r="H6" s="27">
        <v>500</v>
      </c>
      <c r="I6" s="14"/>
      <c r="J6" s="27">
        <v>1</v>
      </c>
      <c r="K6" s="12"/>
      <c r="L6" s="28" t="s">
        <v>51</v>
      </c>
      <c r="M6" s="29">
        <v>1000</v>
      </c>
      <c r="N6" s="29">
        <v>1000</v>
      </c>
      <c r="O6" s="30">
        <v>1000</v>
      </c>
      <c r="P6" s="29">
        <v>700</v>
      </c>
      <c r="Q6" s="31">
        <v>1200</v>
      </c>
      <c r="R6" s="29">
        <v>700</v>
      </c>
      <c r="S6" s="30">
        <v>1200</v>
      </c>
      <c r="T6" s="14"/>
      <c r="U6" s="29">
        <v>1</v>
      </c>
    </row>
    <row r="7" spans="1:21" ht="28.5" customHeight="1">
      <c r="A7" s="26" t="s">
        <v>52</v>
      </c>
      <c r="B7" s="27">
        <v>16</v>
      </c>
      <c r="C7" s="27">
        <v>17</v>
      </c>
      <c r="D7" s="27">
        <v>18</v>
      </c>
      <c r="E7" s="27">
        <v>8</v>
      </c>
      <c r="F7" s="27">
        <v>18</v>
      </c>
      <c r="G7" s="27">
        <v>10</v>
      </c>
      <c r="H7" s="27">
        <v>20</v>
      </c>
      <c r="I7" s="32" t="s">
        <v>53</v>
      </c>
      <c r="J7" s="27">
        <v>5</v>
      </c>
      <c r="K7" s="12"/>
      <c r="L7" s="28" t="s">
        <v>54</v>
      </c>
      <c r="M7" s="29">
        <v>43</v>
      </c>
      <c r="N7" s="29">
        <v>44</v>
      </c>
      <c r="O7" s="29">
        <v>45</v>
      </c>
      <c r="P7" s="29">
        <v>40</v>
      </c>
      <c r="Q7" s="29">
        <v>45</v>
      </c>
      <c r="R7" s="29">
        <v>42</v>
      </c>
      <c r="S7" s="29">
        <v>47</v>
      </c>
      <c r="T7" s="14"/>
      <c r="U7" s="33" t="s">
        <v>55</v>
      </c>
    </row>
    <row r="8" spans="1:21" ht="28.5" customHeight="1">
      <c r="A8" s="26" t="s">
        <v>56</v>
      </c>
      <c r="B8" s="27">
        <v>15</v>
      </c>
      <c r="C8" s="27">
        <v>16</v>
      </c>
      <c r="D8" s="27">
        <v>17</v>
      </c>
      <c r="E8" s="27">
        <v>8</v>
      </c>
      <c r="F8" s="27">
        <v>18</v>
      </c>
      <c r="G8" s="27">
        <v>10</v>
      </c>
      <c r="H8" s="27">
        <v>20</v>
      </c>
      <c r="I8" s="32" t="s">
        <v>57</v>
      </c>
      <c r="J8" s="27">
        <v>5</v>
      </c>
      <c r="K8" s="12"/>
      <c r="L8" s="28" t="s">
        <v>58</v>
      </c>
      <c r="M8" s="29">
        <v>42</v>
      </c>
      <c r="N8" s="29">
        <v>43</v>
      </c>
      <c r="O8" s="29">
        <v>44</v>
      </c>
      <c r="P8" s="29">
        <v>40</v>
      </c>
      <c r="Q8" s="29">
        <v>45</v>
      </c>
      <c r="R8" s="29">
        <v>42</v>
      </c>
      <c r="S8" s="29">
        <v>47</v>
      </c>
      <c r="T8" s="14"/>
      <c r="U8" s="33" t="s">
        <v>59</v>
      </c>
    </row>
    <row r="9" spans="1:21" ht="14.25" customHeight="1">
      <c r="A9" s="26" t="s">
        <v>60</v>
      </c>
      <c r="B9" s="27">
        <v>10</v>
      </c>
      <c r="C9" s="27">
        <v>10</v>
      </c>
      <c r="D9" s="27">
        <v>10</v>
      </c>
      <c r="E9" s="27">
        <v>5</v>
      </c>
      <c r="F9" s="27">
        <v>30</v>
      </c>
      <c r="G9" s="27">
        <v>5</v>
      </c>
      <c r="H9" s="27">
        <v>30</v>
      </c>
      <c r="I9" s="14"/>
      <c r="J9" s="27">
        <v>1</v>
      </c>
      <c r="K9" s="12"/>
      <c r="L9" s="28" t="s">
        <v>61</v>
      </c>
      <c r="M9" s="29">
        <v>7</v>
      </c>
      <c r="N9" s="29">
        <v>6</v>
      </c>
      <c r="O9" s="29">
        <v>3</v>
      </c>
      <c r="P9" s="29">
        <v>5</v>
      </c>
      <c r="Q9" s="29">
        <v>15</v>
      </c>
      <c r="R9" s="29">
        <v>2</v>
      </c>
      <c r="S9" s="29">
        <v>7</v>
      </c>
      <c r="T9" s="33" t="s">
        <v>62</v>
      </c>
      <c r="U9" s="29">
        <v>1</v>
      </c>
    </row>
    <row r="10" spans="1:21" ht="14.25" customHeight="1">
      <c r="A10" s="26" t="s">
        <v>63</v>
      </c>
      <c r="B10" s="27">
        <v>4</v>
      </c>
      <c r="C10" s="27">
        <v>4</v>
      </c>
      <c r="D10" s="27">
        <v>4</v>
      </c>
      <c r="E10" s="27">
        <v>2</v>
      </c>
      <c r="F10" s="27">
        <v>6</v>
      </c>
      <c r="G10" s="27">
        <v>2</v>
      </c>
      <c r="H10" s="27">
        <v>6</v>
      </c>
      <c r="I10" s="14"/>
      <c r="J10" s="27">
        <v>1</v>
      </c>
      <c r="K10" s="12"/>
      <c r="L10" s="28" t="s">
        <v>64</v>
      </c>
      <c r="M10" s="29">
        <v>7</v>
      </c>
      <c r="N10" s="29">
        <v>5</v>
      </c>
      <c r="O10" s="29">
        <v>3</v>
      </c>
      <c r="P10" s="29">
        <v>3</v>
      </c>
      <c r="Q10" s="29">
        <v>8</v>
      </c>
      <c r="R10" s="29">
        <v>2</v>
      </c>
      <c r="S10" s="29">
        <v>4</v>
      </c>
      <c r="T10" s="33" t="s">
        <v>65</v>
      </c>
      <c r="U10" s="29">
        <v>1</v>
      </c>
    </row>
    <row r="11" spans="1:21" ht="18.75" customHeight="1">
      <c r="A11" s="26" t="s">
        <v>66</v>
      </c>
      <c r="B11" s="27">
        <v>30</v>
      </c>
      <c r="C11" s="27">
        <v>30</v>
      </c>
      <c r="D11" s="27">
        <v>30</v>
      </c>
      <c r="E11" s="27">
        <v>20</v>
      </c>
      <c r="F11" s="27">
        <v>50</v>
      </c>
      <c r="G11" s="27">
        <v>20</v>
      </c>
      <c r="H11" s="27">
        <v>50</v>
      </c>
      <c r="I11" s="14"/>
      <c r="J11" s="27">
        <v>1</v>
      </c>
      <c r="K11" s="12"/>
      <c r="L11" s="28" t="s">
        <v>67</v>
      </c>
      <c r="M11" s="29">
        <v>30</v>
      </c>
      <c r="N11" s="29">
        <v>30</v>
      </c>
      <c r="O11" s="29">
        <v>30</v>
      </c>
      <c r="P11" s="29">
        <v>25</v>
      </c>
      <c r="Q11" s="29">
        <v>40</v>
      </c>
      <c r="R11" s="29">
        <v>25</v>
      </c>
      <c r="S11" s="29">
        <v>40</v>
      </c>
      <c r="T11" s="14"/>
      <c r="U11" s="29">
        <v>1</v>
      </c>
    </row>
    <row r="12" spans="1:21" ht="18.75" customHeight="1">
      <c r="A12" s="26" t="s">
        <v>68</v>
      </c>
      <c r="B12" s="34">
        <v>2</v>
      </c>
      <c r="C12" s="34">
        <v>2</v>
      </c>
      <c r="D12" s="34">
        <v>2</v>
      </c>
      <c r="E12" s="34">
        <v>1.5</v>
      </c>
      <c r="F12" s="27">
        <v>3</v>
      </c>
      <c r="G12" s="34">
        <v>1.5</v>
      </c>
      <c r="H12" s="27">
        <v>3</v>
      </c>
      <c r="I12" s="14"/>
      <c r="J12" s="27">
        <v>1</v>
      </c>
      <c r="K12" s="12"/>
      <c r="L12" s="28" t="s">
        <v>69</v>
      </c>
      <c r="M12" s="29">
        <v>4</v>
      </c>
      <c r="N12" s="29">
        <v>3</v>
      </c>
      <c r="O12" s="29">
        <v>3</v>
      </c>
      <c r="P12" s="29">
        <v>3</v>
      </c>
      <c r="Q12" s="29">
        <v>5</v>
      </c>
      <c r="R12" s="29">
        <v>2</v>
      </c>
      <c r="S12" s="29">
        <v>4</v>
      </c>
      <c r="T12" s="33" t="s">
        <v>70</v>
      </c>
      <c r="U12" s="29">
        <v>1</v>
      </c>
    </row>
    <row r="13" spans="1:21" ht="14.25" customHeight="1">
      <c r="A13" s="26" t="s">
        <v>71</v>
      </c>
      <c r="B13" s="27">
        <v>30</v>
      </c>
      <c r="C13" s="27">
        <v>30</v>
      </c>
      <c r="D13" s="27">
        <v>30</v>
      </c>
      <c r="E13" s="27">
        <v>20</v>
      </c>
      <c r="F13" s="27">
        <v>40</v>
      </c>
      <c r="G13" s="27">
        <v>20</v>
      </c>
      <c r="H13" s="27">
        <v>40</v>
      </c>
      <c r="I13" s="14"/>
      <c r="J13" s="27">
        <v>1</v>
      </c>
      <c r="K13" s="12"/>
      <c r="L13" s="28" t="s">
        <v>72</v>
      </c>
      <c r="M13" s="33" t="s">
        <v>73</v>
      </c>
      <c r="N13" s="33" t="s">
        <v>74</v>
      </c>
      <c r="O13" s="33" t="s">
        <v>75</v>
      </c>
      <c r="P13" s="33" t="s">
        <v>76</v>
      </c>
      <c r="Q13" s="33" t="s">
        <v>77</v>
      </c>
      <c r="R13" s="33" t="s">
        <v>78</v>
      </c>
      <c r="S13" s="33" t="s">
        <v>79</v>
      </c>
      <c r="T13" s="14"/>
      <c r="U13" s="14"/>
    </row>
    <row r="14" spans="1:21" ht="14.25" customHeight="1">
      <c r="A14" s="170" t="s">
        <v>80</v>
      </c>
      <c r="B14" s="162"/>
      <c r="C14" s="162"/>
      <c r="D14" s="162"/>
      <c r="E14" s="162"/>
      <c r="F14" s="162"/>
      <c r="G14" s="162"/>
      <c r="H14" s="162"/>
      <c r="I14" s="162"/>
      <c r="J14" s="163"/>
      <c r="K14" s="12"/>
      <c r="L14" s="164" t="s">
        <v>81</v>
      </c>
      <c r="M14" s="162"/>
      <c r="N14" s="162"/>
      <c r="O14" s="162"/>
      <c r="P14" s="162"/>
      <c r="Q14" s="162"/>
      <c r="R14" s="162"/>
      <c r="S14" s="162"/>
      <c r="T14" s="162"/>
      <c r="U14" s="163"/>
    </row>
    <row r="15" spans="1:21" ht="14.25" customHeight="1">
      <c r="A15" s="26" t="s">
        <v>82</v>
      </c>
      <c r="B15" s="27">
        <v>90</v>
      </c>
      <c r="C15" s="27">
        <v>90</v>
      </c>
      <c r="D15" s="27">
        <v>90</v>
      </c>
      <c r="E15" s="27">
        <v>70</v>
      </c>
      <c r="F15" s="27">
        <v>100</v>
      </c>
      <c r="G15" s="27">
        <v>70</v>
      </c>
      <c r="H15" s="27">
        <v>100</v>
      </c>
      <c r="I15" s="14"/>
      <c r="J15" s="27">
        <v>1</v>
      </c>
      <c r="K15" s="12"/>
      <c r="L15" s="28" t="s">
        <v>83</v>
      </c>
      <c r="M15" s="33" t="s">
        <v>84</v>
      </c>
      <c r="N15" s="33" t="s">
        <v>85</v>
      </c>
      <c r="O15" s="33" t="s">
        <v>86</v>
      </c>
      <c r="P15" s="33" t="s">
        <v>87</v>
      </c>
      <c r="Q15" s="33" t="s">
        <v>88</v>
      </c>
      <c r="R15" s="33" t="s">
        <v>89</v>
      </c>
      <c r="S15" s="33" t="s">
        <v>90</v>
      </c>
      <c r="T15" s="14"/>
      <c r="U15" s="14"/>
    </row>
    <row r="16" spans="1:21" ht="14.25" customHeight="1">
      <c r="A16" s="26" t="s">
        <v>91</v>
      </c>
      <c r="B16" s="27">
        <v>80</v>
      </c>
      <c r="C16" s="27">
        <v>80</v>
      </c>
      <c r="D16" s="27">
        <v>80</v>
      </c>
      <c r="E16" s="27">
        <v>70</v>
      </c>
      <c r="F16" s="27">
        <v>100</v>
      </c>
      <c r="G16" s="27">
        <v>70</v>
      </c>
      <c r="H16" s="27">
        <v>100</v>
      </c>
      <c r="I16" s="14"/>
      <c r="J16" s="27">
        <v>1</v>
      </c>
      <c r="K16" s="12"/>
      <c r="L16" s="28" t="s">
        <v>92</v>
      </c>
      <c r="M16" s="33" t="s">
        <v>93</v>
      </c>
      <c r="N16" s="33" t="s">
        <v>94</v>
      </c>
      <c r="O16" s="33" t="s">
        <v>95</v>
      </c>
      <c r="P16" s="33" t="s">
        <v>96</v>
      </c>
      <c r="Q16" s="33" t="s">
        <v>97</v>
      </c>
      <c r="R16" s="33" t="s">
        <v>98</v>
      </c>
      <c r="S16" s="33" t="s">
        <v>99</v>
      </c>
      <c r="T16" s="14"/>
      <c r="U16" s="14"/>
    </row>
    <row r="17" spans="1:26" ht="14.25" customHeight="1">
      <c r="A17" s="169" t="s">
        <v>100</v>
      </c>
      <c r="B17" s="162"/>
      <c r="C17" s="162"/>
      <c r="D17" s="162"/>
      <c r="E17" s="162"/>
      <c r="F17" s="162"/>
      <c r="G17" s="162"/>
      <c r="H17" s="162"/>
      <c r="I17" s="162"/>
      <c r="J17" s="163"/>
      <c r="K17" s="12"/>
      <c r="L17" s="161" t="s">
        <v>101</v>
      </c>
      <c r="M17" s="162"/>
      <c r="N17" s="162"/>
      <c r="O17" s="162"/>
      <c r="P17" s="162"/>
      <c r="Q17" s="162"/>
      <c r="R17" s="162"/>
      <c r="S17" s="162"/>
      <c r="T17" s="162"/>
      <c r="U17" s="163"/>
    </row>
    <row r="18" spans="1:26" ht="18.75" customHeight="1">
      <c r="A18" s="26" t="s">
        <v>102</v>
      </c>
      <c r="B18" s="27">
        <v>3</v>
      </c>
      <c r="C18" s="27">
        <v>10</v>
      </c>
      <c r="D18" s="27">
        <v>20</v>
      </c>
      <c r="E18" s="14"/>
      <c r="F18" s="14"/>
      <c r="G18" s="14"/>
      <c r="H18" s="14"/>
      <c r="I18" s="14"/>
      <c r="J18" s="27">
        <v>8</v>
      </c>
      <c r="K18" s="12"/>
      <c r="L18" s="28" t="s">
        <v>103</v>
      </c>
      <c r="M18" s="29">
        <v>5</v>
      </c>
      <c r="N18" s="29">
        <v>5</v>
      </c>
      <c r="O18" s="29">
        <v>5</v>
      </c>
      <c r="P18" s="29">
        <v>4</v>
      </c>
      <c r="Q18" s="29">
        <v>5</v>
      </c>
      <c r="R18" s="29">
        <v>4</v>
      </c>
      <c r="S18" s="29">
        <v>5</v>
      </c>
      <c r="T18" s="33" t="s">
        <v>104</v>
      </c>
      <c r="U18" s="29">
        <v>1</v>
      </c>
    </row>
    <row r="19" spans="1:26" ht="14.25" customHeight="1">
      <c r="A19" s="26" t="s">
        <v>105</v>
      </c>
      <c r="B19" s="14"/>
      <c r="C19" s="14"/>
      <c r="D19" s="14"/>
      <c r="E19" s="14"/>
      <c r="F19" s="14"/>
      <c r="G19" s="14"/>
      <c r="H19" s="14"/>
      <c r="I19" s="14"/>
      <c r="J19" s="14"/>
      <c r="K19" s="12"/>
      <c r="L19" s="28" t="s">
        <v>106</v>
      </c>
      <c r="M19" s="29">
        <v>30</v>
      </c>
      <c r="N19" s="29">
        <v>25</v>
      </c>
      <c r="O19" s="29">
        <v>20</v>
      </c>
      <c r="P19" s="29">
        <v>25</v>
      </c>
      <c r="Q19" s="29">
        <v>50</v>
      </c>
      <c r="R19" s="29">
        <v>10</v>
      </c>
      <c r="S19" s="29">
        <v>30</v>
      </c>
      <c r="T19" s="33" t="s">
        <v>107</v>
      </c>
      <c r="U19" s="29">
        <v>1</v>
      </c>
    </row>
    <row r="20" spans="1:26" ht="18.75" customHeight="1">
      <c r="A20" s="26" t="s">
        <v>108</v>
      </c>
      <c r="B20" s="14"/>
      <c r="C20" s="14"/>
      <c r="D20" s="14"/>
      <c r="E20" s="14"/>
      <c r="F20" s="14"/>
      <c r="G20" s="14"/>
      <c r="H20" s="14"/>
      <c r="I20" s="14"/>
      <c r="J20" s="14"/>
      <c r="K20" s="12"/>
      <c r="L20" s="28" t="s">
        <v>109</v>
      </c>
      <c r="M20" s="29">
        <v>4</v>
      </c>
      <c r="N20" s="29">
        <v>4</v>
      </c>
      <c r="O20" s="29">
        <v>4</v>
      </c>
      <c r="P20" s="29">
        <v>2</v>
      </c>
      <c r="Q20" s="29">
        <v>5</v>
      </c>
      <c r="R20" s="29">
        <v>2</v>
      </c>
      <c r="S20" s="29">
        <v>5</v>
      </c>
      <c r="T20" s="33" t="s">
        <v>110</v>
      </c>
      <c r="U20" s="29">
        <v>1</v>
      </c>
    </row>
    <row r="21" spans="1:26" ht="18.75" customHeight="1">
      <c r="A21" s="26" t="s">
        <v>111</v>
      </c>
      <c r="B21" s="14"/>
      <c r="C21" s="14"/>
      <c r="D21" s="14"/>
      <c r="E21" s="14"/>
      <c r="F21" s="14"/>
      <c r="G21" s="14"/>
      <c r="H21" s="14"/>
      <c r="I21" s="14"/>
      <c r="J21" s="14"/>
      <c r="K21" s="12"/>
      <c r="L21" s="28" t="s">
        <v>112</v>
      </c>
      <c r="M21" s="29">
        <v>12</v>
      </c>
      <c r="N21" s="29">
        <v>12</v>
      </c>
      <c r="O21" s="29">
        <v>12</v>
      </c>
      <c r="P21" s="29">
        <v>6</v>
      </c>
      <c r="Q21" s="29">
        <v>15</v>
      </c>
      <c r="R21" s="29">
        <v>6</v>
      </c>
      <c r="S21" s="29">
        <v>12</v>
      </c>
      <c r="T21" s="33" t="s">
        <v>113</v>
      </c>
      <c r="U21" s="29">
        <v>1</v>
      </c>
    </row>
    <row r="22" spans="1:26" ht="14.25" customHeight="1">
      <c r="A22" s="169" t="s">
        <v>114</v>
      </c>
      <c r="B22" s="162"/>
      <c r="C22" s="162"/>
      <c r="D22" s="162"/>
      <c r="E22" s="162"/>
      <c r="F22" s="162"/>
      <c r="G22" s="162"/>
      <c r="H22" s="162"/>
      <c r="I22" s="162"/>
      <c r="J22" s="163"/>
      <c r="K22" s="12"/>
      <c r="L22" s="161" t="s">
        <v>115</v>
      </c>
      <c r="M22" s="162"/>
      <c r="N22" s="162"/>
      <c r="O22" s="162"/>
      <c r="P22" s="162"/>
      <c r="Q22" s="162"/>
      <c r="R22" s="162"/>
      <c r="S22" s="162"/>
      <c r="T22" s="162"/>
      <c r="U22" s="163"/>
    </row>
    <row r="23" spans="1:26" ht="20.25" customHeight="1">
      <c r="A23" s="26" t="s">
        <v>116</v>
      </c>
      <c r="B23" s="32" t="s">
        <v>117</v>
      </c>
      <c r="C23" s="32" t="s">
        <v>118</v>
      </c>
      <c r="D23" s="32" t="s">
        <v>119</v>
      </c>
      <c r="E23" s="32" t="s">
        <v>120</v>
      </c>
      <c r="F23" s="32" t="s">
        <v>121</v>
      </c>
      <c r="G23" s="32" t="s">
        <v>122</v>
      </c>
      <c r="H23" s="32" t="s">
        <v>123</v>
      </c>
      <c r="I23" s="32" t="s">
        <v>124</v>
      </c>
      <c r="J23" s="27">
        <v>6</v>
      </c>
      <c r="K23" s="12"/>
      <c r="L23" s="28" t="s">
        <v>125</v>
      </c>
      <c r="M23" s="29">
        <v>150</v>
      </c>
      <c r="N23" s="29">
        <v>100</v>
      </c>
      <c r="O23" s="29">
        <v>100</v>
      </c>
      <c r="P23" s="29">
        <v>50</v>
      </c>
      <c r="Q23" s="29">
        <v>150</v>
      </c>
      <c r="R23" s="29">
        <v>20</v>
      </c>
      <c r="S23" s="29">
        <v>100</v>
      </c>
      <c r="T23" s="33" t="s">
        <v>126</v>
      </c>
      <c r="U23" s="33" t="s">
        <v>127</v>
      </c>
    </row>
    <row r="24" spans="1:26" ht="14.25" customHeight="1">
      <c r="A24" s="26" t="s">
        <v>128</v>
      </c>
      <c r="B24" s="32" t="s">
        <v>129</v>
      </c>
      <c r="C24" s="32" t="s">
        <v>130</v>
      </c>
      <c r="D24" s="32" t="s">
        <v>131</v>
      </c>
      <c r="E24" s="32" t="s">
        <v>132</v>
      </c>
      <c r="F24" s="32" t="s">
        <v>133</v>
      </c>
      <c r="G24" s="32" t="s">
        <v>134</v>
      </c>
      <c r="H24" s="32" t="s">
        <v>135</v>
      </c>
      <c r="I24" s="32" t="s">
        <v>136</v>
      </c>
      <c r="J24" s="27">
        <v>6</v>
      </c>
      <c r="K24" s="12"/>
      <c r="L24" s="28" t="s">
        <v>137</v>
      </c>
      <c r="M24" s="29">
        <v>73</v>
      </c>
      <c r="N24" s="29">
        <v>73</v>
      </c>
      <c r="O24" s="29">
        <v>73</v>
      </c>
      <c r="P24" s="29">
        <v>73</v>
      </c>
      <c r="Q24" s="29">
        <v>95</v>
      </c>
      <c r="R24" s="29">
        <v>73</v>
      </c>
      <c r="S24" s="29">
        <v>95</v>
      </c>
      <c r="T24" s="28" t="s">
        <v>138</v>
      </c>
      <c r="U24" s="33" t="s">
        <v>139</v>
      </c>
    </row>
    <row r="25" spans="1:26" ht="14.25" customHeight="1">
      <c r="A25" s="26" t="s">
        <v>140</v>
      </c>
      <c r="B25" s="32" t="s">
        <v>141</v>
      </c>
      <c r="C25" s="32" t="s">
        <v>142</v>
      </c>
      <c r="D25" s="32" t="s">
        <v>143</v>
      </c>
      <c r="E25" s="32" t="s">
        <v>144</v>
      </c>
      <c r="F25" s="32" t="s">
        <v>145</v>
      </c>
      <c r="G25" s="32" t="s">
        <v>146</v>
      </c>
      <c r="H25" s="32" t="s">
        <v>147</v>
      </c>
      <c r="I25" s="32" t="s">
        <v>148</v>
      </c>
      <c r="J25" s="27">
        <v>6</v>
      </c>
      <c r="K25" s="12"/>
      <c r="L25" s="28" t="s">
        <v>149</v>
      </c>
      <c r="M25" s="29">
        <v>263</v>
      </c>
      <c r="N25" s="29">
        <v>263</v>
      </c>
      <c r="O25" s="29">
        <v>263</v>
      </c>
      <c r="P25" s="29">
        <v>263</v>
      </c>
      <c r="Q25" s="29">
        <v>263</v>
      </c>
      <c r="R25" s="29">
        <v>263</v>
      </c>
      <c r="S25" s="29">
        <v>263</v>
      </c>
      <c r="T25" s="33" t="s">
        <v>150</v>
      </c>
      <c r="U25" s="33" t="s">
        <v>151</v>
      </c>
    </row>
    <row r="26" spans="1:26" ht="14.25" customHeight="1">
      <c r="A26" s="26" t="s">
        <v>152</v>
      </c>
      <c r="B26" s="32" t="s">
        <v>153</v>
      </c>
      <c r="C26" s="32" t="s">
        <v>154</v>
      </c>
      <c r="D26" s="32" t="s">
        <v>155</v>
      </c>
      <c r="E26" s="32" t="s">
        <v>156</v>
      </c>
      <c r="F26" s="32" t="s">
        <v>157</v>
      </c>
      <c r="G26" s="32" t="s">
        <v>158</v>
      </c>
      <c r="H26" s="32" t="s">
        <v>159</v>
      </c>
      <c r="I26" s="32" t="s">
        <v>160</v>
      </c>
      <c r="J26" s="27">
        <v>6</v>
      </c>
      <c r="K26" s="12"/>
      <c r="L26" s="28" t="s">
        <v>161</v>
      </c>
      <c r="M26" s="33" t="s">
        <v>162</v>
      </c>
      <c r="N26" s="33" t="s">
        <v>163</v>
      </c>
      <c r="O26" s="33" t="s">
        <v>164</v>
      </c>
      <c r="P26" s="33" t="s">
        <v>165</v>
      </c>
      <c r="Q26" s="33" t="s">
        <v>166</v>
      </c>
      <c r="R26" s="33" t="s">
        <v>167</v>
      </c>
      <c r="S26" s="33" t="s">
        <v>168</v>
      </c>
      <c r="T26" s="14"/>
      <c r="U26" s="14"/>
    </row>
    <row r="27" spans="1:26" ht="14.25" customHeight="1">
      <c r="A27" s="26" t="s">
        <v>169</v>
      </c>
      <c r="B27" s="32" t="s">
        <v>170</v>
      </c>
      <c r="C27" s="32" t="s">
        <v>171</v>
      </c>
      <c r="D27" s="32" t="s">
        <v>172</v>
      </c>
      <c r="E27" s="32" t="s">
        <v>173</v>
      </c>
      <c r="F27" s="32" t="s">
        <v>174</v>
      </c>
      <c r="G27" s="32" t="s">
        <v>175</v>
      </c>
      <c r="H27" s="32" t="s">
        <v>176</v>
      </c>
      <c r="I27" s="32" t="s">
        <v>177</v>
      </c>
      <c r="J27" s="27">
        <v>6</v>
      </c>
      <c r="K27" s="12"/>
      <c r="L27" s="28" t="s">
        <v>178</v>
      </c>
      <c r="M27" s="33" t="s">
        <v>179</v>
      </c>
      <c r="N27" s="33" t="s">
        <v>180</v>
      </c>
      <c r="O27" s="33" t="s">
        <v>181</v>
      </c>
      <c r="P27" s="33" t="s">
        <v>182</v>
      </c>
      <c r="Q27" s="33" t="s">
        <v>183</v>
      </c>
      <c r="R27" s="33" t="s">
        <v>184</v>
      </c>
      <c r="S27" s="33" t="s">
        <v>185</v>
      </c>
      <c r="T27" s="14"/>
      <c r="U27" s="14"/>
    </row>
    <row r="28" spans="1:26" ht="14.25" customHeight="1">
      <c r="A28" s="169" t="s">
        <v>186</v>
      </c>
      <c r="B28" s="162"/>
      <c r="C28" s="162"/>
      <c r="D28" s="162"/>
      <c r="E28" s="162"/>
      <c r="F28" s="162"/>
      <c r="G28" s="162"/>
      <c r="H28" s="162"/>
      <c r="I28" s="162"/>
      <c r="J28" s="163"/>
      <c r="K28" s="12"/>
      <c r="L28" s="161" t="s">
        <v>187</v>
      </c>
      <c r="M28" s="162"/>
      <c r="N28" s="162"/>
      <c r="O28" s="162"/>
      <c r="P28" s="162"/>
      <c r="Q28" s="162"/>
      <c r="R28" s="162"/>
      <c r="S28" s="162"/>
      <c r="T28" s="162"/>
      <c r="U28" s="163"/>
    </row>
    <row r="29" spans="1:26" ht="14.25" customHeight="1">
      <c r="A29" s="35" t="s">
        <v>188</v>
      </c>
      <c r="B29" s="36">
        <v>4</v>
      </c>
      <c r="C29" s="36">
        <v>3.44</v>
      </c>
      <c r="D29" s="36">
        <v>2.84</v>
      </c>
      <c r="E29" s="37">
        <v>2.7</v>
      </c>
      <c r="F29" s="38">
        <v>5.75</v>
      </c>
      <c r="G29" s="36">
        <v>1.7</v>
      </c>
      <c r="H29" s="36">
        <v>4.55</v>
      </c>
      <c r="I29" s="39" t="s">
        <v>189</v>
      </c>
      <c r="J29" s="39" t="s">
        <v>190</v>
      </c>
      <c r="K29" s="40"/>
      <c r="L29" s="41" t="s">
        <v>191</v>
      </c>
      <c r="M29" s="42">
        <v>1.52</v>
      </c>
      <c r="N29" s="42">
        <v>1.48</v>
      </c>
      <c r="O29" s="43">
        <v>1.43</v>
      </c>
      <c r="P29" s="43">
        <v>1.1399999999999999</v>
      </c>
      <c r="Q29" s="42">
        <v>1.91</v>
      </c>
      <c r="R29" s="42">
        <v>1.07</v>
      </c>
      <c r="S29" s="42">
        <v>1.79</v>
      </c>
      <c r="T29" s="41" t="s">
        <v>192</v>
      </c>
      <c r="U29" s="44" t="s">
        <v>193</v>
      </c>
      <c r="V29" s="45"/>
      <c r="W29" s="45"/>
      <c r="X29" s="45"/>
      <c r="Y29" s="45"/>
      <c r="Z29" s="45"/>
    </row>
    <row r="30" spans="1:26" ht="14.25" customHeight="1">
      <c r="A30" s="26" t="s">
        <v>194</v>
      </c>
      <c r="B30" s="46">
        <v>0.6</v>
      </c>
      <c r="C30" s="46">
        <v>0.6</v>
      </c>
      <c r="D30" s="46">
        <v>0.6</v>
      </c>
      <c r="E30" s="47">
        <v>0.4</v>
      </c>
      <c r="F30" s="48">
        <v>0.7</v>
      </c>
      <c r="G30" s="46">
        <v>0.4</v>
      </c>
      <c r="H30" s="46">
        <v>0.7</v>
      </c>
      <c r="I30" s="14"/>
      <c r="J30" s="27">
        <v>3</v>
      </c>
      <c r="K30" s="12"/>
      <c r="L30" s="28" t="s">
        <v>195</v>
      </c>
      <c r="M30" s="14"/>
      <c r="N30" s="14"/>
      <c r="O30" s="14"/>
      <c r="P30" s="14"/>
      <c r="Q30" s="14"/>
      <c r="R30" s="14"/>
      <c r="S30" s="14"/>
      <c r="T30" s="14"/>
      <c r="U30" s="14"/>
    </row>
    <row r="31" spans="1:26" ht="18.75" customHeight="1">
      <c r="A31" s="26" t="s">
        <v>196</v>
      </c>
      <c r="B31" s="46">
        <v>0.4</v>
      </c>
      <c r="C31" s="46">
        <v>0.4</v>
      </c>
      <c r="D31" s="46">
        <v>0.4</v>
      </c>
      <c r="E31" s="47">
        <v>0.3</v>
      </c>
      <c r="F31" s="48">
        <v>0.5</v>
      </c>
      <c r="G31" s="46">
        <v>0.3</v>
      </c>
      <c r="H31" s="46">
        <v>0.5</v>
      </c>
      <c r="I31" s="14"/>
      <c r="J31" s="27">
        <v>3</v>
      </c>
      <c r="K31" s="12"/>
      <c r="L31" s="28" t="s">
        <v>197</v>
      </c>
      <c r="M31" s="14"/>
      <c r="N31" s="14"/>
      <c r="O31" s="14"/>
      <c r="P31" s="14"/>
      <c r="Q31" s="14"/>
      <c r="R31" s="14"/>
      <c r="S31" s="14"/>
      <c r="T31" s="14"/>
      <c r="U31" s="14"/>
    </row>
    <row r="32" spans="1:26" ht="18.75" customHeight="1">
      <c r="A32" s="49" t="s">
        <v>198</v>
      </c>
      <c r="B32" s="50">
        <v>50000</v>
      </c>
      <c r="C32" s="50">
        <v>43000</v>
      </c>
      <c r="D32" s="50">
        <v>35500</v>
      </c>
      <c r="E32" s="51">
        <v>37500</v>
      </c>
      <c r="F32" s="52">
        <v>62500</v>
      </c>
      <c r="G32" s="50">
        <v>26600</v>
      </c>
      <c r="H32" s="50">
        <v>44400</v>
      </c>
      <c r="I32" s="53" t="s">
        <v>199</v>
      </c>
      <c r="J32" s="53" t="s">
        <v>200</v>
      </c>
      <c r="K32" s="12"/>
      <c r="L32" s="54" t="s">
        <v>201</v>
      </c>
      <c r="M32" s="55">
        <v>56600</v>
      </c>
      <c r="N32" s="55">
        <v>54900</v>
      </c>
      <c r="O32" s="56">
        <v>53200</v>
      </c>
      <c r="P32" s="56">
        <v>42500</v>
      </c>
      <c r="Q32" s="57">
        <v>70800</v>
      </c>
      <c r="R32" s="55">
        <v>39900</v>
      </c>
      <c r="S32" s="56">
        <v>66500</v>
      </c>
      <c r="T32" s="58" t="s">
        <v>202</v>
      </c>
      <c r="U32" s="58" t="s">
        <v>203</v>
      </c>
    </row>
    <row r="33" spans="1:21" ht="18.75" customHeight="1">
      <c r="A33" s="49" t="s">
        <v>204</v>
      </c>
      <c r="B33" s="59">
        <v>0.25</v>
      </c>
      <c r="C33" s="59">
        <v>0.22</v>
      </c>
      <c r="D33" s="59">
        <v>0.18</v>
      </c>
      <c r="E33" s="60">
        <v>0.19</v>
      </c>
      <c r="F33" s="61">
        <v>0.31</v>
      </c>
      <c r="G33" s="59">
        <v>0.14000000000000001</v>
      </c>
      <c r="H33" s="59">
        <v>0.23</v>
      </c>
      <c r="I33" s="53" t="s">
        <v>205</v>
      </c>
      <c r="J33" s="53" t="s">
        <v>206</v>
      </c>
      <c r="K33" s="12"/>
      <c r="L33" s="54" t="s">
        <v>207</v>
      </c>
      <c r="M33" s="62">
        <v>0.11</v>
      </c>
      <c r="N33" s="62">
        <v>0.11</v>
      </c>
      <c r="O33" s="63">
        <v>0.1</v>
      </c>
      <c r="P33" s="63">
        <v>0.08</v>
      </c>
      <c r="Q33" s="62">
        <v>0.14000000000000001</v>
      </c>
      <c r="R33" s="62">
        <v>0.08</v>
      </c>
      <c r="S33" s="62">
        <v>0.13</v>
      </c>
      <c r="T33" s="58" t="s">
        <v>208</v>
      </c>
      <c r="U33" s="58" t="s">
        <v>209</v>
      </c>
    </row>
    <row r="34" spans="1:21" ht="14.25" customHeight="1">
      <c r="A34" s="26" t="s">
        <v>210</v>
      </c>
      <c r="B34" s="32" t="s">
        <v>211</v>
      </c>
      <c r="C34" s="32" t="s">
        <v>212</v>
      </c>
      <c r="D34" s="32" t="s">
        <v>213</v>
      </c>
      <c r="E34" s="32" t="s">
        <v>214</v>
      </c>
      <c r="F34" s="32" t="s">
        <v>215</v>
      </c>
      <c r="G34" s="32" t="s">
        <v>216</v>
      </c>
      <c r="H34" s="32" t="s">
        <v>217</v>
      </c>
      <c r="I34" s="14"/>
      <c r="J34" s="14"/>
      <c r="K34" s="12"/>
      <c r="L34" s="28" t="s">
        <v>218</v>
      </c>
      <c r="M34" s="29">
        <v>50</v>
      </c>
      <c r="N34" s="29">
        <v>50</v>
      </c>
      <c r="O34" s="29">
        <v>50</v>
      </c>
      <c r="P34" s="29">
        <v>40</v>
      </c>
      <c r="Q34" s="29">
        <v>100</v>
      </c>
      <c r="R34" s="29">
        <v>40</v>
      </c>
      <c r="S34" s="29">
        <v>100</v>
      </c>
      <c r="T34" s="14"/>
      <c r="U34" s="29">
        <v>5</v>
      </c>
    </row>
    <row r="35" spans="1:21" ht="14.25" customHeight="1">
      <c r="A35" s="169" t="s">
        <v>219</v>
      </c>
      <c r="B35" s="162"/>
      <c r="C35" s="162"/>
      <c r="D35" s="162"/>
      <c r="E35" s="162"/>
      <c r="F35" s="162"/>
      <c r="G35" s="162"/>
      <c r="H35" s="162"/>
      <c r="I35" s="162"/>
      <c r="J35" s="163"/>
      <c r="K35" s="12"/>
    </row>
    <row r="36" spans="1:21" ht="14.25" customHeight="1">
      <c r="A36" s="26" t="s">
        <v>220</v>
      </c>
      <c r="B36" s="64">
        <v>0.15</v>
      </c>
      <c r="C36" s="64">
        <v>0.15</v>
      </c>
      <c r="D36" s="64">
        <v>0.15</v>
      </c>
      <c r="E36" s="65">
        <v>0.1</v>
      </c>
      <c r="F36" s="65">
        <v>0.2</v>
      </c>
      <c r="G36" s="64">
        <v>0.1</v>
      </c>
      <c r="H36" s="64">
        <v>0.2</v>
      </c>
      <c r="I36" s="14"/>
      <c r="J36" s="27">
        <v>7</v>
      </c>
      <c r="K36" s="12"/>
    </row>
    <row r="37" spans="1:21" ht="14.25" customHeight="1">
      <c r="A37" s="26" t="s">
        <v>221</v>
      </c>
      <c r="B37" s="64">
        <v>0.15</v>
      </c>
      <c r="C37" s="64">
        <v>0.15</v>
      </c>
      <c r="D37" s="64">
        <v>0.15</v>
      </c>
      <c r="E37" s="65">
        <v>0.1</v>
      </c>
      <c r="F37" s="65">
        <v>0.2</v>
      </c>
      <c r="G37" s="64">
        <v>0.1</v>
      </c>
      <c r="H37" s="64">
        <v>0.2</v>
      </c>
      <c r="I37" s="14"/>
      <c r="J37" s="27">
        <v>7</v>
      </c>
      <c r="K37" s="12"/>
    </row>
    <row r="38" spans="1:21" ht="14.25" customHeight="1"/>
    <row r="39" spans="1:21" ht="14.25" customHeight="1">
      <c r="A39" s="9" t="s">
        <v>222</v>
      </c>
      <c r="L39" s="9" t="s">
        <v>223</v>
      </c>
    </row>
    <row r="40" spans="1:21" ht="14.25" customHeight="1">
      <c r="A40" s="13" t="s">
        <v>224</v>
      </c>
      <c r="B40" s="167" t="s">
        <v>225</v>
      </c>
      <c r="C40" s="162"/>
      <c r="D40" s="162"/>
      <c r="E40" s="162"/>
      <c r="F40" s="162"/>
      <c r="G40" s="162"/>
      <c r="H40" s="162"/>
      <c r="I40" s="162"/>
      <c r="J40" s="163"/>
      <c r="L40" s="13" t="s">
        <v>226</v>
      </c>
      <c r="M40" s="167" t="s">
        <v>227</v>
      </c>
      <c r="N40" s="162"/>
      <c r="O40" s="162"/>
      <c r="P40" s="162"/>
      <c r="Q40" s="162"/>
      <c r="R40" s="162"/>
      <c r="S40" s="162"/>
      <c r="T40" s="162"/>
      <c r="U40" s="163"/>
    </row>
    <row r="41" spans="1:21" ht="14.25" customHeight="1">
      <c r="A41" s="14"/>
      <c r="B41" s="18">
        <v>2020</v>
      </c>
      <c r="C41" s="18">
        <v>2030</v>
      </c>
      <c r="D41" s="17">
        <v>2050</v>
      </c>
      <c r="E41" s="161" t="s">
        <v>228</v>
      </c>
      <c r="F41" s="163"/>
      <c r="G41" s="161" t="s">
        <v>229</v>
      </c>
      <c r="H41" s="163"/>
      <c r="I41" s="20" t="s">
        <v>230</v>
      </c>
      <c r="J41" s="13" t="s">
        <v>231</v>
      </c>
      <c r="L41" s="14"/>
      <c r="M41" s="17">
        <v>2020</v>
      </c>
      <c r="N41" s="17">
        <v>2030</v>
      </c>
      <c r="O41" s="17">
        <v>2050</v>
      </c>
      <c r="P41" s="161" t="s">
        <v>232</v>
      </c>
      <c r="Q41" s="163"/>
      <c r="R41" s="161" t="s">
        <v>233</v>
      </c>
      <c r="S41" s="163"/>
      <c r="T41" s="13" t="s">
        <v>234</v>
      </c>
      <c r="U41" s="20" t="s">
        <v>235</v>
      </c>
    </row>
    <row r="42" spans="1:21" ht="14.25" customHeight="1">
      <c r="A42" s="19" t="s">
        <v>236</v>
      </c>
      <c r="B42" s="21"/>
      <c r="C42" s="21"/>
      <c r="D42" s="21"/>
      <c r="E42" s="66" t="s">
        <v>237</v>
      </c>
      <c r="F42" s="66" t="s">
        <v>238</v>
      </c>
      <c r="G42" s="66" t="s">
        <v>239</v>
      </c>
      <c r="H42" s="66" t="s">
        <v>240</v>
      </c>
      <c r="I42" s="21"/>
      <c r="J42" s="25"/>
      <c r="L42" s="161" t="s">
        <v>241</v>
      </c>
      <c r="M42" s="162"/>
      <c r="N42" s="162"/>
      <c r="O42" s="162"/>
      <c r="P42" s="162"/>
      <c r="Q42" s="162"/>
      <c r="R42" s="162"/>
      <c r="S42" s="162"/>
      <c r="T42" s="162"/>
      <c r="U42" s="163"/>
    </row>
    <row r="43" spans="1:21" ht="14.25" customHeight="1">
      <c r="A43" s="26" t="s">
        <v>242</v>
      </c>
      <c r="B43" s="27">
        <v>150</v>
      </c>
      <c r="C43" s="27">
        <v>150</v>
      </c>
      <c r="D43" s="27">
        <v>150</v>
      </c>
      <c r="E43" s="27">
        <v>100</v>
      </c>
      <c r="F43" s="27">
        <v>2000</v>
      </c>
      <c r="G43" s="27">
        <v>100</v>
      </c>
      <c r="H43" s="27">
        <v>2000</v>
      </c>
      <c r="I43" s="14"/>
      <c r="J43" s="26" t="s">
        <v>243</v>
      </c>
      <c r="L43" s="28" t="s">
        <v>244</v>
      </c>
      <c r="M43" s="29">
        <v>600</v>
      </c>
      <c r="N43" s="29">
        <v>600</v>
      </c>
      <c r="O43" s="29">
        <v>600</v>
      </c>
      <c r="P43" s="29">
        <v>300</v>
      </c>
      <c r="Q43" s="29">
        <v>800</v>
      </c>
      <c r="R43" s="29">
        <v>300</v>
      </c>
      <c r="S43" s="29">
        <v>800</v>
      </c>
      <c r="T43" s="14"/>
      <c r="U43" s="29">
        <v>1</v>
      </c>
    </row>
    <row r="44" spans="1:21" ht="14.25" customHeight="1">
      <c r="A44" s="26" t="s">
        <v>245</v>
      </c>
      <c r="B44" s="27">
        <v>150</v>
      </c>
      <c r="C44" s="27">
        <v>150</v>
      </c>
      <c r="D44" s="27">
        <v>150</v>
      </c>
      <c r="E44" s="27">
        <v>100</v>
      </c>
      <c r="F44" s="27">
        <v>2000</v>
      </c>
      <c r="G44" s="27">
        <v>100</v>
      </c>
      <c r="H44" s="27">
        <v>2000</v>
      </c>
      <c r="I44" s="14"/>
      <c r="J44" s="26" t="s">
        <v>246</v>
      </c>
      <c r="L44" s="28" t="s">
        <v>247</v>
      </c>
      <c r="M44" s="29">
        <v>600</v>
      </c>
      <c r="N44" s="29">
        <v>600</v>
      </c>
      <c r="O44" s="29">
        <v>600</v>
      </c>
      <c r="P44" s="29">
        <v>300</v>
      </c>
      <c r="Q44" s="29">
        <v>800</v>
      </c>
      <c r="R44" s="29">
        <v>300</v>
      </c>
      <c r="S44" s="29">
        <v>800</v>
      </c>
      <c r="T44" s="14"/>
      <c r="U44" s="29">
        <v>1</v>
      </c>
    </row>
    <row r="45" spans="1:21" ht="14.25" customHeight="1">
      <c r="A45" s="26" t="s">
        <v>248</v>
      </c>
      <c r="B45" s="27">
        <v>95</v>
      </c>
      <c r="C45" s="27">
        <v>95</v>
      </c>
      <c r="D45" s="27">
        <v>95</v>
      </c>
      <c r="E45" s="27">
        <v>85</v>
      </c>
      <c r="F45" s="27">
        <v>97</v>
      </c>
      <c r="G45" s="27">
        <v>85</v>
      </c>
      <c r="H45" s="27">
        <v>97</v>
      </c>
      <c r="I45" s="32" t="s">
        <v>249</v>
      </c>
      <c r="J45" s="27">
        <v>7</v>
      </c>
      <c r="L45" s="28" t="s">
        <v>250</v>
      </c>
      <c r="M45" s="29">
        <v>38</v>
      </c>
      <c r="N45" s="29">
        <v>39</v>
      </c>
      <c r="O45" s="29">
        <v>40</v>
      </c>
      <c r="P45" s="29">
        <v>33</v>
      </c>
      <c r="Q45" s="29">
        <v>40</v>
      </c>
      <c r="R45" s="29">
        <v>35</v>
      </c>
      <c r="S45" s="29">
        <v>42</v>
      </c>
      <c r="T45" s="14"/>
      <c r="U45" s="33" t="s">
        <v>251</v>
      </c>
    </row>
    <row r="46" spans="1:21" ht="14.25" customHeight="1">
      <c r="A46" s="26" t="s">
        <v>252</v>
      </c>
      <c r="B46" s="27">
        <v>95</v>
      </c>
      <c r="C46" s="27">
        <v>95</v>
      </c>
      <c r="D46" s="27">
        <v>95</v>
      </c>
      <c r="E46" s="27">
        <v>85</v>
      </c>
      <c r="F46" s="27">
        <v>97</v>
      </c>
      <c r="G46" s="27">
        <v>85</v>
      </c>
      <c r="H46" s="27">
        <v>97</v>
      </c>
      <c r="I46" s="32" t="s">
        <v>253</v>
      </c>
      <c r="J46" s="27">
        <v>7</v>
      </c>
      <c r="L46" s="28" t="s">
        <v>254</v>
      </c>
      <c r="M46" s="29">
        <v>37</v>
      </c>
      <c r="N46" s="29">
        <v>38</v>
      </c>
      <c r="O46" s="29">
        <v>39</v>
      </c>
      <c r="P46" s="29">
        <v>33</v>
      </c>
      <c r="Q46" s="29">
        <v>40</v>
      </c>
      <c r="R46" s="29">
        <v>35</v>
      </c>
      <c r="S46" s="29">
        <v>42</v>
      </c>
      <c r="T46" s="14"/>
      <c r="U46" s="33" t="s">
        <v>255</v>
      </c>
    </row>
    <row r="47" spans="1:21" ht="14.25" customHeight="1">
      <c r="A47" s="26" t="s">
        <v>256</v>
      </c>
      <c r="B47" s="27">
        <v>4</v>
      </c>
      <c r="C47" s="27">
        <v>4</v>
      </c>
      <c r="D47" s="27">
        <v>4</v>
      </c>
      <c r="E47" s="27">
        <v>2</v>
      </c>
      <c r="F47" s="27">
        <v>10</v>
      </c>
      <c r="G47" s="27">
        <v>2</v>
      </c>
      <c r="H47" s="27">
        <v>10</v>
      </c>
      <c r="I47" s="14"/>
      <c r="J47" s="27">
        <v>1</v>
      </c>
      <c r="L47" s="28" t="s">
        <v>257</v>
      </c>
      <c r="M47" s="29">
        <v>7</v>
      </c>
      <c r="N47" s="29">
        <v>6</v>
      </c>
      <c r="O47" s="29">
        <v>3</v>
      </c>
      <c r="P47" s="29">
        <v>5</v>
      </c>
      <c r="Q47" s="29">
        <v>15</v>
      </c>
      <c r="R47" s="29">
        <v>2</v>
      </c>
      <c r="S47" s="29">
        <v>7</v>
      </c>
      <c r="T47" s="33" t="s">
        <v>258</v>
      </c>
      <c r="U47" s="29">
        <v>1</v>
      </c>
    </row>
    <row r="48" spans="1:21" ht="14.25" customHeight="1">
      <c r="A48" s="26" t="s">
        <v>259</v>
      </c>
      <c r="B48" s="27">
        <v>6</v>
      </c>
      <c r="C48" s="27">
        <v>6</v>
      </c>
      <c r="D48" s="27">
        <v>6</v>
      </c>
      <c r="E48" s="27">
        <v>3</v>
      </c>
      <c r="F48" s="27">
        <v>10</v>
      </c>
      <c r="G48" s="27">
        <v>3</v>
      </c>
      <c r="H48" s="27">
        <v>10</v>
      </c>
      <c r="I48" s="14"/>
      <c r="J48" s="27">
        <v>1</v>
      </c>
      <c r="L48" s="28" t="s">
        <v>260</v>
      </c>
      <c r="M48" s="29">
        <v>7</v>
      </c>
      <c r="N48" s="29">
        <v>5</v>
      </c>
      <c r="O48" s="29">
        <v>3</v>
      </c>
      <c r="P48" s="29">
        <v>3</v>
      </c>
      <c r="Q48" s="29">
        <v>8</v>
      </c>
      <c r="R48" s="29">
        <v>2</v>
      </c>
      <c r="S48" s="29">
        <v>4</v>
      </c>
      <c r="T48" s="33" t="s">
        <v>261</v>
      </c>
      <c r="U48" s="29">
        <v>1</v>
      </c>
    </row>
    <row r="49" spans="1:21" ht="14.25" customHeight="1">
      <c r="A49" s="26" t="s">
        <v>262</v>
      </c>
      <c r="B49" s="27">
        <v>50</v>
      </c>
      <c r="C49" s="27">
        <v>50</v>
      </c>
      <c r="D49" s="27">
        <v>50</v>
      </c>
      <c r="E49" s="27">
        <v>40</v>
      </c>
      <c r="F49" s="27">
        <v>90</v>
      </c>
      <c r="G49" s="27">
        <v>40</v>
      </c>
      <c r="H49" s="27">
        <v>90</v>
      </c>
      <c r="I49" s="32" t="s">
        <v>263</v>
      </c>
      <c r="J49" s="27">
        <v>1</v>
      </c>
      <c r="L49" s="28" t="s">
        <v>264</v>
      </c>
      <c r="M49" s="29">
        <v>30</v>
      </c>
      <c r="N49" s="29">
        <v>30</v>
      </c>
      <c r="O49" s="29">
        <v>30</v>
      </c>
      <c r="P49" s="29">
        <v>25</v>
      </c>
      <c r="Q49" s="29">
        <v>40</v>
      </c>
      <c r="R49" s="29">
        <v>25</v>
      </c>
      <c r="S49" s="29">
        <v>40</v>
      </c>
      <c r="T49" s="14"/>
      <c r="U49" s="29">
        <v>1</v>
      </c>
    </row>
    <row r="50" spans="1:21" ht="14.25" customHeight="1">
      <c r="A50" s="26" t="s">
        <v>265</v>
      </c>
      <c r="B50" s="27">
        <v>4</v>
      </c>
      <c r="C50" s="27">
        <v>4</v>
      </c>
      <c r="D50" s="27">
        <v>4</v>
      </c>
      <c r="E50" s="27">
        <v>2</v>
      </c>
      <c r="F50" s="27">
        <v>6</v>
      </c>
      <c r="G50" s="27">
        <v>2</v>
      </c>
      <c r="H50" s="27">
        <v>6</v>
      </c>
      <c r="I50" s="14"/>
      <c r="J50" s="27">
        <v>1</v>
      </c>
      <c r="L50" s="28" t="s">
        <v>266</v>
      </c>
      <c r="M50" s="29">
        <v>4</v>
      </c>
      <c r="N50" s="29">
        <v>3</v>
      </c>
      <c r="O50" s="29">
        <v>3</v>
      </c>
      <c r="P50" s="29">
        <v>3</v>
      </c>
      <c r="Q50" s="29">
        <v>5</v>
      </c>
      <c r="R50" s="29">
        <v>2</v>
      </c>
      <c r="S50" s="29">
        <v>4</v>
      </c>
      <c r="T50" s="33" t="s">
        <v>267</v>
      </c>
      <c r="U50" s="29">
        <v>1</v>
      </c>
    </row>
    <row r="51" spans="1:21" ht="14.25" customHeight="1">
      <c r="A51" s="26" t="s">
        <v>268</v>
      </c>
      <c r="B51" s="27">
        <v>62</v>
      </c>
      <c r="C51" s="27">
        <v>62</v>
      </c>
      <c r="D51" s="27">
        <v>62</v>
      </c>
      <c r="E51" s="27">
        <v>47</v>
      </c>
      <c r="F51" s="27">
        <v>78</v>
      </c>
      <c r="G51" s="27">
        <v>47</v>
      </c>
      <c r="H51" s="27">
        <v>78</v>
      </c>
      <c r="I51" s="32" t="s">
        <v>269</v>
      </c>
      <c r="J51" s="27">
        <v>1</v>
      </c>
      <c r="L51" s="28" t="s">
        <v>270</v>
      </c>
      <c r="M51" s="33" t="s">
        <v>271</v>
      </c>
      <c r="N51" s="33" t="s">
        <v>272</v>
      </c>
      <c r="O51" s="33" t="s">
        <v>273</v>
      </c>
      <c r="P51" s="33" t="s">
        <v>274</v>
      </c>
      <c r="Q51" s="33" t="s">
        <v>275</v>
      </c>
      <c r="R51" s="33" t="s">
        <v>276</v>
      </c>
      <c r="S51" s="33" t="s">
        <v>277</v>
      </c>
      <c r="T51" s="14"/>
      <c r="U51" s="14"/>
    </row>
    <row r="52" spans="1:21" ht="14.25" customHeight="1">
      <c r="A52" s="164" t="s">
        <v>278</v>
      </c>
      <c r="B52" s="162"/>
      <c r="C52" s="162"/>
      <c r="D52" s="162"/>
      <c r="E52" s="162"/>
      <c r="F52" s="162"/>
      <c r="G52" s="162"/>
      <c r="H52" s="162"/>
      <c r="I52" s="162"/>
      <c r="J52" s="163"/>
      <c r="L52" s="164" t="s">
        <v>279</v>
      </c>
      <c r="M52" s="162"/>
      <c r="N52" s="162"/>
      <c r="O52" s="162"/>
      <c r="P52" s="162"/>
      <c r="Q52" s="162"/>
      <c r="R52" s="162"/>
      <c r="S52" s="162"/>
      <c r="T52" s="162"/>
      <c r="U52" s="163"/>
    </row>
    <row r="53" spans="1:21" ht="14.25" customHeight="1">
      <c r="A53" s="26" t="s">
        <v>280</v>
      </c>
      <c r="B53" s="27">
        <v>40</v>
      </c>
      <c r="C53" s="27">
        <v>40</v>
      </c>
      <c r="D53" s="27">
        <v>40</v>
      </c>
      <c r="E53" s="27">
        <v>20</v>
      </c>
      <c r="F53" s="27">
        <v>95</v>
      </c>
      <c r="G53" s="27">
        <v>20</v>
      </c>
      <c r="H53" s="27">
        <v>95</v>
      </c>
      <c r="I53" s="14"/>
      <c r="J53" s="26" t="s">
        <v>281</v>
      </c>
      <c r="L53" s="28" t="s">
        <v>282</v>
      </c>
      <c r="M53" s="33" t="s">
        <v>283</v>
      </c>
      <c r="N53" s="33" t="s">
        <v>284</v>
      </c>
      <c r="O53" s="33" t="s">
        <v>285</v>
      </c>
      <c r="P53" s="33" t="s">
        <v>286</v>
      </c>
      <c r="Q53" s="33" t="s">
        <v>287</v>
      </c>
      <c r="R53" s="33" t="s">
        <v>288</v>
      </c>
      <c r="S53" s="33" t="s">
        <v>289</v>
      </c>
      <c r="T53" s="14"/>
      <c r="U53" s="14"/>
    </row>
    <row r="54" spans="1:21" ht="14.25" customHeight="1">
      <c r="A54" s="26" t="s">
        <v>290</v>
      </c>
      <c r="B54" s="27">
        <v>36</v>
      </c>
      <c r="C54" s="27">
        <v>36</v>
      </c>
      <c r="D54" s="27">
        <v>36</v>
      </c>
      <c r="E54" s="27">
        <v>20</v>
      </c>
      <c r="F54" s="27">
        <v>95</v>
      </c>
      <c r="G54" s="27">
        <v>20</v>
      </c>
      <c r="H54" s="27">
        <v>95</v>
      </c>
      <c r="I54" s="14"/>
      <c r="J54" s="26" t="s">
        <v>291</v>
      </c>
      <c r="L54" s="28" t="s">
        <v>292</v>
      </c>
      <c r="M54" s="33" t="s">
        <v>293</v>
      </c>
      <c r="N54" s="33" t="s">
        <v>294</v>
      </c>
      <c r="O54" s="33" t="s">
        <v>295</v>
      </c>
      <c r="P54" s="33" t="s">
        <v>296</v>
      </c>
      <c r="Q54" s="33" t="s">
        <v>297</v>
      </c>
      <c r="R54" s="33" t="s">
        <v>298</v>
      </c>
      <c r="S54" s="33" t="s">
        <v>299</v>
      </c>
      <c r="T54" s="14"/>
      <c r="U54" s="14"/>
    </row>
    <row r="55" spans="1:21" ht="14.25" customHeight="1">
      <c r="A55" s="161" t="s">
        <v>300</v>
      </c>
      <c r="B55" s="162"/>
      <c r="C55" s="162"/>
      <c r="D55" s="162"/>
      <c r="E55" s="162"/>
      <c r="F55" s="162"/>
      <c r="G55" s="162"/>
      <c r="H55" s="162"/>
      <c r="I55" s="162"/>
      <c r="J55" s="163"/>
      <c r="L55" s="161" t="s">
        <v>301</v>
      </c>
      <c r="M55" s="162"/>
      <c r="N55" s="162"/>
      <c r="O55" s="162"/>
      <c r="P55" s="162"/>
      <c r="Q55" s="162"/>
      <c r="R55" s="162"/>
      <c r="S55" s="162"/>
      <c r="T55" s="162"/>
      <c r="U55" s="163"/>
    </row>
    <row r="56" spans="1:21" ht="14.25" customHeight="1">
      <c r="A56" s="26" t="s">
        <v>302</v>
      </c>
      <c r="B56" s="27">
        <v>50</v>
      </c>
      <c r="C56" s="27">
        <v>50</v>
      </c>
      <c r="D56" s="27">
        <v>50</v>
      </c>
      <c r="E56" s="27">
        <v>30</v>
      </c>
      <c r="F56" s="27">
        <v>100</v>
      </c>
      <c r="G56" s="27">
        <v>30</v>
      </c>
      <c r="H56" s="27">
        <v>100</v>
      </c>
      <c r="I56" s="14"/>
      <c r="J56" s="27">
        <v>3</v>
      </c>
      <c r="L56" s="28" t="s">
        <v>303</v>
      </c>
      <c r="M56" s="29">
        <v>4</v>
      </c>
      <c r="N56" s="29">
        <v>4</v>
      </c>
      <c r="O56" s="29">
        <v>4</v>
      </c>
      <c r="P56" s="29">
        <v>3</v>
      </c>
      <c r="Q56" s="29">
        <v>4</v>
      </c>
      <c r="R56" s="29">
        <v>3</v>
      </c>
      <c r="S56" s="29">
        <v>4</v>
      </c>
      <c r="T56" s="33" t="s">
        <v>304</v>
      </c>
      <c r="U56" s="29">
        <v>1</v>
      </c>
    </row>
    <row r="57" spans="1:21" ht="14.25" customHeight="1">
      <c r="A57" s="26" t="s">
        <v>305</v>
      </c>
      <c r="B57" s="27">
        <v>0</v>
      </c>
      <c r="C57" s="27">
        <v>0</v>
      </c>
      <c r="D57" s="27">
        <v>0</v>
      </c>
      <c r="E57" s="27">
        <v>0</v>
      </c>
      <c r="F57" s="27">
        <v>0</v>
      </c>
      <c r="G57" s="27">
        <v>0</v>
      </c>
      <c r="H57" s="27">
        <v>0</v>
      </c>
      <c r="I57" s="14"/>
      <c r="J57" s="27">
        <v>3</v>
      </c>
      <c r="L57" s="28" t="s">
        <v>306</v>
      </c>
      <c r="M57" s="29">
        <v>30</v>
      </c>
      <c r="N57" s="29">
        <v>25</v>
      </c>
      <c r="O57" s="29">
        <v>20</v>
      </c>
      <c r="P57" s="29">
        <v>25</v>
      </c>
      <c r="Q57" s="29">
        <v>50</v>
      </c>
      <c r="R57" s="29">
        <v>10</v>
      </c>
      <c r="S57" s="29">
        <v>30</v>
      </c>
      <c r="T57" s="33" t="s">
        <v>307</v>
      </c>
      <c r="U57" s="29">
        <v>1</v>
      </c>
    </row>
    <row r="58" spans="1:21" ht="14.25" customHeight="1">
      <c r="A58" s="26" t="s">
        <v>308</v>
      </c>
      <c r="B58" s="34">
        <v>0.1</v>
      </c>
      <c r="C58" s="34">
        <v>0.1</v>
      </c>
      <c r="D58" s="34">
        <v>0.1</v>
      </c>
      <c r="E58" s="34">
        <v>0</v>
      </c>
      <c r="F58" s="34">
        <v>0.3</v>
      </c>
      <c r="G58" s="34">
        <v>0</v>
      </c>
      <c r="H58" s="34">
        <v>0.3</v>
      </c>
      <c r="I58" s="14"/>
      <c r="J58" s="27">
        <v>3</v>
      </c>
      <c r="L58" s="28" t="s">
        <v>309</v>
      </c>
      <c r="M58" s="29">
        <v>4</v>
      </c>
      <c r="N58" s="29">
        <v>4</v>
      </c>
      <c r="O58" s="29">
        <v>4</v>
      </c>
      <c r="P58" s="29">
        <v>2</v>
      </c>
      <c r="Q58" s="29">
        <v>5</v>
      </c>
      <c r="R58" s="29">
        <v>2</v>
      </c>
      <c r="S58" s="29">
        <v>5</v>
      </c>
      <c r="T58" s="33" t="s">
        <v>310</v>
      </c>
      <c r="U58" s="29">
        <v>1</v>
      </c>
    </row>
    <row r="59" spans="1:21" ht="14.25" customHeight="1">
      <c r="A59" s="26" t="s">
        <v>311</v>
      </c>
      <c r="B59" s="34">
        <v>0.1</v>
      </c>
      <c r="C59" s="34">
        <v>0.1</v>
      </c>
      <c r="D59" s="34">
        <v>0.1</v>
      </c>
      <c r="E59" s="34">
        <v>0</v>
      </c>
      <c r="F59" s="34">
        <v>0.3</v>
      </c>
      <c r="G59" s="34">
        <v>0</v>
      </c>
      <c r="H59" s="34">
        <v>0.3</v>
      </c>
      <c r="I59" s="14"/>
      <c r="J59" s="27">
        <v>3</v>
      </c>
      <c r="L59" s="28" t="s">
        <v>312</v>
      </c>
      <c r="M59" s="29">
        <v>12</v>
      </c>
      <c r="N59" s="29">
        <v>12</v>
      </c>
      <c r="O59" s="29">
        <v>12</v>
      </c>
      <c r="P59" s="29">
        <v>6</v>
      </c>
      <c r="Q59" s="29">
        <v>15</v>
      </c>
      <c r="R59" s="29">
        <v>6</v>
      </c>
      <c r="S59" s="29">
        <v>12</v>
      </c>
      <c r="T59" s="33" t="s">
        <v>313</v>
      </c>
      <c r="U59" s="29">
        <v>1</v>
      </c>
    </row>
    <row r="60" spans="1:21" ht="14.25" customHeight="1">
      <c r="A60" s="161" t="s">
        <v>314</v>
      </c>
      <c r="B60" s="162"/>
      <c r="C60" s="162"/>
      <c r="D60" s="162"/>
      <c r="E60" s="162"/>
      <c r="F60" s="162"/>
      <c r="G60" s="162"/>
      <c r="H60" s="162"/>
      <c r="I60" s="162"/>
      <c r="J60" s="163"/>
      <c r="L60" s="161" t="s">
        <v>315</v>
      </c>
      <c r="M60" s="162"/>
      <c r="N60" s="162"/>
      <c r="O60" s="162"/>
      <c r="P60" s="162"/>
      <c r="Q60" s="162"/>
      <c r="R60" s="162"/>
      <c r="S60" s="162"/>
      <c r="T60" s="162"/>
      <c r="U60" s="163"/>
    </row>
    <row r="61" spans="1:21" ht="14.25" customHeight="1">
      <c r="A61" s="26" t="s">
        <v>316</v>
      </c>
      <c r="B61" s="27">
        <v>0</v>
      </c>
      <c r="C61" s="27">
        <v>0</v>
      </c>
      <c r="D61" s="27">
        <v>0</v>
      </c>
      <c r="E61" s="14"/>
      <c r="F61" s="14"/>
      <c r="G61" s="14"/>
      <c r="H61" s="14"/>
      <c r="I61" s="14"/>
      <c r="J61" s="14"/>
      <c r="L61" s="28" t="s">
        <v>317</v>
      </c>
      <c r="M61" s="29">
        <v>150</v>
      </c>
      <c r="N61" s="29">
        <v>100</v>
      </c>
      <c r="O61" s="29">
        <v>100</v>
      </c>
      <c r="P61" s="29">
        <v>50</v>
      </c>
      <c r="Q61" s="29">
        <v>150</v>
      </c>
      <c r="R61" s="29">
        <v>20</v>
      </c>
      <c r="S61" s="29">
        <v>100</v>
      </c>
      <c r="T61" s="33" t="s">
        <v>318</v>
      </c>
      <c r="U61" s="33" t="s">
        <v>319</v>
      </c>
    </row>
    <row r="62" spans="1:21" ht="14.25" customHeight="1">
      <c r="A62" s="26" t="s">
        <v>320</v>
      </c>
      <c r="B62" s="27">
        <v>0</v>
      </c>
      <c r="C62" s="27">
        <v>0</v>
      </c>
      <c r="D62" s="27">
        <v>0</v>
      </c>
      <c r="E62" s="14"/>
      <c r="F62" s="14"/>
      <c r="G62" s="14"/>
      <c r="H62" s="14"/>
      <c r="I62" s="14"/>
      <c r="J62" s="14"/>
      <c r="L62" s="28" t="s">
        <v>321</v>
      </c>
      <c r="M62" s="29">
        <v>73</v>
      </c>
      <c r="N62" s="29">
        <v>73</v>
      </c>
      <c r="O62" s="29">
        <v>73</v>
      </c>
      <c r="P62" s="29">
        <v>73</v>
      </c>
      <c r="Q62" s="29">
        <v>95</v>
      </c>
      <c r="R62" s="29">
        <v>73</v>
      </c>
      <c r="S62" s="29">
        <v>95</v>
      </c>
      <c r="T62" s="28" t="s">
        <v>322</v>
      </c>
      <c r="U62" s="33" t="s">
        <v>323</v>
      </c>
    </row>
    <row r="63" spans="1:21" ht="14.25" customHeight="1">
      <c r="A63" s="26" t="s">
        <v>324</v>
      </c>
      <c r="B63" s="27">
        <v>0</v>
      </c>
      <c r="C63" s="27">
        <v>0</v>
      </c>
      <c r="D63" s="27">
        <v>0</v>
      </c>
      <c r="E63" s="14"/>
      <c r="F63" s="14"/>
      <c r="G63" s="14"/>
      <c r="H63" s="14"/>
      <c r="I63" s="14"/>
      <c r="J63" s="14"/>
      <c r="L63" s="28" t="s">
        <v>325</v>
      </c>
      <c r="M63" s="29">
        <v>263</v>
      </c>
      <c r="N63" s="29">
        <v>263</v>
      </c>
      <c r="O63" s="29">
        <v>263</v>
      </c>
      <c r="P63" s="29">
        <v>263</v>
      </c>
      <c r="Q63" s="29">
        <v>263</v>
      </c>
      <c r="R63" s="29">
        <v>263</v>
      </c>
      <c r="S63" s="29">
        <v>263</v>
      </c>
      <c r="T63" s="33" t="s">
        <v>326</v>
      </c>
      <c r="U63" s="33" t="s">
        <v>327</v>
      </c>
    </row>
    <row r="64" spans="1:21" ht="14.25" customHeight="1">
      <c r="A64" s="26" t="s">
        <v>328</v>
      </c>
      <c r="B64" s="27">
        <v>0</v>
      </c>
      <c r="C64" s="27">
        <v>0</v>
      </c>
      <c r="D64" s="27">
        <v>0</v>
      </c>
      <c r="E64" s="14"/>
      <c r="F64" s="14"/>
      <c r="G64" s="14"/>
      <c r="H64" s="14"/>
      <c r="I64" s="14"/>
      <c r="J64" s="14"/>
      <c r="L64" s="28" t="s">
        <v>329</v>
      </c>
      <c r="M64" s="33" t="s">
        <v>330</v>
      </c>
      <c r="N64" s="33" t="s">
        <v>331</v>
      </c>
      <c r="O64" s="33" t="s">
        <v>332</v>
      </c>
      <c r="P64" s="33" t="s">
        <v>333</v>
      </c>
      <c r="Q64" s="33" t="s">
        <v>334</v>
      </c>
      <c r="R64" s="33" t="s">
        <v>335</v>
      </c>
      <c r="S64" s="33" t="s">
        <v>336</v>
      </c>
      <c r="T64" s="14"/>
      <c r="U64" s="14"/>
    </row>
    <row r="65" spans="1:26" ht="14.25" customHeight="1">
      <c r="A65" s="26" t="s">
        <v>337</v>
      </c>
      <c r="B65" s="27">
        <v>0</v>
      </c>
      <c r="C65" s="27">
        <v>0</v>
      </c>
      <c r="D65" s="27">
        <v>0</v>
      </c>
      <c r="E65" s="14"/>
      <c r="F65" s="14"/>
      <c r="G65" s="14"/>
      <c r="H65" s="14"/>
      <c r="I65" s="14"/>
      <c r="J65" s="14"/>
      <c r="L65" s="28" t="s">
        <v>338</v>
      </c>
      <c r="M65" s="33" t="s">
        <v>339</v>
      </c>
      <c r="N65" s="33" t="s">
        <v>340</v>
      </c>
      <c r="O65" s="33" t="s">
        <v>341</v>
      </c>
      <c r="P65" s="33" t="s">
        <v>342</v>
      </c>
      <c r="Q65" s="33" t="s">
        <v>343</v>
      </c>
      <c r="R65" s="33" t="s">
        <v>344</v>
      </c>
      <c r="S65" s="33" t="s">
        <v>345</v>
      </c>
      <c r="T65" s="14"/>
      <c r="U65" s="14"/>
    </row>
    <row r="66" spans="1:26" ht="14.25" customHeight="1">
      <c r="A66" s="161" t="s">
        <v>346</v>
      </c>
      <c r="B66" s="162"/>
      <c r="C66" s="162"/>
      <c r="D66" s="162"/>
      <c r="E66" s="162"/>
      <c r="F66" s="162"/>
      <c r="G66" s="162"/>
      <c r="H66" s="162"/>
      <c r="I66" s="162"/>
      <c r="J66" s="163"/>
      <c r="L66" s="161" t="s">
        <v>347</v>
      </c>
      <c r="M66" s="162"/>
      <c r="N66" s="162"/>
      <c r="O66" s="162"/>
      <c r="P66" s="162"/>
      <c r="Q66" s="162"/>
      <c r="R66" s="162"/>
      <c r="S66" s="162"/>
      <c r="T66" s="162"/>
      <c r="U66" s="163"/>
    </row>
    <row r="67" spans="1:26" ht="14.25" customHeight="1">
      <c r="A67" s="35" t="s">
        <v>348</v>
      </c>
      <c r="B67" s="36">
        <v>2.08</v>
      </c>
      <c r="C67" s="38">
        <v>2</v>
      </c>
      <c r="D67" s="36">
        <v>1.85</v>
      </c>
      <c r="E67" s="36">
        <v>1.65</v>
      </c>
      <c r="F67" s="36">
        <v>2.25</v>
      </c>
      <c r="G67" s="36">
        <v>1.4</v>
      </c>
      <c r="H67" s="36">
        <v>2.0499999999999998</v>
      </c>
      <c r="I67" s="39" t="s">
        <v>349</v>
      </c>
      <c r="J67" s="35" t="s">
        <v>350</v>
      </c>
      <c r="K67" s="45"/>
      <c r="L67" s="41" t="s">
        <v>351</v>
      </c>
      <c r="M67" s="42">
        <v>1.4</v>
      </c>
      <c r="N67" s="42">
        <v>1.36</v>
      </c>
      <c r="O67" s="42">
        <v>1.32</v>
      </c>
      <c r="P67" s="43">
        <v>1.05</v>
      </c>
      <c r="Q67" s="42">
        <v>1.75</v>
      </c>
      <c r="R67" s="42">
        <v>0.99</v>
      </c>
      <c r="S67" s="42">
        <v>1.65</v>
      </c>
      <c r="T67" s="41" t="s">
        <v>352</v>
      </c>
      <c r="U67" s="44" t="s">
        <v>353</v>
      </c>
      <c r="V67" s="45"/>
      <c r="W67" s="45"/>
      <c r="X67" s="45"/>
      <c r="Y67" s="45"/>
      <c r="Z67" s="45"/>
    </row>
    <row r="68" spans="1:26" ht="14.25" customHeight="1">
      <c r="A68" s="26" t="s">
        <v>354</v>
      </c>
      <c r="B68" s="46">
        <v>0.3</v>
      </c>
      <c r="C68" s="48">
        <v>0.3</v>
      </c>
      <c r="D68" s="46">
        <v>0.3</v>
      </c>
      <c r="E68" s="46">
        <v>0.2</v>
      </c>
      <c r="F68" s="46">
        <v>0.5</v>
      </c>
      <c r="G68" s="46">
        <v>0.2</v>
      </c>
      <c r="H68" s="46">
        <v>0.5</v>
      </c>
      <c r="I68" s="14"/>
      <c r="J68" s="27">
        <v>11</v>
      </c>
      <c r="L68" s="28" t="s">
        <v>355</v>
      </c>
      <c r="M68" s="14"/>
      <c r="N68" s="14"/>
      <c r="O68" s="14"/>
      <c r="P68" s="14"/>
      <c r="Q68" s="14"/>
      <c r="R68" s="14"/>
      <c r="S68" s="14"/>
      <c r="T68" s="14"/>
      <c r="U68" s="14"/>
    </row>
    <row r="69" spans="1:26" ht="14.25" customHeight="1">
      <c r="A69" s="26" t="s">
        <v>356</v>
      </c>
      <c r="B69" s="46">
        <v>0.7</v>
      </c>
      <c r="C69" s="48">
        <v>0.7</v>
      </c>
      <c r="D69" s="46">
        <v>0.7</v>
      </c>
      <c r="E69" s="46">
        <v>0.5</v>
      </c>
      <c r="F69" s="46">
        <v>0.8</v>
      </c>
      <c r="G69" s="46">
        <v>0.5</v>
      </c>
      <c r="H69" s="46">
        <v>0.8</v>
      </c>
      <c r="I69" s="14"/>
      <c r="J69" s="27">
        <v>11</v>
      </c>
      <c r="L69" s="28" t="s">
        <v>357</v>
      </c>
      <c r="M69" s="14"/>
      <c r="N69" s="14"/>
      <c r="O69" s="14"/>
      <c r="P69" s="14"/>
      <c r="Q69" s="14"/>
      <c r="R69" s="14"/>
      <c r="S69" s="14"/>
      <c r="T69" s="14"/>
      <c r="U69" s="14"/>
    </row>
    <row r="70" spans="1:26" ht="14.25" customHeight="1">
      <c r="A70" s="49" t="s">
        <v>358</v>
      </c>
      <c r="B70" s="52">
        <v>37700</v>
      </c>
      <c r="C70" s="52">
        <v>36200</v>
      </c>
      <c r="D70" s="50">
        <v>33600</v>
      </c>
      <c r="E70" s="50">
        <v>28300</v>
      </c>
      <c r="F70" s="50">
        <v>47100</v>
      </c>
      <c r="G70" s="50">
        <v>25200</v>
      </c>
      <c r="H70" s="50">
        <v>42000</v>
      </c>
      <c r="I70" s="53" t="s">
        <v>359</v>
      </c>
      <c r="J70" s="49" t="s">
        <v>360</v>
      </c>
      <c r="L70" s="54" t="s">
        <v>361</v>
      </c>
      <c r="M70" s="55">
        <v>41200</v>
      </c>
      <c r="N70" s="55">
        <v>40000</v>
      </c>
      <c r="O70" s="55">
        <v>38700</v>
      </c>
      <c r="P70" s="56">
        <v>30900</v>
      </c>
      <c r="Q70" s="55">
        <v>51500</v>
      </c>
      <c r="R70" s="55">
        <v>29000</v>
      </c>
      <c r="S70" s="55">
        <v>48400</v>
      </c>
      <c r="T70" s="58" t="s">
        <v>362</v>
      </c>
      <c r="U70" s="58" t="s">
        <v>363</v>
      </c>
    </row>
    <row r="71" spans="1:26" ht="14.25" customHeight="1">
      <c r="A71" s="49" t="s">
        <v>364</v>
      </c>
      <c r="B71" s="59">
        <v>0.65</v>
      </c>
      <c r="C71" s="61">
        <v>0.62</v>
      </c>
      <c r="D71" s="59">
        <v>0.57999999999999996</v>
      </c>
      <c r="E71" s="59">
        <v>0.49</v>
      </c>
      <c r="F71" s="59">
        <v>0.81</v>
      </c>
      <c r="G71" s="59">
        <v>0.43</v>
      </c>
      <c r="H71" s="59">
        <v>0.72</v>
      </c>
      <c r="I71" s="53" t="s">
        <v>365</v>
      </c>
      <c r="J71" s="53" t="s">
        <v>366</v>
      </c>
      <c r="L71" s="54" t="s">
        <v>367</v>
      </c>
      <c r="M71" s="62">
        <v>0.12</v>
      </c>
      <c r="N71" s="62">
        <v>0.12</v>
      </c>
      <c r="O71" s="62">
        <v>0.11</v>
      </c>
      <c r="P71" s="63">
        <v>0.09</v>
      </c>
      <c r="Q71" s="62">
        <v>0.15</v>
      </c>
      <c r="R71" s="62">
        <v>0.08</v>
      </c>
      <c r="S71" s="62">
        <v>0.14000000000000001</v>
      </c>
      <c r="T71" s="58" t="s">
        <v>368</v>
      </c>
      <c r="U71" s="58" t="s">
        <v>369</v>
      </c>
    </row>
    <row r="72" spans="1:26" ht="14.25" customHeight="1">
      <c r="A72" s="26" t="s">
        <v>370</v>
      </c>
      <c r="B72" s="32" t="s">
        <v>371</v>
      </c>
      <c r="C72" s="32" t="s">
        <v>372</v>
      </c>
      <c r="D72" s="32" t="s">
        <v>373</v>
      </c>
      <c r="E72" s="32" t="s">
        <v>374</v>
      </c>
      <c r="F72" s="32" t="s">
        <v>375</v>
      </c>
      <c r="G72" s="32" t="s">
        <v>376</v>
      </c>
      <c r="H72" s="32" t="s">
        <v>377</v>
      </c>
      <c r="I72" s="14"/>
      <c r="J72" s="14"/>
      <c r="L72" s="28" t="s">
        <v>378</v>
      </c>
      <c r="M72" s="29">
        <v>50</v>
      </c>
      <c r="N72" s="29">
        <v>50</v>
      </c>
      <c r="O72" s="29">
        <v>50</v>
      </c>
      <c r="P72" s="29">
        <v>40</v>
      </c>
      <c r="Q72" s="29">
        <v>100</v>
      </c>
      <c r="R72" s="29">
        <v>40</v>
      </c>
      <c r="S72" s="29">
        <v>100</v>
      </c>
      <c r="T72" s="14"/>
      <c r="U72" s="29">
        <v>5</v>
      </c>
    </row>
    <row r="73" spans="1:26" ht="14.25" customHeight="1"/>
    <row r="74" spans="1:26" ht="14.25" customHeight="1">
      <c r="A74" s="9" t="s">
        <v>379</v>
      </c>
      <c r="L74" s="165" t="s">
        <v>380</v>
      </c>
      <c r="M74" s="166"/>
    </row>
    <row r="75" spans="1:26" ht="14.25" customHeight="1">
      <c r="A75" s="13" t="s">
        <v>381</v>
      </c>
      <c r="B75" s="167" t="s">
        <v>382</v>
      </c>
      <c r="C75" s="162"/>
      <c r="D75" s="162"/>
      <c r="E75" s="162"/>
      <c r="F75" s="162"/>
      <c r="G75" s="162"/>
      <c r="H75" s="162"/>
      <c r="I75" s="162"/>
      <c r="J75" s="163"/>
      <c r="L75" s="13" t="s">
        <v>383</v>
      </c>
      <c r="M75" s="167" t="s">
        <v>384</v>
      </c>
      <c r="N75" s="162"/>
      <c r="O75" s="162"/>
      <c r="P75" s="162"/>
      <c r="Q75" s="162"/>
      <c r="R75" s="162"/>
      <c r="S75" s="162"/>
      <c r="T75" s="162"/>
      <c r="U75" s="163"/>
    </row>
    <row r="76" spans="1:26" ht="14.25" customHeight="1">
      <c r="A76" s="67"/>
      <c r="B76" s="17">
        <v>2020</v>
      </c>
      <c r="C76" s="18">
        <v>2030</v>
      </c>
      <c r="D76" s="18">
        <v>2050</v>
      </c>
      <c r="E76" s="161" t="s">
        <v>385</v>
      </c>
      <c r="F76" s="163"/>
      <c r="G76" s="161" t="s">
        <v>386</v>
      </c>
      <c r="H76" s="163"/>
      <c r="I76" s="20" t="s">
        <v>387</v>
      </c>
      <c r="J76" s="20" t="s">
        <v>388</v>
      </c>
      <c r="L76" s="14"/>
      <c r="M76" s="17">
        <v>2020</v>
      </c>
      <c r="N76" s="17">
        <v>2030</v>
      </c>
      <c r="O76" s="17">
        <v>2050</v>
      </c>
      <c r="P76" s="161" t="s">
        <v>389</v>
      </c>
      <c r="Q76" s="163"/>
      <c r="R76" s="161" t="s">
        <v>390</v>
      </c>
      <c r="S76" s="163"/>
      <c r="T76" s="20" t="s">
        <v>391</v>
      </c>
      <c r="U76" s="20" t="s">
        <v>392</v>
      </c>
    </row>
    <row r="77" spans="1:26" ht="14.25" customHeight="1">
      <c r="A77" s="161" t="s">
        <v>393</v>
      </c>
      <c r="B77" s="162"/>
      <c r="C77" s="162"/>
      <c r="D77" s="162"/>
      <c r="E77" s="162"/>
      <c r="F77" s="162"/>
      <c r="G77" s="162"/>
      <c r="H77" s="162"/>
      <c r="I77" s="162"/>
      <c r="J77" s="163"/>
      <c r="L77" s="161" t="s">
        <v>394</v>
      </c>
      <c r="M77" s="162"/>
      <c r="N77" s="162"/>
      <c r="O77" s="162"/>
      <c r="P77" s="162"/>
      <c r="Q77" s="162"/>
      <c r="R77" s="162"/>
      <c r="S77" s="162"/>
      <c r="T77" s="162"/>
      <c r="U77" s="163"/>
    </row>
    <row r="78" spans="1:26" ht="14.25" customHeight="1">
      <c r="A78" s="28" t="s">
        <v>395</v>
      </c>
      <c r="B78" s="29">
        <v>10</v>
      </c>
      <c r="C78" s="29">
        <v>20</v>
      </c>
      <c r="D78" s="30">
        <v>50</v>
      </c>
      <c r="E78" s="67"/>
      <c r="F78" s="67"/>
      <c r="G78" s="67"/>
      <c r="H78" s="67"/>
      <c r="I78" s="33" t="s">
        <v>396</v>
      </c>
      <c r="J78" s="29">
        <v>1</v>
      </c>
      <c r="L78" s="28" t="s">
        <v>397</v>
      </c>
      <c r="M78" s="29">
        <v>150</v>
      </c>
      <c r="N78" s="29">
        <v>150</v>
      </c>
      <c r="O78" s="29">
        <v>150</v>
      </c>
      <c r="P78" s="29">
        <v>100</v>
      </c>
      <c r="Q78" s="29">
        <v>200</v>
      </c>
      <c r="R78" s="29">
        <v>100</v>
      </c>
      <c r="S78" s="29">
        <v>200</v>
      </c>
      <c r="T78" s="14"/>
      <c r="U78" s="29">
        <v>1</v>
      </c>
    </row>
    <row r="79" spans="1:26" ht="14.25" customHeight="1">
      <c r="A79" s="28" t="s">
        <v>398</v>
      </c>
      <c r="B79" s="33" t="s">
        <v>399</v>
      </c>
      <c r="C79" s="33" t="s">
        <v>400</v>
      </c>
      <c r="D79" s="33" t="s">
        <v>401</v>
      </c>
      <c r="E79" s="14"/>
      <c r="F79" s="14"/>
      <c r="G79" s="14"/>
      <c r="H79" s="14"/>
      <c r="I79" s="33" t="s">
        <v>402</v>
      </c>
      <c r="J79" s="14"/>
      <c r="L79" s="28" t="s">
        <v>403</v>
      </c>
      <c r="M79" s="29">
        <v>150</v>
      </c>
      <c r="N79" s="29">
        <v>150</v>
      </c>
      <c r="O79" s="29">
        <v>150</v>
      </c>
      <c r="P79" s="29">
        <v>100</v>
      </c>
      <c r="Q79" s="29">
        <v>200</v>
      </c>
      <c r="R79" s="29">
        <v>100</v>
      </c>
      <c r="S79" s="29">
        <v>200</v>
      </c>
      <c r="T79" s="14"/>
      <c r="U79" s="29">
        <v>1</v>
      </c>
    </row>
    <row r="80" spans="1:26" ht="14.25" customHeight="1">
      <c r="A80" s="28" t="s">
        <v>404</v>
      </c>
      <c r="B80" s="33" t="s">
        <v>405</v>
      </c>
      <c r="C80" s="33" t="s">
        <v>406</v>
      </c>
      <c r="D80" s="33" t="s">
        <v>407</v>
      </c>
      <c r="E80" s="67"/>
      <c r="F80" s="67"/>
      <c r="G80" s="67"/>
      <c r="H80" s="67"/>
      <c r="I80" s="33" t="s">
        <v>408</v>
      </c>
      <c r="J80" s="67"/>
      <c r="L80" s="28" t="s">
        <v>409</v>
      </c>
      <c r="M80" s="29">
        <v>35</v>
      </c>
      <c r="N80" s="29">
        <v>36</v>
      </c>
      <c r="O80" s="29">
        <v>37</v>
      </c>
      <c r="P80" s="29">
        <v>30</v>
      </c>
      <c r="Q80" s="29">
        <v>38</v>
      </c>
      <c r="R80" s="29">
        <v>33</v>
      </c>
      <c r="S80" s="29">
        <v>39</v>
      </c>
      <c r="T80" s="14"/>
      <c r="U80" s="33" t="s">
        <v>410</v>
      </c>
    </row>
    <row r="81" spans="1:21" ht="14.25" customHeight="1">
      <c r="A81" s="28" t="s">
        <v>411</v>
      </c>
      <c r="B81" s="33" t="s">
        <v>412</v>
      </c>
      <c r="C81" s="33" t="s">
        <v>413</v>
      </c>
      <c r="D81" s="33" t="s">
        <v>414</v>
      </c>
      <c r="E81" s="14"/>
      <c r="F81" s="14"/>
      <c r="G81" s="14"/>
      <c r="H81" s="14"/>
      <c r="I81" s="14"/>
      <c r="J81" s="14"/>
      <c r="L81" s="28" t="s">
        <v>415</v>
      </c>
      <c r="M81" s="29">
        <v>34</v>
      </c>
      <c r="N81" s="29">
        <v>35</v>
      </c>
      <c r="O81" s="29">
        <v>36</v>
      </c>
      <c r="P81" s="29">
        <v>29</v>
      </c>
      <c r="Q81" s="29">
        <v>37</v>
      </c>
      <c r="R81" s="29">
        <v>32</v>
      </c>
      <c r="S81" s="29">
        <v>38</v>
      </c>
      <c r="T81" s="14"/>
      <c r="U81" s="33" t="s">
        <v>416</v>
      </c>
    </row>
    <row r="82" spans="1:21" ht="14.25" customHeight="1">
      <c r="A82" s="28" t="s">
        <v>417</v>
      </c>
      <c r="B82" s="33" t="s">
        <v>418</v>
      </c>
      <c r="C82" s="33" t="s">
        <v>419</v>
      </c>
      <c r="D82" s="33" t="s">
        <v>420</v>
      </c>
      <c r="E82" s="14"/>
      <c r="F82" s="14"/>
      <c r="G82" s="14"/>
      <c r="H82" s="14"/>
      <c r="I82" s="14"/>
      <c r="J82" s="14"/>
      <c r="L82" s="28" t="s">
        <v>421</v>
      </c>
      <c r="M82" s="29">
        <v>7</v>
      </c>
      <c r="N82" s="29">
        <v>5</v>
      </c>
      <c r="O82" s="29">
        <v>3</v>
      </c>
      <c r="P82" s="29">
        <v>5</v>
      </c>
      <c r="Q82" s="29">
        <v>20</v>
      </c>
      <c r="R82" s="29">
        <v>2</v>
      </c>
      <c r="S82" s="29">
        <v>7</v>
      </c>
      <c r="T82" s="33" t="s">
        <v>422</v>
      </c>
      <c r="U82" s="29">
        <v>1</v>
      </c>
    </row>
    <row r="83" spans="1:21" ht="14.25" customHeight="1">
      <c r="A83" s="28" t="s">
        <v>423</v>
      </c>
      <c r="B83" s="29">
        <v>35</v>
      </c>
      <c r="C83" s="29">
        <v>40</v>
      </c>
      <c r="D83" s="30">
        <v>40</v>
      </c>
      <c r="E83" s="29">
        <v>25</v>
      </c>
      <c r="F83" s="29">
        <v>40</v>
      </c>
      <c r="G83" s="31">
        <v>35</v>
      </c>
      <c r="H83" s="29">
        <v>45</v>
      </c>
      <c r="I83" s="14"/>
      <c r="J83" s="33" t="s">
        <v>424</v>
      </c>
      <c r="L83" s="28" t="s">
        <v>425</v>
      </c>
      <c r="M83" s="29">
        <v>6</v>
      </c>
      <c r="N83" s="29">
        <v>5</v>
      </c>
      <c r="O83" s="29">
        <v>3</v>
      </c>
      <c r="P83" s="29">
        <v>3</v>
      </c>
      <c r="Q83" s="29">
        <v>8</v>
      </c>
      <c r="R83" s="29">
        <v>2</v>
      </c>
      <c r="S83" s="29">
        <v>4</v>
      </c>
      <c r="T83" s="33" t="s">
        <v>426</v>
      </c>
      <c r="U83" s="29">
        <v>1</v>
      </c>
    </row>
    <row r="84" spans="1:21" ht="14.25" customHeight="1">
      <c r="A84" s="28" t="s">
        <v>427</v>
      </c>
      <c r="B84" s="68">
        <v>0.5</v>
      </c>
      <c r="C84" s="69">
        <v>0.5</v>
      </c>
      <c r="D84" s="69">
        <v>0.5</v>
      </c>
      <c r="E84" s="68">
        <v>0.5</v>
      </c>
      <c r="F84" s="68">
        <v>1.5</v>
      </c>
      <c r="G84" s="70">
        <v>0.25</v>
      </c>
      <c r="H84" s="29">
        <v>1</v>
      </c>
      <c r="I84" s="14"/>
      <c r="J84" s="29">
        <v>1</v>
      </c>
      <c r="L84" s="28" t="s">
        <v>428</v>
      </c>
      <c r="M84" s="29">
        <v>30</v>
      </c>
      <c r="N84" s="29">
        <v>30</v>
      </c>
      <c r="O84" s="29">
        <v>30</v>
      </c>
      <c r="P84" s="29">
        <v>25</v>
      </c>
      <c r="Q84" s="29">
        <v>40</v>
      </c>
      <c r="R84" s="29">
        <v>25</v>
      </c>
      <c r="S84" s="29">
        <v>40</v>
      </c>
      <c r="T84" s="14"/>
      <c r="U84" s="29">
        <v>1</v>
      </c>
    </row>
    <row r="85" spans="1:21" ht="14.25" customHeight="1">
      <c r="A85" s="28" t="s">
        <v>429</v>
      </c>
      <c r="B85" s="29">
        <v>14</v>
      </c>
      <c r="C85" s="29">
        <v>14</v>
      </c>
      <c r="D85" s="30">
        <v>14</v>
      </c>
      <c r="E85" s="29">
        <v>13</v>
      </c>
      <c r="F85" s="29">
        <v>18</v>
      </c>
      <c r="G85" s="31">
        <v>13</v>
      </c>
      <c r="H85" s="29">
        <v>18</v>
      </c>
      <c r="I85" s="14"/>
      <c r="J85" s="29">
        <v>6</v>
      </c>
      <c r="L85" s="28" t="s">
        <v>430</v>
      </c>
      <c r="M85" s="29">
        <v>3</v>
      </c>
      <c r="N85" s="29">
        <v>3</v>
      </c>
      <c r="O85" s="29">
        <v>3</v>
      </c>
      <c r="P85" s="29">
        <v>2</v>
      </c>
      <c r="Q85" s="29">
        <v>4</v>
      </c>
      <c r="R85" s="29">
        <v>2</v>
      </c>
      <c r="S85" s="29">
        <v>4</v>
      </c>
      <c r="T85" s="14"/>
      <c r="U85" s="29">
        <v>1</v>
      </c>
    </row>
    <row r="86" spans="1:21" ht="20.25" customHeight="1">
      <c r="A86" s="164" t="s">
        <v>431</v>
      </c>
      <c r="B86" s="162"/>
      <c r="C86" s="162"/>
      <c r="D86" s="162"/>
      <c r="E86" s="162"/>
      <c r="F86" s="162"/>
      <c r="G86" s="162"/>
      <c r="H86" s="162"/>
      <c r="I86" s="162"/>
      <c r="J86" s="163"/>
      <c r="L86" s="28" t="s">
        <v>432</v>
      </c>
      <c r="M86" s="33" t="s">
        <v>433</v>
      </c>
      <c r="N86" s="33" t="s">
        <v>434</v>
      </c>
      <c r="O86" s="33" t="s">
        <v>435</v>
      </c>
      <c r="P86" s="33" t="s">
        <v>436</v>
      </c>
      <c r="Q86" s="33" t="s">
        <v>437</v>
      </c>
      <c r="R86" s="33" t="s">
        <v>438</v>
      </c>
      <c r="S86" s="33" t="s">
        <v>439</v>
      </c>
      <c r="T86" s="14"/>
      <c r="U86" s="14"/>
    </row>
    <row r="87" spans="1:21" ht="18.75" customHeight="1">
      <c r="A87" s="28" t="s">
        <v>440</v>
      </c>
      <c r="B87" s="29">
        <v>19</v>
      </c>
      <c r="C87" s="29">
        <v>22</v>
      </c>
      <c r="D87" s="30">
        <v>22</v>
      </c>
      <c r="E87" s="29">
        <v>17</v>
      </c>
      <c r="F87" s="29">
        <v>23</v>
      </c>
      <c r="G87" s="31">
        <v>17</v>
      </c>
      <c r="H87" s="29">
        <v>23</v>
      </c>
      <c r="I87" s="14"/>
      <c r="J87" s="33" t="s">
        <v>441</v>
      </c>
      <c r="L87" s="164" t="s">
        <v>442</v>
      </c>
      <c r="M87" s="162"/>
      <c r="N87" s="162"/>
      <c r="O87" s="162"/>
      <c r="P87" s="162"/>
      <c r="Q87" s="162"/>
      <c r="R87" s="162"/>
      <c r="S87" s="162"/>
      <c r="T87" s="162"/>
      <c r="U87" s="163"/>
    </row>
    <row r="88" spans="1:21" ht="14.25" customHeight="1">
      <c r="A88" s="28" t="s">
        <v>443</v>
      </c>
      <c r="B88" s="29">
        <v>19</v>
      </c>
      <c r="C88" s="29">
        <v>22</v>
      </c>
      <c r="D88" s="30">
        <v>22</v>
      </c>
      <c r="E88" s="29">
        <v>17</v>
      </c>
      <c r="F88" s="29">
        <v>23</v>
      </c>
      <c r="G88" s="31">
        <v>17</v>
      </c>
      <c r="H88" s="29">
        <v>23</v>
      </c>
      <c r="I88" s="14"/>
      <c r="J88" s="33" t="s">
        <v>444</v>
      </c>
      <c r="L88" s="28" t="s">
        <v>445</v>
      </c>
      <c r="M88" s="33" t="s">
        <v>446</v>
      </c>
      <c r="N88" s="33" t="s">
        <v>447</v>
      </c>
      <c r="O88" s="33" t="s">
        <v>448</v>
      </c>
      <c r="P88" s="33" t="s">
        <v>449</v>
      </c>
      <c r="Q88" s="33" t="s">
        <v>450</v>
      </c>
      <c r="R88" s="33" t="s">
        <v>451</v>
      </c>
      <c r="S88" s="33" t="s">
        <v>452</v>
      </c>
      <c r="T88" s="14"/>
      <c r="U88" s="14"/>
    </row>
    <row r="89" spans="1:21" ht="14.25" customHeight="1">
      <c r="A89" s="161" t="s">
        <v>453</v>
      </c>
      <c r="B89" s="162"/>
      <c r="C89" s="162"/>
      <c r="D89" s="162"/>
      <c r="E89" s="162"/>
      <c r="F89" s="162"/>
      <c r="G89" s="162"/>
      <c r="H89" s="162"/>
      <c r="I89" s="162"/>
      <c r="J89" s="163"/>
      <c r="L89" s="28" t="s">
        <v>454</v>
      </c>
      <c r="M89" s="33" t="s">
        <v>455</v>
      </c>
      <c r="N89" s="33" t="s">
        <v>456</v>
      </c>
      <c r="O89" s="33" t="s">
        <v>457</v>
      </c>
      <c r="P89" s="33" t="s">
        <v>458</v>
      </c>
      <c r="Q89" s="33" t="s">
        <v>459</v>
      </c>
      <c r="R89" s="33" t="s">
        <v>460</v>
      </c>
      <c r="S89" s="33" t="s">
        <v>461</v>
      </c>
      <c r="T89" s="14"/>
      <c r="U89" s="14"/>
    </row>
    <row r="90" spans="1:21" ht="14.25" customHeight="1">
      <c r="A90" s="28" t="s">
        <v>462</v>
      </c>
      <c r="B90" s="33" t="s">
        <v>463</v>
      </c>
      <c r="C90" s="33" t="s">
        <v>464</v>
      </c>
      <c r="D90" s="33" t="s">
        <v>465</v>
      </c>
      <c r="E90" s="33" t="s">
        <v>466</v>
      </c>
      <c r="F90" s="33" t="s">
        <v>467</v>
      </c>
      <c r="G90" s="33" t="s">
        <v>468</v>
      </c>
      <c r="H90" s="33" t="s">
        <v>469</v>
      </c>
      <c r="I90" s="33" t="s">
        <v>470</v>
      </c>
      <c r="J90" s="14"/>
      <c r="L90" s="161" t="s">
        <v>471</v>
      </c>
      <c r="M90" s="162"/>
      <c r="N90" s="162"/>
      <c r="O90" s="162"/>
      <c r="P90" s="162"/>
      <c r="Q90" s="162"/>
      <c r="R90" s="162"/>
      <c r="S90" s="162"/>
      <c r="T90" s="162"/>
      <c r="U90" s="163"/>
    </row>
    <row r="91" spans="1:21" ht="14.25" customHeight="1">
      <c r="A91" s="28" t="s">
        <v>472</v>
      </c>
      <c r="B91" s="33" t="s">
        <v>473</v>
      </c>
      <c r="C91" s="33" t="s">
        <v>474</v>
      </c>
      <c r="D91" s="33" t="s">
        <v>475</v>
      </c>
      <c r="E91" s="33" t="s">
        <v>476</v>
      </c>
      <c r="F91" s="33" t="s">
        <v>477</v>
      </c>
      <c r="G91" s="33" t="s">
        <v>478</v>
      </c>
      <c r="H91" s="33" t="s">
        <v>479</v>
      </c>
      <c r="I91" s="33" t="s">
        <v>480</v>
      </c>
      <c r="J91" s="14"/>
      <c r="L91" s="28" t="s">
        <v>481</v>
      </c>
      <c r="M91" s="68">
        <v>3.5</v>
      </c>
      <c r="N91" s="68">
        <v>3.5</v>
      </c>
      <c r="O91" s="68">
        <v>3.5</v>
      </c>
      <c r="P91" s="29">
        <v>2</v>
      </c>
      <c r="Q91" s="29">
        <v>4</v>
      </c>
      <c r="R91" s="29">
        <v>2</v>
      </c>
      <c r="S91" s="29">
        <v>4</v>
      </c>
      <c r="T91" s="33" t="s">
        <v>482</v>
      </c>
      <c r="U91" s="29">
        <v>1</v>
      </c>
    </row>
    <row r="92" spans="1:21" ht="14.25" customHeight="1">
      <c r="A92" s="28" t="s">
        <v>483</v>
      </c>
      <c r="B92" s="33" t="s">
        <v>484</v>
      </c>
      <c r="C92" s="33" t="s">
        <v>485</v>
      </c>
      <c r="D92" s="33" t="s">
        <v>486</v>
      </c>
      <c r="E92" s="33" t="s">
        <v>487</v>
      </c>
      <c r="F92" s="33" t="s">
        <v>488</v>
      </c>
      <c r="G92" s="33" t="s">
        <v>489</v>
      </c>
      <c r="H92" s="33" t="s">
        <v>490</v>
      </c>
      <c r="I92" s="33" t="s">
        <v>491</v>
      </c>
      <c r="J92" s="14"/>
      <c r="L92" s="28" t="s">
        <v>492</v>
      </c>
      <c r="M92" s="29">
        <v>30</v>
      </c>
      <c r="N92" s="29">
        <v>25</v>
      </c>
      <c r="O92" s="29">
        <v>20</v>
      </c>
      <c r="P92" s="29">
        <v>25</v>
      </c>
      <c r="Q92" s="29">
        <v>50</v>
      </c>
      <c r="R92" s="29">
        <v>10</v>
      </c>
      <c r="S92" s="29">
        <v>30</v>
      </c>
      <c r="T92" s="33" t="s">
        <v>493</v>
      </c>
      <c r="U92" s="29">
        <v>1</v>
      </c>
    </row>
    <row r="93" spans="1:21" ht="14.25" customHeight="1">
      <c r="A93" s="28" t="s">
        <v>494</v>
      </c>
      <c r="B93" s="33" t="s">
        <v>495</v>
      </c>
      <c r="C93" s="33" t="s">
        <v>496</v>
      </c>
      <c r="D93" s="33" t="s">
        <v>497</v>
      </c>
      <c r="E93" s="33" t="s">
        <v>498</v>
      </c>
      <c r="F93" s="33" t="s">
        <v>499</v>
      </c>
      <c r="G93" s="33" t="s">
        <v>500</v>
      </c>
      <c r="H93" s="33" t="s">
        <v>501</v>
      </c>
      <c r="I93" s="33" t="s">
        <v>502</v>
      </c>
      <c r="J93" s="14"/>
      <c r="L93" s="28" t="s">
        <v>503</v>
      </c>
      <c r="M93" s="29">
        <v>3</v>
      </c>
      <c r="N93" s="29">
        <v>3</v>
      </c>
      <c r="O93" s="29">
        <v>3</v>
      </c>
      <c r="P93" s="29">
        <v>1</v>
      </c>
      <c r="Q93" s="29">
        <v>5</v>
      </c>
      <c r="R93" s="29">
        <v>1</v>
      </c>
      <c r="S93" s="29">
        <v>5</v>
      </c>
      <c r="T93" s="33" t="s">
        <v>504</v>
      </c>
      <c r="U93" s="29">
        <v>1</v>
      </c>
    </row>
    <row r="94" spans="1:21" ht="14.25" customHeight="1">
      <c r="A94" s="161" t="s">
        <v>505</v>
      </c>
      <c r="B94" s="162"/>
      <c r="C94" s="162"/>
      <c r="D94" s="162"/>
      <c r="E94" s="162"/>
      <c r="F94" s="162"/>
      <c r="G94" s="162"/>
      <c r="H94" s="162"/>
      <c r="I94" s="162"/>
      <c r="J94" s="163"/>
      <c r="L94" s="28" t="s">
        <v>506</v>
      </c>
      <c r="M94" s="29">
        <v>8</v>
      </c>
      <c r="N94" s="29">
        <v>8</v>
      </c>
      <c r="O94" s="29">
        <v>8</v>
      </c>
      <c r="P94" s="29">
        <v>5</v>
      </c>
      <c r="Q94" s="29">
        <v>12</v>
      </c>
      <c r="R94" s="29">
        <v>5</v>
      </c>
      <c r="S94" s="29">
        <v>12</v>
      </c>
      <c r="T94" s="33" t="s">
        <v>507</v>
      </c>
      <c r="U94" s="29">
        <v>1</v>
      </c>
    </row>
    <row r="95" spans="1:21" ht="14.25" customHeight="1">
      <c r="A95" s="28" t="s">
        <v>508</v>
      </c>
      <c r="B95" s="29">
        <v>0</v>
      </c>
      <c r="C95" s="29">
        <v>0</v>
      </c>
      <c r="D95" s="29">
        <v>0</v>
      </c>
      <c r="E95" s="14"/>
      <c r="F95" s="14"/>
      <c r="G95" s="14"/>
      <c r="H95" s="14"/>
      <c r="I95" s="14"/>
      <c r="J95" s="14"/>
      <c r="L95" s="161" t="s">
        <v>509</v>
      </c>
      <c r="M95" s="162"/>
      <c r="N95" s="162"/>
      <c r="O95" s="162"/>
      <c r="P95" s="162"/>
      <c r="Q95" s="162"/>
      <c r="R95" s="162"/>
      <c r="S95" s="162"/>
      <c r="T95" s="162"/>
      <c r="U95" s="163"/>
    </row>
    <row r="96" spans="1:21" ht="14.25" customHeight="1">
      <c r="A96" s="28" t="s">
        <v>510</v>
      </c>
      <c r="B96" s="29">
        <v>0</v>
      </c>
      <c r="C96" s="29">
        <v>0</v>
      </c>
      <c r="D96" s="29">
        <v>0</v>
      </c>
      <c r="E96" s="14"/>
      <c r="F96" s="14"/>
      <c r="G96" s="14"/>
      <c r="H96" s="14"/>
      <c r="I96" s="14"/>
      <c r="J96" s="14"/>
      <c r="L96" s="28" t="s">
        <v>511</v>
      </c>
      <c r="M96" s="29">
        <v>150</v>
      </c>
      <c r="N96" s="29">
        <v>100</v>
      </c>
      <c r="O96" s="29">
        <v>100</v>
      </c>
      <c r="P96" s="29">
        <v>50</v>
      </c>
      <c r="Q96" s="29">
        <v>150</v>
      </c>
      <c r="R96" s="29">
        <v>20</v>
      </c>
      <c r="S96" s="29">
        <v>100</v>
      </c>
      <c r="T96" s="33" t="s">
        <v>512</v>
      </c>
      <c r="U96" s="33" t="s">
        <v>513</v>
      </c>
    </row>
    <row r="97" spans="1:21" ht="14.25" customHeight="1">
      <c r="A97" s="28" t="s">
        <v>514</v>
      </c>
      <c r="B97" s="29">
        <v>0</v>
      </c>
      <c r="C97" s="29">
        <v>0</v>
      </c>
      <c r="D97" s="29">
        <v>0</v>
      </c>
      <c r="E97" s="14"/>
      <c r="F97" s="14"/>
      <c r="G97" s="14"/>
      <c r="H97" s="14"/>
      <c r="I97" s="14"/>
      <c r="J97" s="14"/>
      <c r="L97" s="28" t="s">
        <v>515</v>
      </c>
      <c r="M97" s="29">
        <v>73</v>
      </c>
      <c r="N97" s="29">
        <v>80</v>
      </c>
      <c r="O97" s="29">
        <v>95</v>
      </c>
      <c r="P97" s="29">
        <v>73</v>
      </c>
      <c r="Q97" s="29">
        <v>95</v>
      </c>
      <c r="R97" s="29">
        <v>73</v>
      </c>
      <c r="S97" s="29">
        <v>95</v>
      </c>
      <c r="T97" s="33" t="s">
        <v>516</v>
      </c>
      <c r="U97" s="33" t="s">
        <v>517</v>
      </c>
    </row>
    <row r="98" spans="1:21" ht="14.25" customHeight="1">
      <c r="A98" s="28" t="s">
        <v>518</v>
      </c>
      <c r="B98" s="29">
        <v>0</v>
      </c>
      <c r="C98" s="29">
        <v>0</v>
      </c>
      <c r="D98" s="29">
        <v>0</v>
      </c>
      <c r="E98" s="14"/>
      <c r="F98" s="14"/>
      <c r="G98" s="14"/>
      <c r="H98" s="14"/>
      <c r="I98" s="14"/>
      <c r="J98" s="14"/>
      <c r="L98" s="28" t="s">
        <v>519</v>
      </c>
      <c r="M98" s="29">
        <v>263</v>
      </c>
      <c r="N98" s="29">
        <v>150</v>
      </c>
      <c r="O98" s="29">
        <v>38</v>
      </c>
      <c r="P98" s="29">
        <v>263</v>
      </c>
      <c r="Q98" s="29">
        <v>263</v>
      </c>
      <c r="R98" s="29">
        <v>263</v>
      </c>
      <c r="S98" s="29">
        <v>263</v>
      </c>
      <c r="T98" s="33" t="s">
        <v>520</v>
      </c>
      <c r="U98" s="33" t="s">
        <v>521</v>
      </c>
    </row>
    <row r="99" spans="1:21" ht="14.25" customHeight="1">
      <c r="A99" s="28" t="s">
        <v>522</v>
      </c>
      <c r="B99" s="29">
        <v>0</v>
      </c>
      <c r="C99" s="29">
        <v>0</v>
      </c>
      <c r="D99" s="29">
        <v>0</v>
      </c>
      <c r="E99" s="14"/>
      <c r="F99" s="14"/>
      <c r="G99" s="14"/>
      <c r="H99" s="14"/>
      <c r="I99" s="14"/>
      <c r="J99" s="14"/>
      <c r="L99" s="28" t="s">
        <v>523</v>
      </c>
      <c r="M99" s="14"/>
      <c r="N99" s="14"/>
      <c r="O99" s="14"/>
      <c r="P99" s="14"/>
      <c r="Q99" s="14"/>
      <c r="R99" s="14"/>
      <c r="S99" s="14"/>
      <c r="T99" s="14"/>
      <c r="U99" s="14"/>
    </row>
    <row r="100" spans="1:21" ht="14.25" customHeight="1">
      <c r="A100" s="161" t="s">
        <v>524</v>
      </c>
      <c r="B100" s="162"/>
      <c r="C100" s="162"/>
      <c r="D100" s="162"/>
      <c r="E100" s="162"/>
      <c r="F100" s="162"/>
      <c r="G100" s="162"/>
      <c r="H100" s="162"/>
      <c r="I100" s="162"/>
      <c r="J100" s="163"/>
      <c r="L100" s="28" t="s">
        <v>525</v>
      </c>
      <c r="M100" s="14"/>
      <c r="N100" s="14"/>
      <c r="O100" s="14"/>
      <c r="P100" s="14"/>
      <c r="Q100" s="14"/>
      <c r="R100" s="14"/>
      <c r="S100" s="14"/>
      <c r="T100" s="14"/>
      <c r="U100" s="14"/>
    </row>
    <row r="101" spans="1:21" ht="14.25" customHeight="1">
      <c r="A101" s="41" t="s">
        <v>526</v>
      </c>
      <c r="B101" s="42">
        <v>0.79</v>
      </c>
      <c r="C101" s="43">
        <v>0.56000000000000005</v>
      </c>
      <c r="D101" s="43">
        <v>0.41</v>
      </c>
      <c r="E101" s="42">
        <v>0.7</v>
      </c>
      <c r="F101" s="42">
        <v>1.2</v>
      </c>
      <c r="G101" s="71">
        <v>0.31</v>
      </c>
      <c r="H101" s="42">
        <v>0.71</v>
      </c>
      <c r="I101" s="44" t="s">
        <v>527</v>
      </c>
      <c r="J101" s="44" t="s">
        <v>528</v>
      </c>
      <c r="L101" s="161" t="s">
        <v>529</v>
      </c>
      <c r="M101" s="162"/>
      <c r="N101" s="162"/>
      <c r="O101" s="162"/>
      <c r="P101" s="162"/>
      <c r="Q101" s="162"/>
      <c r="R101" s="162"/>
      <c r="S101" s="162"/>
      <c r="T101" s="162"/>
      <c r="U101" s="163"/>
    </row>
    <row r="102" spans="1:21" ht="14.25" customHeight="1">
      <c r="A102" s="28" t="s">
        <v>530</v>
      </c>
      <c r="B102" s="72">
        <v>0.44</v>
      </c>
      <c r="C102" s="73">
        <v>0.39</v>
      </c>
      <c r="D102" s="73">
        <v>0.35</v>
      </c>
      <c r="E102" s="14"/>
      <c r="F102" s="14"/>
      <c r="G102" s="14"/>
      <c r="H102" s="14"/>
      <c r="I102" s="14"/>
      <c r="J102" s="14"/>
      <c r="L102" s="41" t="s">
        <v>531</v>
      </c>
      <c r="M102" s="42">
        <v>1.65</v>
      </c>
      <c r="N102" s="42">
        <v>1.6</v>
      </c>
      <c r="O102" s="42">
        <v>1.55</v>
      </c>
      <c r="P102" s="42">
        <v>1</v>
      </c>
      <c r="Q102" s="42">
        <v>1.7</v>
      </c>
      <c r="R102" s="42">
        <v>1.05</v>
      </c>
      <c r="S102" s="42">
        <v>1.7</v>
      </c>
      <c r="T102" s="44" t="s">
        <v>532</v>
      </c>
      <c r="U102" s="44" t="s">
        <v>533</v>
      </c>
    </row>
    <row r="103" spans="1:21" ht="14.25" customHeight="1">
      <c r="A103" s="28" t="s">
        <v>534</v>
      </c>
      <c r="B103" s="72">
        <v>0.56000000000000005</v>
      </c>
      <c r="C103" s="73">
        <v>0.61</v>
      </c>
      <c r="D103" s="73">
        <v>0.65</v>
      </c>
      <c r="E103" s="14"/>
      <c r="F103" s="14"/>
      <c r="G103" s="14"/>
      <c r="H103" s="14"/>
      <c r="I103" s="14"/>
      <c r="J103" s="14"/>
      <c r="L103" s="28" t="s">
        <v>535</v>
      </c>
      <c r="M103" s="14"/>
      <c r="N103" s="14"/>
      <c r="O103" s="14"/>
      <c r="P103" s="14"/>
      <c r="Q103" s="14"/>
      <c r="R103" s="14"/>
      <c r="S103" s="14"/>
      <c r="T103" s="14"/>
      <c r="U103" s="14"/>
    </row>
    <row r="104" spans="1:21" ht="14.25" customHeight="1">
      <c r="A104" s="54" t="s">
        <v>536</v>
      </c>
      <c r="B104" s="55">
        <v>14400</v>
      </c>
      <c r="C104" s="56">
        <v>10000</v>
      </c>
      <c r="D104" s="56">
        <v>8000</v>
      </c>
      <c r="E104" s="55">
        <v>10800</v>
      </c>
      <c r="F104" s="55">
        <v>18000</v>
      </c>
      <c r="G104" s="57">
        <v>5300</v>
      </c>
      <c r="H104" s="55">
        <v>10700</v>
      </c>
      <c r="I104" s="74" t="s">
        <v>537</v>
      </c>
      <c r="J104" s="58" t="s">
        <v>538</v>
      </c>
      <c r="L104" s="28" t="s">
        <v>539</v>
      </c>
      <c r="M104" s="14"/>
      <c r="N104" s="14"/>
      <c r="O104" s="14"/>
      <c r="P104" s="14"/>
      <c r="Q104" s="14"/>
      <c r="R104" s="14"/>
      <c r="S104" s="14"/>
      <c r="T104" s="14"/>
      <c r="U104" s="14"/>
    </row>
    <row r="105" spans="1:21" ht="14.25" customHeight="1">
      <c r="A105" s="54" t="s">
        <v>540</v>
      </c>
      <c r="B105" s="75">
        <v>0</v>
      </c>
      <c r="C105" s="75">
        <v>0</v>
      </c>
      <c r="D105" s="75">
        <v>0</v>
      </c>
      <c r="E105" s="76"/>
      <c r="F105" s="76"/>
      <c r="G105" s="76"/>
      <c r="H105" s="76"/>
      <c r="I105" s="76"/>
      <c r="J105" s="76"/>
      <c r="L105" s="54" t="s">
        <v>541</v>
      </c>
      <c r="M105" s="55">
        <v>45300</v>
      </c>
      <c r="N105" s="55">
        <v>43900</v>
      </c>
      <c r="O105" s="55">
        <v>42600</v>
      </c>
      <c r="P105" s="55">
        <v>34000</v>
      </c>
      <c r="Q105" s="55">
        <v>56600</v>
      </c>
      <c r="R105" s="55">
        <v>32000</v>
      </c>
      <c r="S105" s="55">
        <v>53300</v>
      </c>
      <c r="T105" s="58" t="s">
        <v>542</v>
      </c>
      <c r="U105" s="58" t="s">
        <v>543</v>
      </c>
    </row>
    <row r="106" spans="1:21" ht="14.25" customHeight="1">
      <c r="A106" s="28" t="s">
        <v>544</v>
      </c>
      <c r="B106" s="29">
        <v>0</v>
      </c>
      <c r="C106" s="29">
        <v>0</v>
      </c>
      <c r="D106" s="29">
        <v>0</v>
      </c>
      <c r="E106" s="14"/>
      <c r="F106" s="14"/>
      <c r="G106" s="14"/>
      <c r="H106" s="14"/>
      <c r="I106" s="14"/>
      <c r="J106" s="14"/>
      <c r="L106" s="54" t="s">
        <v>545</v>
      </c>
      <c r="M106" s="62">
        <v>0.13</v>
      </c>
      <c r="N106" s="62">
        <v>0.12</v>
      </c>
      <c r="O106" s="62">
        <v>0.12</v>
      </c>
      <c r="P106" s="62">
        <v>0.09</v>
      </c>
      <c r="Q106" s="62">
        <v>0.16</v>
      </c>
      <c r="R106" s="62">
        <v>0.09</v>
      </c>
      <c r="S106" s="62">
        <v>0.15</v>
      </c>
      <c r="T106" s="58" t="s">
        <v>546</v>
      </c>
      <c r="U106" s="58" t="s">
        <v>547</v>
      </c>
    </row>
    <row r="107" spans="1:21" ht="14.25" customHeight="1">
      <c r="A107" s="161" t="s">
        <v>548</v>
      </c>
      <c r="B107" s="172"/>
      <c r="C107" s="77"/>
      <c r="D107" s="77"/>
      <c r="E107" s="77"/>
      <c r="F107" s="77"/>
      <c r="G107" s="77"/>
      <c r="H107" s="77"/>
      <c r="I107" s="77"/>
      <c r="J107" s="78"/>
      <c r="L107" s="28" t="s">
        <v>549</v>
      </c>
      <c r="M107" s="29">
        <v>110</v>
      </c>
      <c r="N107" s="29">
        <v>110</v>
      </c>
      <c r="O107" s="29">
        <v>110</v>
      </c>
      <c r="P107" s="29">
        <v>50</v>
      </c>
      <c r="Q107" s="29">
        <v>200</v>
      </c>
      <c r="R107" s="29">
        <v>50</v>
      </c>
      <c r="S107" s="29">
        <v>200</v>
      </c>
      <c r="T107" s="14"/>
      <c r="U107" s="29">
        <v>5</v>
      </c>
    </row>
    <row r="108" spans="1:21" ht="14.25" customHeight="1">
      <c r="A108" s="28" t="s">
        <v>550</v>
      </c>
      <c r="B108" s="79">
        <v>1800</v>
      </c>
      <c r="C108" s="80">
        <v>1800</v>
      </c>
      <c r="D108" s="80">
        <v>1800</v>
      </c>
      <c r="E108" s="14"/>
      <c r="F108" s="14"/>
      <c r="G108" s="14"/>
      <c r="H108" s="14"/>
      <c r="I108" s="33" t="s">
        <v>551</v>
      </c>
      <c r="J108" s="29">
        <v>8</v>
      </c>
    </row>
    <row r="109" spans="1:21" ht="14.25" customHeight="1">
      <c r="A109" s="28" t="s">
        <v>552</v>
      </c>
      <c r="B109" s="81">
        <v>1.1000000000000001</v>
      </c>
      <c r="C109" s="82">
        <v>1.1000000000000001</v>
      </c>
      <c r="D109" s="82">
        <v>1.1000000000000001</v>
      </c>
      <c r="E109" s="14"/>
      <c r="F109" s="14"/>
      <c r="G109" s="14"/>
      <c r="H109" s="14"/>
      <c r="I109" s="33" t="s">
        <v>553</v>
      </c>
      <c r="J109" s="14"/>
    </row>
    <row r="110" spans="1:21" ht="14.25" customHeight="1">
      <c r="A110" s="28" t="s">
        <v>554</v>
      </c>
      <c r="B110" s="81">
        <v>1.01</v>
      </c>
      <c r="C110" s="82">
        <v>1.01</v>
      </c>
      <c r="D110" s="82">
        <v>1.01</v>
      </c>
      <c r="E110" s="14"/>
      <c r="F110" s="14"/>
      <c r="G110" s="14"/>
      <c r="H110" s="14"/>
      <c r="I110" s="33" t="s">
        <v>555</v>
      </c>
      <c r="J110" s="29">
        <v>8</v>
      </c>
    </row>
    <row r="111" spans="1:21" ht="14.25" customHeight="1">
      <c r="A111" s="28" t="s">
        <v>556</v>
      </c>
      <c r="B111" s="81">
        <v>0.86</v>
      </c>
      <c r="C111" s="82">
        <v>0.95</v>
      </c>
      <c r="D111" s="82">
        <v>0.97</v>
      </c>
      <c r="E111" s="14"/>
      <c r="F111" s="14"/>
      <c r="G111" s="14"/>
      <c r="H111" s="14"/>
      <c r="I111" s="33" t="s">
        <v>557</v>
      </c>
      <c r="J111" s="29">
        <v>6</v>
      </c>
    </row>
    <row r="112" spans="1:21" ht="14.25" customHeight="1">
      <c r="A112" s="28" t="s">
        <v>558</v>
      </c>
      <c r="B112" s="83">
        <v>0.20499999999999999</v>
      </c>
      <c r="C112" s="84">
        <v>0.23</v>
      </c>
      <c r="D112" s="84">
        <v>0.26</v>
      </c>
      <c r="E112" s="14"/>
      <c r="F112" s="14"/>
      <c r="G112" s="14"/>
      <c r="H112" s="14"/>
      <c r="I112" s="14"/>
      <c r="J112" s="29">
        <v>6</v>
      </c>
    </row>
    <row r="113" spans="1:21" ht="14.25" customHeight="1">
      <c r="A113" s="28" t="s">
        <v>559</v>
      </c>
      <c r="B113" s="29">
        <v>15</v>
      </c>
      <c r="C113" s="29">
        <v>15</v>
      </c>
      <c r="D113" s="30">
        <v>15</v>
      </c>
      <c r="E113" s="14"/>
      <c r="F113" s="14"/>
      <c r="G113" s="14"/>
      <c r="H113" s="14"/>
      <c r="I113" s="14"/>
      <c r="J113" s="29">
        <v>6</v>
      </c>
    </row>
    <row r="114" spans="1:21" ht="14.25" customHeight="1">
      <c r="A114" s="85" t="s">
        <v>560</v>
      </c>
      <c r="B114" s="77"/>
      <c r="C114" s="77"/>
      <c r="D114" s="77"/>
      <c r="E114" s="77"/>
      <c r="F114" s="77"/>
      <c r="G114" s="77"/>
      <c r="H114" s="77"/>
      <c r="I114" s="77"/>
      <c r="J114" s="78"/>
    </row>
    <row r="115" spans="1:21" ht="14.25" customHeight="1">
      <c r="A115" s="28" t="s">
        <v>561</v>
      </c>
      <c r="B115" s="79">
        <v>1700</v>
      </c>
      <c r="C115" s="80">
        <v>1950</v>
      </c>
      <c r="D115" s="80">
        <v>1950</v>
      </c>
      <c r="E115" s="14"/>
      <c r="F115" s="14"/>
      <c r="G115" s="14"/>
      <c r="H115" s="14"/>
      <c r="I115" s="33" t="s">
        <v>562</v>
      </c>
      <c r="J115" s="14"/>
    </row>
    <row r="116" spans="1:21" ht="14.25" customHeight="1">
      <c r="A116" s="28" t="s">
        <v>563</v>
      </c>
      <c r="B116" s="79">
        <v>1550</v>
      </c>
      <c r="C116" s="80">
        <v>1750</v>
      </c>
      <c r="D116" s="80">
        <v>1750</v>
      </c>
      <c r="E116" s="14"/>
      <c r="F116" s="14"/>
      <c r="G116" s="14"/>
      <c r="H116" s="14"/>
      <c r="I116" s="33" t="s">
        <v>564</v>
      </c>
      <c r="J116" s="14"/>
    </row>
    <row r="117" spans="1:21" ht="14.25" customHeight="1">
      <c r="A117" s="85" t="s">
        <v>565</v>
      </c>
      <c r="B117" s="77"/>
      <c r="C117" s="77"/>
      <c r="D117" s="77"/>
      <c r="E117" s="77"/>
      <c r="F117" s="77"/>
      <c r="G117" s="77"/>
      <c r="H117" s="77"/>
      <c r="I117" s="77"/>
      <c r="J117" s="78"/>
    </row>
    <row r="118" spans="1:21" ht="14.25" customHeight="1">
      <c r="A118" s="28" t="s">
        <v>566</v>
      </c>
      <c r="B118" s="81">
        <v>0.32</v>
      </c>
      <c r="C118" s="82">
        <v>0.2</v>
      </c>
      <c r="D118" s="82">
        <v>0.13</v>
      </c>
      <c r="E118" s="14"/>
      <c r="F118" s="14"/>
      <c r="G118" s="14"/>
      <c r="H118" s="14"/>
      <c r="I118" s="14"/>
      <c r="J118" s="29">
        <v>7</v>
      </c>
    </row>
    <row r="119" spans="1:21" ht="14.25" customHeight="1">
      <c r="A119" s="28" t="s">
        <v>567</v>
      </c>
      <c r="B119" s="81">
        <v>0.4</v>
      </c>
      <c r="C119" s="82">
        <v>0.31</v>
      </c>
      <c r="D119" s="82">
        <v>0.24</v>
      </c>
      <c r="E119" s="14"/>
      <c r="F119" s="14"/>
      <c r="G119" s="14"/>
      <c r="H119" s="14"/>
      <c r="I119" s="14"/>
      <c r="J119" s="29">
        <v>7</v>
      </c>
    </row>
    <row r="120" spans="1:21" ht="14.25" customHeight="1">
      <c r="A120" s="28" t="s">
        <v>568</v>
      </c>
      <c r="B120" s="81">
        <v>0.72</v>
      </c>
      <c r="C120" s="82">
        <v>0.51</v>
      </c>
      <c r="D120" s="82">
        <v>0.37</v>
      </c>
      <c r="E120" s="14"/>
      <c r="F120" s="14"/>
      <c r="G120" s="14"/>
      <c r="H120" s="14"/>
      <c r="I120" s="33" t="s">
        <v>569</v>
      </c>
      <c r="J120" s="33" t="s">
        <v>570</v>
      </c>
    </row>
    <row r="121" spans="1:21" ht="14.25" customHeight="1">
      <c r="A121" s="28" t="s">
        <v>571</v>
      </c>
      <c r="B121" s="81">
        <v>0.79</v>
      </c>
      <c r="C121" s="82">
        <v>0.56000000000000005</v>
      </c>
      <c r="D121" s="82">
        <v>0.41</v>
      </c>
      <c r="E121" s="14"/>
      <c r="F121" s="14"/>
      <c r="G121" s="14"/>
      <c r="H121" s="14"/>
      <c r="I121" s="33" t="s">
        <v>572</v>
      </c>
      <c r="J121" s="14"/>
    </row>
    <row r="122" spans="1:21" ht="14.25" customHeight="1"/>
    <row r="123" spans="1:21" ht="14.25" customHeight="1">
      <c r="A123" s="9" t="s">
        <v>573</v>
      </c>
      <c r="L123" s="9" t="s">
        <v>574</v>
      </c>
    </row>
    <row r="124" spans="1:21" ht="14.25" customHeight="1">
      <c r="A124" s="13" t="s">
        <v>575</v>
      </c>
      <c r="B124" s="167" t="s">
        <v>576</v>
      </c>
      <c r="C124" s="162"/>
      <c r="D124" s="162"/>
      <c r="E124" s="162"/>
      <c r="F124" s="162"/>
      <c r="G124" s="162"/>
      <c r="H124" s="162"/>
      <c r="I124" s="162"/>
      <c r="J124" s="163"/>
      <c r="L124" s="13" t="s">
        <v>577</v>
      </c>
      <c r="M124" s="161" t="s">
        <v>578</v>
      </c>
      <c r="N124" s="162"/>
      <c r="O124" s="162"/>
      <c r="P124" s="162"/>
      <c r="Q124" s="162"/>
      <c r="R124" s="162"/>
      <c r="S124" s="162"/>
      <c r="T124" s="162"/>
      <c r="U124" s="163"/>
    </row>
    <row r="125" spans="1:21" ht="14.25" customHeight="1">
      <c r="A125" s="14"/>
      <c r="B125" s="18">
        <v>2020</v>
      </c>
      <c r="C125" s="18">
        <v>2030</v>
      </c>
      <c r="D125" s="86">
        <v>2050</v>
      </c>
      <c r="E125" s="161" t="s">
        <v>579</v>
      </c>
      <c r="F125" s="163"/>
      <c r="G125" s="161" t="s">
        <v>580</v>
      </c>
      <c r="H125" s="163"/>
      <c r="I125" s="20" t="s">
        <v>581</v>
      </c>
      <c r="J125" s="87" t="s">
        <v>582</v>
      </c>
      <c r="L125" s="67"/>
      <c r="M125" s="17">
        <v>2020</v>
      </c>
      <c r="N125" s="17">
        <v>2030</v>
      </c>
      <c r="O125" s="17">
        <v>2050</v>
      </c>
      <c r="P125" s="161" t="s">
        <v>583</v>
      </c>
      <c r="Q125" s="163"/>
      <c r="R125" s="161" t="s">
        <v>584</v>
      </c>
      <c r="S125" s="163"/>
      <c r="T125" s="20" t="s">
        <v>585</v>
      </c>
      <c r="U125" s="20" t="s">
        <v>586</v>
      </c>
    </row>
    <row r="126" spans="1:21" ht="14.25" customHeight="1">
      <c r="A126" s="19" t="s">
        <v>587</v>
      </c>
      <c r="B126" s="21"/>
      <c r="C126" s="21"/>
      <c r="D126" s="21"/>
      <c r="E126" s="66" t="s">
        <v>588</v>
      </c>
      <c r="F126" s="88" t="s">
        <v>589</v>
      </c>
      <c r="G126" s="88" t="s">
        <v>590</v>
      </c>
      <c r="H126" s="89" t="s">
        <v>591</v>
      </c>
      <c r="I126" s="21"/>
      <c r="J126" s="25"/>
      <c r="L126" s="19" t="s">
        <v>592</v>
      </c>
      <c r="M126" s="21"/>
      <c r="N126" s="21"/>
      <c r="O126" s="21"/>
      <c r="P126" s="66" t="s">
        <v>593</v>
      </c>
      <c r="Q126" s="66" t="s">
        <v>594</v>
      </c>
      <c r="R126" s="66" t="s">
        <v>595</v>
      </c>
      <c r="S126" s="66" t="s">
        <v>596</v>
      </c>
      <c r="T126" s="21"/>
      <c r="U126" s="25"/>
    </row>
    <row r="127" spans="1:21" ht="14.25" customHeight="1">
      <c r="A127" s="26" t="s">
        <v>597</v>
      </c>
      <c r="B127" s="34">
        <v>3.5</v>
      </c>
      <c r="C127" s="34">
        <v>4</v>
      </c>
      <c r="D127" s="34">
        <v>5</v>
      </c>
      <c r="E127" s="14"/>
      <c r="F127" s="14"/>
      <c r="G127" s="14"/>
      <c r="H127" s="14"/>
      <c r="I127" s="14"/>
      <c r="J127" s="90">
        <v>3</v>
      </c>
      <c r="L127" s="28" t="s">
        <v>598</v>
      </c>
      <c r="M127" s="29">
        <v>50</v>
      </c>
      <c r="N127" s="29">
        <v>50</v>
      </c>
      <c r="O127" s="29">
        <v>50</v>
      </c>
      <c r="P127" s="29">
        <v>35</v>
      </c>
      <c r="Q127" s="29">
        <v>65</v>
      </c>
      <c r="R127" s="29">
        <v>35</v>
      </c>
      <c r="S127" s="29">
        <v>65</v>
      </c>
      <c r="T127" s="14"/>
      <c r="U127" s="29">
        <v>3</v>
      </c>
    </row>
    <row r="128" spans="1:21" ht="14.25" customHeight="1">
      <c r="A128" s="26" t="s">
        <v>599</v>
      </c>
      <c r="B128" s="27">
        <v>70</v>
      </c>
      <c r="C128" s="27">
        <v>80</v>
      </c>
      <c r="D128" s="27">
        <v>100</v>
      </c>
      <c r="E128" s="14"/>
      <c r="F128" s="14"/>
      <c r="G128" s="14"/>
      <c r="H128" s="14"/>
      <c r="I128" s="14"/>
      <c r="J128" s="90">
        <v>1</v>
      </c>
      <c r="L128" s="28" t="s">
        <v>600</v>
      </c>
      <c r="M128" s="29">
        <v>100</v>
      </c>
      <c r="N128" s="29">
        <v>100</v>
      </c>
      <c r="O128" s="29">
        <v>100</v>
      </c>
      <c r="P128" s="29">
        <v>35</v>
      </c>
      <c r="Q128" s="29">
        <v>150</v>
      </c>
      <c r="R128" s="29">
        <v>35</v>
      </c>
      <c r="S128" s="29">
        <v>150</v>
      </c>
      <c r="T128" s="67"/>
      <c r="U128" s="29">
        <v>3</v>
      </c>
    </row>
    <row r="129" spans="1:21" ht="14.25" customHeight="1">
      <c r="A129" s="26" t="s">
        <v>601</v>
      </c>
      <c r="B129" s="27">
        <v>100</v>
      </c>
      <c r="C129" s="27">
        <v>100</v>
      </c>
      <c r="D129" s="27">
        <v>100</v>
      </c>
      <c r="E129" s="14"/>
      <c r="F129" s="14"/>
      <c r="G129" s="14"/>
      <c r="H129" s="14"/>
      <c r="I129" s="32" t="s">
        <v>602</v>
      </c>
      <c r="J129" s="14"/>
      <c r="L129" s="28" t="s">
        <v>603</v>
      </c>
      <c r="M129" s="29">
        <v>34</v>
      </c>
      <c r="N129" s="29">
        <v>36</v>
      </c>
      <c r="O129" s="29">
        <v>40</v>
      </c>
      <c r="P129" s="14"/>
      <c r="Q129" s="14"/>
      <c r="R129" s="14"/>
      <c r="S129" s="14"/>
      <c r="T129" s="14"/>
      <c r="U129" s="33" t="s">
        <v>604</v>
      </c>
    </row>
    <row r="130" spans="1:21" ht="14.25" customHeight="1">
      <c r="A130" s="26" t="s">
        <v>605</v>
      </c>
      <c r="B130" s="27">
        <v>100</v>
      </c>
      <c r="C130" s="27">
        <v>100</v>
      </c>
      <c r="D130" s="27">
        <v>100</v>
      </c>
      <c r="E130" s="14"/>
      <c r="F130" s="14"/>
      <c r="G130" s="14"/>
      <c r="H130" s="14"/>
      <c r="I130" s="14"/>
      <c r="J130" s="14"/>
      <c r="L130" s="28" t="s">
        <v>606</v>
      </c>
      <c r="M130" s="29">
        <v>33</v>
      </c>
      <c r="N130" s="29">
        <v>35</v>
      </c>
      <c r="O130" s="29">
        <v>39</v>
      </c>
      <c r="P130" s="14"/>
      <c r="Q130" s="14"/>
      <c r="R130" s="14"/>
      <c r="S130" s="14"/>
      <c r="T130" s="14"/>
      <c r="U130" s="33" t="s">
        <v>607</v>
      </c>
    </row>
    <row r="131" spans="1:21" ht="14.25" customHeight="1">
      <c r="A131" s="26" t="s">
        <v>608</v>
      </c>
      <c r="B131" s="91">
        <v>2.5000000000000001E-2</v>
      </c>
      <c r="C131" s="91">
        <v>0.02</v>
      </c>
      <c r="D131" s="92">
        <v>0.02</v>
      </c>
      <c r="E131" s="14"/>
      <c r="F131" s="14"/>
      <c r="G131" s="14"/>
      <c r="H131" s="14"/>
      <c r="I131" s="14"/>
      <c r="J131" s="14"/>
      <c r="L131" s="28" t="s">
        <v>609</v>
      </c>
      <c r="M131" s="29">
        <v>2</v>
      </c>
      <c r="N131" s="29">
        <v>2</v>
      </c>
      <c r="O131" s="29">
        <v>2</v>
      </c>
      <c r="P131" s="14"/>
      <c r="Q131" s="14"/>
      <c r="R131" s="14"/>
      <c r="S131" s="14"/>
      <c r="T131" s="14"/>
      <c r="U131" s="14"/>
    </row>
    <row r="132" spans="1:21" ht="14.25" customHeight="1">
      <c r="A132" s="26" t="s">
        <v>610</v>
      </c>
      <c r="B132" s="93">
        <v>0.16</v>
      </c>
      <c r="C132" s="65">
        <v>0.16</v>
      </c>
      <c r="D132" s="65">
        <v>0.16</v>
      </c>
      <c r="E132" s="64">
        <v>0.05</v>
      </c>
      <c r="F132" s="93">
        <v>0.26</v>
      </c>
      <c r="G132" s="93">
        <v>0.05</v>
      </c>
      <c r="H132" s="65">
        <v>0.26</v>
      </c>
      <c r="I132" s="14"/>
      <c r="J132" s="90">
        <v>3</v>
      </c>
      <c r="L132" s="28" t="s">
        <v>611</v>
      </c>
      <c r="M132" s="29">
        <v>3</v>
      </c>
      <c r="N132" s="29">
        <v>3</v>
      </c>
      <c r="O132" s="29">
        <v>3</v>
      </c>
      <c r="P132" s="14"/>
      <c r="Q132" s="14"/>
      <c r="R132" s="14"/>
      <c r="S132" s="14"/>
      <c r="T132" s="14"/>
      <c r="U132" s="14"/>
    </row>
    <row r="133" spans="1:21" ht="14.25" customHeight="1">
      <c r="A133" s="26" t="s">
        <v>612</v>
      </c>
      <c r="B133" s="27">
        <v>27</v>
      </c>
      <c r="C133" s="27">
        <v>30</v>
      </c>
      <c r="D133" s="27">
        <v>30</v>
      </c>
      <c r="E133" s="27">
        <v>25</v>
      </c>
      <c r="F133" s="27">
        <v>35</v>
      </c>
      <c r="G133" s="90">
        <v>25</v>
      </c>
      <c r="H133" s="27">
        <v>40</v>
      </c>
      <c r="I133" s="14"/>
      <c r="J133" s="90">
        <v>3</v>
      </c>
      <c r="L133" s="28" t="s">
        <v>613</v>
      </c>
      <c r="M133" s="29">
        <v>25</v>
      </c>
      <c r="N133" s="29">
        <v>25</v>
      </c>
      <c r="O133" s="29">
        <v>25</v>
      </c>
      <c r="P133" s="14"/>
      <c r="Q133" s="14"/>
      <c r="R133" s="14"/>
      <c r="S133" s="14"/>
      <c r="T133" s="14"/>
      <c r="U133" s="14"/>
    </row>
    <row r="134" spans="1:21" ht="14.25" customHeight="1">
      <c r="A134" s="26" t="s">
        <v>614</v>
      </c>
      <c r="B134" s="34">
        <v>1.5</v>
      </c>
      <c r="C134" s="34">
        <v>1.5</v>
      </c>
      <c r="D134" s="34">
        <v>1.5</v>
      </c>
      <c r="E134" s="14"/>
      <c r="F134" s="14"/>
      <c r="G134" s="14"/>
      <c r="H134" s="14"/>
      <c r="I134" s="14"/>
      <c r="J134" s="90">
        <v>1</v>
      </c>
      <c r="L134" s="28" t="s">
        <v>615</v>
      </c>
      <c r="M134" s="68">
        <v>1.5</v>
      </c>
      <c r="N134" s="68">
        <v>1.5</v>
      </c>
      <c r="O134" s="68">
        <v>1.5</v>
      </c>
      <c r="P134" s="68">
        <v>1.1000000000000001</v>
      </c>
      <c r="Q134" s="68">
        <v>1.9</v>
      </c>
      <c r="R134" s="68">
        <v>1.1000000000000001</v>
      </c>
      <c r="S134" s="68">
        <v>1.9</v>
      </c>
      <c r="T134" s="33" t="s">
        <v>616</v>
      </c>
      <c r="U134" s="29">
        <v>3</v>
      </c>
    </row>
    <row r="135" spans="1:21" ht="14.25" customHeight="1">
      <c r="A135" s="26" t="s">
        <v>617</v>
      </c>
      <c r="B135" s="27">
        <v>14</v>
      </c>
      <c r="C135" s="27">
        <v>14</v>
      </c>
      <c r="D135" s="27">
        <v>14</v>
      </c>
      <c r="E135" s="14"/>
      <c r="F135" s="14"/>
      <c r="G135" s="14"/>
      <c r="H135" s="14"/>
      <c r="I135" s="14"/>
      <c r="J135" s="90">
        <v>1</v>
      </c>
      <c r="L135" s="28" t="s">
        <v>618</v>
      </c>
      <c r="M135" s="81">
        <v>0.02</v>
      </c>
      <c r="N135" s="81">
        <v>0.02</v>
      </c>
      <c r="O135" s="81">
        <v>0.02</v>
      </c>
      <c r="P135" s="94">
        <v>1.4999999999999999E-2</v>
      </c>
      <c r="Q135" s="94">
        <v>2.5000000000000001E-2</v>
      </c>
      <c r="R135" s="94">
        <v>1.4999999999999999E-2</v>
      </c>
      <c r="S135" s="94">
        <v>2.5000000000000001E-2</v>
      </c>
      <c r="T135" s="33" t="s">
        <v>619</v>
      </c>
      <c r="U135" s="29">
        <v>3</v>
      </c>
    </row>
    <row r="136" spans="1:21" ht="14.25" customHeight="1">
      <c r="A136" s="164" t="s">
        <v>620</v>
      </c>
      <c r="B136" s="162"/>
      <c r="C136" s="162"/>
      <c r="D136" s="162"/>
      <c r="E136" s="162"/>
      <c r="F136" s="162"/>
      <c r="G136" s="162"/>
      <c r="H136" s="162"/>
      <c r="I136" s="162"/>
      <c r="J136" s="163"/>
      <c r="L136" s="164" t="s">
        <v>621</v>
      </c>
      <c r="M136" s="162"/>
      <c r="N136" s="162"/>
      <c r="O136" s="162"/>
      <c r="P136" s="162"/>
      <c r="Q136" s="162"/>
      <c r="R136" s="162"/>
      <c r="S136" s="162"/>
      <c r="T136" s="162"/>
      <c r="U136" s="163"/>
    </row>
    <row r="137" spans="1:21" ht="14.25" customHeight="1">
      <c r="A137" s="26" t="s">
        <v>622</v>
      </c>
      <c r="B137" s="27">
        <v>35</v>
      </c>
      <c r="C137" s="27">
        <v>36</v>
      </c>
      <c r="D137" s="27">
        <v>37</v>
      </c>
      <c r="E137" s="27">
        <v>20</v>
      </c>
      <c r="F137" s="27">
        <v>45</v>
      </c>
      <c r="G137" s="90">
        <v>20</v>
      </c>
      <c r="H137" s="27">
        <v>45</v>
      </c>
      <c r="I137" s="32" t="s">
        <v>623</v>
      </c>
      <c r="J137" s="14"/>
      <c r="L137" s="28" t="s">
        <v>624</v>
      </c>
      <c r="M137" s="33" t="s">
        <v>625</v>
      </c>
      <c r="N137" s="33" t="s">
        <v>626</v>
      </c>
      <c r="O137" s="33" t="s">
        <v>627</v>
      </c>
      <c r="P137" s="33" t="s">
        <v>628</v>
      </c>
      <c r="Q137" s="33" t="s">
        <v>629</v>
      </c>
      <c r="R137" s="33" t="s">
        <v>630</v>
      </c>
      <c r="S137" s="33" t="s">
        <v>631</v>
      </c>
      <c r="T137" s="14"/>
      <c r="U137" s="14"/>
    </row>
    <row r="138" spans="1:21" ht="14.25" customHeight="1">
      <c r="A138" s="26" t="s">
        <v>632</v>
      </c>
      <c r="B138" s="27">
        <v>34</v>
      </c>
      <c r="C138" s="27">
        <v>35</v>
      </c>
      <c r="D138" s="27">
        <v>36</v>
      </c>
      <c r="E138" s="14"/>
      <c r="F138" s="14"/>
      <c r="G138" s="14"/>
      <c r="H138" s="14"/>
      <c r="I138" s="14"/>
      <c r="J138" s="14"/>
      <c r="L138" s="28" t="s">
        <v>633</v>
      </c>
      <c r="M138" s="33" t="s">
        <v>634</v>
      </c>
      <c r="N138" s="33" t="s">
        <v>635</v>
      </c>
      <c r="O138" s="33" t="s">
        <v>636</v>
      </c>
      <c r="P138" s="33" t="s">
        <v>637</v>
      </c>
      <c r="Q138" s="33" t="s">
        <v>638</v>
      </c>
      <c r="R138" s="33" t="s">
        <v>639</v>
      </c>
      <c r="S138" s="33" t="s">
        <v>640</v>
      </c>
      <c r="T138" s="14"/>
      <c r="U138" s="14"/>
    </row>
    <row r="139" spans="1:21" ht="14.25" customHeight="1">
      <c r="A139" s="161" t="s">
        <v>641</v>
      </c>
      <c r="B139" s="162"/>
      <c r="C139" s="162"/>
      <c r="D139" s="162"/>
      <c r="E139" s="162"/>
      <c r="F139" s="162"/>
      <c r="G139" s="162"/>
      <c r="H139" s="162"/>
      <c r="I139" s="162"/>
      <c r="J139" s="163"/>
      <c r="L139" s="161" t="s">
        <v>642</v>
      </c>
      <c r="M139" s="162"/>
      <c r="N139" s="162"/>
      <c r="O139" s="162"/>
      <c r="P139" s="162"/>
      <c r="Q139" s="162"/>
      <c r="R139" s="162"/>
      <c r="S139" s="162"/>
      <c r="T139" s="162"/>
      <c r="U139" s="163"/>
    </row>
    <row r="140" spans="1:21" ht="14.25" customHeight="1">
      <c r="A140" s="26" t="s">
        <v>643</v>
      </c>
      <c r="B140" s="32" t="s">
        <v>644</v>
      </c>
      <c r="C140" s="32" t="s">
        <v>645</v>
      </c>
      <c r="D140" s="32" t="s">
        <v>646</v>
      </c>
      <c r="E140" s="14"/>
      <c r="F140" s="14"/>
      <c r="G140" s="14"/>
      <c r="H140" s="14"/>
      <c r="I140" s="32" t="s">
        <v>647</v>
      </c>
      <c r="J140" s="14"/>
      <c r="L140" s="28" t="s">
        <v>648</v>
      </c>
      <c r="M140" s="29">
        <v>20</v>
      </c>
      <c r="N140" s="29">
        <v>20</v>
      </c>
      <c r="O140" s="29">
        <v>20</v>
      </c>
      <c r="P140" s="29">
        <v>10</v>
      </c>
      <c r="Q140" s="29">
        <v>30</v>
      </c>
      <c r="R140" s="29">
        <v>10</v>
      </c>
      <c r="S140" s="29">
        <v>30</v>
      </c>
      <c r="T140" s="33" t="s">
        <v>649</v>
      </c>
      <c r="U140" s="33" t="s">
        <v>650</v>
      </c>
    </row>
    <row r="141" spans="1:21" ht="14.25" customHeight="1">
      <c r="A141" s="26" t="s">
        <v>651</v>
      </c>
      <c r="B141" s="32" t="s">
        <v>652</v>
      </c>
      <c r="C141" s="32" t="s">
        <v>653</v>
      </c>
      <c r="D141" s="32" t="s">
        <v>654</v>
      </c>
      <c r="E141" s="14"/>
      <c r="F141" s="14"/>
      <c r="G141" s="14"/>
      <c r="H141" s="14"/>
      <c r="I141" s="32" t="s">
        <v>655</v>
      </c>
      <c r="J141" s="14"/>
      <c r="L141" s="28" t="s">
        <v>656</v>
      </c>
      <c r="M141" s="29">
        <v>20</v>
      </c>
      <c r="N141" s="29">
        <v>30</v>
      </c>
      <c r="O141" s="29">
        <v>15</v>
      </c>
      <c r="P141" s="29">
        <v>30</v>
      </c>
      <c r="Q141" s="29">
        <v>50</v>
      </c>
      <c r="R141" s="29">
        <v>10</v>
      </c>
      <c r="S141" s="29">
        <v>40</v>
      </c>
      <c r="T141" s="33" t="s">
        <v>657</v>
      </c>
      <c r="U141" s="29">
        <v>6</v>
      </c>
    </row>
    <row r="142" spans="1:21" ht="14.25" customHeight="1">
      <c r="A142" s="26" t="s">
        <v>658</v>
      </c>
      <c r="B142" s="32" t="s">
        <v>659</v>
      </c>
      <c r="C142" s="32" t="s">
        <v>660</v>
      </c>
      <c r="D142" s="32" t="s">
        <v>661</v>
      </c>
      <c r="E142" s="14"/>
      <c r="F142" s="14"/>
      <c r="G142" s="14"/>
      <c r="H142" s="14"/>
      <c r="I142" s="14"/>
      <c r="J142" s="14"/>
      <c r="L142" s="28" t="s">
        <v>662</v>
      </c>
      <c r="M142" s="81">
        <v>0.25</v>
      </c>
      <c r="N142" s="81">
        <v>0.23</v>
      </c>
      <c r="O142" s="81">
        <v>0.2</v>
      </c>
      <c r="P142" s="14"/>
      <c r="Q142" s="14"/>
      <c r="R142" s="14"/>
      <c r="S142" s="14"/>
      <c r="T142" s="14"/>
      <c r="U142" s="29">
        <v>3</v>
      </c>
    </row>
    <row r="143" spans="1:21" ht="14.25" customHeight="1">
      <c r="A143" s="26" t="s">
        <v>663</v>
      </c>
      <c r="B143" s="32" t="s">
        <v>664</v>
      </c>
      <c r="C143" s="32" t="s">
        <v>665</v>
      </c>
      <c r="D143" s="32" t="s">
        <v>666</v>
      </c>
      <c r="E143" s="14"/>
      <c r="F143" s="14"/>
      <c r="G143" s="14"/>
      <c r="H143" s="14"/>
      <c r="I143" s="14"/>
      <c r="J143" s="14"/>
      <c r="L143" s="28" t="s">
        <v>667</v>
      </c>
      <c r="M143" s="68">
        <v>0.5</v>
      </c>
      <c r="N143" s="68">
        <v>0.5</v>
      </c>
      <c r="O143" s="68">
        <v>0.5</v>
      </c>
      <c r="P143" s="14"/>
      <c r="Q143" s="14"/>
      <c r="R143" s="14"/>
      <c r="S143" s="14"/>
      <c r="T143" s="14"/>
      <c r="U143" s="29">
        <v>3</v>
      </c>
    </row>
    <row r="144" spans="1:21" ht="14.25" customHeight="1">
      <c r="A144" s="161" t="s">
        <v>668</v>
      </c>
      <c r="B144" s="162"/>
      <c r="C144" s="162"/>
      <c r="D144" s="162"/>
      <c r="E144" s="162"/>
      <c r="F144" s="162"/>
      <c r="G144" s="162"/>
      <c r="H144" s="162"/>
      <c r="I144" s="162"/>
      <c r="J144" s="163"/>
      <c r="L144" s="161" t="s">
        <v>669</v>
      </c>
      <c r="M144" s="162"/>
      <c r="N144" s="162"/>
      <c r="O144" s="162"/>
      <c r="P144" s="162"/>
      <c r="Q144" s="162"/>
      <c r="R144" s="162"/>
      <c r="S144" s="162"/>
      <c r="T144" s="162"/>
      <c r="U144" s="163"/>
    </row>
    <row r="145" spans="1:26" ht="14.25" customHeight="1">
      <c r="A145" s="26" t="s">
        <v>670</v>
      </c>
      <c r="B145" s="27">
        <v>0</v>
      </c>
      <c r="C145" s="27">
        <v>0</v>
      </c>
      <c r="D145" s="27">
        <v>0</v>
      </c>
      <c r="E145" s="14"/>
      <c r="F145" s="14"/>
      <c r="G145" s="14"/>
      <c r="H145" s="14"/>
      <c r="I145" s="14"/>
      <c r="J145" s="14"/>
      <c r="L145" s="28" t="s">
        <v>671</v>
      </c>
      <c r="M145" s="29">
        <v>30</v>
      </c>
      <c r="N145" s="29">
        <v>30</v>
      </c>
      <c r="O145" s="29">
        <v>30</v>
      </c>
      <c r="P145" s="29">
        <v>30</v>
      </c>
      <c r="Q145" s="29">
        <v>30</v>
      </c>
      <c r="R145" s="29">
        <v>30</v>
      </c>
      <c r="S145" s="29">
        <v>30</v>
      </c>
      <c r="T145" s="14"/>
      <c r="U145" s="29">
        <v>7</v>
      </c>
    </row>
    <row r="146" spans="1:26" ht="14.25" customHeight="1">
      <c r="A146" s="26" t="s">
        <v>672</v>
      </c>
      <c r="B146" s="27">
        <v>0</v>
      </c>
      <c r="C146" s="27">
        <v>0</v>
      </c>
      <c r="D146" s="27">
        <v>0</v>
      </c>
      <c r="E146" s="14"/>
      <c r="F146" s="14"/>
      <c r="G146" s="14"/>
      <c r="H146" s="14"/>
      <c r="I146" s="14"/>
      <c r="J146" s="14"/>
      <c r="L146" s="28" t="s">
        <v>673</v>
      </c>
      <c r="M146" s="33" t="s">
        <v>674</v>
      </c>
      <c r="N146" s="33" t="s">
        <v>675</v>
      </c>
      <c r="O146" s="33" t="s">
        <v>676</v>
      </c>
      <c r="P146" s="33" t="s">
        <v>677</v>
      </c>
      <c r="Q146" s="33" t="s">
        <v>678</v>
      </c>
      <c r="R146" s="33" t="s">
        <v>679</v>
      </c>
      <c r="S146" s="33" t="s">
        <v>680</v>
      </c>
      <c r="T146" s="33" t="s">
        <v>681</v>
      </c>
      <c r="U146" s="14"/>
    </row>
    <row r="147" spans="1:26" ht="14.25" customHeight="1">
      <c r="A147" s="26" t="s">
        <v>682</v>
      </c>
      <c r="B147" s="27">
        <v>0</v>
      </c>
      <c r="C147" s="27">
        <v>0</v>
      </c>
      <c r="D147" s="27">
        <v>0</v>
      </c>
      <c r="E147" s="14"/>
      <c r="F147" s="14"/>
      <c r="G147" s="14"/>
      <c r="H147" s="14"/>
      <c r="I147" s="14"/>
      <c r="J147" s="14"/>
      <c r="L147" s="28" t="s">
        <v>683</v>
      </c>
      <c r="M147" s="29">
        <v>86</v>
      </c>
      <c r="N147" s="29">
        <v>60</v>
      </c>
      <c r="O147" s="29">
        <v>20</v>
      </c>
      <c r="P147" s="29">
        <v>20</v>
      </c>
      <c r="Q147" s="29">
        <v>86</v>
      </c>
      <c r="R147" s="29">
        <v>20</v>
      </c>
      <c r="S147" s="29">
        <v>86</v>
      </c>
      <c r="T147" s="33" t="s">
        <v>684</v>
      </c>
      <c r="U147" s="33" t="s">
        <v>685</v>
      </c>
    </row>
    <row r="148" spans="1:26" ht="14.25" customHeight="1">
      <c r="A148" s="26" t="s">
        <v>686</v>
      </c>
      <c r="B148" s="27">
        <v>0</v>
      </c>
      <c r="C148" s="27">
        <v>0</v>
      </c>
      <c r="D148" s="27">
        <v>0</v>
      </c>
      <c r="E148" s="14"/>
      <c r="F148" s="14"/>
      <c r="G148" s="14"/>
      <c r="H148" s="14"/>
      <c r="I148" s="14"/>
      <c r="J148" s="14"/>
      <c r="L148" s="28" t="s">
        <v>687</v>
      </c>
      <c r="M148" s="33" t="s">
        <v>688</v>
      </c>
      <c r="N148" s="33" t="s">
        <v>689</v>
      </c>
      <c r="O148" s="33" t="s">
        <v>690</v>
      </c>
      <c r="P148" s="33" t="s">
        <v>691</v>
      </c>
      <c r="Q148" s="33" t="s">
        <v>692</v>
      </c>
      <c r="R148" s="33" t="s">
        <v>693</v>
      </c>
      <c r="S148" s="33" t="s">
        <v>694</v>
      </c>
      <c r="T148" s="14"/>
      <c r="U148" s="14"/>
    </row>
    <row r="149" spans="1:26" ht="14.25" customHeight="1">
      <c r="A149" s="26" t="s">
        <v>695</v>
      </c>
      <c r="B149" s="27">
        <v>0</v>
      </c>
      <c r="C149" s="27">
        <v>0</v>
      </c>
      <c r="D149" s="27">
        <v>0</v>
      </c>
      <c r="E149" s="14"/>
      <c r="F149" s="14"/>
      <c r="G149" s="14"/>
      <c r="H149" s="14"/>
      <c r="I149" s="14"/>
      <c r="J149" s="14"/>
      <c r="L149" s="28" t="s">
        <v>696</v>
      </c>
      <c r="M149" s="33" t="s">
        <v>697</v>
      </c>
      <c r="N149" s="33" t="s">
        <v>698</v>
      </c>
      <c r="O149" s="33" t="s">
        <v>699</v>
      </c>
      <c r="P149" s="33" t="s">
        <v>700</v>
      </c>
      <c r="Q149" s="33" t="s">
        <v>701</v>
      </c>
      <c r="R149" s="33" t="s">
        <v>702</v>
      </c>
      <c r="S149" s="33" t="s">
        <v>703</v>
      </c>
      <c r="T149" s="14"/>
      <c r="U149" s="14"/>
    </row>
    <row r="150" spans="1:26" ht="14.25" customHeight="1">
      <c r="A150" s="161" t="s">
        <v>704</v>
      </c>
      <c r="B150" s="162"/>
      <c r="C150" s="162"/>
      <c r="D150" s="162"/>
      <c r="E150" s="162"/>
      <c r="F150" s="162"/>
      <c r="G150" s="162"/>
      <c r="H150" s="162"/>
      <c r="I150" s="162"/>
      <c r="J150" s="163"/>
      <c r="L150" s="161" t="s">
        <v>705</v>
      </c>
      <c r="M150" s="162"/>
      <c r="N150" s="162"/>
      <c r="O150" s="162"/>
      <c r="P150" s="162"/>
      <c r="Q150" s="162"/>
      <c r="R150" s="162"/>
      <c r="S150" s="162"/>
      <c r="T150" s="162"/>
      <c r="U150" s="163"/>
    </row>
    <row r="151" spans="1:26" ht="14.25" customHeight="1">
      <c r="A151" s="35" t="s">
        <v>706</v>
      </c>
      <c r="B151" s="38">
        <v>1.5</v>
      </c>
      <c r="C151" s="37">
        <v>1.28</v>
      </c>
      <c r="D151" s="37">
        <v>1.08</v>
      </c>
      <c r="E151" s="36">
        <v>1.2</v>
      </c>
      <c r="F151" s="38">
        <v>2.35</v>
      </c>
      <c r="G151" s="38">
        <v>0.8</v>
      </c>
      <c r="H151" s="37">
        <v>1.85</v>
      </c>
      <c r="I151" s="39" t="s">
        <v>707</v>
      </c>
      <c r="J151" s="95">
        <v>1</v>
      </c>
      <c r="K151" s="45"/>
      <c r="L151" s="41" t="s">
        <v>708</v>
      </c>
      <c r="M151" s="42">
        <v>0.77</v>
      </c>
      <c r="N151" s="42">
        <v>0.73</v>
      </c>
      <c r="O151" s="42">
        <v>0.68</v>
      </c>
      <c r="P151" s="42">
        <v>0.65</v>
      </c>
      <c r="Q151" s="42">
        <v>1.2</v>
      </c>
      <c r="R151" s="42">
        <v>0.55000000000000004</v>
      </c>
      <c r="S151" s="42">
        <v>1.1000000000000001</v>
      </c>
      <c r="T151" s="44" t="s">
        <v>709</v>
      </c>
      <c r="U151" s="44" t="s">
        <v>710</v>
      </c>
      <c r="V151" s="45"/>
      <c r="W151" s="45"/>
      <c r="X151" s="45"/>
      <c r="Y151" s="45"/>
      <c r="Z151" s="45"/>
    </row>
    <row r="152" spans="1:26" ht="14.25" customHeight="1">
      <c r="A152" s="26" t="s">
        <v>711</v>
      </c>
      <c r="B152" s="48">
        <v>0.65</v>
      </c>
      <c r="C152" s="47">
        <v>0.65</v>
      </c>
      <c r="D152" s="47">
        <v>0.65</v>
      </c>
      <c r="E152" s="14"/>
      <c r="F152" s="14"/>
      <c r="G152" s="14"/>
      <c r="H152" s="14"/>
      <c r="I152" s="32" t="s">
        <v>712</v>
      </c>
      <c r="J152" s="96" t="s">
        <v>713</v>
      </c>
      <c r="L152" s="28" t="s">
        <v>714</v>
      </c>
      <c r="M152" s="29">
        <v>50</v>
      </c>
      <c r="N152" s="29">
        <v>50</v>
      </c>
      <c r="O152" s="29">
        <v>50</v>
      </c>
      <c r="P152" s="29">
        <v>50</v>
      </c>
      <c r="Q152" s="29">
        <v>50</v>
      </c>
      <c r="R152" s="29">
        <v>50</v>
      </c>
      <c r="S152" s="29">
        <v>50</v>
      </c>
      <c r="T152" s="14"/>
      <c r="U152" s="29">
        <v>9</v>
      </c>
    </row>
    <row r="153" spans="1:26" ht="14.25" customHeight="1">
      <c r="A153" s="26" t="s">
        <v>715</v>
      </c>
      <c r="B153" s="48">
        <v>0.35</v>
      </c>
      <c r="C153" s="47">
        <v>0.35</v>
      </c>
      <c r="D153" s="47">
        <v>0.35</v>
      </c>
      <c r="E153" s="14"/>
      <c r="F153" s="14"/>
      <c r="G153" s="14"/>
      <c r="H153" s="14"/>
      <c r="I153" s="32" t="s">
        <v>716</v>
      </c>
      <c r="J153" s="96" t="s">
        <v>717</v>
      </c>
      <c r="L153" s="28" t="s">
        <v>718</v>
      </c>
      <c r="M153" s="29">
        <v>50</v>
      </c>
      <c r="N153" s="29">
        <v>50</v>
      </c>
      <c r="O153" s="29">
        <v>50</v>
      </c>
      <c r="P153" s="29">
        <v>50</v>
      </c>
      <c r="Q153" s="29">
        <v>50</v>
      </c>
      <c r="R153" s="29">
        <v>50</v>
      </c>
      <c r="S153" s="29">
        <v>50</v>
      </c>
      <c r="T153" s="14"/>
      <c r="U153" s="29">
        <v>9</v>
      </c>
    </row>
    <row r="154" spans="1:26" ht="14.25" customHeight="1">
      <c r="A154" s="49" t="s">
        <v>719</v>
      </c>
      <c r="B154" s="52">
        <v>60000</v>
      </c>
      <c r="C154" s="52">
        <v>51000</v>
      </c>
      <c r="D154" s="51">
        <v>43200</v>
      </c>
      <c r="E154" s="50">
        <v>30000</v>
      </c>
      <c r="F154" s="52">
        <v>70000</v>
      </c>
      <c r="G154" s="52">
        <v>25000</v>
      </c>
      <c r="H154" s="51">
        <v>60000</v>
      </c>
      <c r="I154" s="76"/>
      <c r="J154" s="97">
        <v>4</v>
      </c>
      <c r="L154" s="54" t="s">
        <v>720</v>
      </c>
      <c r="M154" s="55">
        <v>23200</v>
      </c>
      <c r="N154" s="55">
        <v>22500</v>
      </c>
      <c r="O154" s="55">
        <v>21800</v>
      </c>
      <c r="P154" s="55">
        <v>17400</v>
      </c>
      <c r="Q154" s="55">
        <v>29000</v>
      </c>
      <c r="R154" s="55">
        <v>16400</v>
      </c>
      <c r="S154" s="55">
        <v>27300</v>
      </c>
      <c r="T154" s="58" t="s">
        <v>721</v>
      </c>
      <c r="U154" s="58" t="s">
        <v>722</v>
      </c>
    </row>
    <row r="155" spans="1:26" ht="14.25" customHeight="1">
      <c r="A155" s="49" t="s">
        <v>723</v>
      </c>
      <c r="B155" s="98">
        <v>0</v>
      </c>
      <c r="C155" s="98">
        <v>0</v>
      </c>
      <c r="D155" s="98">
        <v>0</v>
      </c>
      <c r="E155" s="76"/>
      <c r="F155" s="76"/>
      <c r="G155" s="76"/>
      <c r="H155" s="76"/>
      <c r="I155" s="76"/>
      <c r="J155" s="97">
        <v>4</v>
      </c>
      <c r="L155" s="54" t="s">
        <v>724</v>
      </c>
      <c r="M155" s="76"/>
      <c r="N155" s="76"/>
      <c r="O155" s="76"/>
      <c r="P155" s="76"/>
      <c r="Q155" s="76"/>
      <c r="R155" s="76"/>
      <c r="S155" s="76"/>
      <c r="T155" s="76"/>
      <c r="U155" s="76"/>
    </row>
    <row r="156" spans="1:26" ht="14.25" customHeight="1">
      <c r="A156" s="26" t="s">
        <v>725</v>
      </c>
      <c r="B156" s="27">
        <v>0</v>
      </c>
      <c r="C156" s="27">
        <v>0</v>
      </c>
      <c r="D156" s="27">
        <v>0</v>
      </c>
      <c r="E156" s="14"/>
      <c r="F156" s="14"/>
      <c r="G156" s="14"/>
      <c r="H156" s="14"/>
      <c r="I156" s="14"/>
      <c r="J156" s="14"/>
      <c r="L156" s="28" t="s">
        <v>726</v>
      </c>
      <c r="M156" s="29">
        <v>24</v>
      </c>
      <c r="N156" s="29">
        <v>24</v>
      </c>
      <c r="O156" s="29">
        <v>24</v>
      </c>
      <c r="P156" s="29">
        <v>18</v>
      </c>
      <c r="Q156" s="29">
        <v>30</v>
      </c>
      <c r="R156" s="29">
        <v>18</v>
      </c>
      <c r="S156" s="29">
        <v>30</v>
      </c>
      <c r="T156" s="33" t="s">
        <v>727</v>
      </c>
      <c r="U156" s="29">
        <v>6</v>
      </c>
    </row>
    <row r="157" spans="1:26" ht="14.25" customHeight="1"/>
    <row r="158" spans="1:26" ht="14.25" customHeight="1">
      <c r="A158" s="9" t="s">
        <v>728</v>
      </c>
      <c r="L158" s="9" t="s">
        <v>729</v>
      </c>
    </row>
    <row r="159" spans="1:26" ht="14.25" customHeight="1">
      <c r="A159" s="13" t="s">
        <v>730</v>
      </c>
      <c r="B159" s="167" t="s">
        <v>731</v>
      </c>
      <c r="C159" s="162"/>
      <c r="D159" s="162"/>
      <c r="E159" s="162"/>
      <c r="F159" s="162"/>
      <c r="G159" s="162"/>
      <c r="H159" s="162"/>
      <c r="I159" s="162"/>
      <c r="J159" s="163"/>
      <c r="L159" s="99" t="s">
        <v>732</v>
      </c>
      <c r="M159" s="171" t="s">
        <v>733</v>
      </c>
      <c r="N159" s="162"/>
      <c r="O159" s="162"/>
      <c r="P159" s="162"/>
      <c r="Q159" s="162"/>
      <c r="R159" s="162"/>
      <c r="S159" s="162"/>
      <c r="T159" s="162"/>
      <c r="U159" s="163"/>
    </row>
    <row r="160" spans="1:26" ht="14.25" customHeight="1">
      <c r="A160" s="14"/>
      <c r="B160" s="17">
        <v>2020</v>
      </c>
      <c r="C160" s="18">
        <v>2030</v>
      </c>
      <c r="D160" s="18">
        <v>2050</v>
      </c>
      <c r="E160" s="161" t="s">
        <v>734</v>
      </c>
      <c r="F160" s="163"/>
      <c r="G160" s="161" t="s">
        <v>735</v>
      </c>
      <c r="H160" s="163"/>
      <c r="I160" s="20" t="s">
        <v>736</v>
      </c>
      <c r="J160" s="20" t="s">
        <v>737</v>
      </c>
      <c r="L160" s="14"/>
      <c r="M160" s="101">
        <v>2020</v>
      </c>
      <c r="N160" s="102">
        <v>2030</v>
      </c>
      <c r="O160" s="102">
        <v>2050</v>
      </c>
      <c r="P160" s="171" t="s">
        <v>738</v>
      </c>
      <c r="Q160" s="163"/>
      <c r="R160" s="171" t="s">
        <v>739</v>
      </c>
      <c r="S160" s="163"/>
      <c r="T160" s="103" t="s">
        <v>740</v>
      </c>
      <c r="U160" s="103" t="s">
        <v>741</v>
      </c>
    </row>
    <row r="161" spans="1:21" ht="14.25" customHeight="1">
      <c r="A161" s="19" t="s">
        <v>742</v>
      </c>
      <c r="B161" s="21"/>
      <c r="C161" s="21"/>
      <c r="D161" s="21"/>
      <c r="E161" s="88" t="s">
        <v>743</v>
      </c>
      <c r="F161" s="66" t="s">
        <v>744</v>
      </c>
      <c r="G161" s="66" t="s">
        <v>745</v>
      </c>
      <c r="H161" s="66" t="s">
        <v>746</v>
      </c>
      <c r="I161" s="21"/>
      <c r="J161" s="25"/>
      <c r="L161" s="100" t="s">
        <v>747</v>
      </c>
      <c r="M161" s="21"/>
      <c r="N161" s="21"/>
      <c r="O161" s="21"/>
      <c r="P161" s="104" t="s">
        <v>748</v>
      </c>
      <c r="Q161" s="104" t="s">
        <v>749</v>
      </c>
      <c r="R161" s="105" t="s">
        <v>750</v>
      </c>
      <c r="S161" s="104" t="s">
        <v>751</v>
      </c>
      <c r="T161" s="21"/>
      <c r="U161" s="25"/>
    </row>
    <row r="162" spans="1:21" ht="14.25" customHeight="1">
      <c r="A162" s="26" t="s">
        <v>752</v>
      </c>
      <c r="B162" s="34">
        <v>8</v>
      </c>
      <c r="C162" s="106">
        <v>10</v>
      </c>
      <c r="D162" s="106">
        <v>12</v>
      </c>
      <c r="E162" s="14"/>
      <c r="F162" s="14"/>
      <c r="G162" s="14"/>
      <c r="H162" s="14"/>
      <c r="I162" s="14"/>
      <c r="J162" s="27">
        <v>3</v>
      </c>
      <c r="L162" s="28" t="s">
        <v>753</v>
      </c>
      <c r="M162" s="29">
        <v>22</v>
      </c>
      <c r="N162" s="29">
        <v>22</v>
      </c>
      <c r="O162" s="29">
        <v>23</v>
      </c>
      <c r="P162" s="14"/>
      <c r="Q162" s="14"/>
      <c r="R162" s="14"/>
      <c r="S162" s="14"/>
      <c r="T162" s="14"/>
      <c r="U162" s="14"/>
    </row>
    <row r="163" spans="1:21" ht="14.25" customHeight="1">
      <c r="A163" s="26" t="s">
        <v>754</v>
      </c>
      <c r="B163" s="27">
        <v>240</v>
      </c>
      <c r="C163" s="27">
        <v>300</v>
      </c>
      <c r="D163" s="90">
        <v>360</v>
      </c>
      <c r="E163" s="14"/>
      <c r="F163" s="14"/>
      <c r="G163" s="14"/>
      <c r="H163" s="14"/>
      <c r="I163" s="14"/>
      <c r="J163" s="14"/>
      <c r="L163" s="28" t="s">
        <v>755</v>
      </c>
      <c r="M163" s="29">
        <v>22</v>
      </c>
      <c r="N163" s="29">
        <v>22</v>
      </c>
      <c r="O163" s="29">
        <v>23</v>
      </c>
      <c r="P163" s="67"/>
      <c r="Q163" s="67"/>
      <c r="R163" s="67"/>
      <c r="S163" s="67"/>
      <c r="T163" s="67"/>
      <c r="U163" s="67"/>
    </row>
    <row r="164" spans="1:21" ht="14.25" customHeight="1">
      <c r="A164" s="26" t="s">
        <v>756</v>
      </c>
      <c r="B164" s="27">
        <v>100</v>
      </c>
      <c r="C164" s="27">
        <v>100</v>
      </c>
      <c r="D164" s="90">
        <v>100</v>
      </c>
      <c r="E164" s="14"/>
      <c r="F164" s="14"/>
      <c r="G164" s="14"/>
      <c r="H164" s="14"/>
      <c r="I164" s="32" t="s">
        <v>757</v>
      </c>
      <c r="J164" s="14"/>
      <c r="L164" s="28" t="s">
        <v>758</v>
      </c>
      <c r="M164" s="107">
        <v>0.28999999999999998</v>
      </c>
      <c r="N164" s="72">
        <v>0.3</v>
      </c>
      <c r="O164" s="72">
        <v>0.31</v>
      </c>
      <c r="P164" s="72">
        <v>0.28000000000000003</v>
      </c>
      <c r="Q164" s="72">
        <v>0.32</v>
      </c>
      <c r="R164" s="107">
        <v>0.3</v>
      </c>
      <c r="S164" s="72">
        <v>0.33</v>
      </c>
      <c r="T164" s="33" t="s">
        <v>759</v>
      </c>
      <c r="U164" s="29">
        <v>1</v>
      </c>
    </row>
    <row r="165" spans="1:21" ht="14.25" customHeight="1">
      <c r="A165" s="26" t="s">
        <v>760</v>
      </c>
      <c r="B165" s="27">
        <v>100</v>
      </c>
      <c r="C165" s="27">
        <v>100</v>
      </c>
      <c r="D165" s="90">
        <v>100</v>
      </c>
      <c r="E165" s="14"/>
      <c r="F165" s="14"/>
      <c r="G165" s="14"/>
      <c r="H165" s="14"/>
      <c r="I165" s="32" t="s">
        <v>761</v>
      </c>
      <c r="J165" s="14"/>
      <c r="L165" s="28" t="s">
        <v>762</v>
      </c>
      <c r="M165" s="107">
        <v>0.28000000000000003</v>
      </c>
      <c r="N165" s="72">
        <v>0.28999999999999998</v>
      </c>
      <c r="O165" s="72">
        <v>0.28999999999999998</v>
      </c>
      <c r="P165" s="72">
        <v>0.26</v>
      </c>
      <c r="Q165" s="72">
        <v>0.3</v>
      </c>
      <c r="R165" s="107">
        <v>0.28000000000000003</v>
      </c>
      <c r="S165" s="72">
        <v>0.31</v>
      </c>
      <c r="T165" s="14"/>
      <c r="U165" s="29">
        <v>1</v>
      </c>
    </row>
    <row r="166" spans="1:21" ht="14.25" customHeight="1">
      <c r="A166" s="26" t="s">
        <v>763</v>
      </c>
      <c r="B166" s="108">
        <v>0.04</v>
      </c>
      <c r="C166" s="91">
        <v>0.03</v>
      </c>
      <c r="D166" s="91">
        <v>0.03</v>
      </c>
      <c r="E166" s="14"/>
      <c r="F166" s="14"/>
      <c r="G166" s="14"/>
      <c r="H166" s="14"/>
      <c r="I166" s="14"/>
      <c r="J166" s="27">
        <v>3</v>
      </c>
      <c r="L166" s="28" t="s">
        <v>764</v>
      </c>
      <c r="M166" s="72">
        <v>0.01</v>
      </c>
      <c r="N166" s="72">
        <v>0.01</v>
      </c>
      <c r="O166" s="72">
        <v>0.01</v>
      </c>
      <c r="P166" s="14"/>
      <c r="Q166" s="14"/>
      <c r="R166" s="14"/>
      <c r="S166" s="14"/>
      <c r="T166" s="14"/>
      <c r="U166" s="29">
        <v>1</v>
      </c>
    </row>
    <row r="167" spans="1:21" ht="14.25" customHeight="1">
      <c r="A167" s="26" t="s">
        <v>765</v>
      </c>
      <c r="B167" s="64">
        <v>0.16</v>
      </c>
      <c r="C167" s="93">
        <v>0.16</v>
      </c>
      <c r="D167" s="93">
        <v>0.16</v>
      </c>
      <c r="E167" s="14"/>
      <c r="F167" s="14"/>
      <c r="G167" s="14"/>
      <c r="H167" s="14"/>
      <c r="I167" s="14"/>
      <c r="J167" s="27">
        <v>3</v>
      </c>
      <c r="L167" s="28" t="s">
        <v>766</v>
      </c>
      <c r="M167" s="68">
        <v>2.9</v>
      </c>
      <c r="N167" s="68">
        <v>2.6</v>
      </c>
      <c r="O167" s="68">
        <v>2.1</v>
      </c>
      <c r="P167" s="14"/>
      <c r="Q167" s="14"/>
      <c r="R167" s="14"/>
      <c r="S167" s="14"/>
      <c r="T167" s="14"/>
      <c r="U167" s="29">
        <v>1</v>
      </c>
    </row>
    <row r="168" spans="1:21" ht="14.25" customHeight="1">
      <c r="A168" s="26" t="s">
        <v>767</v>
      </c>
      <c r="B168" s="27">
        <v>27</v>
      </c>
      <c r="C168" s="27">
        <v>30</v>
      </c>
      <c r="D168" s="27">
        <v>30</v>
      </c>
      <c r="E168" s="27">
        <v>20</v>
      </c>
      <c r="F168" s="27">
        <v>35</v>
      </c>
      <c r="G168" s="27">
        <v>20</v>
      </c>
      <c r="H168" s="27">
        <v>35</v>
      </c>
      <c r="I168" s="14"/>
      <c r="J168" s="27">
        <v>3</v>
      </c>
      <c r="L168" s="28" t="s">
        <v>768</v>
      </c>
      <c r="M168" s="29">
        <v>25</v>
      </c>
      <c r="N168" s="29">
        <v>25</v>
      </c>
      <c r="O168" s="29">
        <v>25</v>
      </c>
      <c r="P168" s="14"/>
      <c r="Q168" s="14"/>
      <c r="R168" s="14"/>
      <c r="S168" s="14"/>
      <c r="T168" s="14"/>
      <c r="U168" s="29">
        <v>1</v>
      </c>
    </row>
    <row r="169" spans="1:21" ht="14.25" customHeight="1">
      <c r="A169" s="26" t="s">
        <v>769</v>
      </c>
      <c r="B169" s="34">
        <v>3</v>
      </c>
      <c r="C169" s="34">
        <v>2.5</v>
      </c>
      <c r="D169" s="106">
        <v>2.5</v>
      </c>
      <c r="E169" s="34">
        <v>1.5</v>
      </c>
      <c r="F169" s="27">
        <v>4</v>
      </c>
      <c r="G169" s="34">
        <v>1.5</v>
      </c>
      <c r="H169" s="27">
        <v>4</v>
      </c>
      <c r="I169" s="14"/>
      <c r="J169" s="27">
        <v>3</v>
      </c>
      <c r="L169" s="28" t="s">
        <v>770</v>
      </c>
      <c r="M169" s="68">
        <v>2.5</v>
      </c>
      <c r="N169" s="68">
        <v>2.5</v>
      </c>
      <c r="O169" s="68">
        <v>2.5</v>
      </c>
      <c r="P169" s="14"/>
      <c r="Q169" s="14"/>
      <c r="R169" s="14"/>
      <c r="S169" s="14"/>
      <c r="T169" s="14"/>
      <c r="U169" s="29">
        <v>1</v>
      </c>
    </row>
    <row r="170" spans="1:21" ht="14.25" customHeight="1">
      <c r="A170" s="109" t="s">
        <v>771</v>
      </c>
      <c r="B170" s="27">
        <v>185</v>
      </c>
      <c r="C170" s="27">
        <v>185</v>
      </c>
      <c r="D170" s="90">
        <v>185</v>
      </c>
      <c r="E170" s="27">
        <v>168</v>
      </c>
      <c r="F170" s="27">
        <v>204</v>
      </c>
      <c r="G170" s="27">
        <v>168</v>
      </c>
      <c r="H170" s="27">
        <v>204</v>
      </c>
      <c r="I170" s="67"/>
      <c r="J170" s="27">
        <v>3</v>
      </c>
      <c r="L170" s="28" t="s">
        <v>772</v>
      </c>
      <c r="M170" s="68">
        <v>1.5</v>
      </c>
      <c r="N170" s="68">
        <v>1.5</v>
      </c>
      <c r="O170" s="68">
        <v>1.5</v>
      </c>
      <c r="P170" s="14"/>
      <c r="Q170" s="14"/>
      <c r="R170" s="14"/>
      <c r="S170" s="14"/>
      <c r="T170" s="14"/>
      <c r="U170" s="29">
        <v>1</v>
      </c>
    </row>
    <row r="171" spans="1:21" ht="18.75" customHeight="1">
      <c r="A171" s="110" t="s">
        <v>773</v>
      </c>
      <c r="B171" s="77"/>
      <c r="C171" s="77"/>
      <c r="D171" s="77"/>
      <c r="E171" s="77"/>
      <c r="F171" s="77"/>
      <c r="G171" s="77"/>
      <c r="H171" s="77"/>
      <c r="I171" s="173"/>
      <c r="J171" s="163"/>
      <c r="L171" s="174" t="s">
        <v>774</v>
      </c>
      <c r="M171" s="162"/>
      <c r="N171" s="162"/>
      <c r="O171" s="162"/>
      <c r="P171" s="162"/>
      <c r="Q171" s="162"/>
      <c r="R171" s="162"/>
      <c r="S171" s="162"/>
      <c r="T171" s="162"/>
      <c r="U171" s="163"/>
    </row>
    <row r="172" spans="1:21" ht="14.25" customHeight="1">
      <c r="A172" s="26" t="s">
        <v>775</v>
      </c>
      <c r="B172" s="27">
        <v>50</v>
      </c>
      <c r="C172" s="27">
        <v>51</v>
      </c>
      <c r="D172" s="27">
        <v>52</v>
      </c>
      <c r="E172" s="27">
        <v>20</v>
      </c>
      <c r="F172" s="27">
        <v>45</v>
      </c>
      <c r="G172" s="27">
        <v>20</v>
      </c>
      <c r="H172" s="27">
        <v>45</v>
      </c>
      <c r="I172" s="32" t="s">
        <v>776</v>
      </c>
      <c r="J172" s="27">
        <v>2</v>
      </c>
      <c r="L172" s="28" t="s">
        <v>777</v>
      </c>
      <c r="M172" s="33" t="s">
        <v>778</v>
      </c>
      <c r="N172" s="33" t="s">
        <v>779</v>
      </c>
      <c r="O172" s="33" t="s">
        <v>780</v>
      </c>
      <c r="P172" s="33" t="s">
        <v>781</v>
      </c>
      <c r="Q172" s="33" t="s">
        <v>782</v>
      </c>
      <c r="R172" s="33" t="s">
        <v>783</v>
      </c>
      <c r="S172" s="33" t="s">
        <v>784</v>
      </c>
      <c r="T172" s="14"/>
      <c r="U172" s="14"/>
    </row>
    <row r="173" spans="1:21" ht="14.25" customHeight="1">
      <c r="A173" s="26" t="s">
        <v>785</v>
      </c>
      <c r="B173" s="34">
        <v>47.9</v>
      </c>
      <c r="C173" s="106">
        <v>49.1</v>
      </c>
      <c r="D173" s="106">
        <v>50.7</v>
      </c>
      <c r="E173" s="14"/>
      <c r="F173" s="14"/>
      <c r="G173" s="14"/>
      <c r="H173" s="14"/>
      <c r="I173" s="14"/>
      <c r="J173" s="14"/>
      <c r="L173" s="28" t="s">
        <v>786</v>
      </c>
      <c r="M173" s="33" t="s">
        <v>787</v>
      </c>
      <c r="N173" s="33" t="s">
        <v>788</v>
      </c>
      <c r="O173" s="33" t="s">
        <v>789</v>
      </c>
      <c r="P173" s="33" t="s">
        <v>790</v>
      </c>
      <c r="Q173" s="33" t="s">
        <v>791</v>
      </c>
      <c r="R173" s="33" t="s">
        <v>792</v>
      </c>
      <c r="S173" s="33" t="s">
        <v>793</v>
      </c>
      <c r="T173" s="14"/>
      <c r="U173" s="14"/>
    </row>
    <row r="174" spans="1:21" ht="14.25" customHeight="1">
      <c r="A174" s="161" t="s">
        <v>794</v>
      </c>
      <c r="B174" s="162"/>
      <c r="C174" s="162"/>
      <c r="D174" s="162"/>
      <c r="E174" s="162"/>
      <c r="F174" s="162"/>
      <c r="G174" s="162"/>
      <c r="H174" s="162"/>
      <c r="I174" s="162"/>
      <c r="J174" s="163"/>
      <c r="L174" s="171" t="s">
        <v>795</v>
      </c>
      <c r="M174" s="162"/>
      <c r="N174" s="162"/>
      <c r="O174" s="162"/>
      <c r="P174" s="162"/>
      <c r="Q174" s="162"/>
      <c r="R174" s="162"/>
      <c r="S174" s="162"/>
      <c r="T174" s="162"/>
      <c r="U174" s="163"/>
    </row>
    <row r="175" spans="1:21" ht="14.25" customHeight="1">
      <c r="A175" s="26" t="s">
        <v>796</v>
      </c>
      <c r="B175" s="32" t="s">
        <v>797</v>
      </c>
      <c r="C175" s="32" t="s">
        <v>798</v>
      </c>
      <c r="D175" s="32" t="s">
        <v>799</v>
      </c>
      <c r="E175" s="14"/>
      <c r="F175" s="14"/>
      <c r="G175" s="14"/>
      <c r="H175" s="14"/>
      <c r="I175" s="32" t="s">
        <v>800</v>
      </c>
      <c r="J175" s="14"/>
      <c r="L175" s="28" t="s">
        <v>801</v>
      </c>
      <c r="M175" s="29">
        <v>10</v>
      </c>
      <c r="N175" s="29">
        <v>10</v>
      </c>
      <c r="O175" s="29">
        <v>10</v>
      </c>
      <c r="P175" s="68">
        <v>7.5</v>
      </c>
      <c r="Q175" s="68">
        <v>12.5</v>
      </c>
      <c r="R175" s="68">
        <v>7.5</v>
      </c>
      <c r="S175" s="68">
        <v>12.5</v>
      </c>
      <c r="T175" s="33" t="s">
        <v>802</v>
      </c>
      <c r="U175" s="29">
        <v>1</v>
      </c>
    </row>
    <row r="176" spans="1:21" ht="14.25" customHeight="1">
      <c r="A176" s="26" t="s">
        <v>803</v>
      </c>
      <c r="B176" s="32" t="s">
        <v>804</v>
      </c>
      <c r="C176" s="32" t="s">
        <v>805</v>
      </c>
      <c r="D176" s="32" t="s">
        <v>806</v>
      </c>
      <c r="E176" s="14"/>
      <c r="F176" s="14"/>
      <c r="G176" s="14"/>
      <c r="H176" s="14"/>
      <c r="I176" s="32" t="s">
        <v>807</v>
      </c>
      <c r="J176" s="14"/>
      <c r="L176" s="28" t="s">
        <v>808</v>
      </c>
      <c r="M176" s="29">
        <v>20</v>
      </c>
      <c r="N176" s="29">
        <v>20</v>
      </c>
      <c r="O176" s="29">
        <v>20</v>
      </c>
      <c r="P176" s="68">
        <v>15</v>
      </c>
      <c r="Q176" s="68">
        <v>25</v>
      </c>
      <c r="R176" s="68">
        <v>15</v>
      </c>
      <c r="S176" s="68">
        <v>25</v>
      </c>
      <c r="T176" s="33" t="s">
        <v>809</v>
      </c>
      <c r="U176" s="29">
        <v>1</v>
      </c>
    </row>
    <row r="177" spans="1:26" ht="14.25" customHeight="1">
      <c r="A177" s="26" t="s">
        <v>810</v>
      </c>
      <c r="B177" s="32" t="s">
        <v>811</v>
      </c>
      <c r="C177" s="32" t="s">
        <v>812</v>
      </c>
      <c r="D177" s="32" t="s">
        <v>813</v>
      </c>
      <c r="E177" s="14"/>
      <c r="F177" s="14"/>
      <c r="G177" s="14"/>
      <c r="H177" s="14"/>
      <c r="I177" s="14"/>
      <c r="J177" s="14"/>
      <c r="L177" s="28" t="s">
        <v>814</v>
      </c>
      <c r="M177" s="68">
        <v>0.5</v>
      </c>
      <c r="N177" s="68">
        <v>0.5</v>
      </c>
      <c r="O177" s="68">
        <v>0.5</v>
      </c>
      <c r="P177" s="68">
        <v>0.4</v>
      </c>
      <c r="Q177" s="68">
        <v>0.6</v>
      </c>
      <c r="R177" s="68">
        <v>0.4</v>
      </c>
      <c r="S177" s="68">
        <v>0.6</v>
      </c>
      <c r="T177" s="33" t="s">
        <v>815</v>
      </c>
      <c r="U177" s="29">
        <v>1</v>
      </c>
    </row>
    <row r="178" spans="1:26" ht="14.25" customHeight="1">
      <c r="A178" s="26" t="s">
        <v>816</v>
      </c>
      <c r="B178" s="32" t="s">
        <v>817</v>
      </c>
      <c r="C178" s="32" t="s">
        <v>818</v>
      </c>
      <c r="D178" s="32" t="s">
        <v>819</v>
      </c>
      <c r="E178" s="14"/>
      <c r="F178" s="14"/>
      <c r="G178" s="14"/>
      <c r="H178" s="14"/>
      <c r="I178" s="14"/>
      <c r="J178" s="14"/>
      <c r="L178" s="28" t="s">
        <v>820</v>
      </c>
      <c r="M178" s="29">
        <v>2</v>
      </c>
      <c r="N178" s="29">
        <v>2</v>
      </c>
      <c r="O178" s="29">
        <v>2</v>
      </c>
      <c r="P178" s="68">
        <v>1.5</v>
      </c>
      <c r="Q178" s="68">
        <v>2.5</v>
      </c>
      <c r="R178" s="68">
        <v>1.5</v>
      </c>
      <c r="S178" s="68">
        <v>2.5</v>
      </c>
      <c r="T178" s="33" t="s">
        <v>821</v>
      </c>
      <c r="U178" s="29">
        <v>1</v>
      </c>
    </row>
    <row r="179" spans="1:26" ht="14.25" customHeight="1">
      <c r="A179" s="161" t="s">
        <v>822</v>
      </c>
      <c r="B179" s="162"/>
      <c r="C179" s="162"/>
      <c r="D179" s="162"/>
      <c r="E179" s="162"/>
      <c r="F179" s="162"/>
      <c r="G179" s="162"/>
      <c r="H179" s="162"/>
      <c r="I179" s="162"/>
      <c r="J179" s="163"/>
      <c r="L179" s="171" t="s">
        <v>823</v>
      </c>
      <c r="M179" s="162"/>
      <c r="N179" s="162"/>
      <c r="O179" s="162"/>
      <c r="P179" s="162"/>
      <c r="Q179" s="162"/>
      <c r="R179" s="162"/>
      <c r="S179" s="162"/>
      <c r="T179" s="162"/>
      <c r="U179" s="163"/>
    </row>
    <row r="180" spans="1:26" ht="14.25" customHeight="1">
      <c r="A180" s="26" t="s">
        <v>824</v>
      </c>
      <c r="B180" s="27">
        <v>0</v>
      </c>
      <c r="C180" s="27">
        <v>0</v>
      </c>
      <c r="D180" s="27">
        <v>0</v>
      </c>
      <c r="E180" s="14"/>
      <c r="F180" s="14"/>
      <c r="G180" s="14"/>
      <c r="H180" s="14"/>
      <c r="I180" s="14"/>
      <c r="J180" s="14"/>
      <c r="L180" s="28" t="s">
        <v>825</v>
      </c>
      <c r="M180" s="14"/>
      <c r="N180" s="14"/>
      <c r="O180" s="14"/>
      <c r="P180" s="14"/>
      <c r="Q180" s="14"/>
      <c r="R180" s="14"/>
      <c r="S180" s="14"/>
      <c r="T180" s="14"/>
      <c r="U180" s="14"/>
    </row>
    <row r="181" spans="1:26" ht="14.25" customHeight="1">
      <c r="A181" s="26" t="s">
        <v>826</v>
      </c>
      <c r="B181" s="27">
        <v>0</v>
      </c>
      <c r="C181" s="27">
        <v>0</v>
      </c>
      <c r="D181" s="27">
        <v>0</v>
      </c>
      <c r="E181" s="14"/>
      <c r="F181" s="14"/>
      <c r="G181" s="14"/>
      <c r="H181" s="14"/>
      <c r="I181" s="14"/>
      <c r="J181" s="14"/>
      <c r="L181" s="28" t="s">
        <v>827</v>
      </c>
      <c r="M181" s="14"/>
      <c r="N181" s="14"/>
      <c r="O181" s="14"/>
      <c r="P181" s="14"/>
      <c r="Q181" s="14"/>
      <c r="R181" s="14"/>
      <c r="S181" s="14"/>
      <c r="T181" s="14"/>
      <c r="U181" s="14"/>
    </row>
    <row r="182" spans="1:26" ht="14.25" customHeight="1">
      <c r="A182" s="26" t="s">
        <v>828</v>
      </c>
      <c r="B182" s="27">
        <v>0</v>
      </c>
      <c r="C182" s="27">
        <v>0</v>
      </c>
      <c r="D182" s="27">
        <v>0</v>
      </c>
      <c r="E182" s="14"/>
      <c r="F182" s="14"/>
      <c r="G182" s="14"/>
      <c r="H182" s="14"/>
      <c r="I182" s="14"/>
      <c r="J182" s="14"/>
      <c r="L182" s="28" t="s">
        <v>829</v>
      </c>
      <c r="M182" s="14"/>
      <c r="N182" s="14"/>
      <c r="O182" s="14"/>
      <c r="P182" s="14"/>
      <c r="Q182" s="14"/>
      <c r="R182" s="14"/>
      <c r="S182" s="14"/>
      <c r="T182" s="14"/>
      <c r="U182" s="14"/>
    </row>
    <row r="183" spans="1:26" ht="14.25" customHeight="1">
      <c r="A183" s="26" t="s">
        <v>830</v>
      </c>
      <c r="B183" s="27">
        <v>0</v>
      </c>
      <c r="C183" s="27">
        <v>0</v>
      </c>
      <c r="D183" s="27">
        <v>0</v>
      </c>
      <c r="E183" s="14"/>
      <c r="F183" s="14"/>
      <c r="G183" s="14"/>
      <c r="H183" s="14"/>
      <c r="I183" s="14"/>
      <c r="J183" s="14"/>
      <c r="L183" s="28" t="s">
        <v>831</v>
      </c>
      <c r="M183" s="14"/>
      <c r="N183" s="14"/>
      <c r="O183" s="14"/>
      <c r="P183" s="14"/>
      <c r="Q183" s="14"/>
      <c r="R183" s="14"/>
      <c r="S183" s="14"/>
      <c r="T183" s="14"/>
      <c r="U183" s="14"/>
    </row>
    <row r="184" spans="1:26" ht="14.25" customHeight="1">
      <c r="A184" s="26" t="s">
        <v>832</v>
      </c>
      <c r="B184" s="27">
        <v>0</v>
      </c>
      <c r="C184" s="27">
        <v>0</v>
      </c>
      <c r="D184" s="27">
        <v>0</v>
      </c>
      <c r="E184" s="14"/>
      <c r="F184" s="14"/>
      <c r="G184" s="14"/>
      <c r="H184" s="14"/>
      <c r="I184" s="14"/>
      <c r="J184" s="14"/>
      <c r="L184" s="28" t="s">
        <v>833</v>
      </c>
      <c r="M184" s="14"/>
      <c r="N184" s="14"/>
      <c r="O184" s="14"/>
      <c r="P184" s="14"/>
      <c r="Q184" s="14"/>
      <c r="R184" s="14"/>
      <c r="S184" s="14"/>
      <c r="T184" s="14"/>
      <c r="U184" s="14"/>
    </row>
    <row r="185" spans="1:26" ht="14.25" customHeight="1">
      <c r="A185" s="161" t="s">
        <v>834</v>
      </c>
      <c r="B185" s="162"/>
      <c r="C185" s="162"/>
      <c r="D185" s="162"/>
      <c r="E185" s="162"/>
      <c r="F185" s="162"/>
      <c r="G185" s="162"/>
      <c r="H185" s="162"/>
      <c r="I185" s="162"/>
      <c r="J185" s="163"/>
      <c r="L185" s="171" t="s">
        <v>835</v>
      </c>
      <c r="M185" s="162"/>
      <c r="N185" s="162"/>
      <c r="O185" s="162"/>
      <c r="P185" s="162"/>
      <c r="Q185" s="162"/>
      <c r="R185" s="162"/>
      <c r="S185" s="162"/>
      <c r="T185" s="162"/>
      <c r="U185" s="163"/>
    </row>
    <row r="186" spans="1:26" ht="14.25" customHeight="1">
      <c r="A186" s="35" t="s">
        <v>836</v>
      </c>
      <c r="B186" s="36">
        <v>3.5</v>
      </c>
      <c r="C186" s="38">
        <v>2.98</v>
      </c>
      <c r="D186" s="38">
        <v>2.52</v>
      </c>
      <c r="E186" s="38">
        <v>2.4</v>
      </c>
      <c r="F186" s="36">
        <v>3.7</v>
      </c>
      <c r="G186" s="36">
        <v>1.55</v>
      </c>
      <c r="H186" s="36">
        <v>2.9</v>
      </c>
      <c r="I186" s="39" t="s">
        <v>837</v>
      </c>
      <c r="J186" s="111">
        <v>3</v>
      </c>
      <c r="K186" s="45"/>
      <c r="L186" s="41" t="s">
        <v>838</v>
      </c>
      <c r="M186" s="112">
        <v>6.8</v>
      </c>
      <c r="N186" s="112">
        <v>6.3</v>
      </c>
      <c r="O186" s="112">
        <v>5.6</v>
      </c>
      <c r="P186" s="112">
        <v>5.0999999999999996</v>
      </c>
      <c r="Q186" s="112">
        <v>7</v>
      </c>
      <c r="R186" s="112">
        <v>4.2</v>
      </c>
      <c r="S186" s="112">
        <v>7</v>
      </c>
      <c r="T186" s="44" t="s">
        <v>839</v>
      </c>
      <c r="U186" s="113">
        <v>1</v>
      </c>
      <c r="V186" s="45"/>
      <c r="W186" s="45"/>
      <c r="X186" s="45"/>
      <c r="Y186" s="45"/>
      <c r="Z186" s="45"/>
    </row>
    <row r="187" spans="1:26" ht="14.25" customHeight="1">
      <c r="A187" s="26" t="s">
        <v>840</v>
      </c>
      <c r="B187" s="46">
        <v>0.45</v>
      </c>
      <c r="C187" s="48">
        <v>0.45</v>
      </c>
      <c r="D187" s="48">
        <v>0.45</v>
      </c>
      <c r="E187" s="14"/>
      <c r="F187" s="14"/>
      <c r="G187" s="14"/>
      <c r="H187" s="14"/>
      <c r="I187" s="32" t="s">
        <v>841</v>
      </c>
      <c r="J187" s="27">
        <v>3</v>
      </c>
      <c r="L187" s="28" t="s">
        <v>842</v>
      </c>
      <c r="M187" s="68">
        <v>4</v>
      </c>
      <c r="N187" s="68">
        <v>3.4</v>
      </c>
      <c r="O187" s="68">
        <v>2.8</v>
      </c>
      <c r="P187" s="68">
        <v>3</v>
      </c>
      <c r="Q187" s="68">
        <v>3.5</v>
      </c>
      <c r="R187" s="68">
        <v>2.1</v>
      </c>
      <c r="S187" s="68">
        <v>3.5</v>
      </c>
      <c r="T187" s="14"/>
      <c r="U187" s="29">
        <v>1</v>
      </c>
    </row>
    <row r="188" spans="1:26" ht="14.25" customHeight="1">
      <c r="A188" s="26" t="s">
        <v>843</v>
      </c>
      <c r="B188" s="46">
        <v>0.55000000000000004</v>
      </c>
      <c r="C188" s="48">
        <v>0.55000000000000004</v>
      </c>
      <c r="D188" s="48">
        <v>0.55000000000000004</v>
      </c>
      <c r="E188" s="14"/>
      <c r="F188" s="14"/>
      <c r="G188" s="14"/>
      <c r="H188" s="14"/>
      <c r="I188" s="32" t="s">
        <v>844</v>
      </c>
      <c r="J188" s="27">
        <v>3</v>
      </c>
      <c r="L188" s="28" t="s">
        <v>845</v>
      </c>
      <c r="M188" s="68">
        <v>2.8</v>
      </c>
      <c r="N188" s="68">
        <v>2.9</v>
      </c>
      <c r="O188" s="68">
        <v>2.8</v>
      </c>
      <c r="P188" s="68">
        <v>2.1</v>
      </c>
      <c r="Q188" s="68">
        <v>3.5</v>
      </c>
      <c r="R188" s="68">
        <v>2.1</v>
      </c>
      <c r="S188" s="68">
        <v>3.5</v>
      </c>
      <c r="T188" s="14"/>
      <c r="U188" s="29">
        <v>1</v>
      </c>
    </row>
    <row r="189" spans="1:26" ht="14.25" customHeight="1">
      <c r="A189" s="49" t="s">
        <v>846</v>
      </c>
      <c r="B189" s="50">
        <v>72600</v>
      </c>
      <c r="C189" s="52">
        <v>61700</v>
      </c>
      <c r="D189" s="52">
        <v>52300</v>
      </c>
      <c r="E189" s="52">
        <v>58200</v>
      </c>
      <c r="F189" s="50">
        <v>78200</v>
      </c>
      <c r="G189" s="50">
        <v>38000</v>
      </c>
      <c r="H189" s="50">
        <v>57200</v>
      </c>
      <c r="I189" s="76"/>
      <c r="J189" s="98">
        <v>4</v>
      </c>
      <c r="L189" s="54" t="s">
        <v>847</v>
      </c>
      <c r="M189" s="56">
        <v>243700</v>
      </c>
      <c r="N189" s="55">
        <v>224800</v>
      </c>
      <c r="O189" s="55">
        <v>193500</v>
      </c>
      <c r="P189" s="55">
        <v>195000</v>
      </c>
      <c r="Q189" s="55">
        <v>304600</v>
      </c>
      <c r="R189" s="57">
        <v>154800</v>
      </c>
      <c r="S189" s="55">
        <v>241900</v>
      </c>
      <c r="T189" s="58" t="s">
        <v>848</v>
      </c>
      <c r="U189" s="75">
        <v>1</v>
      </c>
    </row>
    <row r="190" spans="1:26" ht="14.25" customHeight="1">
      <c r="A190" s="49" t="s">
        <v>849</v>
      </c>
      <c r="B190" s="114">
        <v>5.5</v>
      </c>
      <c r="C190" s="114">
        <v>4.8</v>
      </c>
      <c r="D190" s="115">
        <v>3.9</v>
      </c>
      <c r="E190" s="114">
        <v>3.4</v>
      </c>
      <c r="F190" s="114">
        <v>5.8</v>
      </c>
      <c r="G190" s="114">
        <v>2.7</v>
      </c>
      <c r="H190" s="114">
        <v>4.3</v>
      </c>
      <c r="I190" s="76"/>
      <c r="J190" s="98">
        <v>4</v>
      </c>
      <c r="L190" s="54" t="s">
        <v>850</v>
      </c>
      <c r="M190" s="116">
        <v>24.1</v>
      </c>
      <c r="N190" s="117">
        <v>23.4</v>
      </c>
      <c r="O190" s="117">
        <v>22.6</v>
      </c>
      <c r="P190" s="117">
        <v>18.100000000000001</v>
      </c>
      <c r="Q190" s="117">
        <v>30.2</v>
      </c>
      <c r="R190" s="117">
        <v>16.899999999999999</v>
      </c>
      <c r="S190" s="117">
        <v>28.2</v>
      </c>
      <c r="T190" s="58" t="s">
        <v>851</v>
      </c>
      <c r="U190" s="75">
        <v>1</v>
      </c>
    </row>
    <row r="191" spans="1:26" ht="14.25" customHeight="1">
      <c r="A191" s="26" t="s">
        <v>852</v>
      </c>
      <c r="B191" s="27">
        <v>0</v>
      </c>
      <c r="C191" s="27">
        <v>0</v>
      </c>
      <c r="D191" s="27">
        <v>0</v>
      </c>
      <c r="E191" s="14"/>
      <c r="F191" s="14"/>
      <c r="G191" s="14"/>
      <c r="H191" s="14"/>
      <c r="I191" s="14"/>
      <c r="J191" s="14"/>
      <c r="L191" s="28" t="s">
        <v>853</v>
      </c>
      <c r="M191" s="14"/>
      <c r="N191" s="14"/>
      <c r="O191" s="14"/>
      <c r="P191" s="14"/>
      <c r="Q191" s="14"/>
      <c r="R191" s="14"/>
      <c r="S191" s="14"/>
      <c r="T191" s="14"/>
      <c r="U191" s="14"/>
    </row>
    <row r="192" spans="1:26" ht="14.25" customHeight="1">
      <c r="L192" s="171" t="s">
        <v>854</v>
      </c>
      <c r="M192" s="162"/>
      <c r="N192" s="162"/>
      <c r="O192" s="162"/>
      <c r="P192" s="162"/>
      <c r="Q192" s="162"/>
      <c r="R192" s="162"/>
      <c r="S192" s="162"/>
      <c r="T192" s="162"/>
      <c r="U192" s="163"/>
    </row>
    <row r="193" spans="1:21" ht="14.25" customHeight="1">
      <c r="L193" s="28" t="s">
        <v>855</v>
      </c>
      <c r="M193" s="118">
        <v>27.7</v>
      </c>
      <c r="N193" s="68">
        <v>27.7</v>
      </c>
      <c r="O193" s="68">
        <v>27.7</v>
      </c>
      <c r="P193" s="14"/>
      <c r="Q193" s="14"/>
      <c r="R193" s="14"/>
      <c r="S193" s="14"/>
      <c r="T193" s="33" t="s">
        <v>856</v>
      </c>
      <c r="U193" s="14"/>
    </row>
    <row r="194" spans="1:21" ht="14.25" customHeight="1">
      <c r="L194" s="14"/>
      <c r="M194" s="14"/>
      <c r="N194" s="14"/>
      <c r="O194" s="14"/>
      <c r="P194" s="14"/>
      <c r="Q194" s="14"/>
      <c r="R194" s="14"/>
      <c r="S194" s="14"/>
      <c r="T194" s="14"/>
      <c r="U194" s="14"/>
    </row>
    <row r="195" spans="1:21" ht="14.25" customHeight="1"/>
    <row r="196" spans="1:21" ht="14.25" customHeight="1"/>
    <row r="197" spans="1:21" ht="14.25" customHeight="1">
      <c r="A197" s="9" t="s">
        <v>857</v>
      </c>
      <c r="L197" s="9" t="s">
        <v>858</v>
      </c>
    </row>
    <row r="198" spans="1:21" ht="14.25" customHeight="1">
      <c r="A198" s="13" t="s">
        <v>859</v>
      </c>
      <c r="B198" s="161" t="s">
        <v>860</v>
      </c>
      <c r="C198" s="162"/>
      <c r="D198" s="162"/>
      <c r="E198" s="162"/>
      <c r="F198" s="162"/>
      <c r="G198" s="162"/>
      <c r="H198" s="162"/>
      <c r="I198" s="162"/>
      <c r="J198" s="163"/>
      <c r="L198" s="13" t="s">
        <v>861</v>
      </c>
      <c r="M198" s="167" t="s">
        <v>862</v>
      </c>
      <c r="N198" s="162"/>
      <c r="O198" s="162"/>
      <c r="P198" s="162"/>
      <c r="Q198" s="162"/>
      <c r="R198" s="162"/>
      <c r="S198" s="162"/>
      <c r="T198" s="162"/>
      <c r="U198" s="163"/>
    </row>
    <row r="199" spans="1:21" ht="14.25" customHeight="1">
      <c r="A199" s="67"/>
      <c r="B199" s="17">
        <v>2020</v>
      </c>
      <c r="C199" s="17">
        <v>2030</v>
      </c>
      <c r="D199" s="17">
        <v>2050</v>
      </c>
      <c r="E199" s="161" t="s">
        <v>863</v>
      </c>
      <c r="F199" s="163"/>
      <c r="G199" s="161" t="s">
        <v>864</v>
      </c>
      <c r="H199" s="163"/>
      <c r="I199" s="87" t="s">
        <v>865</v>
      </c>
      <c r="J199" s="20" t="s">
        <v>866</v>
      </c>
      <c r="L199" s="14"/>
      <c r="M199" s="17">
        <v>2020</v>
      </c>
      <c r="N199" s="17">
        <v>2030</v>
      </c>
      <c r="O199" s="18">
        <v>2050</v>
      </c>
      <c r="P199" s="161" t="s">
        <v>867</v>
      </c>
      <c r="Q199" s="163"/>
      <c r="R199" s="161" t="s">
        <v>868</v>
      </c>
      <c r="S199" s="163"/>
      <c r="T199" s="20" t="s">
        <v>869</v>
      </c>
      <c r="U199" s="13" t="s">
        <v>870</v>
      </c>
    </row>
    <row r="200" spans="1:21" ht="14.25" customHeight="1">
      <c r="A200" s="19" t="s">
        <v>871</v>
      </c>
      <c r="B200" s="21"/>
      <c r="C200" s="21"/>
      <c r="D200" s="21"/>
      <c r="E200" s="88" t="s">
        <v>872</v>
      </c>
      <c r="F200" s="66" t="s">
        <v>873</v>
      </c>
      <c r="G200" s="66" t="s">
        <v>874</v>
      </c>
      <c r="H200" s="66" t="s">
        <v>875</v>
      </c>
      <c r="I200" s="21"/>
      <c r="J200" s="25"/>
      <c r="L200" s="19" t="s">
        <v>876</v>
      </c>
      <c r="M200" s="21"/>
      <c r="N200" s="21"/>
      <c r="O200" s="21"/>
      <c r="P200" s="66" t="s">
        <v>877</v>
      </c>
      <c r="Q200" s="88" t="s">
        <v>878</v>
      </c>
      <c r="R200" s="88" t="s">
        <v>879</v>
      </c>
      <c r="S200" s="66" t="s">
        <v>880</v>
      </c>
      <c r="T200" s="21"/>
      <c r="U200" s="25"/>
    </row>
    <row r="201" spans="1:21" ht="14.25" customHeight="1">
      <c r="A201" s="26" t="s">
        <v>881</v>
      </c>
      <c r="B201" s="27">
        <v>25</v>
      </c>
      <c r="C201" s="27">
        <v>25</v>
      </c>
      <c r="D201" s="27">
        <v>25</v>
      </c>
      <c r="E201" s="27">
        <v>1</v>
      </c>
      <c r="F201" s="27">
        <v>50</v>
      </c>
      <c r="G201" s="27">
        <v>1</v>
      </c>
      <c r="H201" s="27">
        <v>50</v>
      </c>
      <c r="I201" s="14"/>
      <c r="J201" s="32" t="s">
        <v>882</v>
      </c>
      <c r="L201" s="26" t="s">
        <v>883</v>
      </c>
      <c r="M201" s="27">
        <v>600</v>
      </c>
      <c r="N201" s="27">
        <v>600</v>
      </c>
      <c r="O201" s="27">
        <v>600</v>
      </c>
      <c r="P201" s="27">
        <v>200</v>
      </c>
      <c r="Q201" s="27">
        <v>800</v>
      </c>
      <c r="R201" s="90">
        <v>200</v>
      </c>
      <c r="S201" s="27">
        <v>800</v>
      </c>
      <c r="T201" s="14"/>
      <c r="U201" s="27">
        <v>1</v>
      </c>
    </row>
    <row r="202" spans="1:21" ht="14.25" customHeight="1">
      <c r="A202" s="26" t="s">
        <v>884</v>
      </c>
      <c r="B202" s="27">
        <v>25</v>
      </c>
      <c r="C202" s="27">
        <v>25</v>
      </c>
      <c r="D202" s="27">
        <v>25</v>
      </c>
      <c r="E202" s="27">
        <v>1</v>
      </c>
      <c r="F202" s="27">
        <v>50</v>
      </c>
      <c r="G202" s="27">
        <v>1</v>
      </c>
      <c r="H202" s="27">
        <v>50</v>
      </c>
      <c r="I202" s="67"/>
      <c r="J202" s="32" t="s">
        <v>885</v>
      </c>
      <c r="L202" s="26" t="s">
        <v>886</v>
      </c>
      <c r="M202" s="27">
        <v>600</v>
      </c>
      <c r="N202" s="27">
        <v>600</v>
      </c>
      <c r="O202" s="27">
        <v>600</v>
      </c>
      <c r="P202" s="27">
        <v>200</v>
      </c>
      <c r="Q202" s="27">
        <v>800</v>
      </c>
      <c r="R202" s="90">
        <v>200</v>
      </c>
      <c r="S202" s="27">
        <v>800</v>
      </c>
      <c r="T202" s="67"/>
      <c r="U202" s="27">
        <v>1</v>
      </c>
    </row>
    <row r="203" spans="1:21" ht="14.25" customHeight="1">
      <c r="A203" s="26" t="s">
        <v>887</v>
      </c>
      <c r="B203" s="27">
        <v>32</v>
      </c>
      <c r="C203" s="27">
        <v>32</v>
      </c>
      <c r="D203" s="27">
        <v>32</v>
      </c>
      <c r="E203" s="27">
        <v>25</v>
      </c>
      <c r="F203" s="27">
        <v>35</v>
      </c>
      <c r="G203" s="27">
        <v>25</v>
      </c>
      <c r="H203" s="27">
        <v>35</v>
      </c>
      <c r="I203" s="14"/>
      <c r="J203" s="32" t="s">
        <v>888</v>
      </c>
      <c r="L203" s="26" t="s">
        <v>889</v>
      </c>
      <c r="M203" s="27">
        <v>57</v>
      </c>
      <c r="N203" s="27">
        <v>60</v>
      </c>
      <c r="O203" s="27">
        <v>61</v>
      </c>
      <c r="P203" s="27">
        <v>45</v>
      </c>
      <c r="Q203" s="27">
        <v>62</v>
      </c>
      <c r="R203" s="27">
        <v>55</v>
      </c>
      <c r="S203" s="27">
        <v>65</v>
      </c>
      <c r="T203" s="67"/>
      <c r="U203" s="96" t="s">
        <v>890</v>
      </c>
    </row>
    <row r="204" spans="1:21" ht="14.25" customHeight="1">
      <c r="A204" s="26" t="s">
        <v>891</v>
      </c>
      <c r="B204" s="27">
        <v>31</v>
      </c>
      <c r="C204" s="27">
        <v>31</v>
      </c>
      <c r="D204" s="27">
        <v>31</v>
      </c>
      <c r="E204" s="27">
        <v>25</v>
      </c>
      <c r="F204" s="27">
        <v>35</v>
      </c>
      <c r="G204" s="27">
        <v>25</v>
      </c>
      <c r="H204" s="27">
        <v>35</v>
      </c>
      <c r="I204" s="14"/>
      <c r="J204" s="32" t="s">
        <v>892</v>
      </c>
      <c r="L204" s="26" t="s">
        <v>893</v>
      </c>
      <c r="M204" s="27">
        <v>56</v>
      </c>
      <c r="N204" s="27">
        <v>59</v>
      </c>
      <c r="O204" s="27">
        <v>60</v>
      </c>
      <c r="P204" s="27">
        <v>39</v>
      </c>
      <c r="Q204" s="27">
        <v>61</v>
      </c>
      <c r="R204" s="27">
        <v>54</v>
      </c>
      <c r="S204" s="27">
        <v>64</v>
      </c>
      <c r="T204" s="67"/>
      <c r="U204" s="67"/>
    </row>
    <row r="205" spans="1:21" ht="14.25" customHeight="1">
      <c r="A205" s="26" t="s">
        <v>894</v>
      </c>
      <c r="B205" s="27">
        <v>7</v>
      </c>
      <c r="C205" s="27">
        <v>7</v>
      </c>
      <c r="D205" s="27">
        <v>7</v>
      </c>
      <c r="E205" s="27">
        <v>5</v>
      </c>
      <c r="F205" s="27">
        <v>9</v>
      </c>
      <c r="G205" s="27">
        <v>5</v>
      </c>
      <c r="H205" s="27">
        <v>9</v>
      </c>
      <c r="I205" s="96" t="s">
        <v>895</v>
      </c>
      <c r="J205" s="27">
        <v>1</v>
      </c>
      <c r="L205" s="26" t="s">
        <v>896</v>
      </c>
      <c r="M205" s="27">
        <v>5</v>
      </c>
      <c r="N205" s="27">
        <v>5</v>
      </c>
      <c r="O205" s="27">
        <v>5</v>
      </c>
      <c r="P205" s="27">
        <v>3</v>
      </c>
      <c r="Q205" s="27">
        <v>10</v>
      </c>
      <c r="R205" s="27">
        <v>3</v>
      </c>
      <c r="S205" s="27">
        <v>10</v>
      </c>
      <c r="T205" s="14"/>
      <c r="U205" s="27">
        <v>1</v>
      </c>
    </row>
    <row r="206" spans="1:21" ht="14.25" customHeight="1">
      <c r="A206" s="26" t="s">
        <v>897</v>
      </c>
      <c r="B206" s="27">
        <v>6</v>
      </c>
      <c r="C206" s="27">
        <v>6</v>
      </c>
      <c r="D206" s="27">
        <v>6</v>
      </c>
      <c r="E206" s="27">
        <v>5</v>
      </c>
      <c r="F206" s="27">
        <v>8</v>
      </c>
      <c r="G206" s="27">
        <v>5</v>
      </c>
      <c r="H206" s="27">
        <v>8</v>
      </c>
      <c r="I206" s="96" t="s">
        <v>898</v>
      </c>
      <c r="J206" s="27">
        <v>1</v>
      </c>
      <c r="L206" s="26" t="s">
        <v>899</v>
      </c>
      <c r="M206" s="27">
        <v>5</v>
      </c>
      <c r="N206" s="27">
        <v>5</v>
      </c>
      <c r="O206" s="27">
        <v>5</v>
      </c>
      <c r="P206" s="27">
        <v>3</v>
      </c>
      <c r="Q206" s="27">
        <v>8</v>
      </c>
      <c r="R206" s="27">
        <v>3</v>
      </c>
      <c r="S206" s="27">
        <v>8</v>
      </c>
      <c r="T206" s="14"/>
      <c r="U206" s="27">
        <v>1</v>
      </c>
    </row>
    <row r="207" spans="1:21" ht="14.25" customHeight="1">
      <c r="A207" s="26" t="s">
        <v>900</v>
      </c>
      <c r="B207" s="27">
        <v>25</v>
      </c>
      <c r="C207" s="27">
        <v>25</v>
      </c>
      <c r="D207" s="27">
        <v>25</v>
      </c>
      <c r="E207" s="27">
        <v>19</v>
      </c>
      <c r="F207" s="27">
        <v>31</v>
      </c>
      <c r="G207" s="27">
        <v>19</v>
      </c>
      <c r="H207" s="27">
        <v>31</v>
      </c>
      <c r="I207" s="96" t="s">
        <v>901</v>
      </c>
      <c r="J207" s="32" t="s">
        <v>902</v>
      </c>
      <c r="L207" s="26" t="s">
        <v>903</v>
      </c>
      <c r="M207" s="27">
        <v>25</v>
      </c>
      <c r="N207" s="27">
        <v>25</v>
      </c>
      <c r="O207" s="27">
        <v>25</v>
      </c>
      <c r="P207" s="27">
        <v>20</v>
      </c>
      <c r="Q207" s="27">
        <v>30</v>
      </c>
      <c r="R207" s="27">
        <v>20</v>
      </c>
      <c r="S207" s="27">
        <v>30</v>
      </c>
      <c r="T207" s="14"/>
      <c r="U207" s="27">
        <v>1</v>
      </c>
    </row>
    <row r="208" spans="1:21" ht="14.25" customHeight="1">
      <c r="A208" s="26" t="s">
        <v>904</v>
      </c>
      <c r="B208" s="27">
        <v>2</v>
      </c>
      <c r="C208" s="27">
        <v>2</v>
      </c>
      <c r="D208" s="27">
        <v>2</v>
      </c>
      <c r="E208" s="27">
        <v>2</v>
      </c>
      <c r="F208" s="27">
        <v>3</v>
      </c>
      <c r="G208" s="27">
        <v>2</v>
      </c>
      <c r="H208" s="27">
        <v>3</v>
      </c>
      <c r="I208" s="96" t="s">
        <v>905</v>
      </c>
      <c r="J208" s="27">
        <v>10</v>
      </c>
      <c r="L208" s="26" t="s">
        <v>906</v>
      </c>
      <c r="M208" s="34">
        <v>2.5</v>
      </c>
      <c r="N208" s="34">
        <v>2.5</v>
      </c>
      <c r="O208" s="34">
        <v>2.5</v>
      </c>
      <c r="P208" s="27">
        <v>2</v>
      </c>
      <c r="Q208" s="27">
        <v>3</v>
      </c>
      <c r="R208" s="27">
        <v>2</v>
      </c>
      <c r="S208" s="27">
        <v>3</v>
      </c>
      <c r="T208" s="14"/>
      <c r="U208" s="27">
        <v>1</v>
      </c>
    </row>
    <row r="209" spans="1:21" ht="14.25" customHeight="1">
      <c r="A209" s="26" t="s">
        <v>907</v>
      </c>
      <c r="B209" s="27">
        <v>35</v>
      </c>
      <c r="C209" s="27">
        <v>35</v>
      </c>
      <c r="D209" s="27">
        <v>35</v>
      </c>
      <c r="E209" s="27">
        <v>26</v>
      </c>
      <c r="F209" s="27">
        <v>44</v>
      </c>
      <c r="G209" s="27">
        <v>26</v>
      </c>
      <c r="H209" s="27">
        <v>44</v>
      </c>
      <c r="I209" s="96" t="s">
        <v>908</v>
      </c>
      <c r="J209" s="32" t="s">
        <v>909</v>
      </c>
      <c r="L209" s="26" t="s">
        <v>910</v>
      </c>
      <c r="M209" s="32" t="s">
        <v>911</v>
      </c>
      <c r="N209" s="32" t="s">
        <v>912</v>
      </c>
      <c r="O209" s="32" t="s">
        <v>913</v>
      </c>
      <c r="P209" s="32" t="s">
        <v>914</v>
      </c>
      <c r="Q209" s="32" t="s">
        <v>915</v>
      </c>
      <c r="R209" s="32" t="s">
        <v>916</v>
      </c>
      <c r="S209" s="32" t="s">
        <v>917</v>
      </c>
      <c r="T209" s="14"/>
      <c r="U209" s="14"/>
    </row>
    <row r="210" spans="1:21" ht="14.25" customHeight="1">
      <c r="A210" s="164" t="s">
        <v>918</v>
      </c>
      <c r="B210" s="162"/>
      <c r="C210" s="162"/>
      <c r="D210" s="162"/>
      <c r="E210" s="162"/>
      <c r="F210" s="162"/>
      <c r="G210" s="162"/>
      <c r="H210" s="162"/>
      <c r="I210" s="162"/>
      <c r="J210" s="163"/>
      <c r="L210" s="164" t="s">
        <v>919</v>
      </c>
      <c r="M210" s="162"/>
      <c r="N210" s="162"/>
      <c r="O210" s="162"/>
      <c r="P210" s="162"/>
      <c r="Q210" s="162"/>
      <c r="R210" s="162"/>
      <c r="S210" s="162"/>
      <c r="T210" s="162"/>
      <c r="U210" s="163"/>
    </row>
    <row r="211" spans="1:21" ht="14.25" customHeight="1">
      <c r="A211" s="26" t="s">
        <v>920</v>
      </c>
      <c r="B211" s="32" t="s">
        <v>921</v>
      </c>
      <c r="C211" s="32" t="s">
        <v>922</v>
      </c>
      <c r="D211" s="32" t="s">
        <v>923</v>
      </c>
      <c r="E211" s="32" t="s">
        <v>924</v>
      </c>
      <c r="F211" s="32" t="s">
        <v>925</v>
      </c>
      <c r="G211" s="32" t="s">
        <v>926</v>
      </c>
      <c r="H211" s="32" t="s">
        <v>927</v>
      </c>
      <c r="I211" s="14"/>
      <c r="J211" s="14"/>
      <c r="L211" s="26" t="s">
        <v>928</v>
      </c>
      <c r="M211" s="32" t="s">
        <v>929</v>
      </c>
      <c r="N211" s="32" t="s">
        <v>930</v>
      </c>
      <c r="O211" s="32" t="s">
        <v>931</v>
      </c>
      <c r="P211" s="32" t="s">
        <v>932</v>
      </c>
      <c r="Q211" s="32" t="s">
        <v>933</v>
      </c>
      <c r="R211" s="32" t="s">
        <v>934</v>
      </c>
      <c r="S211" s="32" t="s">
        <v>935</v>
      </c>
      <c r="T211" s="14"/>
      <c r="U211" s="14"/>
    </row>
    <row r="212" spans="1:21" ht="14.25" customHeight="1">
      <c r="A212" s="26" t="s">
        <v>936</v>
      </c>
      <c r="B212" s="32" t="s">
        <v>937</v>
      </c>
      <c r="C212" s="32" t="s">
        <v>938</v>
      </c>
      <c r="D212" s="32" t="s">
        <v>939</v>
      </c>
      <c r="E212" s="32" t="s">
        <v>940</v>
      </c>
      <c r="F212" s="32" t="s">
        <v>941</v>
      </c>
      <c r="G212" s="32" t="s">
        <v>942</v>
      </c>
      <c r="H212" s="32" t="s">
        <v>943</v>
      </c>
      <c r="I212" s="14"/>
      <c r="J212" s="14"/>
      <c r="L212" s="26" t="s">
        <v>944</v>
      </c>
      <c r="M212" s="32" t="s">
        <v>945</v>
      </c>
      <c r="N212" s="32" t="s">
        <v>946</v>
      </c>
      <c r="O212" s="32" t="s">
        <v>947</v>
      </c>
      <c r="P212" s="32" t="s">
        <v>948</v>
      </c>
      <c r="Q212" s="32" t="s">
        <v>949</v>
      </c>
      <c r="R212" s="32" t="s">
        <v>950</v>
      </c>
      <c r="S212" s="32" t="s">
        <v>951</v>
      </c>
      <c r="T212" s="14"/>
      <c r="U212" s="14"/>
    </row>
    <row r="213" spans="1:21" ht="14.25" customHeight="1">
      <c r="A213" s="161" t="s">
        <v>952</v>
      </c>
      <c r="B213" s="162"/>
      <c r="C213" s="162"/>
      <c r="D213" s="162"/>
      <c r="E213" s="162"/>
      <c r="F213" s="162"/>
      <c r="G213" s="162"/>
      <c r="H213" s="162"/>
      <c r="I213" s="162"/>
      <c r="J213" s="163"/>
      <c r="L213" s="161" t="s">
        <v>953</v>
      </c>
      <c r="M213" s="162"/>
      <c r="N213" s="162"/>
      <c r="O213" s="162"/>
      <c r="P213" s="162"/>
      <c r="Q213" s="162"/>
      <c r="R213" s="162"/>
      <c r="S213" s="162"/>
      <c r="T213" s="162"/>
      <c r="U213" s="163"/>
    </row>
    <row r="214" spans="1:21" ht="14.25" customHeight="1">
      <c r="A214" s="26" t="s">
        <v>954</v>
      </c>
      <c r="B214" s="27">
        <v>10</v>
      </c>
      <c r="C214" s="27">
        <v>10</v>
      </c>
      <c r="D214" s="27">
        <v>10</v>
      </c>
      <c r="E214" s="14"/>
      <c r="F214" s="14"/>
      <c r="G214" s="14"/>
      <c r="H214" s="14"/>
      <c r="I214" s="14"/>
      <c r="J214" s="27">
        <v>3</v>
      </c>
      <c r="L214" s="26" t="s">
        <v>955</v>
      </c>
      <c r="M214" s="27">
        <v>20</v>
      </c>
      <c r="N214" s="27">
        <v>20</v>
      </c>
      <c r="O214" s="27">
        <v>20</v>
      </c>
      <c r="P214" s="27">
        <v>10</v>
      </c>
      <c r="Q214" s="27">
        <v>30</v>
      </c>
      <c r="R214" s="27">
        <v>10</v>
      </c>
      <c r="S214" s="27">
        <v>30</v>
      </c>
      <c r="T214" s="32" t="s">
        <v>956</v>
      </c>
      <c r="U214" s="26" t="s">
        <v>957</v>
      </c>
    </row>
    <row r="215" spans="1:21" ht="14.25" customHeight="1">
      <c r="A215" s="26" t="s">
        <v>958</v>
      </c>
      <c r="B215" s="27">
        <v>30</v>
      </c>
      <c r="C215" s="27">
        <v>30</v>
      </c>
      <c r="D215" s="27">
        <v>30</v>
      </c>
      <c r="E215" s="14"/>
      <c r="F215" s="14"/>
      <c r="G215" s="14"/>
      <c r="H215" s="14"/>
      <c r="I215" s="14"/>
      <c r="J215" s="27">
        <v>3</v>
      </c>
      <c r="L215" s="26" t="s">
        <v>959</v>
      </c>
      <c r="M215" s="27">
        <v>45</v>
      </c>
      <c r="N215" s="27">
        <v>30</v>
      </c>
      <c r="O215" s="27">
        <v>15</v>
      </c>
      <c r="P215" s="27">
        <v>30</v>
      </c>
      <c r="Q215" s="27">
        <v>50</v>
      </c>
      <c r="R215" s="27">
        <v>10</v>
      </c>
      <c r="S215" s="27">
        <v>40</v>
      </c>
      <c r="T215" s="32" t="s">
        <v>960</v>
      </c>
      <c r="U215" s="27">
        <v>5</v>
      </c>
    </row>
    <row r="216" spans="1:21" ht="14.25" customHeight="1">
      <c r="A216" s="26" t="s">
        <v>961</v>
      </c>
      <c r="B216" s="34">
        <v>0.5</v>
      </c>
      <c r="C216" s="34">
        <v>0.5</v>
      </c>
      <c r="D216" s="34">
        <v>0.5</v>
      </c>
      <c r="E216" s="14"/>
      <c r="F216" s="14"/>
      <c r="G216" s="14"/>
      <c r="H216" s="14"/>
      <c r="I216" s="14"/>
      <c r="J216" s="27">
        <v>3</v>
      </c>
      <c r="L216" s="26" t="s">
        <v>962</v>
      </c>
      <c r="M216" s="27">
        <v>2</v>
      </c>
      <c r="N216" s="27">
        <v>1</v>
      </c>
      <c r="O216" s="27">
        <v>1</v>
      </c>
      <c r="P216" s="27">
        <v>1</v>
      </c>
      <c r="Q216" s="27">
        <v>3</v>
      </c>
      <c r="R216" s="34">
        <v>0.5</v>
      </c>
      <c r="S216" s="27">
        <v>2</v>
      </c>
      <c r="T216" s="32" t="s">
        <v>963</v>
      </c>
      <c r="U216" s="26" t="s">
        <v>964</v>
      </c>
    </row>
    <row r="217" spans="1:21" ht="14.25" customHeight="1">
      <c r="A217" s="26" t="s">
        <v>965</v>
      </c>
      <c r="B217" s="27">
        <v>10</v>
      </c>
      <c r="C217" s="27">
        <v>10</v>
      </c>
      <c r="D217" s="27">
        <v>10</v>
      </c>
      <c r="E217" s="14"/>
      <c r="F217" s="14"/>
      <c r="G217" s="14"/>
      <c r="H217" s="14"/>
      <c r="I217" s="14"/>
      <c r="J217" s="27">
        <v>3</v>
      </c>
      <c r="L217" s="26" t="s">
        <v>966</v>
      </c>
      <c r="M217" s="27">
        <v>4</v>
      </c>
      <c r="N217" s="27">
        <v>4</v>
      </c>
      <c r="O217" s="27">
        <v>4</v>
      </c>
      <c r="P217" s="27">
        <v>2</v>
      </c>
      <c r="Q217" s="27">
        <v>5</v>
      </c>
      <c r="R217" s="27">
        <v>2</v>
      </c>
      <c r="S217" s="168">
        <v>5</v>
      </c>
      <c r="T217" s="163"/>
      <c r="U217" s="26" t="s">
        <v>967</v>
      </c>
    </row>
    <row r="218" spans="1:21" ht="14.25" customHeight="1">
      <c r="A218" s="161" t="s">
        <v>968</v>
      </c>
      <c r="B218" s="162"/>
      <c r="C218" s="162"/>
      <c r="D218" s="162"/>
      <c r="E218" s="162"/>
      <c r="F218" s="162"/>
      <c r="G218" s="162"/>
      <c r="H218" s="162"/>
      <c r="I218" s="162"/>
      <c r="J218" s="163"/>
      <c r="L218" s="161" t="s">
        <v>969</v>
      </c>
      <c r="M218" s="162"/>
      <c r="N218" s="162"/>
      <c r="O218" s="162"/>
      <c r="P218" s="162"/>
      <c r="Q218" s="162"/>
      <c r="R218" s="162"/>
      <c r="S218" s="162"/>
      <c r="T218" s="162"/>
      <c r="U218" s="163"/>
    </row>
    <row r="219" spans="1:21" ht="14.25" customHeight="1">
      <c r="A219" s="26" t="s">
        <v>970</v>
      </c>
      <c r="B219" s="34">
        <v>12.5</v>
      </c>
      <c r="C219" s="34">
        <v>12.5</v>
      </c>
      <c r="D219" s="34">
        <v>12.5</v>
      </c>
      <c r="E219" s="14"/>
      <c r="F219" s="14"/>
      <c r="G219" s="14"/>
      <c r="H219" s="14"/>
      <c r="I219" s="14"/>
      <c r="J219" s="27">
        <v>3</v>
      </c>
      <c r="L219" s="26" t="s">
        <v>971</v>
      </c>
      <c r="M219" s="27">
        <v>30</v>
      </c>
      <c r="N219" s="27">
        <v>30</v>
      </c>
      <c r="O219" s="27">
        <v>30</v>
      </c>
      <c r="P219" s="14"/>
      <c r="Q219" s="14"/>
      <c r="R219" s="14"/>
      <c r="S219" s="14"/>
      <c r="T219" s="14"/>
      <c r="U219" s="14"/>
    </row>
    <row r="220" spans="1:21" ht="14.25" customHeight="1">
      <c r="A220" s="26" t="s">
        <v>972</v>
      </c>
      <c r="B220" s="34">
        <v>0</v>
      </c>
      <c r="C220" s="34">
        <v>0</v>
      </c>
      <c r="D220" s="34">
        <v>0</v>
      </c>
      <c r="E220" s="14"/>
      <c r="F220" s="14"/>
      <c r="G220" s="14"/>
      <c r="H220" s="14"/>
      <c r="I220" s="14"/>
      <c r="J220" s="27">
        <v>3</v>
      </c>
      <c r="L220" s="26" t="s">
        <v>973</v>
      </c>
      <c r="M220" s="32" t="s">
        <v>974</v>
      </c>
      <c r="N220" s="32" t="s">
        <v>975</v>
      </c>
      <c r="O220" s="32" t="s">
        <v>976</v>
      </c>
      <c r="P220" s="32" t="s">
        <v>977</v>
      </c>
      <c r="Q220" s="32" t="s">
        <v>978</v>
      </c>
      <c r="R220" s="32" t="s">
        <v>979</v>
      </c>
      <c r="S220" s="32" t="s">
        <v>980</v>
      </c>
      <c r="T220" s="32" t="s">
        <v>981</v>
      </c>
      <c r="U220" s="14"/>
    </row>
    <row r="221" spans="1:21" ht="14.25" customHeight="1">
      <c r="A221" s="26" t="s">
        <v>982</v>
      </c>
      <c r="B221" s="27">
        <v>125</v>
      </c>
      <c r="C221" s="27">
        <v>125</v>
      </c>
      <c r="D221" s="27">
        <v>125</v>
      </c>
      <c r="E221" s="14"/>
      <c r="F221" s="14"/>
      <c r="G221" s="14"/>
      <c r="H221" s="14"/>
      <c r="I221" s="14"/>
      <c r="J221" s="27">
        <v>3</v>
      </c>
      <c r="L221" s="26" t="s">
        <v>983</v>
      </c>
      <c r="M221" s="27">
        <v>86</v>
      </c>
      <c r="N221" s="27">
        <v>60</v>
      </c>
      <c r="O221" s="27">
        <v>20</v>
      </c>
      <c r="P221" s="27">
        <v>20</v>
      </c>
      <c r="Q221" s="27">
        <v>86</v>
      </c>
      <c r="R221" s="27">
        <v>20</v>
      </c>
      <c r="S221" s="27">
        <v>86</v>
      </c>
      <c r="T221" s="32" t="s">
        <v>984</v>
      </c>
      <c r="U221" s="26" t="s">
        <v>985</v>
      </c>
    </row>
    <row r="222" spans="1:21" ht="14.25" customHeight="1">
      <c r="A222" s="26" t="s">
        <v>986</v>
      </c>
      <c r="B222" s="34">
        <v>0.9</v>
      </c>
      <c r="C222" s="34">
        <v>0.9</v>
      </c>
      <c r="D222" s="34">
        <v>0.9</v>
      </c>
      <c r="E222" s="14"/>
      <c r="F222" s="14"/>
      <c r="G222" s="14"/>
      <c r="H222" s="14"/>
      <c r="I222" s="14"/>
      <c r="J222" s="27">
        <v>3</v>
      </c>
      <c r="L222" s="26" t="s">
        <v>987</v>
      </c>
      <c r="M222" s="32" t="s">
        <v>988</v>
      </c>
      <c r="N222" s="32" t="s">
        <v>989</v>
      </c>
      <c r="O222" s="32" t="s">
        <v>990</v>
      </c>
      <c r="P222" s="32" t="s">
        <v>991</v>
      </c>
      <c r="Q222" s="32" t="s">
        <v>992</v>
      </c>
      <c r="R222" s="32" t="s">
        <v>993</v>
      </c>
      <c r="S222" s="32" t="s">
        <v>994</v>
      </c>
      <c r="T222" s="14"/>
      <c r="U222" s="14"/>
    </row>
    <row r="223" spans="1:21" ht="14.25" customHeight="1">
      <c r="A223" s="26" t="s">
        <v>995</v>
      </c>
      <c r="B223" s="34">
        <v>1.1000000000000001</v>
      </c>
      <c r="C223" s="34">
        <v>1.1000000000000001</v>
      </c>
      <c r="D223" s="34">
        <v>1.1000000000000001</v>
      </c>
      <c r="E223" s="14"/>
      <c r="F223" s="14"/>
      <c r="G223" s="14"/>
      <c r="H223" s="14"/>
      <c r="I223" s="14"/>
      <c r="J223" s="27">
        <v>3</v>
      </c>
      <c r="L223" s="26" t="s">
        <v>996</v>
      </c>
      <c r="M223" s="32" t="s">
        <v>997</v>
      </c>
      <c r="N223" s="32" t="s">
        <v>998</v>
      </c>
      <c r="O223" s="32" t="s">
        <v>999</v>
      </c>
      <c r="P223" s="32" t="s">
        <v>1000</v>
      </c>
      <c r="Q223" s="32" t="s">
        <v>1001</v>
      </c>
      <c r="R223" s="32" t="s">
        <v>1002</v>
      </c>
      <c r="S223" s="32" t="s">
        <v>1003</v>
      </c>
      <c r="T223" s="14"/>
      <c r="U223" s="14"/>
    </row>
    <row r="224" spans="1:21" ht="14.25" customHeight="1">
      <c r="A224" s="161" t="s">
        <v>1004</v>
      </c>
      <c r="B224" s="162"/>
      <c r="C224" s="162"/>
      <c r="D224" s="162"/>
      <c r="E224" s="162"/>
      <c r="F224" s="162"/>
      <c r="G224" s="162"/>
      <c r="H224" s="162"/>
      <c r="I224" s="162"/>
      <c r="J224" s="163"/>
      <c r="L224" s="161" t="s">
        <v>1005</v>
      </c>
      <c r="M224" s="162"/>
      <c r="N224" s="162"/>
      <c r="O224" s="162"/>
      <c r="P224" s="162"/>
      <c r="Q224" s="162"/>
      <c r="R224" s="162"/>
      <c r="S224" s="162"/>
      <c r="T224" s="162"/>
      <c r="U224" s="163"/>
    </row>
    <row r="225" spans="1:26" ht="14.25" customHeight="1">
      <c r="A225" s="35" t="s">
        <v>1006</v>
      </c>
      <c r="B225" s="36">
        <v>2</v>
      </c>
      <c r="C225" s="36">
        <v>1.82</v>
      </c>
      <c r="D225" s="36">
        <v>1.6</v>
      </c>
      <c r="E225" s="38">
        <v>1.3</v>
      </c>
      <c r="F225" s="36">
        <v>2.25</v>
      </c>
      <c r="G225" s="119">
        <v>1.2</v>
      </c>
      <c r="H225" s="119">
        <v>2</v>
      </c>
      <c r="I225" s="120" t="s">
        <v>1007</v>
      </c>
      <c r="J225" s="39" t="s">
        <v>1008</v>
      </c>
      <c r="K225" s="45"/>
      <c r="L225" s="35" t="s">
        <v>1009</v>
      </c>
      <c r="M225" s="36">
        <v>0.69</v>
      </c>
      <c r="N225" s="36">
        <v>0.66</v>
      </c>
      <c r="O225" s="37">
        <v>0.61</v>
      </c>
      <c r="P225" s="36">
        <v>0.65</v>
      </c>
      <c r="Q225" s="38">
        <v>1</v>
      </c>
      <c r="R225" s="38">
        <v>0.55000000000000004</v>
      </c>
      <c r="S225" s="36">
        <v>0.9</v>
      </c>
      <c r="T225" s="39" t="s">
        <v>1010</v>
      </c>
      <c r="U225" s="120" t="s">
        <v>1011</v>
      </c>
      <c r="V225" s="45"/>
      <c r="W225" s="45"/>
      <c r="X225" s="45"/>
      <c r="Y225" s="45"/>
      <c r="Z225" s="45"/>
    </row>
    <row r="226" spans="1:26" ht="14.25" customHeight="1">
      <c r="A226" s="26" t="s">
        <v>1012</v>
      </c>
      <c r="B226" s="27">
        <v>65</v>
      </c>
      <c r="C226" s="27">
        <v>65</v>
      </c>
      <c r="D226" s="27">
        <v>65</v>
      </c>
      <c r="E226" s="27">
        <v>50</v>
      </c>
      <c r="F226" s="27">
        <v>85</v>
      </c>
      <c r="G226" s="27">
        <v>50</v>
      </c>
      <c r="H226" s="27">
        <v>85</v>
      </c>
      <c r="I226" s="14"/>
      <c r="J226" s="32" t="s">
        <v>1013</v>
      </c>
      <c r="L226" s="26" t="s">
        <v>1014</v>
      </c>
      <c r="M226" s="27">
        <v>50</v>
      </c>
      <c r="N226" s="27">
        <v>50</v>
      </c>
      <c r="O226" s="27">
        <v>50</v>
      </c>
      <c r="P226" s="27">
        <v>50</v>
      </c>
      <c r="Q226" s="27">
        <v>50</v>
      </c>
      <c r="R226" s="27">
        <v>50</v>
      </c>
      <c r="S226" s="27">
        <v>50</v>
      </c>
      <c r="T226" s="14"/>
      <c r="U226" s="27">
        <v>9</v>
      </c>
    </row>
    <row r="227" spans="1:26" ht="14.25" customHeight="1">
      <c r="A227" s="26" t="s">
        <v>1015</v>
      </c>
      <c r="B227" s="27">
        <v>35</v>
      </c>
      <c r="C227" s="27">
        <v>35</v>
      </c>
      <c r="D227" s="27">
        <v>35</v>
      </c>
      <c r="E227" s="27">
        <v>15</v>
      </c>
      <c r="F227" s="27">
        <v>50</v>
      </c>
      <c r="G227" s="27">
        <v>15</v>
      </c>
      <c r="H227" s="27">
        <v>50</v>
      </c>
      <c r="I227" s="14"/>
      <c r="J227" s="32" t="s">
        <v>1016</v>
      </c>
      <c r="L227" s="26" t="s">
        <v>1017</v>
      </c>
      <c r="M227" s="27">
        <v>50</v>
      </c>
      <c r="N227" s="27">
        <v>50</v>
      </c>
      <c r="O227" s="27">
        <v>50</v>
      </c>
      <c r="P227" s="27">
        <v>50</v>
      </c>
      <c r="Q227" s="27">
        <v>50</v>
      </c>
      <c r="R227" s="27">
        <v>50</v>
      </c>
      <c r="S227" s="27">
        <v>50</v>
      </c>
      <c r="T227" s="14"/>
      <c r="U227" s="27">
        <v>9</v>
      </c>
    </row>
    <row r="228" spans="1:26" ht="14.25" customHeight="1">
      <c r="A228" s="49" t="s">
        <v>1018</v>
      </c>
      <c r="B228" s="50">
        <v>47600</v>
      </c>
      <c r="C228" s="50">
        <v>43800</v>
      </c>
      <c r="D228" s="50">
        <v>38100</v>
      </c>
      <c r="E228" s="52">
        <v>35700</v>
      </c>
      <c r="F228" s="50">
        <v>59500</v>
      </c>
      <c r="G228" s="50">
        <v>28600</v>
      </c>
      <c r="H228" s="50">
        <v>47600</v>
      </c>
      <c r="I228" s="121" t="s">
        <v>1019</v>
      </c>
      <c r="J228" s="53" t="s">
        <v>1020</v>
      </c>
      <c r="L228" s="49" t="s">
        <v>1021</v>
      </c>
      <c r="M228" s="50">
        <v>23500</v>
      </c>
      <c r="N228" s="50">
        <v>22800</v>
      </c>
      <c r="O228" s="52">
        <v>22100</v>
      </c>
      <c r="P228" s="50">
        <v>17600</v>
      </c>
      <c r="Q228" s="52">
        <v>29400</v>
      </c>
      <c r="R228" s="52">
        <v>16600</v>
      </c>
      <c r="S228" s="50">
        <v>27600</v>
      </c>
      <c r="T228" s="53" t="s">
        <v>1022</v>
      </c>
      <c r="U228" s="49" t="s">
        <v>1023</v>
      </c>
    </row>
    <row r="229" spans="1:26" ht="14.25" customHeight="1">
      <c r="A229" s="49" t="s">
        <v>1024</v>
      </c>
      <c r="B229" s="114">
        <v>3</v>
      </c>
      <c r="C229" s="114">
        <v>2.8</v>
      </c>
      <c r="D229" s="114">
        <v>2.4</v>
      </c>
      <c r="E229" s="114">
        <v>2.2999999999999998</v>
      </c>
      <c r="F229" s="114">
        <v>3.8</v>
      </c>
      <c r="G229" s="114">
        <v>1.8</v>
      </c>
      <c r="H229" s="114">
        <v>3</v>
      </c>
      <c r="I229" s="121" t="s">
        <v>1025</v>
      </c>
      <c r="J229" s="53" t="s">
        <v>1026</v>
      </c>
      <c r="L229" s="49" t="s">
        <v>1027</v>
      </c>
      <c r="M229" s="59">
        <v>2.2999999999999998</v>
      </c>
      <c r="N229" s="59">
        <v>2.23</v>
      </c>
      <c r="O229" s="61">
        <v>2.16</v>
      </c>
      <c r="P229" s="59">
        <v>1.73</v>
      </c>
      <c r="Q229" s="60">
        <v>2.88</v>
      </c>
      <c r="R229" s="61">
        <v>1.62</v>
      </c>
      <c r="S229" s="59">
        <v>2.7</v>
      </c>
      <c r="T229" s="53" t="s">
        <v>1028</v>
      </c>
      <c r="U229" s="98">
        <v>1</v>
      </c>
    </row>
    <row r="230" spans="1:26" ht="14.25" customHeight="1">
      <c r="A230" s="26" t="s">
        <v>1029</v>
      </c>
      <c r="B230" s="14"/>
      <c r="C230" s="14"/>
      <c r="D230" s="14"/>
      <c r="E230" s="14"/>
      <c r="F230" s="14"/>
      <c r="G230" s="14"/>
      <c r="H230" s="14"/>
      <c r="I230" s="14"/>
      <c r="J230" s="14"/>
      <c r="L230" s="26" t="s">
        <v>1030</v>
      </c>
      <c r="M230" s="27">
        <v>80</v>
      </c>
      <c r="N230" s="27">
        <v>80</v>
      </c>
      <c r="O230" s="27">
        <v>80</v>
      </c>
      <c r="P230" s="27">
        <v>60</v>
      </c>
      <c r="Q230" s="27">
        <v>100</v>
      </c>
      <c r="R230" s="27">
        <v>60</v>
      </c>
      <c r="S230" s="27">
        <v>100</v>
      </c>
      <c r="T230" s="32" t="s">
        <v>1031</v>
      </c>
      <c r="U230" s="27">
        <v>6</v>
      </c>
    </row>
    <row r="231" spans="1:26" ht="14.25" customHeight="1"/>
    <row r="232" spans="1:26" ht="14.25" customHeight="1">
      <c r="A232" s="9" t="s">
        <v>1032</v>
      </c>
    </row>
    <row r="233" spans="1:26" ht="14.25" customHeight="1">
      <c r="A233" s="13" t="s">
        <v>1033</v>
      </c>
      <c r="B233" s="167" t="s">
        <v>1034</v>
      </c>
      <c r="C233" s="162"/>
      <c r="D233" s="162"/>
      <c r="E233" s="162"/>
      <c r="F233" s="162"/>
      <c r="G233" s="162"/>
      <c r="H233" s="162"/>
      <c r="I233" s="162"/>
      <c r="J233" s="163"/>
    </row>
    <row r="234" spans="1:26" ht="14.25" customHeight="1">
      <c r="A234" s="14"/>
      <c r="B234" s="86">
        <v>2020</v>
      </c>
      <c r="C234" s="17">
        <v>2030</v>
      </c>
      <c r="D234" s="17">
        <v>2050</v>
      </c>
      <c r="E234" s="161" t="s">
        <v>1035</v>
      </c>
      <c r="F234" s="163"/>
      <c r="G234" s="161" t="s">
        <v>1036</v>
      </c>
      <c r="H234" s="163"/>
      <c r="I234" s="20" t="s">
        <v>1037</v>
      </c>
      <c r="J234" s="20" t="s">
        <v>1038</v>
      </c>
    </row>
    <row r="235" spans="1:26" ht="14.25" customHeight="1">
      <c r="A235" s="161" t="s">
        <v>1039</v>
      </c>
      <c r="B235" s="162"/>
      <c r="C235" s="162"/>
      <c r="D235" s="162"/>
      <c r="E235" s="162"/>
      <c r="F235" s="162"/>
      <c r="G235" s="162"/>
      <c r="H235" s="162"/>
      <c r="I235" s="162"/>
      <c r="J235" s="163"/>
    </row>
    <row r="236" spans="1:26" ht="14.25" customHeight="1">
      <c r="A236" s="26" t="s">
        <v>1040</v>
      </c>
      <c r="B236" s="27">
        <v>20</v>
      </c>
      <c r="C236" s="27">
        <v>20</v>
      </c>
      <c r="D236" s="27">
        <v>20</v>
      </c>
      <c r="E236" s="14"/>
      <c r="F236" s="14"/>
      <c r="G236" s="14"/>
      <c r="H236" s="14"/>
      <c r="I236" s="14"/>
      <c r="J236" s="27">
        <v>1</v>
      </c>
    </row>
    <row r="237" spans="1:26" ht="14.25" customHeight="1">
      <c r="A237" s="26" t="s">
        <v>1041</v>
      </c>
      <c r="B237" s="27">
        <v>100</v>
      </c>
      <c r="C237" s="27">
        <v>100</v>
      </c>
      <c r="D237" s="27">
        <v>100</v>
      </c>
      <c r="E237" s="14"/>
      <c r="F237" s="14"/>
      <c r="G237" s="14"/>
      <c r="H237" s="14"/>
      <c r="I237" s="14"/>
      <c r="J237" s="14"/>
    </row>
    <row r="238" spans="1:26" ht="14.25" customHeight="1">
      <c r="A238" s="26" t="s">
        <v>1042</v>
      </c>
      <c r="B238" s="27">
        <v>46</v>
      </c>
      <c r="C238" s="27">
        <v>47</v>
      </c>
      <c r="D238" s="27">
        <v>48</v>
      </c>
      <c r="E238" s="14"/>
      <c r="F238" s="14"/>
      <c r="G238" s="14"/>
      <c r="H238" s="14"/>
      <c r="I238" s="14"/>
      <c r="J238" s="27">
        <v>1</v>
      </c>
    </row>
    <row r="239" spans="1:26" ht="14.25" customHeight="1">
      <c r="A239" s="26" t="s">
        <v>1043</v>
      </c>
      <c r="B239" s="27">
        <v>45</v>
      </c>
      <c r="C239" s="27">
        <v>46</v>
      </c>
      <c r="D239" s="27">
        <v>47</v>
      </c>
      <c r="E239" s="27">
        <v>43</v>
      </c>
      <c r="F239" s="122">
        <v>47</v>
      </c>
      <c r="G239" s="27">
        <v>45</v>
      </c>
      <c r="H239" s="27">
        <v>52</v>
      </c>
      <c r="I239" s="14"/>
      <c r="J239" s="27">
        <v>1</v>
      </c>
    </row>
    <row r="240" spans="1:26" ht="14.25" customHeight="1">
      <c r="A240" s="26" t="s">
        <v>1044</v>
      </c>
      <c r="B240" s="27">
        <v>3</v>
      </c>
      <c r="C240" s="27">
        <v>3</v>
      </c>
      <c r="D240" s="27">
        <v>3</v>
      </c>
      <c r="E240" s="14"/>
      <c r="F240" s="14"/>
      <c r="G240" s="14"/>
      <c r="H240" s="14"/>
      <c r="I240" s="14"/>
      <c r="J240" s="14"/>
    </row>
    <row r="241" spans="1:10" ht="14.25" customHeight="1">
      <c r="A241" s="26" t="s">
        <v>1045</v>
      </c>
      <c r="B241" s="27">
        <v>1</v>
      </c>
      <c r="C241" s="27">
        <v>1</v>
      </c>
      <c r="D241" s="27">
        <v>1</v>
      </c>
      <c r="E241" s="14"/>
      <c r="F241" s="14"/>
      <c r="G241" s="14"/>
      <c r="H241" s="14"/>
      <c r="I241" s="14"/>
      <c r="J241" s="27">
        <v>2</v>
      </c>
    </row>
    <row r="242" spans="1:10" ht="14.25" customHeight="1">
      <c r="A242" s="26" t="s">
        <v>1046</v>
      </c>
      <c r="B242" s="27">
        <v>25</v>
      </c>
      <c r="C242" s="27">
        <v>25</v>
      </c>
      <c r="D242" s="27">
        <v>25</v>
      </c>
      <c r="E242" s="14"/>
      <c r="F242" s="14"/>
      <c r="G242" s="14"/>
      <c r="H242" s="14"/>
      <c r="I242" s="14"/>
      <c r="J242" s="27">
        <v>2</v>
      </c>
    </row>
    <row r="243" spans="1:10" ht="14.25" customHeight="1">
      <c r="A243" s="26" t="s">
        <v>1047</v>
      </c>
      <c r="B243" s="34">
        <v>1</v>
      </c>
      <c r="C243" s="34">
        <v>1</v>
      </c>
      <c r="D243" s="34">
        <v>1</v>
      </c>
      <c r="E243" s="14"/>
      <c r="F243" s="14"/>
      <c r="G243" s="14"/>
      <c r="H243" s="14"/>
      <c r="I243" s="14"/>
      <c r="J243" s="27">
        <v>2</v>
      </c>
    </row>
    <row r="244" spans="1:10" ht="14.25" customHeight="1">
      <c r="A244" s="26" t="s">
        <v>1048</v>
      </c>
      <c r="B244" s="65">
        <v>0.05</v>
      </c>
      <c r="C244" s="64">
        <v>0.05</v>
      </c>
      <c r="D244" s="64">
        <v>0.05</v>
      </c>
      <c r="E244" s="14"/>
      <c r="F244" s="14"/>
      <c r="G244" s="14"/>
      <c r="H244" s="14"/>
      <c r="I244" s="14"/>
      <c r="J244" s="27">
        <v>2</v>
      </c>
    </row>
    <row r="245" spans="1:10" ht="14.25" customHeight="1">
      <c r="A245" s="164" t="s">
        <v>1049</v>
      </c>
      <c r="B245" s="162"/>
      <c r="C245" s="162"/>
      <c r="D245" s="162"/>
      <c r="E245" s="162"/>
      <c r="F245" s="162"/>
      <c r="G245" s="162"/>
      <c r="H245" s="162"/>
      <c r="I245" s="162"/>
      <c r="J245" s="163"/>
    </row>
    <row r="246" spans="1:10" ht="14.25" customHeight="1">
      <c r="A246" s="26" t="s">
        <v>1050</v>
      </c>
      <c r="B246" s="32" t="s">
        <v>1051</v>
      </c>
      <c r="C246" s="32" t="s">
        <v>1052</v>
      </c>
      <c r="D246" s="32" t="s">
        <v>1053</v>
      </c>
      <c r="E246" s="14"/>
      <c r="F246" s="14"/>
      <c r="G246" s="14"/>
      <c r="H246" s="14"/>
      <c r="I246" s="14"/>
      <c r="J246" s="14"/>
    </row>
    <row r="247" spans="1:10" ht="14.25" customHeight="1">
      <c r="A247" s="26" t="s">
        <v>1054</v>
      </c>
      <c r="B247" s="32" t="s">
        <v>1055</v>
      </c>
      <c r="C247" s="32" t="s">
        <v>1056</v>
      </c>
      <c r="D247" s="32" t="s">
        <v>1057</v>
      </c>
      <c r="E247" s="14"/>
      <c r="F247" s="14"/>
      <c r="G247" s="14"/>
      <c r="H247" s="14"/>
      <c r="I247" s="14"/>
      <c r="J247" s="14"/>
    </row>
    <row r="248" spans="1:10" ht="14.25" customHeight="1">
      <c r="A248" s="161" t="s">
        <v>1058</v>
      </c>
      <c r="B248" s="162"/>
      <c r="C248" s="162"/>
      <c r="D248" s="162"/>
      <c r="E248" s="162"/>
      <c r="F248" s="162"/>
      <c r="G248" s="162"/>
      <c r="H248" s="162"/>
      <c r="I248" s="162"/>
      <c r="J248" s="163"/>
    </row>
    <row r="249" spans="1:10" ht="14.25" customHeight="1">
      <c r="A249" s="26" t="s">
        <v>1059</v>
      </c>
      <c r="B249" s="27">
        <v>25</v>
      </c>
      <c r="C249" s="27">
        <v>25</v>
      </c>
      <c r="D249" s="27">
        <v>25</v>
      </c>
      <c r="E249" s="14"/>
      <c r="F249" s="14"/>
      <c r="G249" s="14"/>
      <c r="H249" s="14"/>
      <c r="I249" s="14"/>
      <c r="J249" s="14"/>
    </row>
    <row r="250" spans="1:10" ht="14.25" customHeight="1">
      <c r="A250" s="26" t="s">
        <v>1060</v>
      </c>
      <c r="B250" s="34">
        <v>6</v>
      </c>
      <c r="C250" s="34">
        <v>6</v>
      </c>
      <c r="D250" s="34">
        <v>6</v>
      </c>
      <c r="E250" s="14"/>
      <c r="F250" s="14"/>
      <c r="G250" s="14"/>
      <c r="H250" s="14"/>
      <c r="I250" s="32" t="s">
        <v>1061</v>
      </c>
      <c r="J250" s="27">
        <v>1</v>
      </c>
    </row>
    <row r="251" spans="1:10" ht="14.25" customHeight="1">
      <c r="A251" s="26" t="s">
        <v>1062</v>
      </c>
      <c r="B251" s="65">
        <v>0.05</v>
      </c>
      <c r="C251" s="64">
        <v>0.05</v>
      </c>
      <c r="D251" s="64">
        <v>0.05</v>
      </c>
      <c r="E251" s="14"/>
      <c r="F251" s="14"/>
      <c r="G251" s="14"/>
      <c r="H251" s="14"/>
      <c r="I251" s="14"/>
      <c r="J251" s="27">
        <v>1</v>
      </c>
    </row>
    <row r="252" spans="1:10" ht="14.25" customHeight="1">
      <c r="A252" s="26" t="s">
        <v>1063</v>
      </c>
      <c r="B252" s="34">
        <v>0.3</v>
      </c>
      <c r="C252" s="34">
        <v>0.3</v>
      </c>
      <c r="D252" s="34">
        <v>0.3</v>
      </c>
      <c r="E252" s="14"/>
      <c r="F252" s="14"/>
      <c r="G252" s="14"/>
      <c r="H252" s="14"/>
      <c r="I252" s="14"/>
      <c r="J252" s="14"/>
    </row>
    <row r="253" spans="1:10" ht="14.25" customHeight="1">
      <c r="A253" s="161" t="s">
        <v>1064</v>
      </c>
      <c r="B253" s="162"/>
      <c r="C253" s="162"/>
      <c r="D253" s="162"/>
      <c r="E253" s="162"/>
      <c r="F253" s="162"/>
      <c r="G253" s="162"/>
      <c r="H253" s="162"/>
      <c r="I253" s="162"/>
      <c r="J253" s="163"/>
    </row>
    <row r="254" spans="1:10" ht="14.25" customHeight="1">
      <c r="A254" s="26" t="s">
        <v>1065</v>
      </c>
      <c r="B254" s="27">
        <v>20</v>
      </c>
      <c r="C254" s="27">
        <v>20</v>
      </c>
      <c r="D254" s="27">
        <v>20</v>
      </c>
      <c r="E254" s="14"/>
      <c r="F254" s="14"/>
      <c r="G254" s="14"/>
      <c r="H254" s="14"/>
      <c r="I254" s="32" t="s">
        <v>1066</v>
      </c>
      <c r="J254" s="34">
        <v>3.4</v>
      </c>
    </row>
    <row r="255" spans="1:10" ht="14.25" customHeight="1">
      <c r="A255" s="26" t="s">
        <v>1067</v>
      </c>
      <c r="B255" s="27">
        <v>0</v>
      </c>
      <c r="C255" s="27">
        <v>0</v>
      </c>
      <c r="D255" s="27">
        <v>0</v>
      </c>
      <c r="E255" s="14"/>
      <c r="F255" s="14"/>
      <c r="G255" s="14"/>
      <c r="H255" s="14"/>
      <c r="I255" s="32" t="s">
        <v>1068</v>
      </c>
      <c r="J255" s="32" t="s">
        <v>1069</v>
      </c>
    </row>
    <row r="256" spans="1:10" ht="14.25" customHeight="1">
      <c r="A256" s="26" t="s">
        <v>1070</v>
      </c>
      <c r="B256" s="27">
        <v>224</v>
      </c>
      <c r="C256" s="27">
        <v>224</v>
      </c>
      <c r="D256" s="27">
        <v>224</v>
      </c>
      <c r="E256" s="14"/>
      <c r="F256" s="14"/>
      <c r="G256" s="14"/>
      <c r="H256" s="14"/>
      <c r="I256" s="32" t="s">
        <v>1071</v>
      </c>
      <c r="J256" s="34">
        <v>3.4</v>
      </c>
    </row>
    <row r="257" spans="1:10" ht="14.25" customHeight="1">
      <c r="A257" s="26" t="s">
        <v>1072</v>
      </c>
      <c r="B257" s="27">
        <v>280</v>
      </c>
      <c r="C257" s="27">
        <v>280</v>
      </c>
      <c r="D257" s="27">
        <v>280</v>
      </c>
      <c r="E257" s="14"/>
      <c r="F257" s="14"/>
      <c r="G257" s="14"/>
      <c r="H257" s="14"/>
      <c r="I257" s="32" t="s">
        <v>1073</v>
      </c>
      <c r="J257" s="34">
        <v>3.4</v>
      </c>
    </row>
    <row r="258" spans="1:10" ht="14.25" customHeight="1">
      <c r="A258" s="26" t="s">
        <v>1074</v>
      </c>
      <c r="B258" s="14"/>
      <c r="C258" s="14"/>
      <c r="D258" s="14"/>
      <c r="E258" s="14"/>
      <c r="F258" s="14"/>
      <c r="G258" s="14"/>
      <c r="H258" s="14"/>
      <c r="I258" s="14"/>
      <c r="J258" s="14"/>
    </row>
    <row r="259" spans="1:10" ht="14.25" customHeight="1">
      <c r="A259" s="26" t="s">
        <v>1075</v>
      </c>
      <c r="B259" s="14"/>
      <c r="C259" s="14"/>
      <c r="D259" s="14"/>
      <c r="E259" s="14"/>
      <c r="F259" s="14"/>
      <c r="G259" s="14"/>
      <c r="H259" s="14"/>
      <c r="I259" s="14"/>
      <c r="J259" s="14"/>
    </row>
    <row r="260" spans="1:10" ht="14.25" customHeight="1">
      <c r="A260" s="161" t="s">
        <v>1076</v>
      </c>
      <c r="B260" s="162"/>
      <c r="C260" s="162"/>
      <c r="D260" s="162"/>
      <c r="E260" s="162"/>
      <c r="F260" s="162"/>
      <c r="G260" s="162"/>
      <c r="H260" s="162"/>
      <c r="I260" s="162"/>
      <c r="J260" s="163"/>
    </row>
    <row r="261" spans="1:10" ht="14.25" customHeight="1">
      <c r="A261" s="35" t="s">
        <v>1077</v>
      </c>
      <c r="B261" s="37">
        <v>0.8</v>
      </c>
      <c r="C261" s="36">
        <v>0.8</v>
      </c>
      <c r="D261" s="36">
        <v>0.78</v>
      </c>
      <c r="E261" s="36">
        <v>0.7</v>
      </c>
      <c r="F261" s="37">
        <v>0.9</v>
      </c>
      <c r="G261" s="36">
        <v>0.65</v>
      </c>
      <c r="H261" s="36">
        <v>0.85</v>
      </c>
      <c r="I261" s="39" t="s">
        <v>1078</v>
      </c>
      <c r="J261" s="119">
        <v>6.7</v>
      </c>
    </row>
    <row r="262" spans="1:10" ht="14.25" customHeight="1">
      <c r="A262" s="26" t="s">
        <v>1079</v>
      </c>
      <c r="B262" s="14"/>
      <c r="C262" s="14"/>
      <c r="D262" s="14"/>
      <c r="E262" s="14"/>
      <c r="F262" s="14"/>
      <c r="G262" s="14"/>
      <c r="H262" s="14"/>
      <c r="I262" s="14"/>
      <c r="J262" s="14"/>
    </row>
    <row r="263" spans="1:10" ht="14.25" customHeight="1">
      <c r="A263" s="26" t="s">
        <v>1080</v>
      </c>
      <c r="B263" s="14"/>
      <c r="C263" s="14"/>
      <c r="D263" s="14"/>
      <c r="E263" s="14"/>
      <c r="F263" s="14"/>
      <c r="G263" s="14"/>
      <c r="H263" s="14"/>
      <c r="I263" s="14"/>
      <c r="J263" s="14"/>
    </row>
    <row r="264" spans="1:10" ht="14.25" customHeight="1">
      <c r="A264" s="49" t="s">
        <v>1081</v>
      </c>
      <c r="B264" s="49">
        <v>8000</v>
      </c>
      <c r="C264" s="53" t="s">
        <v>1082</v>
      </c>
      <c r="D264" s="53" t="s">
        <v>1083</v>
      </c>
      <c r="E264" s="76"/>
      <c r="F264" s="76"/>
      <c r="G264" s="76"/>
      <c r="H264" s="76"/>
      <c r="I264" s="76"/>
      <c r="J264" s="98">
        <v>2</v>
      </c>
    </row>
    <row r="265" spans="1:10" ht="14.25" customHeight="1">
      <c r="A265" s="49" t="s">
        <v>1084</v>
      </c>
      <c r="B265" s="114">
        <v>6.4</v>
      </c>
      <c r="C265" s="114">
        <v>6</v>
      </c>
      <c r="D265" s="114">
        <v>5.8</v>
      </c>
      <c r="E265" s="76"/>
      <c r="F265" s="76"/>
      <c r="G265" s="76"/>
      <c r="H265" s="76"/>
      <c r="I265" s="76"/>
      <c r="J265" s="98">
        <v>2</v>
      </c>
    </row>
    <row r="266" spans="1:10" ht="14.25" customHeight="1">
      <c r="A266" s="26" t="s">
        <v>1085</v>
      </c>
      <c r="B266" s="32" t="s">
        <v>1086</v>
      </c>
      <c r="C266" s="32" t="s">
        <v>1087</v>
      </c>
      <c r="D266" s="32" t="s">
        <v>1088</v>
      </c>
      <c r="E266" s="14"/>
      <c r="F266" s="14"/>
      <c r="G266" s="14"/>
      <c r="H266" s="14"/>
      <c r="I266" s="14"/>
      <c r="J266" s="14"/>
    </row>
    <row r="267" spans="1:10" ht="14.25" customHeight="1"/>
    <row r="268" spans="1:10" ht="14.25" customHeight="1"/>
    <row r="269" spans="1:10" ht="14.25" customHeight="1"/>
    <row r="270" spans="1:10" ht="14.25" customHeight="1"/>
    <row r="271" spans="1:10" ht="14.25" customHeight="1"/>
    <row r="272" spans="1:10"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1">
    <mergeCell ref="M124:U124"/>
    <mergeCell ref="E125:F125"/>
    <mergeCell ref="R125:S125"/>
    <mergeCell ref="G125:H125"/>
    <mergeCell ref="P125:Q125"/>
    <mergeCell ref="A136:J136"/>
    <mergeCell ref="L136:U136"/>
    <mergeCell ref="G76:H76"/>
    <mergeCell ref="A77:J77"/>
    <mergeCell ref="A86:J86"/>
    <mergeCell ref="L87:U87"/>
    <mergeCell ref="A89:J89"/>
    <mergeCell ref="L90:U90"/>
    <mergeCell ref="L95:U95"/>
    <mergeCell ref="A94:J94"/>
    <mergeCell ref="A100:J100"/>
    <mergeCell ref="E76:F76"/>
    <mergeCell ref="P76:Q76"/>
    <mergeCell ref="R76:S76"/>
    <mergeCell ref="L77:U77"/>
    <mergeCell ref="G199:H199"/>
    <mergeCell ref="P199:Q199"/>
    <mergeCell ref="A210:J210"/>
    <mergeCell ref="L210:U210"/>
    <mergeCell ref="A213:J213"/>
    <mergeCell ref="L213:U213"/>
    <mergeCell ref="I171:J171"/>
    <mergeCell ref="L171:U171"/>
    <mergeCell ref="A174:J174"/>
    <mergeCell ref="L174:U174"/>
    <mergeCell ref="L179:U179"/>
    <mergeCell ref="A179:J179"/>
    <mergeCell ref="A185:J185"/>
    <mergeCell ref="L185:U185"/>
    <mergeCell ref="L192:U192"/>
    <mergeCell ref="A17:J17"/>
    <mergeCell ref="L17:U17"/>
    <mergeCell ref="A22:J22"/>
    <mergeCell ref="L22:U22"/>
    <mergeCell ref="L28:U28"/>
    <mergeCell ref="R41:S41"/>
    <mergeCell ref="L42:U42"/>
    <mergeCell ref="B198:J198"/>
    <mergeCell ref="M198:U198"/>
    <mergeCell ref="A139:J139"/>
    <mergeCell ref="L139:U139"/>
    <mergeCell ref="L144:U144"/>
    <mergeCell ref="A144:J144"/>
    <mergeCell ref="A150:J150"/>
    <mergeCell ref="L150:U150"/>
    <mergeCell ref="B159:J159"/>
    <mergeCell ref="M159:U159"/>
    <mergeCell ref="E160:F160"/>
    <mergeCell ref="G160:H160"/>
    <mergeCell ref="P160:Q160"/>
    <mergeCell ref="R160:S160"/>
    <mergeCell ref="L101:U101"/>
    <mergeCell ref="A107:B107"/>
    <mergeCell ref="B124:J124"/>
    <mergeCell ref="B2:J2"/>
    <mergeCell ref="M2:U2"/>
    <mergeCell ref="E3:F3"/>
    <mergeCell ref="G3:H3"/>
    <mergeCell ref="P3:Q3"/>
    <mergeCell ref="R3:S3"/>
    <mergeCell ref="L4:U4"/>
    <mergeCell ref="A14:J14"/>
    <mergeCell ref="L14:U14"/>
    <mergeCell ref="A28:J28"/>
    <mergeCell ref="A35:J35"/>
    <mergeCell ref="B40:J40"/>
    <mergeCell ref="M40:U40"/>
    <mergeCell ref="E41:F41"/>
    <mergeCell ref="G41:H41"/>
    <mergeCell ref="P41:Q41"/>
    <mergeCell ref="A52:J52"/>
    <mergeCell ref="L52:U52"/>
    <mergeCell ref="A235:J235"/>
    <mergeCell ref="A245:J245"/>
    <mergeCell ref="A248:J248"/>
    <mergeCell ref="A253:J253"/>
    <mergeCell ref="A260:J260"/>
    <mergeCell ref="A55:J55"/>
    <mergeCell ref="L55:U55"/>
    <mergeCell ref="A60:J60"/>
    <mergeCell ref="L60:U60"/>
    <mergeCell ref="A66:J66"/>
    <mergeCell ref="L66:U66"/>
    <mergeCell ref="L74:M74"/>
    <mergeCell ref="B75:J75"/>
    <mergeCell ref="M75:U75"/>
    <mergeCell ref="S217:T217"/>
    <mergeCell ref="A218:J218"/>
    <mergeCell ref="L218:U218"/>
    <mergeCell ref="A224:J224"/>
    <mergeCell ref="L224:U224"/>
    <mergeCell ref="B233:J233"/>
    <mergeCell ref="E234:F234"/>
    <mergeCell ref="G234:H234"/>
    <mergeCell ref="E199:F199"/>
    <mergeCell ref="R199:S199"/>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topLeftCell="K1" workbookViewId="0"/>
  </sheetViews>
  <sheetFormatPr baseColWidth="10" defaultColWidth="14.5" defaultRowHeight="15" customHeight="1"/>
  <cols>
    <col min="1" max="1" width="30.6640625" customWidth="1"/>
    <col min="2" max="4" width="8.6640625" customWidth="1"/>
    <col min="5" max="5" width="8.83203125" customWidth="1"/>
    <col min="6" max="33" width="8.6640625" customWidth="1"/>
  </cols>
  <sheetData>
    <row r="1" spans="1:33" ht="14.25" customHeight="1">
      <c r="A1" s="9" t="s">
        <v>1089</v>
      </c>
      <c r="B1" s="5" t="s">
        <v>1090</v>
      </c>
    </row>
    <row r="2" spans="1:33" ht="14.25" customHeight="1">
      <c r="A2" s="123" t="s">
        <v>1091</v>
      </c>
    </row>
    <row r="3" spans="1:33" ht="28.5" customHeight="1">
      <c r="A3" s="5" t="s">
        <v>1092</v>
      </c>
      <c r="B3" s="5">
        <v>5154</v>
      </c>
      <c r="D3" s="175" t="s">
        <v>1093</v>
      </c>
      <c r="E3" s="176"/>
      <c r="F3" s="124">
        <v>0.1</v>
      </c>
    </row>
    <row r="4" spans="1:33" ht="14.25" customHeight="1">
      <c r="A4" s="5" t="s">
        <v>1094</v>
      </c>
      <c r="B4" s="5">
        <v>2.1000000000000001E-2</v>
      </c>
      <c r="D4" s="177" t="s">
        <v>1095</v>
      </c>
      <c r="E4" s="176"/>
      <c r="F4" s="124">
        <v>0.41</v>
      </c>
    </row>
    <row r="5" spans="1:33" ht="14.25" customHeight="1"/>
    <row r="6" spans="1:33" ht="14.25" customHeight="1">
      <c r="B6" s="1">
        <v>2020</v>
      </c>
      <c r="C6" s="1">
        <v>2030</v>
      </c>
      <c r="D6" s="1">
        <v>2040</v>
      </c>
      <c r="E6" s="1">
        <v>2050</v>
      </c>
    </row>
    <row r="7" spans="1:33" ht="14.25" customHeight="1">
      <c r="A7" s="1" t="s">
        <v>1096</v>
      </c>
      <c r="B7" s="5">
        <f>B3*1000</f>
        <v>5154000</v>
      </c>
      <c r="C7" s="5">
        <f t="shared" ref="C7:E7" si="0">$B$7*$B$8/C8</f>
        <v>4685454.5454545449</v>
      </c>
      <c r="D7" s="5">
        <f t="shared" si="0"/>
        <v>4259504.132231405</v>
      </c>
      <c r="E7" s="5">
        <f t="shared" si="0"/>
        <v>3872276.483846731</v>
      </c>
    </row>
    <row r="8" spans="1:33" ht="14.25" customHeight="1">
      <c r="A8" s="1" t="s">
        <v>1097</v>
      </c>
      <c r="B8" s="124">
        <f>F4</f>
        <v>0.41</v>
      </c>
      <c r="C8" s="126">
        <f t="shared" ref="C8:E8" si="1">(1+$F$3)*B8</f>
        <v>0.45100000000000001</v>
      </c>
      <c r="D8" s="126">
        <f t="shared" si="1"/>
        <v>0.49610000000000004</v>
      </c>
      <c r="E8" s="126">
        <f t="shared" si="1"/>
        <v>0.54571000000000014</v>
      </c>
    </row>
    <row r="9" spans="1:33" ht="14.25" customHeight="1"/>
    <row r="10" spans="1:33" ht="14.25" customHeight="1">
      <c r="A10" s="123" t="s">
        <v>1098</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row>
    <row r="11" spans="1:33" ht="14.25" customHeight="1">
      <c r="A11" s="1" t="s">
        <v>1096</v>
      </c>
      <c r="B11" s="5">
        <f t="shared" ref="B11:AG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row>
    <row r="12" spans="1:33" ht="14.25" customHeight="1"/>
    <row r="13" spans="1:33" ht="14.25" customHeight="1"/>
    <row r="14" spans="1:33" ht="14.25" customHeight="1"/>
    <row r="15" spans="1:33" ht="14.25" customHeight="1"/>
    <row r="16" spans="1:3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D3:E3"/>
    <mergeCell ref="D4:E4"/>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4.5" defaultRowHeight="15" customHeight="1"/>
  <cols>
    <col min="1" max="1" width="18.1640625" customWidth="1"/>
    <col min="2" max="2" width="17.5" customWidth="1"/>
    <col min="3" max="35" width="8.6640625" customWidth="1"/>
  </cols>
  <sheetData>
    <row r="1" spans="1:35" ht="14.25" customHeight="1">
      <c r="A1" s="123" t="s">
        <v>1099</v>
      </c>
      <c r="B1" s="123"/>
      <c r="C1" s="123"/>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row>
    <row r="2" spans="1:35" ht="30.75" customHeight="1">
      <c r="A2" s="127" t="s">
        <v>1100</v>
      </c>
      <c r="B2" s="127" t="s">
        <v>1101</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row>
    <row r="3" spans="1:35" ht="14.25" customHeight="1">
      <c r="A3" s="5" t="s">
        <v>1102</v>
      </c>
      <c r="B3" s="5" t="s">
        <v>1103</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row>
    <row r="4" spans="1:35" ht="14.25" customHeight="1">
      <c r="A4" s="123" t="s">
        <v>1104</v>
      </c>
      <c r="B4" s="128"/>
      <c r="C4" s="128"/>
      <c r="D4" s="128"/>
      <c r="E4" s="128"/>
      <c r="F4" s="128"/>
      <c r="G4" s="128"/>
      <c r="H4" s="128"/>
      <c r="I4" s="128"/>
      <c r="J4" s="128"/>
      <c r="K4" s="128"/>
      <c r="L4" s="128"/>
      <c r="M4" s="128"/>
      <c r="N4" s="128"/>
      <c r="O4" s="128"/>
      <c r="P4" s="128"/>
      <c r="Q4" s="128"/>
      <c r="R4" s="128"/>
      <c r="S4" s="128"/>
      <c r="T4" s="128"/>
      <c r="U4" s="128"/>
      <c r="V4" s="128"/>
      <c r="W4" s="128"/>
      <c r="X4" s="128"/>
      <c r="Y4" s="128"/>
      <c r="Z4" s="128"/>
      <c r="AA4" s="128"/>
      <c r="AB4" s="128"/>
      <c r="AC4" s="128"/>
      <c r="AD4" s="128"/>
      <c r="AE4" s="128"/>
      <c r="AF4" s="128"/>
      <c r="AG4" s="128"/>
      <c r="AH4" s="128"/>
      <c r="AI4" s="128"/>
    </row>
    <row r="5" spans="1:35" ht="14.25" customHeight="1">
      <c r="A5" s="127" t="s">
        <v>1105</v>
      </c>
      <c r="B5" s="127" t="s">
        <v>1106</v>
      </c>
      <c r="C5" s="129" t="s">
        <v>1107</v>
      </c>
      <c r="D5" s="129" t="s">
        <v>1108</v>
      </c>
      <c r="E5" s="130" t="s">
        <v>1109</v>
      </c>
      <c r="F5" s="127" t="s">
        <v>1110</v>
      </c>
    </row>
    <row r="6" spans="1:35" ht="14.25" customHeight="1">
      <c r="A6" s="5" t="s">
        <v>1102</v>
      </c>
      <c r="B6" s="5" t="s">
        <v>1103</v>
      </c>
      <c r="C6" s="131">
        <v>2.3182711198428287</v>
      </c>
      <c r="D6" s="131">
        <v>118.98821218074656</v>
      </c>
      <c r="E6" s="132">
        <v>2018</v>
      </c>
      <c r="F6" s="5" t="s">
        <v>1111</v>
      </c>
    </row>
    <row r="7" spans="1:35" ht="14.25" customHeight="1"/>
    <row r="8" spans="1:35" ht="14.25" customHeight="1"/>
    <row r="9" spans="1:35" ht="14.25" customHeight="1"/>
    <row r="10" spans="1:35" ht="14.25" customHeight="1"/>
    <row r="11" spans="1:35" ht="14.25" customHeight="1"/>
    <row r="12" spans="1:35" ht="14.25" customHeight="1"/>
    <row r="13" spans="1:35" ht="14.25" customHeight="1"/>
    <row r="14" spans="1:35" ht="14.25" customHeight="1"/>
    <row r="15" spans="1:35" ht="14.25" customHeight="1"/>
    <row r="16" spans="1:35"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A5" sqref="A5:XFD5"/>
    </sheetView>
  </sheetViews>
  <sheetFormatPr baseColWidth="10" defaultColWidth="14.5" defaultRowHeight="15" customHeight="1"/>
  <cols>
    <col min="1" max="1" width="22.33203125" customWidth="1"/>
    <col min="2" max="4" width="11.6640625" customWidth="1"/>
    <col min="5" max="26" width="8.6640625" customWidth="1"/>
  </cols>
  <sheetData>
    <row r="1" spans="1:6" ht="14.25" customHeight="1">
      <c r="A1" s="123" t="s">
        <v>1112</v>
      </c>
      <c r="B1" s="123"/>
      <c r="C1" s="123"/>
      <c r="E1" s="5" t="s">
        <v>1113</v>
      </c>
      <c r="F1" s="5">
        <f>10^6</f>
        <v>1000000</v>
      </c>
    </row>
    <row r="2" spans="1:6" ht="14.25" customHeight="1">
      <c r="B2" s="1">
        <v>2020</v>
      </c>
      <c r="C2" s="1">
        <v>2030</v>
      </c>
      <c r="D2" s="1">
        <v>2050</v>
      </c>
    </row>
    <row r="3" spans="1:6" ht="14.25" customHeight="1">
      <c r="A3" s="125" t="s">
        <v>1114</v>
      </c>
      <c r="B3" s="133">
        <f>'data - Indonesia'!M102*$F$1</f>
        <v>1650000</v>
      </c>
      <c r="C3" s="133">
        <f>'data - Indonesia'!N102*$F$1</f>
        <v>1600000</v>
      </c>
      <c r="D3" s="133">
        <f>'data - Indonesia'!O102*$F$1</f>
        <v>1550000</v>
      </c>
    </row>
    <row r="4" spans="1:6" ht="14.25" customHeight="1">
      <c r="A4" s="125" t="s">
        <v>1115</v>
      </c>
      <c r="B4" s="5">
        <f>'data - Indonesia'!M151*$F$1</f>
        <v>770000</v>
      </c>
      <c r="C4" s="5">
        <f>'data - Indonesia'!N151*$F$1</f>
        <v>730000</v>
      </c>
      <c r="D4" s="5">
        <f>'data - Indonesia'!O151*$F$1</f>
        <v>680000</v>
      </c>
    </row>
    <row r="5" spans="1:6" ht="14.25" customHeight="1">
      <c r="A5" s="125" t="s">
        <v>1116</v>
      </c>
      <c r="B5" s="5">
        <f>'data - Indonesia'!B67*'capital processing'!$F$1</f>
        <v>2080000</v>
      </c>
      <c r="C5" s="5">
        <f>'data - Indonesia'!C67*'capital processing'!$F$1</f>
        <v>2000000</v>
      </c>
      <c r="D5" s="5">
        <f>'data - Indonesia'!D67*'capital processing'!$F$1</f>
        <v>1850000</v>
      </c>
    </row>
    <row r="6" spans="1:6" ht="14.25" customHeight="1">
      <c r="A6" s="125" t="s">
        <v>1117</v>
      </c>
      <c r="B6" s="5">
        <f>'data - Indonesia'!B151*'capital processing'!$F$1</f>
        <v>1500000</v>
      </c>
      <c r="C6" s="5">
        <f>'data - Indonesia'!C151*'capital processing'!$F$1</f>
        <v>1280000</v>
      </c>
      <c r="D6" s="5">
        <f>'data - Indonesia'!D151*'capital processing'!$F$1</f>
        <v>1080000</v>
      </c>
    </row>
    <row r="7" spans="1:6" ht="14.25" customHeight="1">
      <c r="A7" s="125" t="s">
        <v>1118</v>
      </c>
      <c r="B7" s="5">
        <f>'data - Indonesia'!B101*'capital processing'!$F$1</f>
        <v>790000</v>
      </c>
      <c r="C7" s="5">
        <f>'data - Indonesia'!C101*'capital processing'!$F$1</f>
        <v>560000</v>
      </c>
      <c r="D7" s="5">
        <f>'data - Indonesia'!D101*'capital processing'!$F$1</f>
        <v>410000</v>
      </c>
    </row>
    <row r="8" spans="1:6" ht="14.25" customHeight="1">
      <c r="A8" s="125" t="s">
        <v>1119</v>
      </c>
      <c r="B8" s="5">
        <f>'data - Indonesia'!B225*'capital processing'!$F$1</f>
        <v>2000000</v>
      </c>
      <c r="C8" s="5">
        <f>'data - Indonesia'!C225*'capital processing'!$F$1</f>
        <v>1820000</v>
      </c>
      <c r="D8" s="5">
        <f>'data - Indonesia'!D225*'capital processing'!$F$1</f>
        <v>1600000</v>
      </c>
    </row>
    <row r="9" spans="1:6" ht="14.25" customHeight="1">
      <c r="A9" s="125" t="s">
        <v>1120</v>
      </c>
      <c r="B9" s="5">
        <f>'data - Indonesia'!B29*$F$1</f>
        <v>4000000</v>
      </c>
      <c r="C9" s="5">
        <f>'data - Indonesia'!C29*$F$1</f>
        <v>3440000</v>
      </c>
      <c r="D9" s="5">
        <f>'data - Indonesia'!D29*$F$1</f>
        <v>2840000</v>
      </c>
    </row>
    <row r="10" spans="1:6" ht="14.25" customHeight="1">
      <c r="A10" s="125" t="s">
        <v>1121</v>
      </c>
      <c r="B10" s="133">
        <f>'data - Indonesia'!B261*$F$1</f>
        <v>800000</v>
      </c>
      <c r="C10" s="133">
        <f>'data - Indonesia'!C261*$F$1</f>
        <v>800000</v>
      </c>
      <c r="D10" s="133">
        <f>'data - Indonesia'!D261*$F$1</f>
        <v>780000</v>
      </c>
    </row>
    <row r="11" spans="1:6" ht="14.25" customHeight="1">
      <c r="A11" s="125" t="s">
        <v>1122</v>
      </c>
      <c r="B11" s="5">
        <f>'data - Indonesia'!M225*$F$1</f>
        <v>690000</v>
      </c>
      <c r="C11" s="5">
        <f>'data - Indonesia'!N225*$F$1</f>
        <v>660000</v>
      </c>
      <c r="D11" s="5">
        <f>'data - Indonesia'!O225*$F$1</f>
        <v>610000</v>
      </c>
    </row>
    <row r="12" spans="1:6" ht="14.25" customHeight="1">
      <c r="A12" s="125" t="s">
        <v>1123</v>
      </c>
      <c r="B12" s="133">
        <f>B3</f>
        <v>1650000</v>
      </c>
      <c r="C12" s="133">
        <f>C3</f>
        <v>1600000</v>
      </c>
      <c r="D12" s="133">
        <f>D3</f>
        <v>1550000</v>
      </c>
    </row>
    <row r="13" spans="1:6" ht="14.25" customHeight="1">
      <c r="A13" s="125" t="s">
        <v>1124</v>
      </c>
      <c r="B13" s="5">
        <f>'data - Indonesia'!B186*$F$1</f>
        <v>3500000</v>
      </c>
      <c r="C13" s="5">
        <f>'data - Indonesia'!C186*$F$1</f>
        <v>2980000</v>
      </c>
      <c r="D13" s="5">
        <f>'data - Indonesia'!D186*$F$1</f>
        <v>2520000</v>
      </c>
    </row>
    <row r="14" spans="1:6" ht="14.25" customHeight="1">
      <c r="A14" s="125" t="s">
        <v>1125</v>
      </c>
      <c r="B14" s="133">
        <f t="shared" ref="B14:D14" si="0">B10</f>
        <v>800000</v>
      </c>
      <c r="C14" s="133">
        <f t="shared" si="0"/>
        <v>800000</v>
      </c>
      <c r="D14" s="133">
        <f t="shared" si="0"/>
        <v>780000</v>
      </c>
    </row>
    <row r="15" spans="1:6" ht="14.25" customHeight="1">
      <c r="A15" s="125" t="s">
        <v>1126</v>
      </c>
      <c r="B15" s="133">
        <f t="shared" ref="B15:D15" si="1">B10</f>
        <v>800000</v>
      </c>
      <c r="C15" s="133">
        <f t="shared" si="1"/>
        <v>800000</v>
      </c>
      <c r="D15" s="133">
        <f t="shared" si="1"/>
        <v>780000</v>
      </c>
    </row>
    <row r="16" spans="1:6" ht="14.25" customHeight="1">
      <c r="A16" s="125" t="s">
        <v>1127</v>
      </c>
      <c r="B16" s="5">
        <f>'data - Indonesia'!M225*$F$1</f>
        <v>690000</v>
      </c>
      <c r="C16" s="5">
        <f>'data - Indonesia'!N225*$F$1</f>
        <v>660000</v>
      </c>
      <c r="D16" s="5">
        <f>'data - Indonesia'!O225*$F$1</f>
        <v>610000</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803CBF-D8BB-5043-B668-E8A1BDAE75F8}">
  <dimension ref="A1:I61"/>
  <sheetViews>
    <sheetView workbookViewId="0">
      <selection activeCell="B17" sqref="B17"/>
    </sheetView>
  </sheetViews>
  <sheetFormatPr baseColWidth="10" defaultRowHeight="15"/>
  <cols>
    <col min="1" max="1" width="21.6640625" customWidth="1"/>
    <col min="3" max="3" width="22.1640625" customWidth="1"/>
    <col min="4" max="4" width="21.6640625" customWidth="1"/>
  </cols>
  <sheetData>
    <row r="1" spans="1:9">
      <c r="A1" s="140" t="s">
        <v>1161</v>
      </c>
      <c r="B1" s="140" t="s">
        <v>1162</v>
      </c>
      <c r="C1" s="140" t="s">
        <v>1163</v>
      </c>
      <c r="D1" s="140" t="s">
        <v>1164</v>
      </c>
      <c r="I1" s="5" t="s">
        <v>1166</v>
      </c>
    </row>
    <row r="2" spans="1:9">
      <c r="A2" s="178" t="s">
        <v>1165</v>
      </c>
      <c r="B2" s="143">
        <v>2020</v>
      </c>
      <c r="C2" s="144">
        <v>20000</v>
      </c>
      <c r="D2" s="143">
        <v>0.37</v>
      </c>
      <c r="I2" s="5" t="s">
        <v>1166</v>
      </c>
    </row>
    <row r="3" spans="1:9">
      <c r="A3" s="178"/>
      <c r="B3" s="143">
        <v>2030</v>
      </c>
      <c r="C3" s="144">
        <v>18500</v>
      </c>
      <c r="D3" s="143">
        <v>0.34</v>
      </c>
      <c r="I3" s="5" t="s">
        <v>1166</v>
      </c>
    </row>
    <row r="4" spans="1:9">
      <c r="A4" s="178"/>
      <c r="B4" s="143">
        <v>2050</v>
      </c>
      <c r="C4" s="144">
        <v>16900</v>
      </c>
      <c r="D4" s="143">
        <v>0.31</v>
      </c>
      <c r="I4" s="5" t="s">
        <v>1166</v>
      </c>
    </row>
    <row r="5" spans="1:9">
      <c r="A5" s="178" t="s">
        <v>1167</v>
      </c>
      <c r="B5" s="143">
        <v>2020</v>
      </c>
      <c r="C5" s="144">
        <v>18000</v>
      </c>
      <c r="D5" s="143">
        <v>0.25</v>
      </c>
      <c r="I5" s="5" t="s">
        <v>1166</v>
      </c>
    </row>
    <row r="6" spans="1:9">
      <c r="A6" s="178"/>
      <c r="B6" s="143">
        <v>2030</v>
      </c>
      <c r="C6" s="144">
        <v>16700</v>
      </c>
      <c r="D6" s="143">
        <v>0.23</v>
      </c>
      <c r="I6" s="5" t="s">
        <v>1166</v>
      </c>
    </row>
    <row r="7" spans="1:9">
      <c r="A7" s="178"/>
      <c r="B7" s="143">
        <v>2050</v>
      </c>
      <c r="C7" s="144">
        <v>15200</v>
      </c>
      <c r="D7" s="143">
        <v>0.21</v>
      </c>
      <c r="I7" s="5" t="s">
        <v>1166</v>
      </c>
    </row>
    <row r="8" spans="1:9">
      <c r="A8" s="178" t="s">
        <v>1168</v>
      </c>
      <c r="B8" s="143">
        <v>2020</v>
      </c>
      <c r="C8" s="144">
        <v>53000</v>
      </c>
      <c r="D8" s="143">
        <v>0.5</v>
      </c>
      <c r="I8" s="5" t="s">
        <v>1166</v>
      </c>
    </row>
    <row r="9" spans="1:9">
      <c r="A9" s="178"/>
      <c r="B9" s="143">
        <v>2030</v>
      </c>
      <c r="C9" s="144">
        <v>50400</v>
      </c>
      <c r="D9" s="143">
        <v>0.48</v>
      </c>
      <c r="I9" s="5" t="s">
        <v>1166</v>
      </c>
    </row>
    <row r="10" spans="1:9">
      <c r="A10" s="178"/>
      <c r="B10" s="143">
        <v>2050</v>
      </c>
      <c r="C10" s="144">
        <v>47200</v>
      </c>
      <c r="D10" s="143">
        <v>0.45</v>
      </c>
      <c r="E10" s="5"/>
      <c r="F10" s="5"/>
    </row>
    <row r="11" spans="1:9">
      <c r="A11" s="178" t="s">
        <v>1169</v>
      </c>
      <c r="B11" s="143">
        <v>2020</v>
      </c>
      <c r="C11" s="144">
        <v>41900</v>
      </c>
      <c r="D11" s="143">
        <v>0.5</v>
      </c>
      <c r="E11" s="5"/>
      <c r="F11" s="5"/>
    </row>
    <row r="12" spans="1:9">
      <c r="A12" s="178"/>
      <c r="B12" s="143">
        <v>2030</v>
      </c>
      <c r="C12" s="144">
        <v>39800</v>
      </c>
      <c r="D12" s="143">
        <v>0.48</v>
      </c>
      <c r="E12" s="5"/>
      <c r="F12" s="5"/>
    </row>
    <row r="13" spans="1:9">
      <c r="A13" s="178"/>
      <c r="B13" s="143">
        <v>2050</v>
      </c>
      <c r="C13" s="144">
        <v>37300</v>
      </c>
      <c r="D13" s="143">
        <v>0.45</v>
      </c>
      <c r="E13" s="5"/>
      <c r="F13" s="5"/>
    </row>
    <row r="14" spans="1:9">
      <c r="A14" s="178" t="s">
        <v>1170</v>
      </c>
      <c r="B14" s="143">
        <v>2020</v>
      </c>
      <c r="C14" s="144">
        <v>37700</v>
      </c>
      <c r="D14" s="143">
        <v>0.65</v>
      </c>
      <c r="E14" s="5"/>
      <c r="F14" s="5"/>
    </row>
    <row r="15" spans="1:9">
      <c r="A15" s="178"/>
      <c r="B15" s="143">
        <v>2030</v>
      </c>
      <c r="C15" s="144">
        <v>35800</v>
      </c>
      <c r="D15" s="143">
        <v>0.62</v>
      </c>
      <c r="E15" s="5"/>
      <c r="F15" s="5"/>
    </row>
    <row r="16" spans="1:9">
      <c r="A16" s="178"/>
      <c r="B16" s="143">
        <v>2050</v>
      </c>
      <c r="C16" s="144">
        <v>33600</v>
      </c>
      <c r="D16" s="143">
        <v>0.57999999999999996</v>
      </c>
      <c r="E16" s="5"/>
      <c r="F16" s="5"/>
    </row>
    <row r="17" spans="1:6">
      <c r="A17" s="178" t="s">
        <v>1171</v>
      </c>
      <c r="B17" s="143">
        <v>2020</v>
      </c>
      <c r="C17" s="144">
        <v>15000</v>
      </c>
      <c r="D17" s="143">
        <v>0</v>
      </c>
      <c r="E17" s="5"/>
      <c r="F17" s="5"/>
    </row>
    <row r="18" spans="1:6">
      <c r="A18" s="178"/>
      <c r="B18" s="143">
        <v>2030</v>
      </c>
      <c r="C18" s="144">
        <v>12500</v>
      </c>
      <c r="D18" s="143">
        <v>0</v>
      </c>
      <c r="E18" s="5"/>
      <c r="F18" s="5"/>
    </row>
    <row r="19" spans="1:6">
      <c r="A19" s="178"/>
      <c r="B19" s="143">
        <v>2050</v>
      </c>
      <c r="C19" s="144">
        <v>10500</v>
      </c>
      <c r="D19" s="143">
        <v>0</v>
      </c>
      <c r="E19" s="5"/>
      <c r="F19" s="5"/>
    </row>
    <row r="20" spans="1:6">
      <c r="A20" s="178" t="s">
        <v>1172</v>
      </c>
      <c r="B20" s="143">
        <v>2020</v>
      </c>
      <c r="C20" s="144">
        <v>73200</v>
      </c>
      <c r="D20" s="143">
        <v>0</v>
      </c>
      <c r="E20" s="5"/>
      <c r="F20" s="5"/>
    </row>
    <row r="21" spans="1:6">
      <c r="A21" s="178"/>
      <c r="B21" s="143">
        <v>2030</v>
      </c>
      <c r="C21" s="144">
        <v>63700</v>
      </c>
      <c r="D21" s="143">
        <v>0</v>
      </c>
      <c r="E21" s="5"/>
      <c r="F21" s="5"/>
    </row>
    <row r="22" spans="1:6">
      <c r="A22" s="178"/>
      <c r="B22" s="143">
        <v>2050</v>
      </c>
      <c r="C22" s="144">
        <v>54200</v>
      </c>
      <c r="D22" s="143">
        <v>0</v>
      </c>
      <c r="E22" s="5"/>
      <c r="F22" s="5"/>
    </row>
    <row r="23" spans="1:6">
      <c r="A23" s="178" t="s">
        <v>1173</v>
      </c>
      <c r="B23" s="143">
        <v>2020</v>
      </c>
      <c r="C23" s="144">
        <v>60000</v>
      </c>
      <c r="D23" s="143">
        <v>0</v>
      </c>
      <c r="E23" s="5"/>
      <c r="F23" s="5"/>
    </row>
    <row r="24" spans="1:6">
      <c r="A24" s="178"/>
      <c r="B24" s="143">
        <v>2030</v>
      </c>
      <c r="C24" s="144">
        <v>55200</v>
      </c>
      <c r="D24" s="143">
        <v>0</v>
      </c>
      <c r="E24" s="5"/>
      <c r="F24" s="5"/>
    </row>
    <row r="25" spans="1:6">
      <c r="A25" s="178"/>
      <c r="B25" s="143">
        <v>2050</v>
      </c>
      <c r="C25" s="144">
        <v>44400</v>
      </c>
      <c r="D25" s="143">
        <v>0</v>
      </c>
      <c r="E25" s="5"/>
      <c r="F25" s="5"/>
    </row>
    <row r="26" spans="1:6">
      <c r="A26" s="178" t="s">
        <v>728</v>
      </c>
      <c r="B26" s="143">
        <v>2020</v>
      </c>
      <c r="C26" s="144">
        <v>72600</v>
      </c>
      <c r="D26" s="143">
        <v>0</v>
      </c>
      <c r="E26" s="5"/>
      <c r="F26" s="5"/>
    </row>
    <row r="27" spans="1:6">
      <c r="A27" s="178"/>
      <c r="B27" s="143">
        <v>2030</v>
      </c>
      <c r="C27" s="144">
        <v>64700</v>
      </c>
      <c r="D27" s="143">
        <v>0</v>
      </c>
      <c r="E27" s="5"/>
      <c r="F27" s="5"/>
    </row>
    <row r="28" spans="1:6">
      <c r="A28" s="178"/>
      <c r="B28" s="143">
        <v>2050</v>
      </c>
      <c r="C28" s="144">
        <v>55000</v>
      </c>
      <c r="D28" s="143">
        <v>0</v>
      </c>
      <c r="E28" s="5"/>
      <c r="F28" s="5"/>
    </row>
    <row r="29" spans="1:6">
      <c r="A29" s="178" t="s">
        <v>1174</v>
      </c>
      <c r="B29" s="143">
        <v>2020</v>
      </c>
      <c r="C29" s="144">
        <v>45250</v>
      </c>
      <c r="D29" s="143">
        <v>0.13</v>
      </c>
      <c r="E29" s="5"/>
      <c r="F29" s="5"/>
    </row>
    <row r="30" spans="1:6">
      <c r="A30" s="178"/>
      <c r="B30" s="143">
        <v>2030</v>
      </c>
      <c r="C30" s="144">
        <v>43900</v>
      </c>
      <c r="D30" s="143">
        <v>0.12</v>
      </c>
      <c r="E30" s="5"/>
      <c r="F30" s="5"/>
    </row>
    <row r="31" spans="1:6">
      <c r="A31" s="178"/>
      <c r="B31" s="143">
        <v>2050</v>
      </c>
      <c r="C31" s="144">
        <v>42500</v>
      </c>
      <c r="D31" s="143">
        <v>0.12</v>
      </c>
      <c r="E31" s="5"/>
      <c r="F31" s="5"/>
    </row>
    <row r="32" spans="1:6">
      <c r="A32" s="178" t="s">
        <v>1175</v>
      </c>
      <c r="B32" s="143">
        <v>2020</v>
      </c>
      <c r="C32" s="144">
        <v>41200</v>
      </c>
      <c r="D32" s="143">
        <v>0.12</v>
      </c>
      <c r="E32" s="5"/>
      <c r="F32" s="5"/>
    </row>
    <row r="33" spans="1:6">
      <c r="A33" s="178"/>
      <c r="B33" s="143">
        <v>2030</v>
      </c>
      <c r="C33" s="144">
        <v>39900</v>
      </c>
      <c r="D33" s="143">
        <v>0.12</v>
      </c>
      <c r="E33" s="5"/>
      <c r="F33" s="5"/>
    </row>
    <row r="34" spans="1:6">
      <c r="A34" s="178"/>
      <c r="B34" s="143">
        <v>2050</v>
      </c>
      <c r="C34" s="144">
        <v>38700</v>
      </c>
      <c r="D34" s="143">
        <v>0.11</v>
      </c>
      <c r="E34" s="5"/>
      <c r="F34" s="5"/>
    </row>
    <row r="35" spans="1:6">
      <c r="A35" s="178" t="s">
        <v>1176</v>
      </c>
      <c r="B35" s="143">
        <v>2020</v>
      </c>
      <c r="C35" s="144">
        <v>56600</v>
      </c>
      <c r="D35" s="143">
        <v>0.11</v>
      </c>
      <c r="E35" s="5"/>
      <c r="F35" s="5"/>
    </row>
    <row r="36" spans="1:6">
      <c r="A36" s="178"/>
      <c r="B36" s="143">
        <v>2030</v>
      </c>
      <c r="C36" s="144">
        <v>54900</v>
      </c>
      <c r="D36" s="143">
        <v>0.11</v>
      </c>
      <c r="E36" s="5"/>
      <c r="F36" s="5"/>
    </row>
    <row r="37" spans="1:6">
      <c r="A37" s="178"/>
      <c r="B37" s="143">
        <v>2050</v>
      </c>
      <c r="C37" s="144">
        <v>53200</v>
      </c>
      <c r="D37" s="143">
        <v>0.1</v>
      </c>
      <c r="E37" s="5"/>
      <c r="F37" s="5"/>
    </row>
    <row r="38" spans="1:6">
      <c r="A38" s="178" t="s">
        <v>1177</v>
      </c>
      <c r="B38" s="143">
        <v>2020</v>
      </c>
      <c r="C38" s="144">
        <v>47600</v>
      </c>
      <c r="D38" s="143">
        <v>3</v>
      </c>
      <c r="E38" s="5"/>
      <c r="F38" s="5"/>
    </row>
    <row r="39" spans="1:6">
      <c r="A39" s="178"/>
      <c r="B39" s="143">
        <v>2030</v>
      </c>
      <c r="C39" s="144">
        <v>43800</v>
      </c>
      <c r="D39" s="143">
        <v>2.8</v>
      </c>
      <c r="E39" s="5"/>
      <c r="F39" s="5"/>
    </row>
    <row r="40" spans="1:6">
      <c r="A40" s="178"/>
      <c r="B40" s="143">
        <v>2050</v>
      </c>
      <c r="C40" s="144">
        <v>37100</v>
      </c>
      <c r="D40" s="143">
        <v>2.4</v>
      </c>
      <c r="E40" s="5"/>
      <c r="F40" s="5"/>
    </row>
    <row r="41" spans="1:6">
      <c r="A41" s="178" t="s">
        <v>1178</v>
      </c>
      <c r="B41" s="143">
        <v>2020</v>
      </c>
      <c r="C41" s="144">
        <v>243700</v>
      </c>
      <c r="D41" s="143">
        <v>24.1</v>
      </c>
      <c r="E41" s="5"/>
      <c r="F41" s="5"/>
    </row>
    <row r="42" spans="1:6">
      <c r="A42" s="178"/>
      <c r="B42" s="143">
        <v>2030</v>
      </c>
      <c r="C42" s="144">
        <v>224800</v>
      </c>
      <c r="D42" s="143">
        <v>23.4</v>
      </c>
      <c r="E42" s="5"/>
      <c r="F42" s="5"/>
    </row>
    <row r="43" spans="1:6">
      <c r="A43" s="178"/>
      <c r="B43" s="143">
        <v>2050</v>
      </c>
      <c r="C43" s="144">
        <v>193500</v>
      </c>
      <c r="D43" s="143">
        <v>22.6</v>
      </c>
      <c r="E43" s="5"/>
      <c r="F43" s="5"/>
    </row>
    <row r="44" spans="1:6">
      <c r="A44" s="178" t="s">
        <v>1179</v>
      </c>
      <c r="B44" s="143">
        <v>2020</v>
      </c>
      <c r="C44" s="144">
        <v>125000</v>
      </c>
      <c r="D44" s="143">
        <v>3</v>
      </c>
      <c r="E44" s="5"/>
      <c r="F44" s="5"/>
    </row>
    <row r="45" spans="1:6">
      <c r="A45" s="178"/>
      <c r="B45" s="143">
        <v>2030</v>
      </c>
      <c r="C45" s="144">
        <v>125000</v>
      </c>
      <c r="D45" s="143">
        <v>3</v>
      </c>
      <c r="E45" s="5"/>
      <c r="F45" s="5"/>
    </row>
    <row r="46" spans="1:6">
      <c r="A46" s="178"/>
      <c r="B46" s="143">
        <v>2050</v>
      </c>
      <c r="C46" s="144">
        <v>125000</v>
      </c>
      <c r="D46" s="143">
        <v>3</v>
      </c>
      <c r="E46" s="5"/>
      <c r="F46" s="5"/>
    </row>
    <row r="47" spans="1:6">
      <c r="A47" s="178" t="s">
        <v>1180</v>
      </c>
      <c r="B47" s="143">
        <v>2020</v>
      </c>
      <c r="C47" s="144">
        <v>97000</v>
      </c>
      <c r="D47" s="143">
        <v>0.11</v>
      </c>
      <c r="E47" s="5"/>
      <c r="F47" s="5"/>
    </row>
    <row r="48" spans="1:6">
      <c r="A48" s="178"/>
      <c r="B48" s="143">
        <v>2030</v>
      </c>
      <c r="C48" s="144">
        <v>89200</v>
      </c>
      <c r="D48" s="143">
        <v>0.1</v>
      </c>
      <c r="E48" s="5"/>
      <c r="F48" s="5"/>
    </row>
    <row r="49" spans="1:6">
      <c r="A49" s="178"/>
      <c r="B49" s="143">
        <v>2050</v>
      </c>
      <c r="C49" s="144">
        <v>77600</v>
      </c>
      <c r="D49" s="143">
        <v>0.1</v>
      </c>
      <c r="E49" s="5"/>
      <c r="F49" s="5"/>
    </row>
    <row r="50" spans="1:6">
      <c r="A50" s="178" t="s">
        <v>1181</v>
      </c>
      <c r="B50" s="143">
        <v>2020</v>
      </c>
      <c r="C50" s="144">
        <v>23200</v>
      </c>
      <c r="D50" s="143">
        <v>0.11</v>
      </c>
    </row>
    <row r="51" spans="1:6">
      <c r="A51" s="178"/>
      <c r="B51" s="143">
        <v>2030</v>
      </c>
      <c r="C51" s="144">
        <v>22500</v>
      </c>
      <c r="D51" s="143">
        <v>0.1</v>
      </c>
    </row>
    <row r="52" spans="1:6">
      <c r="A52" s="178"/>
      <c r="B52" s="143">
        <v>2050</v>
      </c>
      <c r="C52" s="144">
        <v>21800</v>
      </c>
      <c r="D52" s="143">
        <v>0.1</v>
      </c>
    </row>
    <row r="53" spans="1:6">
      <c r="A53" s="178" t="s">
        <v>1182</v>
      </c>
      <c r="B53" s="143">
        <v>2020</v>
      </c>
      <c r="C53" s="144">
        <v>23200</v>
      </c>
      <c r="D53" s="143">
        <v>0.13</v>
      </c>
    </row>
    <row r="54" spans="1:6">
      <c r="A54" s="178"/>
      <c r="B54" s="143">
        <v>2030</v>
      </c>
      <c r="C54" s="144">
        <v>22500</v>
      </c>
      <c r="D54" s="143">
        <v>0.13</v>
      </c>
    </row>
    <row r="55" spans="1:6">
      <c r="A55" s="178"/>
      <c r="B55" s="143">
        <v>2050</v>
      </c>
      <c r="C55" s="144">
        <v>21800</v>
      </c>
      <c r="D55" s="143">
        <v>0.12</v>
      </c>
    </row>
    <row r="56" spans="1:6">
      <c r="A56" s="178" t="s">
        <v>1183</v>
      </c>
      <c r="B56" s="143">
        <v>2020</v>
      </c>
      <c r="C56" s="144">
        <v>8000</v>
      </c>
      <c r="D56" s="143">
        <v>6.4</v>
      </c>
    </row>
    <row r="57" spans="1:6">
      <c r="A57" s="178"/>
      <c r="B57" s="143">
        <v>2030</v>
      </c>
      <c r="C57" s="144">
        <v>8000</v>
      </c>
      <c r="D57" s="143">
        <v>6</v>
      </c>
    </row>
    <row r="58" spans="1:6">
      <c r="A58" s="178"/>
      <c r="B58" s="143">
        <v>2050</v>
      </c>
      <c r="C58" s="144">
        <v>7800</v>
      </c>
      <c r="D58" s="143">
        <v>5.8</v>
      </c>
    </row>
    <row r="59" spans="1:6">
      <c r="A59" s="178" t="s">
        <v>1188</v>
      </c>
      <c r="B59" s="143">
        <v>2020</v>
      </c>
      <c r="C59" s="144">
        <v>59000</v>
      </c>
    </row>
    <row r="60" spans="1:6">
      <c r="A60" s="178"/>
      <c r="B60" s="143">
        <v>2030</v>
      </c>
    </row>
    <row r="61" spans="1:6">
      <c r="A61" s="178"/>
      <c r="B61" s="143">
        <v>2050</v>
      </c>
    </row>
  </sheetData>
  <mergeCells count="20">
    <mergeCell ref="A59:A61"/>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8E29A-FDFA-5D41-A34D-F256828E15FE}">
  <dimension ref="A1:G61"/>
  <sheetViews>
    <sheetView zoomScale="110" zoomScaleNormal="110" workbookViewId="0">
      <selection activeCell="C17" sqref="C17"/>
    </sheetView>
  </sheetViews>
  <sheetFormatPr baseColWidth="10" defaultRowHeight="15"/>
  <cols>
    <col min="1" max="1" width="21" customWidth="1"/>
    <col min="3" max="3" width="21.83203125" customWidth="1"/>
    <col min="4" max="4" width="16.83203125" customWidth="1"/>
  </cols>
  <sheetData>
    <row r="1" spans="1:7">
      <c r="A1" s="140" t="s">
        <v>1161</v>
      </c>
      <c r="B1" s="140" t="s">
        <v>1162</v>
      </c>
      <c r="C1" s="140" t="s">
        <v>1163</v>
      </c>
      <c r="D1" s="140" t="s">
        <v>1164</v>
      </c>
    </row>
    <row r="2" spans="1:7">
      <c r="A2" s="178" t="s">
        <v>1165</v>
      </c>
      <c r="B2" s="143">
        <v>2023</v>
      </c>
      <c r="C2" s="5">
        <v>145000</v>
      </c>
      <c r="D2">
        <v>0.39</v>
      </c>
    </row>
    <row r="3" spans="1:7">
      <c r="A3" s="178"/>
      <c r="B3" s="143">
        <v>2030</v>
      </c>
      <c r="C3" s="5">
        <v>145000</v>
      </c>
      <c r="D3">
        <v>0.39</v>
      </c>
      <c r="G3" s="141"/>
    </row>
    <row r="4" spans="1:7">
      <c r="A4" s="178"/>
      <c r="B4" s="143">
        <v>2050</v>
      </c>
      <c r="C4" s="5">
        <v>145000</v>
      </c>
      <c r="D4">
        <v>0.35</v>
      </c>
      <c r="G4" s="141"/>
    </row>
    <row r="5" spans="1:7">
      <c r="A5" s="178" t="s">
        <v>1167</v>
      </c>
      <c r="B5" s="143">
        <v>2023</v>
      </c>
      <c r="C5" s="141">
        <v>110000</v>
      </c>
      <c r="D5">
        <v>0.27</v>
      </c>
      <c r="G5" s="141"/>
    </row>
    <row r="6" spans="1:7">
      <c r="A6" s="178"/>
      <c r="B6" s="143">
        <v>2030</v>
      </c>
      <c r="C6" s="141">
        <v>110000</v>
      </c>
      <c r="D6">
        <v>0.27</v>
      </c>
    </row>
    <row r="7" spans="1:7">
      <c r="A7" s="178"/>
      <c r="B7" s="143">
        <v>2050</v>
      </c>
      <c r="C7" s="141">
        <v>99000</v>
      </c>
      <c r="D7">
        <v>0.24</v>
      </c>
    </row>
    <row r="8" spans="1:7">
      <c r="A8" s="178" t="s">
        <v>1168</v>
      </c>
      <c r="B8" s="143">
        <v>2023</v>
      </c>
      <c r="C8" s="141">
        <v>60400</v>
      </c>
      <c r="D8">
        <v>0.56999999999999995</v>
      </c>
    </row>
    <row r="9" spans="1:7">
      <c r="A9" s="178"/>
      <c r="B9" s="143">
        <v>2030</v>
      </c>
      <c r="C9" s="141">
        <v>58000</v>
      </c>
      <c r="D9">
        <v>0.55000000000000004</v>
      </c>
    </row>
    <row r="10" spans="1:7">
      <c r="A10" s="178"/>
      <c r="B10" s="143">
        <v>2050</v>
      </c>
      <c r="C10" s="141">
        <v>54000</v>
      </c>
      <c r="D10">
        <v>0.51</v>
      </c>
    </row>
    <row r="11" spans="1:7">
      <c r="A11" s="178" t="s">
        <v>1169</v>
      </c>
      <c r="B11" s="143">
        <v>2023</v>
      </c>
      <c r="C11">
        <v>47800</v>
      </c>
      <c r="D11">
        <v>0.56999999999999995</v>
      </c>
    </row>
    <row r="12" spans="1:7">
      <c r="A12" s="178"/>
      <c r="B12" s="143">
        <v>2030</v>
      </c>
      <c r="C12">
        <v>45800</v>
      </c>
      <c r="D12">
        <v>0.55000000000000004</v>
      </c>
    </row>
    <row r="13" spans="1:7">
      <c r="A13" s="178"/>
      <c r="B13" s="143">
        <v>2050</v>
      </c>
      <c r="C13">
        <v>42500</v>
      </c>
      <c r="D13">
        <v>0.51</v>
      </c>
    </row>
    <row r="14" spans="1:7">
      <c r="A14" s="178" t="s">
        <v>1170</v>
      </c>
      <c r="B14" s="143">
        <v>2023</v>
      </c>
      <c r="C14" s="141">
        <v>43000</v>
      </c>
      <c r="D14">
        <v>0.74</v>
      </c>
    </row>
    <row r="15" spans="1:7">
      <c r="A15" s="178"/>
      <c r="B15" s="143">
        <v>2030</v>
      </c>
      <c r="C15" s="141">
        <v>41000</v>
      </c>
      <c r="D15">
        <v>0.71</v>
      </c>
    </row>
    <row r="16" spans="1:7">
      <c r="A16" s="178"/>
      <c r="B16" s="143">
        <v>2050</v>
      </c>
      <c r="C16" s="141">
        <v>38000</v>
      </c>
      <c r="D16">
        <v>0.66</v>
      </c>
    </row>
    <row r="17" spans="1:4">
      <c r="A17" s="178" t="s">
        <v>1171</v>
      </c>
      <c r="B17" s="143">
        <v>2023</v>
      </c>
      <c r="C17" s="141">
        <v>7500</v>
      </c>
      <c r="D17">
        <v>0</v>
      </c>
    </row>
    <row r="18" spans="1:4">
      <c r="A18" s="178"/>
      <c r="B18" s="143">
        <v>2030</v>
      </c>
      <c r="C18" s="141">
        <v>6800</v>
      </c>
      <c r="D18">
        <v>0</v>
      </c>
    </row>
    <row r="19" spans="1:4">
      <c r="A19" s="178"/>
      <c r="B19" s="143">
        <v>2050</v>
      </c>
      <c r="C19" s="141">
        <v>6100</v>
      </c>
      <c r="D19">
        <v>0</v>
      </c>
    </row>
    <row r="20" spans="1:4">
      <c r="A20" s="178" t="s">
        <v>1172</v>
      </c>
      <c r="B20" s="143">
        <v>2023</v>
      </c>
      <c r="C20" s="141">
        <v>83448</v>
      </c>
      <c r="D20">
        <v>0</v>
      </c>
    </row>
    <row r="21" spans="1:4">
      <c r="A21" s="178"/>
      <c r="B21" s="143">
        <v>2030</v>
      </c>
      <c r="C21" s="141">
        <v>70900</v>
      </c>
      <c r="D21">
        <v>0</v>
      </c>
    </row>
    <row r="22" spans="1:4">
      <c r="A22" s="178"/>
      <c r="B22" s="143">
        <v>2050</v>
      </c>
      <c r="C22" s="141">
        <v>60100</v>
      </c>
      <c r="D22">
        <v>0</v>
      </c>
    </row>
    <row r="23" spans="1:4">
      <c r="A23" s="178" t="s">
        <v>1173</v>
      </c>
      <c r="B23" s="143">
        <v>2023</v>
      </c>
      <c r="C23" s="141">
        <v>40000</v>
      </c>
      <c r="D23">
        <v>0</v>
      </c>
    </row>
    <row r="24" spans="1:4">
      <c r="A24" s="178"/>
      <c r="B24" s="143">
        <v>2030</v>
      </c>
      <c r="C24" s="141">
        <v>36000</v>
      </c>
      <c r="D24">
        <v>0</v>
      </c>
    </row>
    <row r="25" spans="1:4">
      <c r="A25" s="178"/>
      <c r="B25" s="143">
        <v>2050</v>
      </c>
      <c r="C25" s="141">
        <v>30000</v>
      </c>
      <c r="D25">
        <v>0</v>
      </c>
    </row>
    <row r="26" spans="1:4">
      <c r="A26" s="178" t="s">
        <v>728</v>
      </c>
      <c r="B26" s="143">
        <v>2023</v>
      </c>
      <c r="C26" s="141">
        <v>118768</v>
      </c>
      <c r="D26">
        <v>5.5</v>
      </c>
    </row>
    <row r="27" spans="1:4">
      <c r="A27" s="178"/>
      <c r="B27" s="143">
        <v>2030</v>
      </c>
      <c r="C27" s="141">
        <v>99791</v>
      </c>
      <c r="D27">
        <v>4.8</v>
      </c>
    </row>
    <row r="28" spans="1:4">
      <c r="A28" s="178"/>
      <c r="B28" s="143">
        <v>2050</v>
      </c>
      <c r="C28" s="141">
        <v>81290</v>
      </c>
      <c r="D28">
        <v>3.9</v>
      </c>
    </row>
    <row r="29" spans="1:4">
      <c r="A29" s="178" t="s">
        <v>1174</v>
      </c>
      <c r="B29" s="143">
        <v>2023</v>
      </c>
      <c r="C29" s="141">
        <v>51600</v>
      </c>
      <c r="D29">
        <v>1.5</v>
      </c>
    </row>
    <row r="30" spans="1:4">
      <c r="A30" s="178"/>
      <c r="B30" s="143">
        <v>2030</v>
      </c>
      <c r="C30" s="141">
        <v>50000</v>
      </c>
      <c r="D30">
        <v>1.45</v>
      </c>
    </row>
    <row r="31" spans="1:4">
      <c r="A31" s="178"/>
      <c r="B31" s="143">
        <v>2050</v>
      </c>
      <c r="C31" s="141">
        <v>48550</v>
      </c>
      <c r="D31">
        <v>1.4</v>
      </c>
    </row>
    <row r="32" spans="1:4">
      <c r="A32" s="178" t="s">
        <v>1175</v>
      </c>
      <c r="B32" s="143">
        <v>2023</v>
      </c>
      <c r="C32" s="141">
        <v>47000</v>
      </c>
      <c r="D32">
        <v>1.4</v>
      </c>
    </row>
    <row r="33" spans="1:4">
      <c r="A33" s="178"/>
      <c r="B33" s="143">
        <v>2030</v>
      </c>
      <c r="C33" s="141">
        <v>45600</v>
      </c>
      <c r="D33">
        <v>1.35</v>
      </c>
    </row>
    <row r="34" spans="1:4">
      <c r="A34" s="178"/>
      <c r="B34" s="143">
        <v>2050</v>
      </c>
      <c r="C34" s="141">
        <v>44100</v>
      </c>
      <c r="D34">
        <v>1.3</v>
      </c>
    </row>
    <row r="35" spans="1:4">
      <c r="A35" s="178" t="s">
        <v>1176</v>
      </c>
      <c r="B35" s="143">
        <v>2023</v>
      </c>
      <c r="C35" s="141">
        <v>64500</v>
      </c>
      <c r="D35">
        <v>1.25</v>
      </c>
    </row>
    <row r="36" spans="1:4">
      <c r="A36" s="178"/>
      <c r="B36" s="143">
        <v>2030</v>
      </c>
      <c r="C36" s="141">
        <v>62500</v>
      </c>
      <c r="D36">
        <v>1.2</v>
      </c>
    </row>
    <row r="37" spans="1:4">
      <c r="A37" s="178"/>
      <c r="B37" s="143">
        <v>2050</v>
      </c>
      <c r="C37" s="141">
        <v>60600</v>
      </c>
      <c r="D37">
        <v>1.1499999999999999</v>
      </c>
    </row>
    <row r="38" spans="1:4">
      <c r="A38" s="178" t="s">
        <v>1177</v>
      </c>
      <c r="B38" s="143">
        <v>2023</v>
      </c>
      <c r="C38" s="141">
        <v>54000</v>
      </c>
      <c r="D38">
        <v>3.4</v>
      </c>
    </row>
    <row r="39" spans="1:4">
      <c r="A39" s="178"/>
      <c r="B39" s="143">
        <v>2030</v>
      </c>
      <c r="C39" s="141">
        <v>49700</v>
      </c>
      <c r="D39">
        <v>3.13</v>
      </c>
    </row>
    <row r="40" spans="1:4">
      <c r="A40" s="178"/>
      <c r="B40" s="143">
        <v>2050</v>
      </c>
      <c r="C40" s="141">
        <v>43200</v>
      </c>
      <c r="D40">
        <v>2.72</v>
      </c>
    </row>
    <row r="41" spans="1:4">
      <c r="A41" s="178" t="s">
        <v>1178</v>
      </c>
      <c r="B41" s="143">
        <v>2023</v>
      </c>
      <c r="C41" s="141">
        <v>277818</v>
      </c>
      <c r="D41">
        <v>27.5</v>
      </c>
    </row>
    <row r="42" spans="1:4">
      <c r="A42" s="178"/>
      <c r="B42" s="143">
        <v>2030</v>
      </c>
      <c r="C42" s="141">
        <v>238288</v>
      </c>
      <c r="D42">
        <v>24.8</v>
      </c>
    </row>
    <row r="43" spans="1:4">
      <c r="A43" s="178"/>
      <c r="B43" s="143">
        <v>2050</v>
      </c>
      <c r="C43" s="141">
        <v>205110</v>
      </c>
      <c r="D43">
        <v>23.9</v>
      </c>
    </row>
    <row r="44" spans="1:4">
      <c r="A44" s="178" t="s">
        <v>1179</v>
      </c>
      <c r="B44" s="143">
        <v>2023</v>
      </c>
      <c r="C44" s="141">
        <v>142500</v>
      </c>
      <c r="D44">
        <v>15.4</v>
      </c>
    </row>
    <row r="45" spans="1:4">
      <c r="A45" s="178"/>
      <c r="B45" s="143">
        <v>2030</v>
      </c>
      <c r="C45" s="141">
        <v>142500</v>
      </c>
      <c r="D45">
        <v>15.4</v>
      </c>
    </row>
    <row r="46" spans="1:4">
      <c r="A46" s="178"/>
      <c r="B46" s="143">
        <v>2050</v>
      </c>
      <c r="C46" s="141">
        <v>142500</v>
      </c>
      <c r="D46">
        <v>15.4</v>
      </c>
    </row>
    <row r="47" spans="1:4">
      <c r="A47" s="178" t="s">
        <v>1180</v>
      </c>
      <c r="B47" s="143">
        <v>2023</v>
      </c>
      <c r="C47" s="141">
        <v>110580</v>
      </c>
      <c r="D47">
        <v>0.13</v>
      </c>
    </row>
    <row r="48" spans="1:4">
      <c r="A48" s="178"/>
      <c r="B48" s="143">
        <v>2030</v>
      </c>
      <c r="C48" s="141">
        <v>101700</v>
      </c>
      <c r="D48">
        <v>0.12</v>
      </c>
    </row>
    <row r="49" spans="1:4">
      <c r="A49" s="178"/>
      <c r="B49" s="143">
        <v>2050</v>
      </c>
      <c r="C49" s="141">
        <v>88500</v>
      </c>
      <c r="D49">
        <v>0.1</v>
      </c>
    </row>
    <row r="50" spans="1:4">
      <c r="A50" s="178" t="s">
        <v>1181</v>
      </c>
      <c r="B50" s="143">
        <v>2023</v>
      </c>
      <c r="C50">
        <v>26500</v>
      </c>
      <c r="D50">
        <v>3.6</v>
      </c>
    </row>
    <row r="51" spans="1:4">
      <c r="A51" s="178"/>
      <c r="B51" s="143">
        <v>2030</v>
      </c>
      <c r="C51">
        <v>25700</v>
      </c>
      <c r="D51">
        <v>3.5</v>
      </c>
    </row>
    <row r="52" spans="1:4">
      <c r="A52" s="178"/>
      <c r="B52" s="143">
        <v>2050</v>
      </c>
      <c r="C52">
        <v>24900</v>
      </c>
      <c r="D52">
        <v>3.4</v>
      </c>
    </row>
    <row r="53" spans="1:4">
      <c r="A53" s="178" t="s">
        <v>1182</v>
      </c>
      <c r="B53" s="143">
        <v>2023</v>
      </c>
      <c r="C53">
        <v>26800</v>
      </c>
      <c r="D53">
        <v>2.6</v>
      </c>
    </row>
    <row r="54" spans="1:4">
      <c r="A54" s="178"/>
      <c r="B54" s="143">
        <v>2030</v>
      </c>
      <c r="C54">
        <v>26000</v>
      </c>
      <c r="D54">
        <v>2.5</v>
      </c>
    </row>
    <row r="55" spans="1:4">
      <c r="A55" s="178"/>
      <c r="B55" s="143">
        <v>2050</v>
      </c>
      <c r="C55">
        <v>25200</v>
      </c>
      <c r="D55">
        <v>2.4</v>
      </c>
    </row>
    <row r="56" spans="1:4">
      <c r="A56" s="178" t="s">
        <v>1183</v>
      </c>
      <c r="B56" s="143">
        <v>2023</v>
      </c>
      <c r="C56">
        <v>9120</v>
      </c>
      <c r="D56">
        <v>7.3</v>
      </c>
    </row>
    <row r="57" spans="1:4">
      <c r="A57" s="178"/>
      <c r="B57" s="143">
        <v>2030</v>
      </c>
      <c r="C57">
        <v>9120</v>
      </c>
      <c r="D57">
        <v>6.84</v>
      </c>
    </row>
    <row r="58" spans="1:4">
      <c r="A58" s="178"/>
      <c r="B58" s="143">
        <v>2050</v>
      </c>
      <c r="C58">
        <v>8847</v>
      </c>
      <c r="D58">
        <v>6.61</v>
      </c>
    </row>
    <row r="59" spans="1:4">
      <c r="A59" s="178" t="s">
        <v>1188</v>
      </c>
      <c r="B59" s="143">
        <v>2023</v>
      </c>
      <c r="C59" s="148">
        <v>59000</v>
      </c>
      <c r="D59">
        <v>4.96</v>
      </c>
    </row>
    <row r="60" spans="1:4">
      <c r="A60" s="178"/>
      <c r="B60" s="143">
        <v>2030</v>
      </c>
      <c r="C60">
        <v>50200</v>
      </c>
      <c r="D60">
        <v>4.3600000000000003</v>
      </c>
    </row>
    <row r="61" spans="1:4">
      <c r="A61" s="178"/>
      <c r="B61" s="143">
        <v>2050</v>
      </c>
      <c r="C61">
        <v>37800</v>
      </c>
      <c r="D61">
        <v>3.26</v>
      </c>
    </row>
  </sheetData>
  <mergeCells count="20">
    <mergeCell ref="A59:A61"/>
    <mergeCell ref="A56:A58"/>
    <mergeCell ref="A38:A40"/>
    <mergeCell ref="A41:A43"/>
    <mergeCell ref="A44:A46"/>
    <mergeCell ref="A47:A49"/>
    <mergeCell ref="A50:A52"/>
    <mergeCell ref="A53:A55"/>
    <mergeCell ref="A35:A37"/>
    <mergeCell ref="A2:A4"/>
    <mergeCell ref="A5:A7"/>
    <mergeCell ref="A8:A10"/>
    <mergeCell ref="A11:A13"/>
    <mergeCell ref="A14:A16"/>
    <mergeCell ref="A17:A19"/>
    <mergeCell ref="A20:A22"/>
    <mergeCell ref="A23:A25"/>
    <mergeCell ref="A26:A28"/>
    <mergeCell ref="A29:A31"/>
    <mergeCell ref="A32:A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78"/>
  <sheetViews>
    <sheetView zoomScale="110" zoomScaleNormal="110" workbookViewId="0">
      <selection activeCell="B22" sqref="B22:E37"/>
    </sheetView>
  </sheetViews>
  <sheetFormatPr baseColWidth="10" defaultRowHeight="15"/>
  <cols>
    <col min="1" max="1" width="29.1640625" customWidth="1"/>
  </cols>
  <sheetData>
    <row r="1" spans="1:5">
      <c r="A1" s="140" t="s">
        <v>1184</v>
      </c>
      <c r="B1" s="142">
        <v>2020</v>
      </c>
      <c r="C1" s="142">
        <v>2023</v>
      </c>
      <c r="D1" s="142">
        <v>2030</v>
      </c>
      <c r="E1" s="142">
        <v>2050</v>
      </c>
    </row>
    <row r="2" spans="1:5">
      <c r="A2" s="125" t="s">
        <v>1114</v>
      </c>
      <c r="B2" s="145">
        <f>B43*$B$60</f>
        <v>39238.095238095237</v>
      </c>
      <c r="C2" s="145">
        <f t="shared" ref="C2:E2" si="0">C43*$B$60</f>
        <v>44761.904761904756</v>
      </c>
      <c r="D2" s="145">
        <f t="shared" si="0"/>
        <v>43428.571428571428</v>
      </c>
      <c r="E2" s="145">
        <f t="shared" si="0"/>
        <v>42000</v>
      </c>
    </row>
    <row r="3" spans="1:5">
      <c r="A3" s="125" t="s">
        <v>1115</v>
      </c>
      <c r="B3" s="145">
        <f t="shared" ref="B3:E3" si="1">B44*$B$60</f>
        <v>39142.857142857138</v>
      </c>
      <c r="C3" s="145">
        <f t="shared" si="1"/>
        <v>40714.28571428571</v>
      </c>
      <c r="D3" s="145">
        <f t="shared" si="1"/>
        <v>36142.857142857138</v>
      </c>
      <c r="E3" s="145">
        <f t="shared" si="1"/>
        <v>29857.142857142855</v>
      </c>
    </row>
    <row r="4" spans="1:5">
      <c r="A4" s="125" t="s">
        <v>1137</v>
      </c>
      <c r="B4" s="145">
        <f t="shared" ref="B4:E4" si="2">B45*$B$60</f>
        <v>119047.61904761904</v>
      </c>
      <c r="C4" s="145">
        <f t="shared" si="2"/>
        <v>120952.38095238095</v>
      </c>
      <c r="D4" s="145">
        <f t="shared" si="2"/>
        <v>114285.71428571428</v>
      </c>
      <c r="E4" s="145">
        <f t="shared" si="2"/>
        <v>107619.04761904762</v>
      </c>
    </row>
    <row r="5" spans="1:5">
      <c r="A5" s="125" t="s">
        <v>1116</v>
      </c>
      <c r="B5" s="145">
        <f t="shared" ref="B5:E5" si="3">B46*$B$60</f>
        <v>35904.761904761901</v>
      </c>
      <c r="C5" s="145">
        <f t="shared" si="3"/>
        <v>40952.380952380947</v>
      </c>
      <c r="D5" s="145">
        <f t="shared" si="3"/>
        <v>39047.619047619046</v>
      </c>
      <c r="E5" s="145">
        <f t="shared" si="3"/>
        <v>36190.476190476191</v>
      </c>
    </row>
    <row r="6" spans="1:5">
      <c r="A6" s="125" t="s">
        <v>1117</v>
      </c>
      <c r="B6" s="145">
        <f t="shared" ref="B6:E6" si="4">B47*$B$60</f>
        <v>57142.857142857138</v>
      </c>
      <c r="C6" s="145">
        <f t="shared" si="4"/>
        <v>38095.238095238092</v>
      </c>
      <c r="D6" s="145">
        <f t="shared" si="4"/>
        <v>34285.714285714283</v>
      </c>
      <c r="E6" s="145">
        <f t="shared" si="4"/>
        <v>28571.428571428569</v>
      </c>
    </row>
    <row r="7" spans="1:5">
      <c r="A7" s="125" t="s">
        <v>1118</v>
      </c>
      <c r="B7" s="145">
        <f t="shared" ref="B7:E7" si="5">B48*$B$60</f>
        <v>14285.714285714284</v>
      </c>
      <c r="C7" s="145">
        <f t="shared" si="5"/>
        <v>7142.8571428571422</v>
      </c>
      <c r="D7" s="145">
        <f t="shared" si="5"/>
        <v>6476.1904761904761</v>
      </c>
      <c r="E7" s="145">
        <f t="shared" si="5"/>
        <v>5809.5238095238092</v>
      </c>
    </row>
    <row r="8" spans="1:5">
      <c r="A8" s="125" t="s">
        <v>1186</v>
      </c>
      <c r="B8" s="145">
        <f t="shared" ref="B8:E8" si="6">B49*$B$60</f>
        <v>4889025.6520339139</v>
      </c>
      <c r="C8" s="145">
        <f t="shared" si="6"/>
        <v>4766993.6245572707</v>
      </c>
      <c r="D8" s="145">
        <f t="shared" si="6"/>
        <v>4482252.2271117279</v>
      </c>
      <c r="E8" s="145">
        <f t="shared" si="6"/>
        <v>3668705.3772673574</v>
      </c>
    </row>
    <row r="9" spans="1:5">
      <c r="A9" s="125" t="s">
        <v>1119</v>
      </c>
      <c r="B9" s="145">
        <f t="shared" ref="B9:E9" si="7">B50*$B$60</f>
        <v>45333.333333333328</v>
      </c>
      <c r="C9" s="145">
        <f t="shared" si="7"/>
        <v>51428.571428571428</v>
      </c>
      <c r="D9" s="145">
        <f t="shared" si="7"/>
        <v>47333.333333333328</v>
      </c>
      <c r="E9" s="145">
        <f t="shared" si="7"/>
        <v>41142.857142857138</v>
      </c>
    </row>
    <row r="10" spans="1:5">
      <c r="A10" s="125" t="s">
        <v>1120</v>
      </c>
      <c r="B10" s="145">
        <f t="shared" ref="B10:E10" si="8">B51*$B$60</f>
        <v>17142.857142857141</v>
      </c>
      <c r="C10" s="145">
        <f t="shared" si="8"/>
        <v>104761.90476190476</v>
      </c>
      <c r="D10" s="145">
        <f t="shared" si="8"/>
        <v>104761.90476190476</v>
      </c>
      <c r="E10" s="145">
        <f t="shared" si="8"/>
        <v>94285.714285714275</v>
      </c>
    </row>
    <row r="11" spans="1:5">
      <c r="A11" s="125" t="s">
        <v>1121</v>
      </c>
      <c r="B11" s="145">
        <f t="shared" ref="B11:E11" si="9">B52*$B$60</f>
        <v>7619.0476190476184</v>
      </c>
      <c r="C11" s="145">
        <f t="shared" si="9"/>
        <v>8685.7142857142844</v>
      </c>
      <c r="D11" s="145">
        <f t="shared" si="9"/>
        <v>8685.7142857142844</v>
      </c>
      <c r="E11" s="145">
        <f t="shared" si="9"/>
        <v>8425.7142857142844</v>
      </c>
    </row>
    <row r="12" spans="1:5">
      <c r="A12" s="125" t="s">
        <v>1122</v>
      </c>
      <c r="B12" s="145">
        <f t="shared" ref="B12:E12" si="10">B53*$B$60</f>
        <v>22095.238095238095</v>
      </c>
      <c r="C12" s="145">
        <f t="shared" si="10"/>
        <v>25523.809523809523</v>
      </c>
      <c r="D12" s="145">
        <f t="shared" si="10"/>
        <v>24761.90476190476</v>
      </c>
      <c r="E12" s="145">
        <f t="shared" si="10"/>
        <v>24000</v>
      </c>
    </row>
    <row r="13" spans="1:5">
      <c r="A13" s="125" t="s">
        <v>1123</v>
      </c>
      <c r="B13" s="145">
        <f t="shared" ref="B13:E13" si="11">B54*$B$60</f>
        <v>39238.095238095237</v>
      </c>
      <c r="C13" s="145">
        <f t="shared" si="11"/>
        <v>44761.904761904756</v>
      </c>
      <c r="D13" s="145">
        <f t="shared" si="11"/>
        <v>43428.571428571428</v>
      </c>
      <c r="E13" s="145">
        <f t="shared" si="11"/>
        <v>42000</v>
      </c>
    </row>
    <row r="14" spans="1:5">
      <c r="A14" s="125" t="s">
        <v>1124</v>
      </c>
      <c r="B14" s="145">
        <f t="shared" ref="B14:E14" si="12">B55*$B$60</f>
        <v>69142.857142857145</v>
      </c>
      <c r="C14" s="145">
        <f t="shared" si="12"/>
        <v>113112.38095238095</v>
      </c>
      <c r="D14" s="145">
        <f t="shared" si="12"/>
        <v>95039.047619047618</v>
      </c>
      <c r="E14" s="145">
        <f t="shared" si="12"/>
        <v>77419.047619047618</v>
      </c>
    </row>
    <row r="15" spans="1:5">
      <c r="A15" s="125" t="s">
        <v>1125</v>
      </c>
      <c r="B15" s="145">
        <f t="shared" ref="B15:E15" si="13">B56*$B$60</f>
        <v>7619.0476190476184</v>
      </c>
      <c r="C15" s="145">
        <f t="shared" si="13"/>
        <v>8685.7142857142844</v>
      </c>
      <c r="D15" s="145">
        <f t="shared" si="13"/>
        <v>8685.7142857142844</v>
      </c>
      <c r="E15" s="145">
        <f t="shared" si="13"/>
        <v>8425.7142857142844</v>
      </c>
    </row>
    <row r="16" spans="1:5">
      <c r="A16" s="125" t="s">
        <v>1126</v>
      </c>
      <c r="B16" s="145">
        <f t="shared" ref="B16:E16" si="14">B57*$B$60</f>
        <v>7619.0476190476184</v>
      </c>
      <c r="C16" s="145">
        <f t="shared" si="14"/>
        <v>8685.7142857142844</v>
      </c>
      <c r="D16" s="145">
        <f t="shared" si="14"/>
        <v>8685.7142857142844</v>
      </c>
      <c r="E16" s="145">
        <f t="shared" si="14"/>
        <v>8425.7142857142844</v>
      </c>
    </row>
    <row r="17" spans="1:5">
      <c r="A17" s="125" t="s">
        <v>1127</v>
      </c>
      <c r="B17" s="145">
        <f t="shared" ref="B17:E17" si="15">B58*$B$60</f>
        <v>119047.61904761904</v>
      </c>
      <c r="C17" s="145">
        <f t="shared" si="15"/>
        <v>135714.28571428571</v>
      </c>
      <c r="D17" s="145">
        <f t="shared" si="15"/>
        <v>135714.28571428571</v>
      </c>
      <c r="E17" s="145">
        <f t="shared" si="15"/>
        <v>135714.28571428571</v>
      </c>
    </row>
    <row r="21" spans="1:5">
      <c r="A21" s="140" t="s">
        <v>1185</v>
      </c>
      <c r="B21" s="142">
        <v>2020</v>
      </c>
      <c r="C21" s="142">
        <v>2023</v>
      </c>
      <c r="D21" s="142">
        <v>2030</v>
      </c>
      <c r="E21" s="142">
        <v>2050</v>
      </c>
    </row>
    <row r="22" spans="1:5">
      <c r="A22" s="125" t="s">
        <v>1114</v>
      </c>
      <c r="B22" s="146">
        <f>B63*$B$60</f>
        <v>0.10476190476190475</v>
      </c>
      <c r="C22" s="146">
        <f t="shared" ref="C22:E22" si="16">C63*$B$60</f>
        <v>1.1904761904761905</v>
      </c>
      <c r="D22" s="146">
        <f t="shared" si="16"/>
        <v>1.1428571428571428</v>
      </c>
      <c r="E22" s="146">
        <f t="shared" si="16"/>
        <v>1.0952380952380951</v>
      </c>
    </row>
    <row r="23" spans="1:5">
      <c r="A23" s="125" t="s">
        <v>1115</v>
      </c>
      <c r="B23" s="146">
        <f t="shared" ref="B23:E23" si="17">B64*$B$60</f>
        <v>0.10476190476190475</v>
      </c>
      <c r="C23" s="146">
        <f t="shared" si="17"/>
        <v>3.4285714285714284</v>
      </c>
      <c r="D23" s="146">
        <f t="shared" si="17"/>
        <v>3.333333333333333</v>
      </c>
      <c r="E23" s="146">
        <f t="shared" si="17"/>
        <v>3.2380952380952377</v>
      </c>
    </row>
    <row r="24" spans="1:5">
      <c r="A24" s="125" t="s">
        <v>1137</v>
      </c>
      <c r="B24" s="146">
        <f t="shared" ref="B24:E24" si="18">B65*$B$60</f>
        <v>2.8571428571428568</v>
      </c>
      <c r="C24" s="146">
        <f t="shared" si="18"/>
        <v>2.2857142857142856</v>
      </c>
      <c r="D24" s="146">
        <f t="shared" si="18"/>
        <v>2.1904761904761902</v>
      </c>
      <c r="E24" s="146">
        <f t="shared" si="18"/>
        <v>2.0952380952380953</v>
      </c>
    </row>
    <row r="25" spans="1:5">
      <c r="A25" s="125" t="s">
        <v>1116</v>
      </c>
      <c r="B25" s="146">
        <f t="shared" ref="B25:E25" si="19">B66*$B$60</f>
        <v>0.61904761904761907</v>
      </c>
      <c r="C25" s="146">
        <f t="shared" si="19"/>
        <v>0.7047619047619047</v>
      </c>
      <c r="D25" s="146">
        <f t="shared" si="19"/>
        <v>0.67619047619047612</v>
      </c>
      <c r="E25" s="146">
        <f t="shared" si="19"/>
        <v>0.62857142857142856</v>
      </c>
    </row>
    <row r="26" spans="1:5">
      <c r="A26" s="125" t="s">
        <v>1117</v>
      </c>
      <c r="B26" s="146">
        <f t="shared" ref="B26:E26" si="20">B67*$B$60</f>
        <v>0</v>
      </c>
      <c r="C26" s="146">
        <f t="shared" si="20"/>
        <v>0</v>
      </c>
      <c r="D26" s="146">
        <f t="shared" si="20"/>
        <v>0</v>
      </c>
      <c r="E26" s="146">
        <f t="shared" si="20"/>
        <v>0</v>
      </c>
    </row>
    <row r="27" spans="1:5">
      <c r="A27" s="125" t="s">
        <v>1118</v>
      </c>
      <c r="B27" s="146">
        <f t="shared" ref="B27:E27" si="21">B68*$B$60</f>
        <v>0</v>
      </c>
      <c r="C27" s="146">
        <f t="shared" si="21"/>
        <v>0</v>
      </c>
      <c r="D27" s="146">
        <f t="shared" si="21"/>
        <v>0</v>
      </c>
      <c r="E27" s="146">
        <f t="shared" si="21"/>
        <v>0</v>
      </c>
    </row>
    <row r="28" spans="1:5">
      <c r="A28" s="125" t="s">
        <v>1186</v>
      </c>
      <c r="B28" s="146">
        <f t="shared" ref="B28:E28" si="22">B69*$B$60</f>
        <v>0</v>
      </c>
      <c r="C28" s="146">
        <f t="shared" si="22"/>
        <v>0</v>
      </c>
      <c r="D28" s="146">
        <f t="shared" si="22"/>
        <v>0</v>
      </c>
      <c r="E28" s="146">
        <f t="shared" si="22"/>
        <v>0</v>
      </c>
    </row>
    <row r="29" spans="1:5">
      <c r="A29" s="125" t="s">
        <v>1119</v>
      </c>
      <c r="B29" s="146">
        <f t="shared" ref="B29:E29" si="23">B70*$B$60</f>
        <v>2.8571428571428568</v>
      </c>
      <c r="C29" s="146">
        <f t="shared" si="23"/>
        <v>3.2380952380952377</v>
      </c>
      <c r="D29" s="146">
        <f t="shared" si="23"/>
        <v>2.9809523809523806</v>
      </c>
      <c r="E29" s="146">
        <f t="shared" si="23"/>
        <v>2.5904761904761906</v>
      </c>
    </row>
    <row r="30" spans="1:5">
      <c r="A30" s="125" t="s">
        <v>1120</v>
      </c>
      <c r="B30" s="146">
        <f t="shared" ref="B30:E30" si="24">B71*$B$60</f>
        <v>0.23809523809523808</v>
      </c>
      <c r="C30" s="146">
        <f t="shared" si="24"/>
        <v>0.25714285714285717</v>
      </c>
      <c r="D30" s="146">
        <f t="shared" si="24"/>
        <v>0.25714285714285717</v>
      </c>
      <c r="E30" s="146">
        <f t="shared" si="24"/>
        <v>0.22857142857142854</v>
      </c>
    </row>
    <row r="31" spans="1:5">
      <c r="A31" s="125" t="s">
        <v>1121</v>
      </c>
      <c r="B31" s="146">
        <f t="shared" ref="B31:E31" si="25">B72*$B$60</f>
        <v>6.0952380952380949</v>
      </c>
      <c r="C31" s="146">
        <f t="shared" si="25"/>
        <v>6.9523809523809517</v>
      </c>
      <c r="D31" s="146">
        <f t="shared" si="25"/>
        <v>6.5142857142857133</v>
      </c>
      <c r="E31" s="146">
        <f t="shared" si="25"/>
        <v>6.2952380952380951</v>
      </c>
    </row>
    <row r="32" spans="1:5">
      <c r="A32" s="125" t="s">
        <v>1122</v>
      </c>
      <c r="B32" s="146">
        <f t="shared" ref="B32:E32" si="26">B73*$B$60</f>
        <v>0.12380952380952381</v>
      </c>
      <c r="C32" s="146">
        <f t="shared" si="26"/>
        <v>2.4761904761904763</v>
      </c>
      <c r="D32" s="146">
        <f t="shared" si="26"/>
        <v>2.3809523809523809</v>
      </c>
      <c r="E32" s="146">
        <f t="shared" si="26"/>
        <v>2.2857142857142856</v>
      </c>
    </row>
    <row r="33" spans="1:5">
      <c r="A33" s="125" t="s">
        <v>1123</v>
      </c>
      <c r="B33" s="146">
        <f t="shared" ref="B33:E33" si="27">B74*$B$60</f>
        <v>0.10476190476190475</v>
      </c>
      <c r="C33" s="146">
        <f t="shared" si="27"/>
        <v>1.1904761904761905</v>
      </c>
      <c r="D33" s="146">
        <f t="shared" si="27"/>
        <v>1.1428571428571428</v>
      </c>
      <c r="E33" s="146">
        <f t="shared" si="27"/>
        <v>1.0952380952380951</v>
      </c>
    </row>
    <row r="34" spans="1:5">
      <c r="A34" s="125" t="s">
        <v>1124</v>
      </c>
      <c r="B34" s="146">
        <f t="shared" ref="B34:E34" si="28">B75*$B$60</f>
        <v>0</v>
      </c>
      <c r="C34" s="146">
        <f t="shared" si="28"/>
        <v>0</v>
      </c>
      <c r="D34" s="146">
        <f t="shared" si="28"/>
        <v>0</v>
      </c>
      <c r="E34" s="146">
        <f t="shared" si="28"/>
        <v>0</v>
      </c>
    </row>
    <row r="35" spans="1:5">
      <c r="A35" s="125" t="s">
        <v>1125</v>
      </c>
      <c r="B35" s="146">
        <f t="shared" ref="B35:E35" si="29">B76*$B$60</f>
        <v>6.0952380952380949</v>
      </c>
      <c r="C35" s="146">
        <f t="shared" si="29"/>
        <v>6.9523809523809517</v>
      </c>
      <c r="D35" s="146">
        <f t="shared" si="29"/>
        <v>6.5142857142857133</v>
      </c>
      <c r="E35" s="146">
        <f t="shared" si="29"/>
        <v>6.2952380952380951</v>
      </c>
    </row>
    <row r="36" spans="1:5">
      <c r="A36" s="125" t="s">
        <v>1126</v>
      </c>
      <c r="B36" s="146">
        <f t="shared" ref="B36:E36" si="30">B77*$B$60</f>
        <v>6.0952380952380949</v>
      </c>
      <c r="C36" s="146">
        <f t="shared" si="30"/>
        <v>6.9523809523809517</v>
      </c>
      <c r="D36" s="146">
        <f t="shared" si="30"/>
        <v>6.5142857142857133</v>
      </c>
      <c r="E36" s="146">
        <f t="shared" si="30"/>
        <v>6.2952380952380951</v>
      </c>
    </row>
    <row r="37" spans="1:5">
      <c r="A37" s="125" t="s">
        <v>1127</v>
      </c>
      <c r="B37" s="146">
        <f t="shared" ref="B37:E37" si="31">B78*$B$60</f>
        <v>2.8571428571428568</v>
      </c>
      <c r="C37" s="146">
        <f t="shared" si="31"/>
        <v>14.666666666666666</v>
      </c>
      <c r="D37" s="146">
        <f t="shared" si="31"/>
        <v>14.666666666666666</v>
      </c>
      <c r="E37" s="146">
        <f t="shared" si="31"/>
        <v>14.666666666666666</v>
      </c>
    </row>
    <row r="42" spans="1:5">
      <c r="A42" t="s">
        <v>1184</v>
      </c>
      <c r="B42">
        <v>2020</v>
      </c>
      <c r="C42">
        <v>2023</v>
      </c>
      <c r="D42">
        <v>2030</v>
      </c>
      <c r="E42">
        <v>2050</v>
      </c>
    </row>
    <row r="43" spans="1:5">
      <c r="A43" t="s">
        <v>1114</v>
      </c>
      <c r="B43" s="147">
        <v>41200</v>
      </c>
      <c r="C43" s="147">
        <v>47000</v>
      </c>
      <c r="D43" s="147">
        <v>45600</v>
      </c>
      <c r="E43" s="147">
        <v>44100</v>
      </c>
    </row>
    <row r="44" spans="1:5">
      <c r="A44" t="s">
        <v>1115</v>
      </c>
      <c r="B44" s="147">
        <v>41100</v>
      </c>
      <c r="C44" s="147">
        <v>42750</v>
      </c>
      <c r="D44" s="147">
        <v>37950</v>
      </c>
      <c r="E44" s="147">
        <v>31350</v>
      </c>
    </row>
    <row r="45" spans="1:5">
      <c r="A45" t="s">
        <v>1137</v>
      </c>
      <c r="B45" s="147">
        <v>125000</v>
      </c>
      <c r="C45" s="147">
        <v>127000</v>
      </c>
      <c r="D45" s="147">
        <v>120000</v>
      </c>
      <c r="E45" s="147">
        <v>113000</v>
      </c>
    </row>
    <row r="46" spans="1:5">
      <c r="A46" t="s">
        <v>1116</v>
      </c>
      <c r="B46" s="147">
        <v>37700</v>
      </c>
      <c r="C46" s="147">
        <v>43000</v>
      </c>
      <c r="D46" s="147">
        <v>41000</v>
      </c>
      <c r="E46" s="147">
        <v>38000</v>
      </c>
    </row>
    <row r="47" spans="1:5">
      <c r="A47" t="s">
        <v>1117</v>
      </c>
      <c r="B47" s="147">
        <v>60000</v>
      </c>
      <c r="C47" s="147">
        <v>40000</v>
      </c>
      <c r="D47" s="147">
        <v>36000</v>
      </c>
      <c r="E47" s="147">
        <v>30000</v>
      </c>
    </row>
    <row r="48" spans="1:5">
      <c r="A48" t="s">
        <v>1118</v>
      </c>
      <c r="B48" s="147">
        <v>15000</v>
      </c>
      <c r="C48" s="147">
        <v>7500</v>
      </c>
      <c r="D48" s="147">
        <v>6800</v>
      </c>
      <c r="E48" s="147">
        <v>6100</v>
      </c>
    </row>
    <row r="49" spans="1:5">
      <c r="A49" t="s">
        <v>1186</v>
      </c>
      <c r="B49" s="147">
        <v>5133476.9346356094</v>
      </c>
      <c r="C49" s="147">
        <v>5005343.3057851344</v>
      </c>
      <c r="D49" s="147">
        <v>4706364.8384673148</v>
      </c>
      <c r="E49" s="147">
        <v>3852140.6461307257</v>
      </c>
    </row>
    <row r="50" spans="1:5">
      <c r="A50" t="s">
        <v>1119</v>
      </c>
      <c r="B50" s="147">
        <v>47600</v>
      </c>
      <c r="C50" s="147">
        <v>54000</v>
      </c>
      <c r="D50" s="147">
        <v>49700</v>
      </c>
      <c r="E50" s="147">
        <v>43200</v>
      </c>
    </row>
    <row r="51" spans="1:5">
      <c r="A51" t="s">
        <v>1120</v>
      </c>
      <c r="B51" s="147">
        <v>18000</v>
      </c>
      <c r="C51" s="147">
        <v>110000</v>
      </c>
      <c r="D51" s="147">
        <v>110000</v>
      </c>
      <c r="E51" s="147">
        <v>99000</v>
      </c>
    </row>
    <row r="52" spans="1:5">
      <c r="A52" t="s">
        <v>1121</v>
      </c>
      <c r="B52" s="147">
        <v>8000</v>
      </c>
      <c r="C52" s="147">
        <v>9120</v>
      </c>
      <c r="D52" s="147">
        <v>9120</v>
      </c>
      <c r="E52" s="147">
        <v>8847</v>
      </c>
    </row>
    <row r="53" spans="1:5">
      <c r="A53" t="s">
        <v>1122</v>
      </c>
      <c r="B53" s="147">
        <v>23200</v>
      </c>
      <c r="C53" s="147">
        <v>26800</v>
      </c>
      <c r="D53" s="147">
        <v>26000</v>
      </c>
      <c r="E53" s="147">
        <v>25200</v>
      </c>
    </row>
    <row r="54" spans="1:5">
      <c r="A54" t="s">
        <v>1123</v>
      </c>
      <c r="B54" s="147">
        <v>41200</v>
      </c>
      <c r="C54" s="147">
        <v>47000</v>
      </c>
      <c r="D54" s="147">
        <v>45600</v>
      </c>
      <c r="E54" s="147">
        <v>44100</v>
      </c>
    </row>
    <row r="55" spans="1:5">
      <c r="A55" t="s">
        <v>1124</v>
      </c>
      <c r="B55" s="147">
        <v>72600</v>
      </c>
      <c r="C55" s="147">
        <v>118768</v>
      </c>
      <c r="D55" s="147">
        <v>99791</v>
      </c>
      <c r="E55" s="147">
        <v>81290</v>
      </c>
    </row>
    <row r="56" spans="1:5">
      <c r="A56" t="s">
        <v>1125</v>
      </c>
      <c r="B56" s="147">
        <v>8000</v>
      </c>
      <c r="C56" s="147">
        <v>9120</v>
      </c>
      <c r="D56" s="147">
        <v>9120</v>
      </c>
      <c r="E56" s="147">
        <v>8847</v>
      </c>
    </row>
    <row r="57" spans="1:5">
      <c r="A57" t="s">
        <v>1126</v>
      </c>
      <c r="B57" s="147">
        <v>8000</v>
      </c>
      <c r="C57" s="147">
        <v>9120</v>
      </c>
      <c r="D57" s="147">
        <v>9120</v>
      </c>
      <c r="E57" s="147">
        <v>8847</v>
      </c>
    </row>
    <row r="58" spans="1:5">
      <c r="A58" t="s">
        <v>1127</v>
      </c>
      <c r="B58" s="147">
        <v>125000</v>
      </c>
      <c r="C58" s="147">
        <v>142500</v>
      </c>
      <c r="D58" s="147">
        <v>142500</v>
      </c>
      <c r="E58" s="147">
        <v>142500</v>
      </c>
    </row>
    <row r="60" spans="1:5">
      <c r="A60" s="5" t="s">
        <v>1189</v>
      </c>
      <c r="B60">
        <f>1/1.05</f>
        <v>0.95238095238095233</v>
      </c>
    </row>
    <row r="62" spans="1:5">
      <c r="A62" t="s">
        <v>1185</v>
      </c>
      <c r="B62">
        <v>2020</v>
      </c>
      <c r="C62">
        <v>2023</v>
      </c>
      <c r="D62">
        <v>2030</v>
      </c>
      <c r="E62">
        <v>2050</v>
      </c>
    </row>
    <row r="63" spans="1:5">
      <c r="A63" t="s">
        <v>1114</v>
      </c>
      <c r="B63" s="147">
        <v>0.11</v>
      </c>
      <c r="C63" s="147">
        <v>1.25</v>
      </c>
      <c r="D63" s="147">
        <v>1.2</v>
      </c>
      <c r="E63" s="147">
        <v>1.1499999999999999</v>
      </c>
    </row>
    <row r="64" spans="1:5">
      <c r="A64" t="s">
        <v>1115</v>
      </c>
      <c r="B64" s="147">
        <v>0.11</v>
      </c>
      <c r="C64" s="147">
        <v>3.6</v>
      </c>
      <c r="D64" s="147">
        <v>3.5</v>
      </c>
      <c r="E64" s="147">
        <v>3.4</v>
      </c>
    </row>
    <row r="65" spans="1:5">
      <c r="A65" t="s">
        <v>1137</v>
      </c>
      <c r="B65" s="147">
        <v>3</v>
      </c>
      <c r="C65" s="147">
        <v>2.4</v>
      </c>
      <c r="D65" s="147">
        <v>2.2999999999999998</v>
      </c>
      <c r="E65" s="147">
        <v>2.2000000000000002</v>
      </c>
    </row>
    <row r="66" spans="1:5">
      <c r="A66" t="s">
        <v>1116</v>
      </c>
      <c r="B66" s="147">
        <v>0.65</v>
      </c>
      <c r="C66" s="147">
        <v>0.74</v>
      </c>
      <c r="D66" s="147">
        <v>0.71</v>
      </c>
      <c r="E66" s="147">
        <v>0.66</v>
      </c>
    </row>
    <row r="67" spans="1:5">
      <c r="A67" t="s">
        <v>1117</v>
      </c>
      <c r="B67" s="147">
        <v>0</v>
      </c>
      <c r="C67" s="147">
        <v>0</v>
      </c>
      <c r="D67" s="147">
        <v>0</v>
      </c>
      <c r="E67" s="147">
        <v>0</v>
      </c>
    </row>
    <row r="68" spans="1:5">
      <c r="A68" t="s">
        <v>1118</v>
      </c>
      <c r="B68" s="147">
        <v>0</v>
      </c>
      <c r="C68" s="147">
        <v>0</v>
      </c>
      <c r="D68" s="147">
        <v>0</v>
      </c>
      <c r="E68" s="147">
        <v>0</v>
      </c>
    </row>
    <row r="69" spans="1:5">
      <c r="A69" t="s">
        <v>1186</v>
      </c>
      <c r="B69" s="147">
        <v>0</v>
      </c>
      <c r="C69" s="147">
        <v>0</v>
      </c>
      <c r="D69" s="147">
        <v>0</v>
      </c>
      <c r="E69" s="147">
        <v>0</v>
      </c>
    </row>
    <row r="70" spans="1:5">
      <c r="A70" t="s">
        <v>1119</v>
      </c>
      <c r="B70" s="147">
        <v>3</v>
      </c>
      <c r="C70" s="147">
        <v>3.4</v>
      </c>
      <c r="D70" s="147">
        <v>3.13</v>
      </c>
      <c r="E70" s="147">
        <v>2.72</v>
      </c>
    </row>
    <row r="71" spans="1:5">
      <c r="A71" t="s">
        <v>1120</v>
      </c>
      <c r="B71" s="147">
        <v>0.25</v>
      </c>
      <c r="C71" s="147">
        <v>0.27</v>
      </c>
      <c r="D71" s="147">
        <v>0.27</v>
      </c>
      <c r="E71" s="147">
        <v>0.24</v>
      </c>
    </row>
    <row r="72" spans="1:5">
      <c r="A72" t="s">
        <v>1121</v>
      </c>
      <c r="B72" s="147">
        <v>6.4</v>
      </c>
      <c r="C72" s="147">
        <v>7.3</v>
      </c>
      <c r="D72" s="147">
        <v>6.84</v>
      </c>
      <c r="E72" s="147">
        <v>6.61</v>
      </c>
    </row>
    <row r="73" spans="1:5">
      <c r="A73" t="s">
        <v>1122</v>
      </c>
      <c r="B73" s="147">
        <v>0.13</v>
      </c>
      <c r="C73" s="147">
        <v>2.6</v>
      </c>
      <c r="D73" s="147">
        <v>2.5</v>
      </c>
      <c r="E73" s="147">
        <v>2.4</v>
      </c>
    </row>
    <row r="74" spans="1:5">
      <c r="A74" t="s">
        <v>1123</v>
      </c>
      <c r="B74" s="147">
        <v>0.11</v>
      </c>
      <c r="C74" s="147">
        <v>1.25</v>
      </c>
      <c r="D74" s="147">
        <v>1.2</v>
      </c>
      <c r="E74" s="147">
        <v>1.1499999999999999</v>
      </c>
    </row>
    <row r="75" spans="1:5">
      <c r="A75" t="s">
        <v>1124</v>
      </c>
      <c r="B75" s="147">
        <v>0</v>
      </c>
      <c r="C75" s="147">
        <v>0</v>
      </c>
      <c r="D75" s="147">
        <v>0</v>
      </c>
      <c r="E75" s="147">
        <v>0</v>
      </c>
    </row>
    <row r="76" spans="1:5">
      <c r="A76" t="s">
        <v>1125</v>
      </c>
      <c r="B76" s="147">
        <v>6.4</v>
      </c>
      <c r="C76" s="147">
        <v>7.3</v>
      </c>
      <c r="D76" s="147">
        <v>6.84</v>
      </c>
      <c r="E76" s="147">
        <v>6.61</v>
      </c>
    </row>
    <row r="77" spans="1:5">
      <c r="A77" t="s">
        <v>1126</v>
      </c>
      <c r="B77" s="147">
        <v>6.4</v>
      </c>
      <c r="C77" s="147">
        <v>7.3</v>
      </c>
      <c r="D77" s="147">
        <v>6.84</v>
      </c>
      <c r="E77" s="147">
        <v>6.61</v>
      </c>
    </row>
    <row r="78" spans="1:5">
      <c r="A78" t="s">
        <v>1127</v>
      </c>
      <c r="B78" s="147">
        <v>3</v>
      </c>
      <c r="C78" s="147">
        <v>15.4</v>
      </c>
      <c r="D78" s="147">
        <v>15.4</v>
      </c>
      <c r="E78" s="147">
        <v>15.4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ECC5A-C642-4042-8380-CE390AE26A75}">
  <dimension ref="A1:AG17"/>
  <sheetViews>
    <sheetView workbookViewId="0">
      <selection activeCell="J42" sqref="J42"/>
    </sheetView>
  </sheetViews>
  <sheetFormatPr baseColWidth="10" defaultRowHeight="15"/>
  <sheetData>
    <row r="1" spans="1:33">
      <c r="A1" s="153" t="s">
        <v>1134</v>
      </c>
      <c r="B1" s="154">
        <v>2019</v>
      </c>
      <c r="C1" s="154">
        <v>2020</v>
      </c>
      <c r="D1" s="154">
        <v>2021</v>
      </c>
      <c r="E1" s="154">
        <v>2022</v>
      </c>
      <c r="F1" s="154">
        <v>2023</v>
      </c>
      <c r="G1" s="154">
        <v>2024</v>
      </c>
      <c r="H1" s="154">
        <v>2025</v>
      </c>
      <c r="I1" s="154">
        <v>2026</v>
      </c>
      <c r="J1" s="154">
        <v>2027</v>
      </c>
      <c r="K1" s="154">
        <v>2028</v>
      </c>
      <c r="L1" s="154">
        <v>2029</v>
      </c>
      <c r="M1" s="154">
        <v>2030</v>
      </c>
      <c r="N1" s="154">
        <v>2031</v>
      </c>
      <c r="O1" s="154">
        <v>2032</v>
      </c>
      <c r="P1" s="154">
        <v>2033</v>
      </c>
      <c r="Q1" s="154">
        <v>2034</v>
      </c>
      <c r="R1" s="154">
        <v>2035</v>
      </c>
      <c r="S1" s="154">
        <v>2036</v>
      </c>
      <c r="T1" s="154">
        <v>2037</v>
      </c>
      <c r="U1" s="154">
        <v>2038</v>
      </c>
      <c r="V1" s="154">
        <v>2039</v>
      </c>
      <c r="W1" s="154">
        <v>2040</v>
      </c>
      <c r="X1" s="154">
        <v>2041</v>
      </c>
      <c r="Y1" s="154">
        <v>2042</v>
      </c>
      <c r="Z1" s="154">
        <v>2043</v>
      </c>
      <c r="AA1" s="154">
        <v>2044</v>
      </c>
      <c r="AB1" s="154">
        <v>2045</v>
      </c>
      <c r="AC1" s="154">
        <v>2046</v>
      </c>
      <c r="AD1" s="154">
        <v>2047</v>
      </c>
      <c r="AE1" s="154">
        <v>2048</v>
      </c>
      <c r="AF1" s="154">
        <v>2049</v>
      </c>
      <c r="AG1" s="154">
        <v>2050</v>
      </c>
    </row>
    <row r="2" spans="1:33">
      <c r="A2" s="155" t="s">
        <v>1148</v>
      </c>
      <c r="B2" s="156">
        <v>0</v>
      </c>
      <c r="C2" s="156">
        <v>0</v>
      </c>
      <c r="D2" s="156">
        <v>0</v>
      </c>
      <c r="E2" s="156">
        <v>0</v>
      </c>
      <c r="F2" s="156">
        <v>0</v>
      </c>
      <c r="G2" s="156">
        <v>0</v>
      </c>
      <c r="H2" s="156">
        <v>0</v>
      </c>
      <c r="I2" s="156">
        <v>0</v>
      </c>
      <c r="J2" s="156">
        <v>0</v>
      </c>
      <c r="K2" s="156">
        <v>0</v>
      </c>
      <c r="L2" s="156">
        <v>0</v>
      </c>
      <c r="M2" s="156">
        <v>0</v>
      </c>
      <c r="N2" s="156">
        <v>0</v>
      </c>
      <c r="O2" s="156">
        <v>0</v>
      </c>
      <c r="P2" s="156">
        <v>0</v>
      </c>
      <c r="Q2" s="156">
        <v>0</v>
      </c>
      <c r="R2" s="156">
        <v>0</v>
      </c>
      <c r="S2" s="156">
        <v>0</v>
      </c>
      <c r="T2" s="156">
        <v>0</v>
      </c>
      <c r="U2" s="156">
        <v>0</v>
      </c>
      <c r="V2" s="156">
        <v>0</v>
      </c>
      <c r="W2" s="156">
        <v>0</v>
      </c>
      <c r="X2" s="156">
        <v>0</v>
      </c>
      <c r="Y2" s="156">
        <v>0</v>
      </c>
      <c r="Z2" s="156">
        <v>0</v>
      </c>
      <c r="AA2" s="156">
        <v>0</v>
      </c>
      <c r="AB2" s="156">
        <v>0</v>
      </c>
      <c r="AC2" s="156">
        <v>0</v>
      </c>
      <c r="AD2" s="156">
        <v>0</v>
      </c>
      <c r="AE2" s="156">
        <v>0</v>
      </c>
      <c r="AF2" s="156">
        <v>0</v>
      </c>
      <c r="AG2" s="156">
        <v>0</v>
      </c>
    </row>
    <row r="3" spans="1:33">
      <c r="A3" s="155" t="s">
        <v>1149</v>
      </c>
      <c r="B3" s="156">
        <v>0</v>
      </c>
      <c r="C3" s="156">
        <v>0</v>
      </c>
      <c r="D3" s="156">
        <v>0</v>
      </c>
      <c r="E3" s="156">
        <v>0</v>
      </c>
      <c r="F3" s="156">
        <v>0</v>
      </c>
      <c r="G3" s="156">
        <v>0</v>
      </c>
      <c r="H3" s="156">
        <v>0</v>
      </c>
      <c r="I3" s="156">
        <v>0</v>
      </c>
      <c r="J3" s="156">
        <v>0</v>
      </c>
      <c r="K3" s="156">
        <v>0</v>
      </c>
      <c r="L3" s="156">
        <v>0</v>
      </c>
      <c r="M3" s="156">
        <v>0</v>
      </c>
      <c r="N3" s="156">
        <v>0</v>
      </c>
      <c r="O3" s="156">
        <v>0</v>
      </c>
      <c r="P3" s="156">
        <v>0</v>
      </c>
      <c r="Q3" s="156">
        <v>0</v>
      </c>
      <c r="R3" s="156">
        <v>0</v>
      </c>
      <c r="S3" s="156">
        <v>0</v>
      </c>
      <c r="T3" s="156">
        <v>0</v>
      </c>
      <c r="U3" s="156">
        <v>0</v>
      </c>
      <c r="V3" s="156">
        <v>0</v>
      </c>
      <c r="W3" s="156">
        <v>0</v>
      </c>
      <c r="X3" s="156">
        <v>0</v>
      </c>
      <c r="Y3" s="156">
        <v>0</v>
      </c>
      <c r="Z3" s="156">
        <v>0</v>
      </c>
      <c r="AA3" s="156">
        <v>0</v>
      </c>
      <c r="AB3" s="156">
        <v>0</v>
      </c>
      <c r="AC3" s="156">
        <v>0</v>
      </c>
      <c r="AD3" s="156">
        <v>0</v>
      </c>
      <c r="AE3" s="156">
        <v>0</v>
      </c>
      <c r="AF3" s="156">
        <v>0</v>
      </c>
      <c r="AG3" s="156">
        <v>0</v>
      </c>
    </row>
    <row r="4" spans="1:33">
      <c r="A4" s="155" t="s">
        <v>1150</v>
      </c>
      <c r="B4" s="156">
        <v>0</v>
      </c>
      <c r="C4" s="156">
        <v>0</v>
      </c>
      <c r="D4" s="156">
        <v>0</v>
      </c>
      <c r="E4" s="156">
        <v>0</v>
      </c>
      <c r="F4" s="156">
        <v>0</v>
      </c>
      <c r="G4" s="156">
        <v>0</v>
      </c>
      <c r="H4" s="156">
        <v>0</v>
      </c>
      <c r="I4" s="156">
        <v>0</v>
      </c>
      <c r="J4" s="156">
        <v>0</v>
      </c>
      <c r="K4" s="156">
        <v>0</v>
      </c>
      <c r="L4" s="156">
        <v>0</v>
      </c>
      <c r="M4" s="156">
        <v>0</v>
      </c>
      <c r="N4" s="156">
        <v>0</v>
      </c>
      <c r="O4" s="156">
        <v>0</v>
      </c>
      <c r="P4" s="156">
        <v>0</v>
      </c>
      <c r="Q4" s="156">
        <v>0</v>
      </c>
      <c r="R4" s="156">
        <v>0</v>
      </c>
      <c r="S4" s="156">
        <v>0</v>
      </c>
      <c r="T4" s="156">
        <v>0</v>
      </c>
      <c r="U4" s="156">
        <v>0</v>
      </c>
      <c r="V4" s="156">
        <v>0</v>
      </c>
      <c r="W4" s="156">
        <v>0</v>
      </c>
      <c r="X4" s="156">
        <v>0</v>
      </c>
      <c r="Y4" s="156">
        <v>0</v>
      </c>
      <c r="Z4" s="156">
        <v>0</v>
      </c>
      <c r="AA4" s="156">
        <v>0</v>
      </c>
      <c r="AB4" s="156">
        <v>0</v>
      </c>
      <c r="AC4" s="156">
        <v>0</v>
      </c>
      <c r="AD4" s="156">
        <v>0</v>
      </c>
      <c r="AE4" s="156">
        <v>0</v>
      </c>
      <c r="AF4" s="156">
        <v>0</v>
      </c>
      <c r="AG4" s="156">
        <v>0</v>
      </c>
    </row>
    <row r="5" spans="1:33">
      <c r="A5" s="155" t="s">
        <v>1151</v>
      </c>
      <c r="B5" s="156">
        <v>0</v>
      </c>
      <c r="C5" s="156">
        <v>0</v>
      </c>
      <c r="D5" s="156">
        <v>0</v>
      </c>
      <c r="E5" s="156">
        <v>0</v>
      </c>
      <c r="F5" s="156">
        <v>0</v>
      </c>
      <c r="G5" s="156">
        <v>0</v>
      </c>
      <c r="H5" s="156">
        <v>0</v>
      </c>
      <c r="I5" s="156">
        <v>0</v>
      </c>
      <c r="J5" s="156">
        <v>0</v>
      </c>
      <c r="K5" s="156">
        <v>0</v>
      </c>
      <c r="L5" s="156">
        <v>0</v>
      </c>
      <c r="M5" s="156">
        <v>0</v>
      </c>
      <c r="N5" s="156">
        <v>0</v>
      </c>
      <c r="O5" s="156">
        <v>0</v>
      </c>
      <c r="P5" s="156">
        <v>0</v>
      </c>
      <c r="Q5" s="156">
        <v>0</v>
      </c>
      <c r="R5" s="156">
        <v>0</v>
      </c>
      <c r="S5" s="156">
        <v>0</v>
      </c>
      <c r="T5" s="156">
        <v>0</v>
      </c>
      <c r="U5" s="156">
        <v>0</v>
      </c>
      <c r="V5" s="156">
        <v>0</v>
      </c>
      <c r="W5" s="156">
        <v>0</v>
      </c>
      <c r="X5" s="156">
        <v>0</v>
      </c>
      <c r="Y5" s="156">
        <v>0</v>
      </c>
      <c r="Z5" s="156">
        <v>0</v>
      </c>
      <c r="AA5" s="156">
        <v>0</v>
      </c>
      <c r="AB5" s="156">
        <v>0</v>
      </c>
      <c r="AC5" s="156">
        <v>0</v>
      </c>
      <c r="AD5" s="156">
        <v>0</v>
      </c>
      <c r="AE5" s="156">
        <v>0</v>
      </c>
      <c r="AF5" s="156">
        <v>0</v>
      </c>
      <c r="AG5" s="156">
        <v>0</v>
      </c>
    </row>
    <row r="6" spans="1:33">
      <c r="A6" s="154" t="s">
        <v>1139</v>
      </c>
      <c r="B6" s="157">
        <v>259391</v>
      </c>
      <c r="C6" s="157">
        <v>237775</v>
      </c>
      <c r="D6" s="157">
        <v>216159</v>
      </c>
      <c r="E6" s="157">
        <v>194543</v>
      </c>
      <c r="F6" s="157">
        <v>172927</v>
      </c>
      <c r="G6" s="157">
        <v>151312</v>
      </c>
      <c r="H6" s="157">
        <v>129696</v>
      </c>
      <c r="I6" s="157">
        <v>108944</v>
      </c>
      <c r="J6" s="157">
        <v>88193</v>
      </c>
      <c r="K6" s="157">
        <v>67442</v>
      </c>
      <c r="L6" s="157">
        <v>46690</v>
      </c>
      <c r="M6" s="157">
        <v>25939</v>
      </c>
      <c r="N6" s="157">
        <v>24642</v>
      </c>
      <c r="O6" s="157">
        <v>23345</v>
      </c>
      <c r="P6" s="157">
        <v>22048</v>
      </c>
      <c r="Q6" s="157">
        <v>20751</v>
      </c>
      <c r="R6" s="157">
        <v>19454</v>
      </c>
      <c r="S6" s="157">
        <v>18157</v>
      </c>
      <c r="T6" s="157">
        <v>16860</v>
      </c>
      <c r="U6" s="157">
        <v>15563</v>
      </c>
      <c r="V6" s="157">
        <v>14267</v>
      </c>
      <c r="W6" s="157">
        <v>12970</v>
      </c>
      <c r="X6" s="157">
        <v>11673</v>
      </c>
      <c r="Y6" s="157">
        <v>10376</v>
      </c>
      <c r="Z6" s="157">
        <v>9079</v>
      </c>
      <c r="AA6" s="157">
        <v>7782</v>
      </c>
      <c r="AB6" s="157">
        <v>6485</v>
      </c>
      <c r="AC6" s="157">
        <v>5188</v>
      </c>
      <c r="AD6" s="157">
        <v>3891</v>
      </c>
      <c r="AE6" s="157">
        <v>2594</v>
      </c>
      <c r="AF6" s="157">
        <v>1297</v>
      </c>
      <c r="AG6" s="157">
        <v>0</v>
      </c>
    </row>
    <row r="7" spans="1:33">
      <c r="A7" s="154" t="s">
        <v>379</v>
      </c>
      <c r="B7" s="157">
        <v>331170</v>
      </c>
      <c r="C7" s="157">
        <v>319343</v>
      </c>
      <c r="D7" s="157">
        <v>307515</v>
      </c>
      <c r="E7" s="157">
        <v>295688</v>
      </c>
      <c r="F7" s="157">
        <v>275975</v>
      </c>
      <c r="G7" s="157">
        <v>256263</v>
      </c>
      <c r="H7" s="157">
        <v>236550</v>
      </c>
      <c r="I7" s="157">
        <v>217626</v>
      </c>
      <c r="J7" s="157">
        <v>198702</v>
      </c>
      <c r="K7" s="157">
        <v>179778</v>
      </c>
      <c r="L7" s="157">
        <v>160854</v>
      </c>
      <c r="M7" s="157">
        <v>141930</v>
      </c>
      <c r="N7" s="157">
        <v>141930</v>
      </c>
      <c r="O7" s="157">
        <v>141930</v>
      </c>
      <c r="P7" s="157">
        <v>141930</v>
      </c>
      <c r="Q7" s="157">
        <v>141930</v>
      </c>
      <c r="R7" s="157">
        <v>141930</v>
      </c>
      <c r="S7" s="157">
        <v>141930</v>
      </c>
      <c r="T7" s="157">
        <v>141930</v>
      </c>
      <c r="U7" s="157">
        <v>141930</v>
      </c>
      <c r="V7" s="157">
        <v>141930</v>
      </c>
      <c r="W7" s="157">
        <v>141930</v>
      </c>
      <c r="X7" s="157">
        <v>141930</v>
      </c>
      <c r="Y7" s="157">
        <v>141930</v>
      </c>
      <c r="Z7" s="157">
        <v>141930</v>
      </c>
      <c r="AA7" s="157">
        <v>141930</v>
      </c>
      <c r="AB7" s="157">
        <v>141930</v>
      </c>
      <c r="AC7" s="157">
        <v>141930</v>
      </c>
      <c r="AD7" s="157">
        <v>141930</v>
      </c>
      <c r="AE7" s="157">
        <v>141930</v>
      </c>
      <c r="AF7" s="157">
        <v>141930</v>
      </c>
      <c r="AG7" s="157">
        <v>141930</v>
      </c>
    </row>
    <row r="8" spans="1:33">
      <c r="A8" s="155" t="s">
        <v>1152</v>
      </c>
      <c r="B8" s="156">
        <v>0</v>
      </c>
      <c r="C8" s="156">
        <v>0</v>
      </c>
      <c r="D8" s="156">
        <v>0</v>
      </c>
      <c r="E8" s="156">
        <v>0</v>
      </c>
      <c r="F8" s="156">
        <v>0</v>
      </c>
      <c r="G8" s="156">
        <v>0</v>
      </c>
      <c r="H8" s="156">
        <v>0</v>
      </c>
      <c r="I8" s="156">
        <v>0</v>
      </c>
      <c r="J8" s="156">
        <v>0</v>
      </c>
      <c r="K8" s="156">
        <v>0</v>
      </c>
      <c r="L8" s="156">
        <v>0</v>
      </c>
      <c r="M8" s="156">
        <v>0</v>
      </c>
      <c r="N8" s="156">
        <v>0</v>
      </c>
      <c r="O8" s="156">
        <v>0</v>
      </c>
      <c r="P8" s="156">
        <v>0</v>
      </c>
      <c r="Q8" s="156">
        <v>0</v>
      </c>
      <c r="R8" s="156">
        <v>0</v>
      </c>
      <c r="S8" s="156">
        <v>0</v>
      </c>
      <c r="T8" s="156">
        <v>0</v>
      </c>
      <c r="U8" s="156">
        <v>0</v>
      </c>
      <c r="V8" s="156">
        <v>0</v>
      </c>
      <c r="W8" s="156">
        <v>0</v>
      </c>
      <c r="X8" s="156">
        <v>0</v>
      </c>
      <c r="Y8" s="156">
        <v>0</v>
      </c>
      <c r="Z8" s="156">
        <v>0</v>
      </c>
      <c r="AA8" s="156">
        <v>0</v>
      </c>
      <c r="AB8" s="156">
        <v>0</v>
      </c>
      <c r="AC8" s="156">
        <v>0</v>
      </c>
      <c r="AD8" s="156">
        <v>0</v>
      </c>
      <c r="AE8" s="156">
        <v>0</v>
      </c>
      <c r="AF8" s="156">
        <v>0</v>
      </c>
      <c r="AG8" s="156">
        <v>0</v>
      </c>
    </row>
    <row r="9" spans="1:33">
      <c r="A9" s="155" t="s">
        <v>1153</v>
      </c>
      <c r="B9" s="156">
        <v>0</v>
      </c>
      <c r="C9" s="156">
        <v>0</v>
      </c>
      <c r="D9" s="156">
        <v>0</v>
      </c>
      <c r="E9" s="156">
        <v>0</v>
      </c>
      <c r="F9" s="156">
        <v>0</v>
      </c>
      <c r="G9" s="156">
        <v>0</v>
      </c>
      <c r="H9" s="156">
        <v>0</v>
      </c>
      <c r="I9" s="156">
        <v>0</v>
      </c>
      <c r="J9" s="156">
        <v>0</v>
      </c>
      <c r="K9" s="156">
        <v>0</v>
      </c>
      <c r="L9" s="156">
        <v>0</v>
      </c>
      <c r="M9" s="156">
        <v>0</v>
      </c>
      <c r="N9" s="156">
        <v>0</v>
      </c>
      <c r="O9" s="156">
        <v>0</v>
      </c>
      <c r="P9" s="156">
        <v>0</v>
      </c>
      <c r="Q9" s="156">
        <v>0</v>
      </c>
      <c r="R9" s="156">
        <v>0</v>
      </c>
      <c r="S9" s="156">
        <v>0</v>
      </c>
      <c r="T9" s="156">
        <v>0</v>
      </c>
      <c r="U9" s="156">
        <v>0</v>
      </c>
      <c r="V9" s="156">
        <v>0</v>
      </c>
      <c r="W9" s="156">
        <v>0</v>
      </c>
      <c r="X9" s="156">
        <v>0</v>
      </c>
      <c r="Y9" s="156">
        <v>0</v>
      </c>
      <c r="Z9" s="156">
        <v>0</v>
      </c>
      <c r="AA9" s="156">
        <v>0</v>
      </c>
      <c r="AB9" s="156">
        <v>0</v>
      </c>
      <c r="AC9" s="156">
        <v>0</v>
      </c>
      <c r="AD9" s="156">
        <v>0</v>
      </c>
      <c r="AE9" s="156">
        <v>0</v>
      </c>
      <c r="AF9" s="156">
        <v>0</v>
      </c>
      <c r="AG9" s="156">
        <v>0</v>
      </c>
    </row>
    <row r="10" spans="1:33">
      <c r="A10" s="155" t="s">
        <v>1154</v>
      </c>
      <c r="B10" s="156">
        <v>0</v>
      </c>
      <c r="C10" s="156">
        <v>0</v>
      </c>
      <c r="D10" s="156">
        <v>0</v>
      </c>
      <c r="E10" s="156">
        <v>0</v>
      </c>
      <c r="F10" s="156">
        <v>0</v>
      </c>
      <c r="G10" s="156">
        <v>0</v>
      </c>
      <c r="H10" s="156">
        <v>0</v>
      </c>
      <c r="I10" s="156">
        <v>0</v>
      </c>
      <c r="J10" s="156">
        <v>0</v>
      </c>
      <c r="K10" s="156">
        <v>0</v>
      </c>
      <c r="L10" s="156">
        <v>0</v>
      </c>
      <c r="M10" s="156">
        <v>0</v>
      </c>
      <c r="N10" s="156">
        <v>0</v>
      </c>
      <c r="O10" s="156">
        <v>0</v>
      </c>
      <c r="P10" s="156">
        <v>0</v>
      </c>
      <c r="Q10" s="156">
        <v>0</v>
      </c>
      <c r="R10" s="156">
        <v>0</v>
      </c>
      <c r="S10" s="156">
        <v>0</v>
      </c>
      <c r="T10" s="156">
        <v>0</v>
      </c>
      <c r="U10" s="156">
        <v>0</v>
      </c>
      <c r="V10" s="156">
        <v>0</v>
      </c>
      <c r="W10" s="156">
        <v>0</v>
      </c>
      <c r="X10" s="156">
        <v>0</v>
      </c>
      <c r="Y10" s="156">
        <v>0</v>
      </c>
      <c r="Z10" s="156">
        <v>0</v>
      </c>
      <c r="AA10" s="156">
        <v>0</v>
      </c>
      <c r="AB10" s="156">
        <v>0</v>
      </c>
      <c r="AC10" s="156">
        <v>0</v>
      </c>
      <c r="AD10" s="156">
        <v>0</v>
      </c>
      <c r="AE10" s="156">
        <v>0</v>
      </c>
      <c r="AF10" s="156">
        <v>0</v>
      </c>
      <c r="AG10" s="156">
        <v>0</v>
      </c>
    </row>
    <row r="11" spans="1:33">
      <c r="A11" s="155" t="s">
        <v>1155</v>
      </c>
      <c r="B11" s="156">
        <v>0</v>
      </c>
      <c r="C11" s="156">
        <v>0</v>
      </c>
      <c r="D11" s="156">
        <v>0</v>
      </c>
      <c r="E11" s="156">
        <v>0</v>
      </c>
      <c r="F11" s="156">
        <v>0</v>
      </c>
      <c r="G11" s="156">
        <v>0</v>
      </c>
      <c r="H11" s="156">
        <v>0</v>
      </c>
      <c r="I11" s="156">
        <v>0</v>
      </c>
      <c r="J11" s="156">
        <v>0</v>
      </c>
      <c r="K11" s="156">
        <v>0</v>
      </c>
      <c r="L11" s="156">
        <v>0</v>
      </c>
      <c r="M11" s="156">
        <v>0</v>
      </c>
      <c r="N11" s="156">
        <v>0</v>
      </c>
      <c r="O11" s="156">
        <v>0</v>
      </c>
      <c r="P11" s="156">
        <v>0</v>
      </c>
      <c r="Q11" s="156">
        <v>0</v>
      </c>
      <c r="R11" s="156">
        <v>0</v>
      </c>
      <c r="S11" s="156">
        <v>0</v>
      </c>
      <c r="T11" s="156">
        <v>0</v>
      </c>
      <c r="U11" s="156">
        <v>0</v>
      </c>
      <c r="V11" s="156">
        <v>0</v>
      </c>
      <c r="W11" s="156">
        <v>0</v>
      </c>
      <c r="X11" s="156">
        <v>0</v>
      </c>
      <c r="Y11" s="156">
        <v>0</v>
      </c>
      <c r="Z11" s="156">
        <v>0</v>
      </c>
      <c r="AA11" s="156">
        <v>0</v>
      </c>
      <c r="AB11" s="156">
        <v>0</v>
      </c>
      <c r="AC11" s="156">
        <v>0</v>
      </c>
      <c r="AD11" s="156">
        <v>0</v>
      </c>
      <c r="AE11" s="156">
        <v>0</v>
      </c>
      <c r="AF11" s="156">
        <v>0</v>
      </c>
      <c r="AG11" s="156">
        <v>0</v>
      </c>
    </row>
    <row r="12" spans="1:33">
      <c r="A12" s="155" t="s">
        <v>1156</v>
      </c>
      <c r="B12" s="156">
        <v>0</v>
      </c>
      <c r="C12" s="156">
        <v>0</v>
      </c>
      <c r="D12" s="156">
        <v>0</v>
      </c>
      <c r="E12" s="156">
        <v>0</v>
      </c>
      <c r="F12" s="156">
        <v>0</v>
      </c>
      <c r="G12" s="156">
        <v>0</v>
      </c>
      <c r="H12" s="156">
        <v>0</v>
      </c>
      <c r="I12" s="156">
        <v>0</v>
      </c>
      <c r="J12" s="156">
        <v>0</v>
      </c>
      <c r="K12" s="156">
        <v>0</v>
      </c>
      <c r="L12" s="156">
        <v>0</v>
      </c>
      <c r="M12" s="156">
        <v>0</v>
      </c>
      <c r="N12" s="156">
        <v>0</v>
      </c>
      <c r="O12" s="156">
        <v>0</v>
      </c>
      <c r="P12" s="156">
        <v>0</v>
      </c>
      <c r="Q12" s="156">
        <v>0</v>
      </c>
      <c r="R12" s="156">
        <v>0</v>
      </c>
      <c r="S12" s="156">
        <v>0</v>
      </c>
      <c r="T12" s="156">
        <v>0</v>
      </c>
      <c r="U12" s="156">
        <v>0</v>
      </c>
      <c r="V12" s="156">
        <v>0</v>
      </c>
      <c r="W12" s="156">
        <v>0</v>
      </c>
      <c r="X12" s="156">
        <v>0</v>
      </c>
      <c r="Y12" s="156">
        <v>0</v>
      </c>
      <c r="Z12" s="156">
        <v>0</v>
      </c>
      <c r="AA12" s="156">
        <v>0</v>
      </c>
      <c r="AB12" s="156">
        <v>0</v>
      </c>
      <c r="AC12" s="156">
        <v>0</v>
      </c>
      <c r="AD12" s="156">
        <v>0</v>
      </c>
      <c r="AE12" s="156">
        <v>0</v>
      </c>
      <c r="AF12" s="156">
        <v>0</v>
      </c>
      <c r="AG12" s="156">
        <v>0</v>
      </c>
    </row>
    <row r="13" spans="1:33">
      <c r="A13" s="155" t="s">
        <v>1157</v>
      </c>
      <c r="B13" s="156">
        <v>0</v>
      </c>
      <c r="C13" s="156">
        <v>0</v>
      </c>
      <c r="D13" s="156">
        <v>0</v>
      </c>
      <c r="E13" s="156">
        <v>0</v>
      </c>
      <c r="F13" s="156">
        <v>0</v>
      </c>
      <c r="G13" s="156">
        <v>0</v>
      </c>
      <c r="H13" s="156">
        <v>0</v>
      </c>
      <c r="I13" s="156">
        <v>0</v>
      </c>
      <c r="J13" s="156">
        <v>0</v>
      </c>
      <c r="K13" s="156">
        <v>0</v>
      </c>
      <c r="L13" s="156">
        <v>0</v>
      </c>
      <c r="M13" s="156">
        <v>0</v>
      </c>
      <c r="N13" s="156">
        <v>0</v>
      </c>
      <c r="O13" s="156">
        <v>0</v>
      </c>
      <c r="P13" s="156">
        <v>0</v>
      </c>
      <c r="Q13" s="156">
        <v>0</v>
      </c>
      <c r="R13" s="156">
        <v>0</v>
      </c>
      <c r="S13" s="156">
        <v>0</v>
      </c>
      <c r="T13" s="156">
        <v>0</v>
      </c>
      <c r="U13" s="156">
        <v>0</v>
      </c>
      <c r="V13" s="156">
        <v>0</v>
      </c>
      <c r="W13" s="156">
        <v>0</v>
      </c>
      <c r="X13" s="156">
        <v>0</v>
      </c>
      <c r="Y13" s="156">
        <v>0</v>
      </c>
      <c r="Z13" s="156">
        <v>0</v>
      </c>
      <c r="AA13" s="156">
        <v>0</v>
      </c>
      <c r="AB13" s="156">
        <v>0</v>
      </c>
      <c r="AC13" s="156">
        <v>0</v>
      </c>
      <c r="AD13" s="156">
        <v>0</v>
      </c>
      <c r="AE13" s="156">
        <v>0</v>
      </c>
      <c r="AF13" s="156">
        <v>0</v>
      </c>
      <c r="AG13" s="156">
        <v>0</v>
      </c>
    </row>
    <row r="14" spans="1:33">
      <c r="A14" s="154" t="s">
        <v>1144</v>
      </c>
      <c r="B14" s="157">
        <v>790496</v>
      </c>
      <c r="C14" s="157">
        <v>790496</v>
      </c>
      <c r="D14" s="157">
        <v>790496</v>
      </c>
      <c r="E14" s="157">
        <v>790496</v>
      </c>
      <c r="F14" s="157">
        <v>790496</v>
      </c>
      <c r="G14" s="157">
        <v>790496</v>
      </c>
      <c r="H14" s="157">
        <v>790496</v>
      </c>
      <c r="I14" s="157">
        <v>790496</v>
      </c>
      <c r="J14" s="157">
        <v>790496</v>
      </c>
      <c r="K14" s="157">
        <v>790496</v>
      </c>
      <c r="L14" s="157">
        <v>790496</v>
      </c>
      <c r="M14" s="157">
        <v>790496</v>
      </c>
      <c r="N14" s="158">
        <v>790496</v>
      </c>
      <c r="O14" s="158">
        <v>790496</v>
      </c>
      <c r="P14" s="158">
        <v>790496</v>
      </c>
      <c r="Q14" s="158">
        <v>790496</v>
      </c>
      <c r="R14" s="158">
        <v>790496</v>
      </c>
      <c r="S14" s="157">
        <v>790496</v>
      </c>
      <c r="T14" s="157">
        <v>790496</v>
      </c>
      <c r="U14" s="157">
        <v>790496</v>
      </c>
      <c r="V14" s="157">
        <v>790496</v>
      </c>
      <c r="W14" s="157">
        <v>790496</v>
      </c>
      <c r="X14" s="159">
        <v>790496</v>
      </c>
      <c r="Y14" s="159">
        <v>790496</v>
      </c>
      <c r="Z14" s="159">
        <v>790496</v>
      </c>
      <c r="AA14" s="159">
        <v>790496</v>
      </c>
      <c r="AB14" s="159">
        <v>790496</v>
      </c>
      <c r="AC14" s="159">
        <v>790496</v>
      </c>
      <c r="AD14" s="159">
        <v>790496</v>
      </c>
      <c r="AE14" s="159">
        <v>790496</v>
      </c>
      <c r="AF14" s="159">
        <v>790496</v>
      </c>
      <c r="AG14" s="159">
        <v>790496</v>
      </c>
    </row>
    <row r="15" spans="1:33">
      <c r="A15" s="155" t="s">
        <v>1158</v>
      </c>
      <c r="B15" s="156">
        <v>0</v>
      </c>
      <c r="C15" s="156">
        <v>0</v>
      </c>
      <c r="D15" s="156">
        <v>0</v>
      </c>
      <c r="E15" s="156">
        <v>0</v>
      </c>
      <c r="F15" s="156">
        <v>0</v>
      </c>
      <c r="G15" s="156">
        <v>0</v>
      </c>
      <c r="H15" s="156">
        <v>0</v>
      </c>
      <c r="I15" s="156">
        <v>0</v>
      </c>
      <c r="J15" s="156">
        <v>0</v>
      </c>
      <c r="K15" s="156">
        <v>0</v>
      </c>
      <c r="L15" s="156">
        <v>0</v>
      </c>
      <c r="M15" s="156">
        <v>0</v>
      </c>
      <c r="N15" s="156">
        <v>0</v>
      </c>
      <c r="O15" s="156">
        <v>0</v>
      </c>
      <c r="P15" s="156">
        <v>0</v>
      </c>
      <c r="Q15" s="156">
        <v>0</v>
      </c>
      <c r="R15" s="156">
        <v>0</v>
      </c>
      <c r="S15" s="156">
        <v>0</v>
      </c>
      <c r="T15" s="156">
        <v>0</v>
      </c>
      <c r="U15" s="156">
        <v>0</v>
      </c>
      <c r="V15" s="156">
        <v>0</v>
      </c>
      <c r="W15" s="156">
        <v>0</v>
      </c>
      <c r="X15" s="156">
        <v>0</v>
      </c>
      <c r="Y15" s="156">
        <v>0</v>
      </c>
      <c r="Z15" s="156">
        <v>0</v>
      </c>
      <c r="AA15" s="156">
        <v>0</v>
      </c>
      <c r="AB15" s="156">
        <v>0</v>
      </c>
      <c r="AC15" s="156">
        <v>0</v>
      </c>
      <c r="AD15" s="156">
        <v>0</v>
      </c>
      <c r="AE15" s="156">
        <v>0</v>
      </c>
      <c r="AF15" s="156">
        <v>0</v>
      </c>
      <c r="AG15" s="156">
        <v>0</v>
      </c>
    </row>
    <row r="16" spans="1:33">
      <c r="A16" s="155" t="s">
        <v>1159</v>
      </c>
      <c r="B16" s="156">
        <v>0</v>
      </c>
      <c r="C16" s="156">
        <v>0</v>
      </c>
      <c r="D16" s="156">
        <v>0</v>
      </c>
      <c r="E16" s="156">
        <v>0</v>
      </c>
      <c r="F16" s="156">
        <v>0</v>
      </c>
      <c r="G16" s="156">
        <v>0</v>
      </c>
      <c r="H16" s="156">
        <v>0</v>
      </c>
      <c r="I16" s="156">
        <v>0</v>
      </c>
      <c r="J16" s="156">
        <v>0</v>
      </c>
      <c r="K16" s="156">
        <v>0</v>
      </c>
      <c r="L16" s="156">
        <v>0</v>
      </c>
      <c r="M16" s="156">
        <v>0</v>
      </c>
      <c r="N16" s="156">
        <v>0</v>
      </c>
      <c r="O16" s="156">
        <v>0</v>
      </c>
      <c r="P16" s="156">
        <v>0</v>
      </c>
      <c r="Q16" s="156">
        <v>0</v>
      </c>
      <c r="R16" s="156">
        <v>0</v>
      </c>
      <c r="S16" s="156">
        <v>0</v>
      </c>
      <c r="T16" s="156">
        <v>0</v>
      </c>
      <c r="U16" s="156">
        <v>0</v>
      </c>
      <c r="V16" s="156">
        <v>0</v>
      </c>
      <c r="W16" s="156">
        <v>0</v>
      </c>
      <c r="X16" s="156">
        <v>0</v>
      </c>
      <c r="Y16" s="156">
        <v>0</v>
      </c>
      <c r="Z16" s="156">
        <v>0</v>
      </c>
      <c r="AA16" s="156">
        <v>0</v>
      </c>
      <c r="AB16" s="156">
        <v>0</v>
      </c>
      <c r="AC16" s="156">
        <v>0</v>
      </c>
      <c r="AD16" s="156">
        <v>0</v>
      </c>
      <c r="AE16" s="156">
        <v>0</v>
      </c>
      <c r="AF16" s="156">
        <v>0</v>
      </c>
      <c r="AG16" s="156">
        <v>0</v>
      </c>
    </row>
    <row r="17" spans="1:33">
      <c r="A17" s="155" t="s">
        <v>1160</v>
      </c>
      <c r="B17" s="156">
        <v>0</v>
      </c>
      <c r="C17" s="156">
        <v>0</v>
      </c>
      <c r="D17" s="156">
        <v>0</v>
      </c>
      <c r="E17" s="156">
        <v>0</v>
      </c>
      <c r="F17" s="156">
        <v>0</v>
      </c>
      <c r="G17" s="156">
        <v>0</v>
      </c>
      <c r="H17" s="156">
        <v>0</v>
      </c>
      <c r="I17" s="156">
        <v>0</v>
      </c>
      <c r="J17" s="156">
        <v>0</v>
      </c>
      <c r="K17" s="156">
        <v>0</v>
      </c>
      <c r="L17" s="156">
        <v>0</v>
      </c>
      <c r="M17" s="156">
        <v>0</v>
      </c>
      <c r="N17" s="156">
        <v>0</v>
      </c>
      <c r="O17" s="156">
        <v>0</v>
      </c>
      <c r="P17" s="156">
        <v>0</v>
      </c>
      <c r="Q17" s="156">
        <v>0</v>
      </c>
      <c r="R17" s="156">
        <v>0</v>
      </c>
      <c r="S17" s="156">
        <v>0</v>
      </c>
      <c r="T17" s="156">
        <v>0</v>
      </c>
      <c r="U17" s="156">
        <v>0</v>
      </c>
      <c r="V17" s="156">
        <v>0</v>
      </c>
      <c r="W17" s="156">
        <v>0</v>
      </c>
      <c r="X17" s="156">
        <v>0</v>
      </c>
      <c r="Y17" s="156">
        <v>0</v>
      </c>
      <c r="Z17" s="156">
        <v>0</v>
      </c>
      <c r="AA17" s="156">
        <v>0</v>
      </c>
      <c r="AB17" s="156">
        <v>0</v>
      </c>
      <c r="AC17" s="156">
        <v>0</v>
      </c>
      <c r="AD17" s="156">
        <v>0</v>
      </c>
      <c r="AE17" s="156">
        <v>0</v>
      </c>
      <c r="AF17" s="156">
        <v>0</v>
      </c>
      <c r="AG17" s="156">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G1000"/>
  <sheetViews>
    <sheetView zoomScale="110" zoomScaleNormal="110" workbookViewId="0">
      <selection activeCell="B2" sqref="B2:AF17"/>
    </sheetView>
  </sheetViews>
  <sheetFormatPr baseColWidth="10" defaultColWidth="14.5" defaultRowHeight="15" customHeight="1"/>
  <cols>
    <col min="1" max="1" width="33.33203125" customWidth="1"/>
    <col min="2" max="2" width="8.83203125" customWidth="1"/>
    <col min="3" max="4" width="7.33203125" customWidth="1"/>
    <col min="5" max="5" width="10" customWidth="1"/>
    <col min="6" max="11" width="7.33203125" customWidth="1"/>
    <col min="12" max="12" width="11.5" customWidth="1"/>
    <col min="13" max="31" width="7.33203125" customWidth="1"/>
    <col min="32" max="32" width="12.6640625" customWidth="1"/>
  </cols>
  <sheetData>
    <row r="1" spans="1:33" ht="14.25" customHeight="1">
      <c r="A1" s="3" t="s">
        <v>1128</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3" ht="14.25" customHeight="1">
      <c r="A2" s="125" t="s">
        <v>1114</v>
      </c>
      <c r="B2" s="150">
        <f>Cal!B2</f>
        <v>39238.095238095237</v>
      </c>
      <c r="C2" s="150">
        <f>$B$2+(($E$2-$B$2)/($E$1-$B$1))*(C1-$B$1)</f>
        <v>41079.365079365074</v>
      </c>
      <c r="D2" s="150">
        <f>$B$2+(($E$2-$B$2)/($E$1-$B$1))*(D1-$B$1)</f>
        <v>42920.634920634919</v>
      </c>
      <c r="E2" s="150">
        <f>Cal!C2</f>
        <v>44761.904761904756</v>
      </c>
      <c r="F2" s="150">
        <f>$E2+(($L2-$E2)/($L$1-$E$1))*(F$1-$E$1)</f>
        <v>44571.428571428565</v>
      </c>
      <c r="G2" s="150">
        <f t="shared" ref="G2:K2" si="0">$E2+(($L2-$E2)/($L$1-$E$1))*(G$1-$E$1)</f>
        <v>44380.952380952374</v>
      </c>
      <c r="H2" s="150">
        <f t="shared" si="0"/>
        <v>44190.476190476184</v>
      </c>
      <c r="I2" s="150">
        <f t="shared" si="0"/>
        <v>44000</v>
      </c>
      <c r="J2" s="150">
        <f t="shared" si="0"/>
        <v>43809.523809523809</v>
      </c>
      <c r="K2" s="150">
        <f t="shared" si="0"/>
        <v>43619.047619047618</v>
      </c>
      <c r="L2" s="150">
        <f>Cal!D2</f>
        <v>43428.571428571428</v>
      </c>
      <c r="M2" s="150">
        <f>$L2+(($AF2-$L2)/($AF$1-$L$1))*(M$1-$L$1)</f>
        <v>43357.142857142855</v>
      </c>
      <c r="N2" s="150">
        <f t="shared" ref="N2:AE16" si="1">$L2+(($AF2-$L2)/($AF$1-$L$1))*(N$1-$L$1)</f>
        <v>43285.714285714283</v>
      </c>
      <c r="O2" s="150">
        <f t="shared" si="1"/>
        <v>43214.28571428571</v>
      </c>
      <c r="P2" s="150">
        <f t="shared" si="1"/>
        <v>43142.857142857145</v>
      </c>
      <c r="Q2" s="150">
        <f t="shared" si="1"/>
        <v>43071.428571428572</v>
      </c>
      <c r="R2" s="150">
        <f t="shared" si="1"/>
        <v>43000</v>
      </c>
      <c r="S2" s="150">
        <f t="shared" si="1"/>
        <v>42928.571428571428</v>
      </c>
      <c r="T2" s="150">
        <f t="shared" si="1"/>
        <v>42857.142857142855</v>
      </c>
      <c r="U2" s="150">
        <f t="shared" si="1"/>
        <v>42785.714285714283</v>
      </c>
      <c r="V2" s="150">
        <f t="shared" si="1"/>
        <v>42714.28571428571</v>
      </c>
      <c r="W2" s="150">
        <f t="shared" si="1"/>
        <v>42642.857142857145</v>
      </c>
      <c r="X2" s="150">
        <f t="shared" si="1"/>
        <v>42571.428571428572</v>
      </c>
      <c r="Y2" s="150">
        <f t="shared" si="1"/>
        <v>42500</v>
      </c>
      <c r="Z2" s="150">
        <f t="shared" si="1"/>
        <v>42428.571428571428</v>
      </c>
      <c r="AA2" s="150">
        <f t="shared" si="1"/>
        <v>42357.142857142855</v>
      </c>
      <c r="AB2" s="150">
        <f t="shared" si="1"/>
        <v>42285.714285714283</v>
      </c>
      <c r="AC2" s="150">
        <f t="shared" si="1"/>
        <v>42214.285714285717</v>
      </c>
      <c r="AD2" s="150">
        <f t="shared" si="1"/>
        <v>42142.857142857145</v>
      </c>
      <c r="AE2" s="150">
        <f t="shared" si="1"/>
        <v>42071.428571428572</v>
      </c>
      <c r="AF2" s="150">
        <f>Cal!E2</f>
        <v>42000</v>
      </c>
      <c r="AG2" s="147"/>
    </row>
    <row r="3" spans="1:33" ht="14.25" customHeight="1">
      <c r="A3" s="125" t="s">
        <v>1115</v>
      </c>
      <c r="B3" s="150">
        <f>Cal!B3</f>
        <v>39142.857142857138</v>
      </c>
      <c r="C3" s="150">
        <f>$B$3+(($E$3-$B$3)/($E$1-$B$1))*(C$1-$B$1)</f>
        <v>39666.666666666664</v>
      </c>
      <c r="D3" s="150">
        <f>$B$3+(($E$3-$B$3)/($E$1-$B$1))*(D$1-$B$1)</f>
        <v>40190.476190476184</v>
      </c>
      <c r="E3" s="150">
        <f>Cal!C3</f>
        <v>40714.28571428571</v>
      </c>
      <c r="F3" s="150">
        <f t="shared" ref="F3:K17" si="2">$E3+(($L3-$E3)/($L$1-$E$1))*(F$1-$E$1)</f>
        <v>40061.224489795917</v>
      </c>
      <c r="G3" s="150">
        <f t="shared" si="2"/>
        <v>39408.163265306117</v>
      </c>
      <c r="H3" s="150">
        <f t="shared" si="2"/>
        <v>38755.102040816324</v>
      </c>
      <c r="I3" s="150">
        <f t="shared" si="2"/>
        <v>38102.040816326524</v>
      </c>
      <c r="J3" s="150">
        <f t="shared" si="2"/>
        <v>37448.979591836731</v>
      </c>
      <c r="K3" s="150">
        <f t="shared" si="2"/>
        <v>36795.918367346938</v>
      </c>
      <c r="L3" s="150">
        <f>Cal!D3</f>
        <v>36142.857142857138</v>
      </c>
      <c r="M3" s="150">
        <f t="shared" ref="M3:AB17" si="3">$L3+(($AF3-$L3)/($AF$1-$L$1))*(M$1-$L$1)</f>
        <v>35828.57142857142</v>
      </c>
      <c r="N3" s="150">
        <f t="shared" si="3"/>
        <v>35514.28571428571</v>
      </c>
      <c r="O3" s="150">
        <f t="shared" si="3"/>
        <v>35199.999999999993</v>
      </c>
      <c r="P3" s="150">
        <f t="shared" si="3"/>
        <v>34885.714285714283</v>
      </c>
      <c r="Q3" s="150">
        <f t="shared" si="3"/>
        <v>34571.428571428565</v>
      </c>
      <c r="R3" s="150">
        <f t="shared" si="3"/>
        <v>34257.142857142855</v>
      </c>
      <c r="S3" s="150">
        <f t="shared" si="3"/>
        <v>33942.857142857138</v>
      </c>
      <c r="T3" s="150">
        <f t="shared" si="3"/>
        <v>33628.571428571428</v>
      </c>
      <c r="U3" s="150">
        <f t="shared" si="3"/>
        <v>33314.28571428571</v>
      </c>
      <c r="V3" s="150">
        <f t="shared" si="3"/>
        <v>33000</v>
      </c>
      <c r="W3" s="150">
        <f t="shared" si="3"/>
        <v>32685.714285714283</v>
      </c>
      <c r="X3" s="150">
        <f t="shared" si="3"/>
        <v>32371.428571428569</v>
      </c>
      <c r="Y3" s="150">
        <f t="shared" si="3"/>
        <v>32057.142857142855</v>
      </c>
      <c r="Z3" s="150">
        <f t="shared" si="3"/>
        <v>31742.857142857141</v>
      </c>
      <c r="AA3" s="150">
        <f t="shared" si="3"/>
        <v>31428.571428571428</v>
      </c>
      <c r="AB3" s="150">
        <f t="shared" si="3"/>
        <v>31114.28571428571</v>
      </c>
      <c r="AC3" s="150">
        <f t="shared" si="1"/>
        <v>30800</v>
      </c>
      <c r="AD3" s="150">
        <f t="shared" si="1"/>
        <v>30485.714285714283</v>
      </c>
      <c r="AE3" s="150">
        <f t="shared" si="1"/>
        <v>30171.428571428569</v>
      </c>
      <c r="AF3" s="150">
        <f>Cal!E3</f>
        <v>29857.142857142855</v>
      </c>
      <c r="AG3" s="147"/>
    </row>
    <row r="4" spans="1:33" ht="14.25" customHeight="1">
      <c r="A4" s="125" t="s">
        <v>1102</v>
      </c>
      <c r="B4" s="150">
        <f>Cal!B4</f>
        <v>119047.61904761904</v>
      </c>
      <c r="C4" s="150">
        <f>$B4+(($E4-$B4)/($E$1-$B$1))*(C$1-$B$1)</f>
        <v>119682.53968253967</v>
      </c>
      <c r="D4" s="150">
        <f>$B4+(($E4-$B4)/($E$1-$B$1))*(D$1-$B$1)</f>
        <v>120317.46031746031</v>
      </c>
      <c r="E4" s="150">
        <f>Cal!C4</f>
        <v>120952.38095238095</v>
      </c>
      <c r="F4" s="150">
        <f t="shared" si="2"/>
        <v>120000</v>
      </c>
      <c r="G4" s="150">
        <f t="shared" si="2"/>
        <v>119047.61904761904</v>
      </c>
      <c r="H4" s="150">
        <f t="shared" si="2"/>
        <v>118095.23809523809</v>
      </c>
      <c r="I4" s="150">
        <f t="shared" si="2"/>
        <v>117142.85714285713</v>
      </c>
      <c r="J4" s="150">
        <f t="shared" si="2"/>
        <v>116190.47619047618</v>
      </c>
      <c r="K4" s="150">
        <f t="shared" si="2"/>
        <v>115238.09523809522</v>
      </c>
      <c r="L4" s="150">
        <f>Cal!D4</f>
        <v>114285.71428571428</v>
      </c>
      <c r="M4" s="150">
        <f t="shared" si="3"/>
        <v>113952.38095238095</v>
      </c>
      <c r="N4" s="150">
        <f t="shared" si="1"/>
        <v>113619.0476190476</v>
      </c>
      <c r="O4" s="150">
        <f t="shared" si="1"/>
        <v>113285.71428571428</v>
      </c>
      <c r="P4" s="150">
        <f t="shared" si="1"/>
        <v>112952.38095238095</v>
      </c>
      <c r="Q4" s="150">
        <f t="shared" si="1"/>
        <v>112619.0476190476</v>
      </c>
      <c r="R4" s="150">
        <f t="shared" si="1"/>
        <v>112285.71428571428</v>
      </c>
      <c r="S4" s="150">
        <f t="shared" si="1"/>
        <v>111952.38095238095</v>
      </c>
      <c r="T4" s="150">
        <f t="shared" si="1"/>
        <v>111619.04761904762</v>
      </c>
      <c r="U4" s="150">
        <f t="shared" si="1"/>
        <v>111285.71428571428</v>
      </c>
      <c r="V4" s="150">
        <f t="shared" si="1"/>
        <v>110952.38095238095</v>
      </c>
      <c r="W4" s="150">
        <f t="shared" si="1"/>
        <v>110619.04761904762</v>
      </c>
      <c r="X4" s="150">
        <f t="shared" si="1"/>
        <v>110285.71428571428</v>
      </c>
      <c r="Y4" s="150">
        <f t="shared" si="1"/>
        <v>109952.38095238095</v>
      </c>
      <c r="Z4" s="150">
        <f t="shared" si="1"/>
        <v>109619.04761904762</v>
      </c>
      <c r="AA4" s="150">
        <f t="shared" si="1"/>
        <v>109285.71428571429</v>
      </c>
      <c r="AB4" s="150">
        <f t="shared" si="1"/>
        <v>108952.38095238095</v>
      </c>
      <c r="AC4" s="150">
        <f t="shared" si="1"/>
        <v>108619.04761904762</v>
      </c>
      <c r="AD4" s="150">
        <f t="shared" si="1"/>
        <v>108285.71428571429</v>
      </c>
      <c r="AE4" s="150">
        <f t="shared" si="1"/>
        <v>107952.38095238095</v>
      </c>
      <c r="AF4" s="150">
        <f>Cal!E4</f>
        <v>107619.04761904762</v>
      </c>
      <c r="AG4" s="147"/>
    </row>
    <row r="5" spans="1:33" ht="14.25" customHeight="1">
      <c r="A5" s="125" t="s">
        <v>1116</v>
      </c>
      <c r="B5" s="150">
        <f>Cal!B5</f>
        <v>35904.761904761901</v>
      </c>
      <c r="C5" s="150">
        <f t="shared" ref="C5:D17" si="4">$B5+(($E5-$B5)/($E$1-$B$1))*(C$1-$B$1)</f>
        <v>37587.301587301583</v>
      </c>
      <c r="D5" s="150">
        <f t="shared" si="4"/>
        <v>39269.841269841265</v>
      </c>
      <c r="E5" s="150">
        <f>Cal!C5</f>
        <v>40952.380952380947</v>
      </c>
      <c r="F5" s="150">
        <f t="shared" si="2"/>
        <v>40680.272108843536</v>
      </c>
      <c r="G5" s="150">
        <f t="shared" si="2"/>
        <v>40408.163265306117</v>
      </c>
      <c r="H5" s="150">
        <f t="shared" si="2"/>
        <v>40136.054421768706</v>
      </c>
      <c r="I5" s="150">
        <f t="shared" si="2"/>
        <v>39863.945578231287</v>
      </c>
      <c r="J5" s="150">
        <f t="shared" si="2"/>
        <v>39591.836734693876</v>
      </c>
      <c r="K5" s="150">
        <f t="shared" si="2"/>
        <v>39319.727891156457</v>
      </c>
      <c r="L5" s="150">
        <f>Cal!D5</f>
        <v>39047.619047619046</v>
      </c>
      <c r="M5" s="150">
        <f t="shared" si="3"/>
        <v>38904.761904761901</v>
      </c>
      <c r="N5" s="150">
        <f t="shared" si="1"/>
        <v>38761.904761904763</v>
      </c>
      <c r="O5" s="150">
        <f t="shared" si="1"/>
        <v>38619.047619047618</v>
      </c>
      <c r="P5" s="150">
        <f t="shared" si="1"/>
        <v>38476.190476190473</v>
      </c>
      <c r="Q5" s="150">
        <f t="shared" si="1"/>
        <v>38333.333333333328</v>
      </c>
      <c r="R5" s="150">
        <f t="shared" si="1"/>
        <v>38190.476190476191</v>
      </c>
      <c r="S5" s="150">
        <f t="shared" si="1"/>
        <v>38047.619047619046</v>
      </c>
      <c r="T5" s="150">
        <f t="shared" si="1"/>
        <v>37904.761904761901</v>
      </c>
      <c r="U5" s="150">
        <f t="shared" si="1"/>
        <v>37761.904761904763</v>
      </c>
      <c r="V5" s="150">
        <f t="shared" si="1"/>
        <v>37619.047619047618</v>
      </c>
      <c r="W5" s="150">
        <f t="shared" si="1"/>
        <v>37476.190476190473</v>
      </c>
      <c r="X5" s="150">
        <f t="shared" si="1"/>
        <v>37333.333333333336</v>
      </c>
      <c r="Y5" s="150">
        <f t="shared" si="1"/>
        <v>37190.476190476191</v>
      </c>
      <c r="Z5" s="150">
        <f t="shared" si="1"/>
        <v>37047.619047619046</v>
      </c>
      <c r="AA5" s="150">
        <f t="shared" si="1"/>
        <v>36904.761904761908</v>
      </c>
      <c r="AB5" s="150">
        <f t="shared" si="1"/>
        <v>36761.904761904763</v>
      </c>
      <c r="AC5" s="150">
        <f t="shared" si="1"/>
        <v>36619.047619047618</v>
      </c>
      <c r="AD5" s="150">
        <f t="shared" si="1"/>
        <v>36476.190476190473</v>
      </c>
      <c r="AE5" s="150">
        <f t="shared" si="1"/>
        <v>36333.333333333336</v>
      </c>
      <c r="AF5" s="150">
        <f>Cal!E5</f>
        <v>36190.476190476191</v>
      </c>
      <c r="AG5" s="147"/>
    </row>
    <row r="6" spans="1:33" ht="14.25" customHeight="1">
      <c r="A6" s="125" t="s">
        <v>1117</v>
      </c>
      <c r="B6" s="150">
        <f>Cal!B6</f>
        <v>57142.857142857138</v>
      </c>
      <c r="C6" s="150">
        <f t="shared" si="4"/>
        <v>50793.650793650791</v>
      </c>
      <c r="D6" s="150">
        <f t="shared" si="4"/>
        <v>44444.444444444438</v>
      </c>
      <c r="E6" s="150">
        <f>Cal!C6</f>
        <v>38095.238095238092</v>
      </c>
      <c r="F6" s="150">
        <f t="shared" si="2"/>
        <v>37551.020408163262</v>
      </c>
      <c r="G6" s="150">
        <f t="shared" si="2"/>
        <v>37006.802721088432</v>
      </c>
      <c r="H6" s="150">
        <f t="shared" si="2"/>
        <v>36462.585034013602</v>
      </c>
      <c r="I6" s="150">
        <f t="shared" si="2"/>
        <v>35918.367346938772</v>
      </c>
      <c r="J6" s="150">
        <f t="shared" si="2"/>
        <v>35374.149659863942</v>
      </c>
      <c r="K6" s="150">
        <f t="shared" si="2"/>
        <v>34829.931972789112</v>
      </c>
      <c r="L6" s="150">
        <f>Cal!D6</f>
        <v>34285.714285714283</v>
      </c>
      <c r="M6" s="150">
        <f t="shared" si="3"/>
        <v>34000</v>
      </c>
      <c r="N6" s="150">
        <f t="shared" si="1"/>
        <v>33714.28571428571</v>
      </c>
      <c r="O6" s="150">
        <f t="shared" si="1"/>
        <v>33428.571428571428</v>
      </c>
      <c r="P6" s="150">
        <f t="shared" si="1"/>
        <v>33142.857142857138</v>
      </c>
      <c r="Q6" s="150">
        <f t="shared" si="1"/>
        <v>32857.142857142855</v>
      </c>
      <c r="R6" s="150">
        <f t="shared" si="1"/>
        <v>32571.428571428569</v>
      </c>
      <c r="S6" s="150">
        <f t="shared" si="1"/>
        <v>32285.714285714283</v>
      </c>
      <c r="T6" s="150">
        <f t="shared" si="1"/>
        <v>31999.999999999996</v>
      </c>
      <c r="U6" s="150">
        <f t="shared" si="1"/>
        <v>31714.28571428571</v>
      </c>
      <c r="V6" s="150">
        <f t="shared" si="1"/>
        <v>31428.571428571428</v>
      </c>
      <c r="W6" s="150">
        <f t="shared" si="1"/>
        <v>31142.857142857141</v>
      </c>
      <c r="X6" s="150">
        <f t="shared" si="1"/>
        <v>30857.142857142855</v>
      </c>
      <c r="Y6" s="150">
        <f t="shared" si="1"/>
        <v>30571.428571428569</v>
      </c>
      <c r="Z6" s="150">
        <f t="shared" si="1"/>
        <v>30285.714285714283</v>
      </c>
      <c r="AA6" s="150">
        <f t="shared" si="1"/>
        <v>29999.999999999996</v>
      </c>
      <c r="AB6" s="150">
        <f t="shared" si="1"/>
        <v>29714.28571428571</v>
      </c>
      <c r="AC6" s="150">
        <f t="shared" si="1"/>
        <v>29428.571428571428</v>
      </c>
      <c r="AD6" s="150">
        <f t="shared" si="1"/>
        <v>29142.857142857141</v>
      </c>
      <c r="AE6" s="150">
        <f t="shared" si="1"/>
        <v>28857.142857142855</v>
      </c>
      <c r="AF6" s="150">
        <f>Cal!E6</f>
        <v>28571.428571428569</v>
      </c>
      <c r="AG6" s="147"/>
    </row>
    <row r="7" spans="1:33" ht="14.25" customHeight="1">
      <c r="A7" s="125" t="s">
        <v>1118</v>
      </c>
      <c r="B7" s="150">
        <f>Cal!B7</f>
        <v>14285.714285714284</v>
      </c>
      <c r="C7" s="150">
        <f t="shared" si="4"/>
        <v>11904.761904761905</v>
      </c>
      <c r="D7" s="150">
        <f t="shared" si="4"/>
        <v>9523.8095238095229</v>
      </c>
      <c r="E7" s="150">
        <f>Cal!C7</f>
        <v>7142.8571428571422</v>
      </c>
      <c r="F7" s="150">
        <f t="shared" si="2"/>
        <v>7047.6190476190468</v>
      </c>
      <c r="G7" s="150">
        <f t="shared" si="2"/>
        <v>6952.3809523809523</v>
      </c>
      <c r="H7" s="150">
        <f t="shared" si="2"/>
        <v>6857.1428571428569</v>
      </c>
      <c r="I7" s="150">
        <f t="shared" si="2"/>
        <v>6761.9047619047615</v>
      </c>
      <c r="J7" s="150">
        <f t="shared" si="2"/>
        <v>6666.6666666666661</v>
      </c>
      <c r="K7" s="150">
        <f t="shared" si="2"/>
        <v>6571.4285714285716</v>
      </c>
      <c r="L7" s="150">
        <f>Cal!D7</f>
        <v>6476.1904761904761</v>
      </c>
      <c r="M7" s="150">
        <f t="shared" si="3"/>
        <v>6442.8571428571431</v>
      </c>
      <c r="N7" s="150">
        <f t="shared" si="1"/>
        <v>6409.5238095238092</v>
      </c>
      <c r="O7" s="150">
        <f t="shared" si="1"/>
        <v>6376.1904761904761</v>
      </c>
      <c r="P7" s="150">
        <f t="shared" si="1"/>
        <v>6342.8571428571431</v>
      </c>
      <c r="Q7" s="150">
        <f t="shared" si="1"/>
        <v>6309.5238095238092</v>
      </c>
      <c r="R7" s="150">
        <f t="shared" si="1"/>
        <v>6276.1904761904761</v>
      </c>
      <c r="S7" s="150">
        <f t="shared" si="1"/>
        <v>6242.8571428571431</v>
      </c>
      <c r="T7" s="150">
        <f t="shared" si="1"/>
        <v>6209.5238095238092</v>
      </c>
      <c r="U7" s="150">
        <f t="shared" si="1"/>
        <v>6176.1904761904761</v>
      </c>
      <c r="V7" s="150">
        <f t="shared" si="1"/>
        <v>6142.8571428571431</v>
      </c>
      <c r="W7" s="150">
        <f t="shared" si="1"/>
        <v>6109.5238095238092</v>
      </c>
      <c r="X7" s="150">
        <f t="shared" si="1"/>
        <v>6076.1904761904761</v>
      </c>
      <c r="Y7" s="150">
        <f t="shared" si="1"/>
        <v>6042.8571428571422</v>
      </c>
      <c r="Z7" s="150">
        <f t="shared" si="1"/>
        <v>6009.5238095238092</v>
      </c>
      <c r="AA7" s="150">
        <f t="shared" si="1"/>
        <v>5976.1904761904761</v>
      </c>
      <c r="AB7" s="150">
        <f t="shared" si="1"/>
        <v>5942.8571428571422</v>
      </c>
      <c r="AC7" s="150">
        <f t="shared" si="1"/>
        <v>5909.5238095238092</v>
      </c>
      <c r="AD7" s="150">
        <f t="shared" si="1"/>
        <v>5876.1904761904761</v>
      </c>
      <c r="AE7" s="150">
        <f t="shared" si="1"/>
        <v>5842.8571428571422</v>
      </c>
      <c r="AF7" s="150">
        <f>Cal!E7</f>
        <v>5809.5238095238092</v>
      </c>
      <c r="AG7" s="147"/>
    </row>
    <row r="8" spans="1:33" ht="14.25" customHeight="1">
      <c r="A8" s="125" t="s">
        <v>1129</v>
      </c>
      <c r="B8" s="150">
        <f>Cal!B8</f>
        <v>4889025.6520339139</v>
      </c>
      <c r="C8" s="150">
        <f t="shared" si="4"/>
        <v>4848348.3095416995</v>
      </c>
      <c r="D8" s="150">
        <f t="shared" si="4"/>
        <v>4807670.9670494851</v>
      </c>
      <c r="E8" s="150">
        <f>Cal!C8</f>
        <v>4766993.6245572707</v>
      </c>
      <c r="F8" s="150">
        <f t="shared" si="2"/>
        <v>4726316.2820650507</v>
      </c>
      <c r="G8" s="150">
        <f t="shared" si="2"/>
        <v>4685638.9395728298</v>
      </c>
      <c r="H8" s="150">
        <f t="shared" si="2"/>
        <v>4644961.5970806098</v>
      </c>
      <c r="I8" s="150">
        <f t="shared" si="2"/>
        <v>4604284.2545883888</v>
      </c>
      <c r="J8" s="150">
        <f t="shared" si="2"/>
        <v>4563606.9120961688</v>
      </c>
      <c r="K8" s="150">
        <f t="shared" si="2"/>
        <v>4522929.5696039479</v>
      </c>
      <c r="L8" s="150">
        <f>Cal!D8</f>
        <v>4482252.2271117279</v>
      </c>
      <c r="M8" s="150">
        <f t="shared" si="3"/>
        <v>4441574.8846195098</v>
      </c>
      <c r="N8" s="150">
        <f t="shared" si="1"/>
        <v>4400897.5421272907</v>
      </c>
      <c r="O8" s="150">
        <f t="shared" si="1"/>
        <v>4360220.1996350726</v>
      </c>
      <c r="P8" s="150">
        <f t="shared" si="1"/>
        <v>4319542.8571428536</v>
      </c>
      <c r="Q8" s="150">
        <f t="shared" si="1"/>
        <v>4278865.5146506354</v>
      </c>
      <c r="R8" s="150">
        <f t="shared" si="1"/>
        <v>4238188.1721584164</v>
      </c>
      <c r="S8" s="150">
        <f t="shared" si="1"/>
        <v>4197510.8296661982</v>
      </c>
      <c r="T8" s="150">
        <f t="shared" si="1"/>
        <v>4156833.4871739796</v>
      </c>
      <c r="U8" s="150">
        <f t="shared" si="1"/>
        <v>4116156.144681761</v>
      </c>
      <c r="V8" s="150">
        <f t="shared" si="1"/>
        <v>4075478.8021895429</v>
      </c>
      <c r="W8" s="150">
        <f t="shared" si="1"/>
        <v>4034801.4596973243</v>
      </c>
      <c r="X8" s="150">
        <f t="shared" si="1"/>
        <v>3994124.1172051057</v>
      </c>
      <c r="Y8" s="150">
        <f t="shared" si="1"/>
        <v>3953446.7747128871</v>
      </c>
      <c r="Z8" s="150">
        <f t="shared" si="1"/>
        <v>3912769.4322206685</v>
      </c>
      <c r="AA8" s="150">
        <f t="shared" si="1"/>
        <v>3872092.0897284499</v>
      </c>
      <c r="AB8" s="150">
        <f t="shared" si="1"/>
        <v>3831414.7472362313</v>
      </c>
      <c r="AC8" s="150">
        <f t="shared" si="1"/>
        <v>3790737.4047440132</v>
      </c>
      <c r="AD8" s="150">
        <f t="shared" si="1"/>
        <v>3750060.0622517946</v>
      </c>
      <c r="AE8" s="150">
        <f t="shared" si="1"/>
        <v>3709382.719759576</v>
      </c>
      <c r="AF8" s="150">
        <f>Cal!E8</f>
        <v>3668705.3772673574</v>
      </c>
      <c r="AG8" s="147"/>
    </row>
    <row r="9" spans="1:33" ht="14.25" customHeight="1">
      <c r="A9" s="125" t="s">
        <v>1119</v>
      </c>
      <c r="B9" s="150">
        <f>Cal!B9</f>
        <v>45333.333333333328</v>
      </c>
      <c r="C9" s="150">
        <f t="shared" si="4"/>
        <v>47365.079365079364</v>
      </c>
      <c r="D9" s="150">
        <f t="shared" si="4"/>
        <v>49396.825396825392</v>
      </c>
      <c r="E9" s="150">
        <f>Cal!C9</f>
        <v>51428.571428571428</v>
      </c>
      <c r="F9" s="150">
        <f t="shared" si="2"/>
        <v>50843.537414965984</v>
      </c>
      <c r="G9" s="150">
        <f t="shared" si="2"/>
        <v>50258.50340136054</v>
      </c>
      <c r="H9" s="150">
        <f t="shared" si="2"/>
        <v>49673.469387755096</v>
      </c>
      <c r="I9" s="150">
        <f t="shared" si="2"/>
        <v>49088.43537414966</v>
      </c>
      <c r="J9" s="150">
        <f t="shared" si="2"/>
        <v>48503.401360544216</v>
      </c>
      <c r="K9" s="150">
        <f t="shared" si="2"/>
        <v>47918.367346938772</v>
      </c>
      <c r="L9" s="150">
        <f>Cal!D9</f>
        <v>47333.333333333328</v>
      </c>
      <c r="M9" s="150">
        <f t="shared" si="3"/>
        <v>47023.809523809519</v>
      </c>
      <c r="N9" s="150">
        <f t="shared" si="1"/>
        <v>46714.28571428571</v>
      </c>
      <c r="O9" s="150">
        <f t="shared" si="1"/>
        <v>46404.761904761901</v>
      </c>
      <c r="P9" s="150">
        <f t="shared" si="1"/>
        <v>46095.238095238092</v>
      </c>
      <c r="Q9" s="150">
        <f t="shared" si="1"/>
        <v>45785.714285714283</v>
      </c>
      <c r="R9" s="150">
        <f t="shared" si="1"/>
        <v>45476.190476190473</v>
      </c>
      <c r="S9" s="150">
        <f t="shared" si="1"/>
        <v>45166.666666666664</v>
      </c>
      <c r="T9" s="150">
        <f t="shared" si="1"/>
        <v>44857.142857142855</v>
      </c>
      <c r="U9" s="150">
        <f t="shared" si="1"/>
        <v>44547.619047619046</v>
      </c>
      <c r="V9" s="150">
        <f t="shared" si="1"/>
        <v>44238.095238095237</v>
      </c>
      <c r="W9" s="150">
        <f t="shared" si="1"/>
        <v>43928.57142857142</v>
      </c>
      <c r="X9" s="150">
        <f t="shared" si="1"/>
        <v>43619.047619047611</v>
      </c>
      <c r="Y9" s="150">
        <f t="shared" si="1"/>
        <v>43309.523809523802</v>
      </c>
      <c r="Z9" s="150">
        <f t="shared" si="1"/>
        <v>42999.999999999993</v>
      </c>
      <c r="AA9" s="150">
        <f t="shared" si="1"/>
        <v>42690.476190476184</v>
      </c>
      <c r="AB9" s="150">
        <f t="shared" si="1"/>
        <v>42380.952380952374</v>
      </c>
      <c r="AC9" s="150">
        <f t="shared" si="1"/>
        <v>42071.428571428565</v>
      </c>
      <c r="AD9" s="150">
        <f t="shared" si="1"/>
        <v>41761.904761904756</v>
      </c>
      <c r="AE9" s="150">
        <f t="shared" si="1"/>
        <v>41452.380952380947</v>
      </c>
      <c r="AF9" s="150">
        <f>Cal!E9</f>
        <v>41142.857142857138</v>
      </c>
      <c r="AG9" s="147"/>
    </row>
    <row r="10" spans="1:33" ht="14.25" customHeight="1">
      <c r="A10" s="125" t="s">
        <v>1120</v>
      </c>
      <c r="B10" s="150">
        <f>Cal!B10</f>
        <v>17142.857142857141</v>
      </c>
      <c r="C10" s="150">
        <f t="shared" si="4"/>
        <v>46349.206349206346</v>
      </c>
      <c r="D10" s="150">
        <f t="shared" si="4"/>
        <v>75555.555555555547</v>
      </c>
      <c r="E10" s="150">
        <f>Cal!C10</f>
        <v>104761.90476190476</v>
      </c>
      <c r="F10" s="150">
        <f t="shared" si="2"/>
        <v>104761.90476190476</v>
      </c>
      <c r="G10" s="150">
        <f t="shared" si="2"/>
        <v>104761.90476190476</v>
      </c>
      <c r="H10" s="150">
        <f t="shared" si="2"/>
        <v>104761.90476190476</v>
      </c>
      <c r="I10" s="150">
        <f t="shared" si="2"/>
        <v>104761.90476190476</v>
      </c>
      <c r="J10" s="150">
        <f t="shared" si="2"/>
        <v>104761.90476190476</v>
      </c>
      <c r="K10" s="150">
        <f t="shared" si="2"/>
        <v>104761.90476190476</v>
      </c>
      <c r="L10" s="150">
        <f>Cal!D10</f>
        <v>104761.90476190476</v>
      </c>
      <c r="M10" s="150">
        <f t="shared" si="3"/>
        <v>104238.09523809524</v>
      </c>
      <c r="N10" s="150">
        <f t="shared" si="1"/>
        <v>103714.28571428571</v>
      </c>
      <c r="O10" s="150">
        <f t="shared" si="1"/>
        <v>103190.47619047618</v>
      </c>
      <c r="P10" s="150">
        <f t="shared" si="1"/>
        <v>102666.66666666667</v>
      </c>
      <c r="Q10" s="150">
        <f t="shared" si="1"/>
        <v>102142.85714285714</v>
      </c>
      <c r="R10" s="150">
        <f t="shared" si="1"/>
        <v>101619.04761904762</v>
      </c>
      <c r="S10" s="150">
        <f t="shared" si="1"/>
        <v>101095.23809523809</v>
      </c>
      <c r="T10" s="150">
        <f t="shared" si="1"/>
        <v>100571.42857142857</v>
      </c>
      <c r="U10" s="150">
        <f t="shared" si="1"/>
        <v>100047.61904761904</v>
      </c>
      <c r="V10" s="150">
        <f t="shared" si="1"/>
        <v>99523.809523809527</v>
      </c>
      <c r="W10" s="150">
        <f t="shared" si="1"/>
        <v>99000</v>
      </c>
      <c r="X10" s="150">
        <f t="shared" si="1"/>
        <v>98476.190476190473</v>
      </c>
      <c r="Y10" s="150">
        <f t="shared" si="1"/>
        <v>97952.380952380947</v>
      </c>
      <c r="Z10" s="150">
        <f t="shared" si="1"/>
        <v>97428.57142857142</v>
      </c>
      <c r="AA10" s="150">
        <f t="shared" si="1"/>
        <v>96904.761904761894</v>
      </c>
      <c r="AB10" s="150">
        <f t="shared" si="1"/>
        <v>96380.952380952367</v>
      </c>
      <c r="AC10" s="150">
        <f t="shared" si="1"/>
        <v>95857.142857142841</v>
      </c>
      <c r="AD10" s="150">
        <f t="shared" si="1"/>
        <v>95333.333333333328</v>
      </c>
      <c r="AE10" s="150">
        <f t="shared" si="1"/>
        <v>94809.523809523802</v>
      </c>
      <c r="AF10" s="150">
        <f>Cal!E10</f>
        <v>94285.714285714275</v>
      </c>
      <c r="AG10" s="147"/>
    </row>
    <row r="11" spans="1:33" ht="14.25" customHeight="1">
      <c r="A11" s="125" t="s">
        <v>1121</v>
      </c>
      <c r="B11" s="150">
        <f>Cal!B11</f>
        <v>7619.0476190476184</v>
      </c>
      <c r="C11" s="150">
        <f t="shared" si="4"/>
        <v>7974.603174603174</v>
      </c>
      <c r="D11" s="150">
        <f t="shared" si="4"/>
        <v>8330.1587301587297</v>
      </c>
      <c r="E11" s="150">
        <f>Cal!C11</f>
        <v>8685.7142857142844</v>
      </c>
      <c r="F11" s="150">
        <f t="shared" si="2"/>
        <v>8685.7142857142844</v>
      </c>
      <c r="G11" s="150">
        <f t="shared" si="2"/>
        <v>8685.7142857142844</v>
      </c>
      <c r="H11" s="150">
        <f t="shared" si="2"/>
        <v>8685.7142857142844</v>
      </c>
      <c r="I11" s="150">
        <f t="shared" si="2"/>
        <v>8685.7142857142844</v>
      </c>
      <c r="J11" s="150">
        <f t="shared" si="2"/>
        <v>8685.7142857142844</v>
      </c>
      <c r="K11" s="150">
        <f t="shared" si="2"/>
        <v>8685.7142857142844</v>
      </c>
      <c r="L11" s="150">
        <f>Cal!D11</f>
        <v>8685.7142857142844</v>
      </c>
      <c r="M11" s="150">
        <f t="shared" si="3"/>
        <v>8672.7142857142844</v>
      </c>
      <c r="N11" s="150">
        <f t="shared" si="1"/>
        <v>8659.7142857142844</v>
      </c>
      <c r="O11" s="150">
        <f t="shared" si="1"/>
        <v>8646.7142857142844</v>
      </c>
      <c r="P11" s="150">
        <f t="shared" si="1"/>
        <v>8633.7142857142844</v>
      </c>
      <c r="Q11" s="150">
        <f t="shared" si="1"/>
        <v>8620.7142857142844</v>
      </c>
      <c r="R11" s="150">
        <f t="shared" si="1"/>
        <v>8607.7142857142844</v>
      </c>
      <c r="S11" s="150">
        <f t="shared" si="1"/>
        <v>8594.7142857142844</v>
      </c>
      <c r="T11" s="150">
        <f t="shared" si="1"/>
        <v>8581.7142857142844</v>
      </c>
      <c r="U11" s="150">
        <f t="shared" si="1"/>
        <v>8568.7142857142844</v>
      </c>
      <c r="V11" s="150">
        <f t="shared" si="1"/>
        <v>8555.7142857142844</v>
      </c>
      <c r="W11" s="150">
        <f t="shared" si="1"/>
        <v>8542.7142857142844</v>
      </c>
      <c r="X11" s="150">
        <f t="shared" si="1"/>
        <v>8529.7142857142844</v>
      </c>
      <c r="Y11" s="150">
        <f t="shared" si="1"/>
        <v>8516.7142857142844</v>
      </c>
      <c r="Z11" s="150">
        <f t="shared" si="1"/>
        <v>8503.7142857142844</v>
      </c>
      <c r="AA11" s="150">
        <f t="shared" si="1"/>
        <v>8490.7142857142844</v>
      </c>
      <c r="AB11" s="150">
        <f t="shared" si="1"/>
        <v>8477.7142857142844</v>
      </c>
      <c r="AC11" s="150">
        <f t="shared" si="1"/>
        <v>8464.7142857142844</v>
      </c>
      <c r="AD11" s="150">
        <f t="shared" si="1"/>
        <v>8451.7142857142844</v>
      </c>
      <c r="AE11" s="150">
        <f t="shared" si="1"/>
        <v>8438.7142857142844</v>
      </c>
      <c r="AF11" s="150">
        <f>Cal!E11</f>
        <v>8425.7142857142844</v>
      </c>
      <c r="AG11" s="147"/>
    </row>
    <row r="12" spans="1:33" ht="14.25" customHeight="1">
      <c r="A12" s="125" t="s">
        <v>1122</v>
      </c>
      <c r="B12" s="150">
        <f>Cal!B12</f>
        <v>22095.238095238095</v>
      </c>
      <c r="C12" s="150">
        <f t="shared" si="4"/>
        <v>23238.095238095237</v>
      </c>
      <c r="D12" s="150">
        <f t="shared" si="4"/>
        <v>24380.952380952382</v>
      </c>
      <c r="E12" s="150">
        <f>Cal!C12</f>
        <v>25523.809523809523</v>
      </c>
      <c r="F12" s="150">
        <f t="shared" si="2"/>
        <v>25414.965986394556</v>
      </c>
      <c r="G12" s="150">
        <f t="shared" si="2"/>
        <v>25306.12244897959</v>
      </c>
      <c r="H12" s="150">
        <f t="shared" si="2"/>
        <v>25197.278911564623</v>
      </c>
      <c r="I12" s="150">
        <f t="shared" si="2"/>
        <v>25088.43537414966</v>
      </c>
      <c r="J12" s="150">
        <f t="shared" si="2"/>
        <v>24979.591836734693</v>
      </c>
      <c r="K12" s="150">
        <f t="shared" si="2"/>
        <v>24870.748299319726</v>
      </c>
      <c r="L12" s="150">
        <f>Cal!D12</f>
        <v>24761.90476190476</v>
      </c>
      <c r="M12" s="150">
        <f t="shared" si="3"/>
        <v>24723.809523809523</v>
      </c>
      <c r="N12" s="150">
        <f t="shared" si="1"/>
        <v>24685.714285714283</v>
      </c>
      <c r="O12" s="150">
        <f t="shared" si="1"/>
        <v>24647.619047619046</v>
      </c>
      <c r="P12" s="150">
        <f t="shared" si="1"/>
        <v>24609.523809523809</v>
      </c>
      <c r="Q12" s="150">
        <f t="shared" si="1"/>
        <v>24571.428571428569</v>
      </c>
      <c r="R12" s="150">
        <f t="shared" si="1"/>
        <v>24533.333333333332</v>
      </c>
      <c r="S12" s="150">
        <f t="shared" si="1"/>
        <v>24495.238095238095</v>
      </c>
      <c r="T12" s="150">
        <f t="shared" si="1"/>
        <v>24457.142857142855</v>
      </c>
      <c r="U12" s="150">
        <f t="shared" si="1"/>
        <v>24419.047619047618</v>
      </c>
      <c r="V12" s="150">
        <f t="shared" si="1"/>
        <v>24380.952380952382</v>
      </c>
      <c r="W12" s="150">
        <f t="shared" si="1"/>
        <v>24342.857142857141</v>
      </c>
      <c r="X12" s="150">
        <f t="shared" si="1"/>
        <v>24304.761904761905</v>
      </c>
      <c r="Y12" s="150">
        <f t="shared" si="1"/>
        <v>24266.666666666664</v>
      </c>
      <c r="Z12" s="150">
        <f t="shared" si="1"/>
        <v>24228.571428571428</v>
      </c>
      <c r="AA12" s="150">
        <f t="shared" si="1"/>
        <v>24190.476190476191</v>
      </c>
      <c r="AB12" s="150">
        <f t="shared" si="1"/>
        <v>24152.38095238095</v>
      </c>
      <c r="AC12" s="150">
        <f t="shared" si="1"/>
        <v>24114.285714285714</v>
      </c>
      <c r="AD12" s="150">
        <f t="shared" si="1"/>
        <v>24076.190476190477</v>
      </c>
      <c r="AE12" s="150">
        <f t="shared" si="1"/>
        <v>24038.095238095237</v>
      </c>
      <c r="AF12" s="150">
        <f>Cal!E12</f>
        <v>24000</v>
      </c>
      <c r="AG12" s="147"/>
    </row>
    <row r="13" spans="1:33" ht="14.25" customHeight="1">
      <c r="A13" s="125" t="s">
        <v>1123</v>
      </c>
      <c r="B13" s="150">
        <f>Cal!B13</f>
        <v>39238.095238095237</v>
      </c>
      <c r="C13" s="150">
        <f t="shared" si="4"/>
        <v>41079.365079365074</v>
      </c>
      <c r="D13" s="150">
        <f t="shared" si="4"/>
        <v>42920.634920634919</v>
      </c>
      <c r="E13" s="150">
        <f>Cal!C13</f>
        <v>44761.904761904756</v>
      </c>
      <c r="F13" s="150">
        <f t="shared" si="2"/>
        <v>44571.428571428565</v>
      </c>
      <c r="G13" s="150">
        <f t="shared" si="2"/>
        <v>44380.952380952374</v>
      </c>
      <c r="H13" s="150">
        <f t="shared" si="2"/>
        <v>44190.476190476184</v>
      </c>
      <c r="I13" s="150">
        <f t="shared" si="2"/>
        <v>44000</v>
      </c>
      <c r="J13" s="150">
        <f t="shared" si="2"/>
        <v>43809.523809523809</v>
      </c>
      <c r="K13" s="150">
        <f t="shared" si="2"/>
        <v>43619.047619047618</v>
      </c>
      <c r="L13" s="150">
        <f>Cal!D13</f>
        <v>43428.571428571428</v>
      </c>
      <c r="M13" s="150">
        <f t="shared" si="3"/>
        <v>43357.142857142855</v>
      </c>
      <c r="N13" s="150">
        <f t="shared" si="1"/>
        <v>43285.714285714283</v>
      </c>
      <c r="O13" s="150">
        <f t="shared" si="1"/>
        <v>43214.28571428571</v>
      </c>
      <c r="P13" s="150">
        <f t="shared" si="1"/>
        <v>43142.857142857145</v>
      </c>
      <c r="Q13" s="150">
        <f t="shared" si="1"/>
        <v>43071.428571428572</v>
      </c>
      <c r="R13" s="150">
        <f t="shared" si="1"/>
        <v>43000</v>
      </c>
      <c r="S13" s="150">
        <f t="shared" si="1"/>
        <v>42928.571428571428</v>
      </c>
      <c r="T13" s="150">
        <f t="shared" si="1"/>
        <v>42857.142857142855</v>
      </c>
      <c r="U13" s="150">
        <f t="shared" si="1"/>
        <v>42785.714285714283</v>
      </c>
      <c r="V13" s="150">
        <f t="shared" si="1"/>
        <v>42714.28571428571</v>
      </c>
      <c r="W13" s="150">
        <f t="shared" si="1"/>
        <v>42642.857142857145</v>
      </c>
      <c r="X13" s="150">
        <f t="shared" si="1"/>
        <v>42571.428571428572</v>
      </c>
      <c r="Y13" s="150">
        <f t="shared" si="1"/>
        <v>42500</v>
      </c>
      <c r="Z13" s="150">
        <f t="shared" si="1"/>
        <v>42428.571428571428</v>
      </c>
      <c r="AA13" s="150">
        <f t="shared" si="1"/>
        <v>42357.142857142855</v>
      </c>
      <c r="AB13" s="150">
        <f t="shared" si="1"/>
        <v>42285.714285714283</v>
      </c>
      <c r="AC13" s="150">
        <f t="shared" si="1"/>
        <v>42214.285714285717</v>
      </c>
      <c r="AD13" s="150">
        <f t="shared" si="1"/>
        <v>42142.857142857145</v>
      </c>
      <c r="AE13" s="150">
        <f t="shared" si="1"/>
        <v>42071.428571428572</v>
      </c>
      <c r="AF13" s="150">
        <f>Cal!E13</f>
        <v>42000</v>
      </c>
      <c r="AG13" s="147"/>
    </row>
    <row r="14" spans="1:33" ht="14.25" customHeight="1">
      <c r="A14" s="125" t="s">
        <v>1124</v>
      </c>
      <c r="B14" s="150">
        <f>Cal!B14</f>
        <v>69142.857142857145</v>
      </c>
      <c r="C14" s="150">
        <f t="shared" si="4"/>
        <v>83799.365079365074</v>
      </c>
      <c r="D14" s="150">
        <f t="shared" si="4"/>
        <v>98455.873015873018</v>
      </c>
      <c r="E14" s="150">
        <f>Cal!C14</f>
        <v>113112.38095238095</v>
      </c>
      <c r="F14" s="150">
        <f t="shared" si="2"/>
        <v>110530.47619047618</v>
      </c>
      <c r="G14" s="150">
        <f t="shared" si="2"/>
        <v>107948.57142857142</v>
      </c>
      <c r="H14" s="150">
        <f t="shared" si="2"/>
        <v>105366.66666666666</v>
      </c>
      <c r="I14" s="150">
        <f t="shared" si="2"/>
        <v>102784.76190476191</v>
      </c>
      <c r="J14" s="150">
        <f t="shared" si="2"/>
        <v>100202.85714285714</v>
      </c>
      <c r="K14" s="150">
        <f t="shared" si="2"/>
        <v>97620.952380952382</v>
      </c>
      <c r="L14" s="150">
        <f>Cal!D14</f>
        <v>95039.047619047618</v>
      </c>
      <c r="M14" s="150">
        <f t="shared" si="3"/>
        <v>94158.047619047618</v>
      </c>
      <c r="N14" s="150">
        <f t="shared" si="1"/>
        <v>93277.047619047618</v>
      </c>
      <c r="O14" s="150">
        <f t="shared" si="1"/>
        <v>92396.047619047618</v>
      </c>
      <c r="P14" s="150">
        <f t="shared" si="1"/>
        <v>91515.047619047618</v>
      </c>
      <c r="Q14" s="150">
        <f t="shared" si="1"/>
        <v>90634.047619047618</v>
      </c>
      <c r="R14" s="150">
        <f t="shared" si="1"/>
        <v>89753.047619047618</v>
      </c>
      <c r="S14" s="150">
        <f t="shared" si="1"/>
        <v>88872.047619047618</v>
      </c>
      <c r="T14" s="150">
        <f t="shared" si="1"/>
        <v>87991.047619047618</v>
      </c>
      <c r="U14" s="150">
        <f t="shared" si="1"/>
        <v>87110.047619047618</v>
      </c>
      <c r="V14" s="150">
        <f t="shared" si="1"/>
        <v>86229.047619047618</v>
      </c>
      <c r="W14" s="150">
        <f t="shared" si="1"/>
        <v>85348.047619047618</v>
      </c>
      <c r="X14" s="150">
        <f t="shared" si="1"/>
        <v>84467.047619047618</v>
      </c>
      <c r="Y14" s="150">
        <f t="shared" si="1"/>
        <v>83586.047619047618</v>
      </c>
      <c r="Z14" s="150">
        <f t="shared" si="1"/>
        <v>82705.047619047618</v>
      </c>
      <c r="AA14" s="150">
        <f t="shared" si="1"/>
        <v>81824.047619047618</v>
      </c>
      <c r="AB14" s="150">
        <f t="shared" si="1"/>
        <v>80943.047619047618</v>
      </c>
      <c r="AC14" s="150">
        <f t="shared" si="1"/>
        <v>80062.047619047618</v>
      </c>
      <c r="AD14" s="150">
        <f t="shared" si="1"/>
        <v>79181.047619047618</v>
      </c>
      <c r="AE14" s="150">
        <f t="shared" si="1"/>
        <v>78300.047619047618</v>
      </c>
      <c r="AF14" s="150">
        <f>Cal!E14</f>
        <v>77419.047619047618</v>
      </c>
      <c r="AG14" s="147"/>
    </row>
    <row r="15" spans="1:33" ht="14.25" customHeight="1">
      <c r="A15" s="125" t="s">
        <v>1125</v>
      </c>
      <c r="B15" s="150">
        <f>Cal!B15</f>
        <v>7619.0476190476184</v>
      </c>
      <c r="C15" s="150">
        <f t="shared" si="4"/>
        <v>7974.603174603174</v>
      </c>
      <c r="D15" s="150">
        <f t="shared" si="4"/>
        <v>8330.1587301587297</v>
      </c>
      <c r="E15" s="150">
        <f>Cal!C15</f>
        <v>8685.7142857142844</v>
      </c>
      <c r="F15" s="150">
        <f t="shared" si="2"/>
        <v>8685.7142857142844</v>
      </c>
      <c r="G15" s="150">
        <f t="shared" si="2"/>
        <v>8685.7142857142844</v>
      </c>
      <c r="H15" s="150">
        <f t="shared" si="2"/>
        <v>8685.7142857142844</v>
      </c>
      <c r="I15" s="150">
        <f t="shared" si="2"/>
        <v>8685.7142857142844</v>
      </c>
      <c r="J15" s="150">
        <f t="shared" si="2"/>
        <v>8685.7142857142844</v>
      </c>
      <c r="K15" s="150">
        <f t="shared" si="2"/>
        <v>8685.7142857142844</v>
      </c>
      <c r="L15" s="150">
        <f>Cal!D15</f>
        <v>8685.7142857142844</v>
      </c>
      <c r="M15" s="150">
        <f t="shared" si="3"/>
        <v>8672.7142857142844</v>
      </c>
      <c r="N15" s="150">
        <f t="shared" si="1"/>
        <v>8659.7142857142844</v>
      </c>
      <c r="O15" s="150">
        <f t="shared" si="1"/>
        <v>8646.7142857142844</v>
      </c>
      <c r="P15" s="150">
        <f t="shared" si="1"/>
        <v>8633.7142857142844</v>
      </c>
      <c r="Q15" s="150">
        <f t="shared" si="1"/>
        <v>8620.7142857142844</v>
      </c>
      <c r="R15" s="150">
        <f t="shared" si="1"/>
        <v>8607.7142857142844</v>
      </c>
      <c r="S15" s="150">
        <f t="shared" si="1"/>
        <v>8594.7142857142844</v>
      </c>
      <c r="T15" s="150">
        <f t="shared" si="1"/>
        <v>8581.7142857142844</v>
      </c>
      <c r="U15" s="150">
        <f t="shared" si="1"/>
        <v>8568.7142857142844</v>
      </c>
      <c r="V15" s="150">
        <f t="shared" si="1"/>
        <v>8555.7142857142844</v>
      </c>
      <c r="W15" s="150">
        <f t="shared" si="1"/>
        <v>8542.7142857142844</v>
      </c>
      <c r="X15" s="150">
        <f t="shared" si="1"/>
        <v>8529.7142857142844</v>
      </c>
      <c r="Y15" s="150">
        <f t="shared" si="1"/>
        <v>8516.7142857142844</v>
      </c>
      <c r="Z15" s="150">
        <f t="shared" si="1"/>
        <v>8503.7142857142844</v>
      </c>
      <c r="AA15" s="150">
        <f t="shared" si="1"/>
        <v>8490.7142857142844</v>
      </c>
      <c r="AB15" s="150">
        <f t="shared" si="1"/>
        <v>8477.7142857142844</v>
      </c>
      <c r="AC15" s="150">
        <f t="shared" si="1"/>
        <v>8464.7142857142844</v>
      </c>
      <c r="AD15" s="150">
        <f t="shared" si="1"/>
        <v>8451.7142857142844</v>
      </c>
      <c r="AE15" s="150">
        <f t="shared" si="1"/>
        <v>8438.7142857142844</v>
      </c>
      <c r="AF15" s="150">
        <f>Cal!E15</f>
        <v>8425.7142857142844</v>
      </c>
      <c r="AG15" s="147"/>
    </row>
    <row r="16" spans="1:33" ht="14.25" customHeight="1">
      <c r="A16" s="125" t="s">
        <v>1126</v>
      </c>
      <c r="B16" s="150">
        <f>Cal!B16</f>
        <v>7619.0476190476184</v>
      </c>
      <c r="C16" s="150">
        <f t="shared" si="4"/>
        <v>7974.603174603174</v>
      </c>
      <c r="D16" s="150">
        <f t="shared" si="4"/>
        <v>8330.1587301587297</v>
      </c>
      <c r="E16" s="150">
        <f>Cal!C16</f>
        <v>8685.7142857142844</v>
      </c>
      <c r="F16" s="150">
        <f t="shared" si="2"/>
        <v>8685.7142857142844</v>
      </c>
      <c r="G16" s="150">
        <f t="shared" si="2"/>
        <v>8685.7142857142844</v>
      </c>
      <c r="H16" s="150">
        <f t="shared" si="2"/>
        <v>8685.7142857142844</v>
      </c>
      <c r="I16" s="150">
        <f t="shared" si="2"/>
        <v>8685.7142857142844</v>
      </c>
      <c r="J16" s="150">
        <f t="shared" si="2"/>
        <v>8685.7142857142844</v>
      </c>
      <c r="K16" s="150">
        <f t="shared" si="2"/>
        <v>8685.7142857142844</v>
      </c>
      <c r="L16" s="150">
        <f>Cal!D16</f>
        <v>8685.7142857142844</v>
      </c>
      <c r="M16" s="150">
        <f t="shared" si="3"/>
        <v>8672.7142857142844</v>
      </c>
      <c r="N16" s="150">
        <f t="shared" si="1"/>
        <v>8659.7142857142844</v>
      </c>
      <c r="O16" s="150">
        <f t="shared" si="1"/>
        <v>8646.7142857142844</v>
      </c>
      <c r="P16" s="150">
        <f t="shared" si="1"/>
        <v>8633.7142857142844</v>
      </c>
      <c r="Q16" s="150">
        <f t="shared" si="1"/>
        <v>8620.7142857142844</v>
      </c>
      <c r="R16" s="150">
        <f t="shared" si="1"/>
        <v>8607.7142857142844</v>
      </c>
      <c r="S16" s="150">
        <f t="shared" si="1"/>
        <v>8594.7142857142844</v>
      </c>
      <c r="T16" s="150">
        <f t="shared" si="1"/>
        <v>8581.7142857142844</v>
      </c>
      <c r="U16" s="150">
        <f t="shared" si="1"/>
        <v>8568.7142857142844</v>
      </c>
      <c r="V16" s="150">
        <f t="shared" si="1"/>
        <v>8555.7142857142844</v>
      </c>
      <c r="W16" s="150">
        <f t="shared" si="1"/>
        <v>8542.7142857142844</v>
      </c>
      <c r="X16" s="150">
        <f t="shared" si="1"/>
        <v>8529.7142857142844</v>
      </c>
      <c r="Y16" s="150">
        <f t="shared" si="1"/>
        <v>8516.7142857142844</v>
      </c>
      <c r="Z16" s="150">
        <f t="shared" si="1"/>
        <v>8503.7142857142844</v>
      </c>
      <c r="AA16" s="150">
        <f t="shared" si="1"/>
        <v>8490.7142857142844</v>
      </c>
      <c r="AB16" s="150">
        <f t="shared" si="1"/>
        <v>8477.7142857142844</v>
      </c>
      <c r="AC16" s="150">
        <f t="shared" si="1"/>
        <v>8464.7142857142844</v>
      </c>
      <c r="AD16" s="150">
        <f t="shared" si="1"/>
        <v>8451.7142857142844</v>
      </c>
      <c r="AE16" s="150">
        <f t="shared" si="1"/>
        <v>8438.7142857142844</v>
      </c>
      <c r="AF16" s="150">
        <f>Cal!E16</f>
        <v>8425.7142857142844</v>
      </c>
      <c r="AG16" s="147"/>
    </row>
    <row r="17" spans="1:33" ht="14.25" customHeight="1">
      <c r="A17" s="125" t="s">
        <v>1127</v>
      </c>
      <c r="B17" s="150">
        <f>Cal!B17</f>
        <v>119047.61904761904</v>
      </c>
      <c r="C17" s="150">
        <f t="shared" si="4"/>
        <v>124603.1746031746</v>
      </c>
      <c r="D17" s="150">
        <f t="shared" si="4"/>
        <v>130158.73015873015</v>
      </c>
      <c r="E17" s="150">
        <f>Cal!C17</f>
        <v>135714.28571428571</v>
      </c>
      <c r="F17" s="150">
        <f t="shared" si="2"/>
        <v>135714.28571428571</v>
      </c>
      <c r="G17" s="150">
        <f t="shared" si="2"/>
        <v>135714.28571428571</v>
      </c>
      <c r="H17" s="150">
        <f t="shared" si="2"/>
        <v>135714.28571428571</v>
      </c>
      <c r="I17" s="150">
        <f t="shared" si="2"/>
        <v>135714.28571428571</v>
      </c>
      <c r="J17" s="150">
        <f t="shared" si="2"/>
        <v>135714.28571428571</v>
      </c>
      <c r="K17" s="150">
        <f t="shared" si="2"/>
        <v>135714.28571428571</v>
      </c>
      <c r="L17" s="150">
        <f>Cal!D17</f>
        <v>135714.28571428571</v>
      </c>
      <c r="M17" s="150">
        <f t="shared" si="3"/>
        <v>135714.28571428571</v>
      </c>
      <c r="N17" s="150">
        <f t="shared" ref="N17:AE17" si="5">$L17+(($AF17-$L17)/($AF$1-$L$1))*(N$1-$L$1)</f>
        <v>135714.28571428571</v>
      </c>
      <c r="O17" s="150">
        <f t="shared" si="5"/>
        <v>135714.28571428571</v>
      </c>
      <c r="P17" s="150">
        <f t="shared" si="5"/>
        <v>135714.28571428571</v>
      </c>
      <c r="Q17" s="150">
        <f t="shared" si="5"/>
        <v>135714.28571428571</v>
      </c>
      <c r="R17" s="150">
        <f t="shared" si="5"/>
        <v>135714.28571428571</v>
      </c>
      <c r="S17" s="150">
        <f t="shared" si="5"/>
        <v>135714.28571428571</v>
      </c>
      <c r="T17" s="150">
        <f t="shared" si="5"/>
        <v>135714.28571428571</v>
      </c>
      <c r="U17" s="150">
        <f t="shared" si="5"/>
        <v>135714.28571428571</v>
      </c>
      <c r="V17" s="150">
        <f t="shared" si="5"/>
        <v>135714.28571428571</v>
      </c>
      <c r="W17" s="150">
        <f t="shared" si="5"/>
        <v>135714.28571428571</v>
      </c>
      <c r="X17" s="150">
        <f t="shared" si="5"/>
        <v>135714.28571428571</v>
      </c>
      <c r="Y17" s="150">
        <f t="shared" si="5"/>
        <v>135714.28571428571</v>
      </c>
      <c r="Z17" s="150">
        <f t="shared" si="5"/>
        <v>135714.28571428571</v>
      </c>
      <c r="AA17" s="150">
        <f t="shared" si="5"/>
        <v>135714.28571428571</v>
      </c>
      <c r="AB17" s="150">
        <f t="shared" si="5"/>
        <v>135714.28571428571</v>
      </c>
      <c r="AC17" s="150">
        <f t="shared" si="5"/>
        <v>135714.28571428571</v>
      </c>
      <c r="AD17" s="150">
        <f t="shared" si="5"/>
        <v>135714.28571428571</v>
      </c>
      <c r="AE17" s="150">
        <f t="shared" si="5"/>
        <v>135714.28571428571</v>
      </c>
      <c r="AF17" s="150">
        <f>Cal!E17</f>
        <v>135714.28571428571</v>
      </c>
      <c r="AG17" s="147"/>
    </row>
    <row r="18" spans="1:33" ht="14.25" customHeight="1">
      <c r="C18" s="5"/>
      <c r="AF18" s="135"/>
    </row>
    <row r="19" spans="1:33" ht="14.25" customHeight="1">
      <c r="A19" s="1"/>
    </row>
    <row r="20" spans="1:33" ht="14.25" customHeight="1">
      <c r="F20" s="1"/>
      <c r="G20" s="1"/>
      <c r="H20" s="1"/>
      <c r="I20" s="1"/>
    </row>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ignoredErrors>
    <ignoredError sqref="C3 E2:E17 L2:L17"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F1000"/>
  <sheetViews>
    <sheetView workbookViewId="0">
      <selection activeCell="D23" sqref="D23"/>
    </sheetView>
  </sheetViews>
  <sheetFormatPr baseColWidth="10" defaultColWidth="14.5" defaultRowHeight="15" customHeight="1"/>
  <cols>
    <col min="1" max="1" width="33.33203125" customWidth="1"/>
    <col min="2" max="32" width="7.332031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50">
        <v>0</v>
      </c>
      <c r="C2" s="150">
        <f t="shared" ref="C2:AF2" si="0">$B$2</f>
        <v>0</v>
      </c>
      <c r="D2" s="150">
        <f t="shared" si="0"/>
        <v>0</v>
      </c>
      <c r="E2" s="150">
        <f t="shared" si="0"/>
        <v>0</v>
      </c>
      <c r="F2" s="150">
        <f t="shared" si="0"/>
        <v>0</v>
      </c>
      <c r="G2" s="150">
        <f t="shared" si="0"/>
        <v>0</v>
      </c>
      <c r="H2" s="150">
        <f t="shared" si="0"/>
        <v>0</v>
      </c>
      <c r="I2" s="150">
        <f t="shared" si="0"/>
        <v>0</v>
      </c>
      <c r="J2" s="150">
        <f t="shared" si="0"/>
        <v>0</v>
      </c>
      <c r="K2" s="150">
        <f t="shared" si="0"/>
        <v>0</v>
      </c>
      <c r="L2" s="150">
        <f t="shared" si="0"/>
        <v>0</v>
      </c>
      <c r="M2" s="150">
        <f t="shared" si="0"/>
        <v>0</v>
      </c>
      <c r="N2" s="150">
        <f t="shared" si="0"/>
        <v>0</v>
      </c>
      <c r="O2" s="150">
        <f t="shared" si="0"/>
        <v>0</v>
      </c>
      <c r="P2" s="150">
        <f t="shared" si="0"/>
        <v>0</v>
      </c>
      <c r="Q2" s="150">
        <f t="shared" si="0"/>
        <v>0</v>
      </c>
      <c r="R2" s="150">
        <f t="shared" si="0"/>
        <v>0</v>
      </c>
      <c r="S2" s="150">
        <f t="shared" si="0"/>
        <v>0</v>
      </c>
      <c r="T2" s="150">
        <f t="shared" si="0"/>
        <v>0</v>
      </c>
      <c r="U2" s="150">
        <f t="shared" si="0"/>
        <v>0</v>
      </c>
      <c r="V2" s="150">
        <f t="shared" si="0"/>
        <v>0</v>
      </c>
      <c r="W2" s="150">
        <f t="shared" si="0"/>
        <v>0</v>
      </c>
      <c r="X2" s="150">
        <f t="shared" si="0"/>
        <v>0</v>
      </c>
      <c r="Y2" s="150">
        <f t="shared" si="0"/>
        <v>0</v>
      </c>
      <c r="Z2" s="150">
        <f t="shared" si="0"/>
        <v>0</v>
      </c>
      <c r="AA2" s="150">
        <f t="shared" si="0"/>
        <v>0</v>
      </c>
      <c r="AB2" s="150">
        <f t="shared" si="0"/>
        <v>0</v>
      </c>
      <c r="AC2" s="150">
        <f t="shared" si="0"/>
        <v>0</v>
      </c>
      <c r="AD2" s="150">
        <f t="shared" si="0"/>
        <v>0</v>
      </c>
      <c r="AE2" s="150">
        <f t="shared" si="0"/>
        <v>0</v>
      </c>
      <c r="AF2" s="150">
        <f t="shared" si="0"/>
        <v>0</v>
      </c>
    </row>
    <row r="3" spans="1:32" ht="14.25" customHeight="1">
      <c r="A3" s="125" t="s">
        <v>1115</v>
      </c>
      <c r="B3" s="150">
        <v>0</v>
      </c>
      <c r="C3" s="150">
        <f t="shared" ref="C3:AF3" si="1">$B$3</f>
        <v>0</v>
      </c>
      <c r="D3" s="150">
        <f t="shared" si="1"/>
        <v>0</v>
      </c>
      <c r="E3" s="150">
        <f t="shared" si="1"/>
        <v>0</v>
      </c>
      <c r="F3" s="150">
        <f t="shared" si="1"/>
        <v>0</v>
      </c>
      <c r="G3" s="150">
        <f t="shared" si="1"/>
        <v>0</v>
      </c>
      <c r="H3" s="150">
        <f t="shared" si="1"/>
        <v>0</v>
      </c>
      <c r="I3" s="150">
        <f t="shared" si="1"/>
        <v>0</v>
      </c>
      <c r="J3" s="150">
        <f t="shared" si="1"/>
        <v>0</v>
      </c>
      <c r="K3" s="150">
        <f t="shared" si="1"/>
        <v>0</v>
      </c>
      <c r="L3" s="150">
        <f t="shared" si="1"/>
        <v>0</v>
      </c>
      <c r="M3" s="150">
        <f t="shared" si="1"/>
        <v>0</v>
      </c>
      <c r="N3" s="150">
        <f t="shared" si="1"/>
        <v>0</v>
      </c>
      <c r="O3" s="150">
        <f t="shared" si="1"/>
        <v>0</v>
      </c>
      <c r="P3" s="150">
        <f t="shared" si="1"/>
        <v>0</v>
      </c>
      <c r="Q3" s="150">
        <f t="shared" si="1"/>
        <v>0</v>
      </c>
      <c r="R3" s="150">
        <f t="shared" si="1"/>
        <v>0</v>
      </c>
      <c r="S3" s="150">
        <f t="shared" si="1"/>
        <v>0</v>
      </c>
      <c r="T3" s="150">
        <f t="shared" si="1"/>
        <v>0</v>
      </c>
      <c r="U3" s="150">
        <f t="shared" si="1"/>
        <v>0</v>
      </c>
      <c r="V3" s="150">
        <f t="shared" si="1"/>
        <v>0</v>
      </c>
      <c r="W3" s="150">
        <f t="shared" si="1"/>
        <v>0</v>
      </c>
      <c r="X3" s="150">
        <f t="shared" si="1"/>
        <v>0</v>
      </c>
      <c r="Y3" s="150">
        <f t="shared" si="1"/>
        <v>0</v>
      </c>
      <c r="Z3" s="150">
        <f t="shared" si="1"/>
        <v>0</v>
      </c>
      <c r="AA3" s="150">
        <f t="shared" si="1"/>
        <v>0</v>
      </c>
      <c r="AB3" s="150">
        <f t="shared" si="1"/>
        <v>0</v>
      </c>
      <c r="AC3" s="150">
        <f t="shared" si="1"/>
        <v>0</v>
      </c>
      <c r="AD3" s="150">
        <f t="shared" si="1"/>
        <v>0</v>
      </c>
      <c r="AE3" s="150">
        <f t="shared" si="1"/>
        <v>0</v>
      </c>
      <c r="AF3" s="150">
        <f t="shared" si="1"/>
        <v>0</v>
      </c>
    </row>
    <row r="4" spans="1:32" ht="14.25" customHeight="1">
      <c r="A4" s="125" t="s">
        <v>1102</v>
      </c>
      <c r="B4" s="150">
        <v>0</v>
      </c>
      <c r="C4" s="150">
        <f t="shared" ref="C4:AF4" si="2">$B$4</f>
        <v>0</v>
      </c>
      <c r="D4" s="150">
        <f t="shared" si="2"/>
        <v>0</v>
      </c>
      <c r="E4" s="150">
        <f t="shared" si="2"/>
        <v>0</v>
      </c>
      <c r="F4" s="150">
        <f t="shared" si="2"/>
        <v>0</v>
      </c>
      <c r="G4" s="150">
        <f t="shared" si="2"/>
        <v>0</v>
      </c>
      <c r="H4" s="150">
        <f t="shared" si="2"/>
        <v>0</v>
      </c>
      <c r="I4" s="150">
        <f t="shared" si="2"/>
        <v>0</v>
      </c>
      <c r="J4" s="150">
        <f t="shared" si="2"/>
        <v>0</v>
      </c>
      <c r="K4" s="150">
        <f t="shared" si="2"/>
        <v>0</v>
      </c>
      <c r="L4" s="150">
        <f t="shared" si="2"/>
        <v>0</v>
      </c>
      <c r="M4" s="150">
        <f t="shared" si="2"/>
        <v>0</v>
      </c>
      <c r="N4" s="150">
        <f t="shared" si="2"/>
        <v>0</v>
      </c>
      <c r="O4" s="150">
        <f t="shared" si="2"/>
        <v>0</v>
      </c>
      <c r="P4" s="150">
        <f t="shared" si="2"/>
        <v>0</v>
      </c>
      <c r="Q4" s="150">
        <f t="shared" si="2"/>
        <v>0</v>
      </c>
      <c r="R4" s="150">
        <f t="shared" si="2"/>
        <v>0</v>
      </c>
      <c r="S4" s="150">
        <f t="shared" si="2"/>
        <v>0</v>
      </c>
      <c r="T4" s="150">
        <f t="shared" si="2"/>
        <v>0</v>
      </c>
      <c r="U4" s="150">
        <f t="shared" si="2"/>
        <v>0</v>
      </c>
      <c r="V4" s="150">
        <f t="shared" si="2"/>
        <v>0</v>
      </c>
      <c r="W4" s="150">
        <f t="shared" si="2"/>
        <v>0</v>
      </c>
      <c r="X4" s="150">
        <f t="shared" si="2"/>
        <v>0</v>
      </c>
      <c r="Y4" s="150">
        <f t="shared" si="2"/>
        <v>0</v>
      </c>
      <c r="Z4" s="150">
        <f t="shared" si="2"/>
        <v>0</v>
      </c>
      <c r="AA4" s="150">
        <f t="shared" si="2"/>
        <v>0</v>
      </c>
      <c r="AB4" s="150">
        <f t="shared" si="2"/>
        <v>0</v>
      </c>
      <c r="AC4" s="150">
        <f t="shared" si="2"/>
        <v>0</v>
      </c>
      <c r="AD4" s="150">
        <f t="shared" si="2"/>
        <v>0</v>
      </c>
      <c r="AE4" s="150">
        <f t="shared" si="2"/>
        <v>0</v>
      </c>
      <c r="AF4" s="150">
        <f t="shared" si="2"/>
        <v>0</v>
      </c>
    </row>
    <row r="5" spans="1:32" ht="14.25" customHeight="1">
      <c r="A5" s="125" t="s">
        <v>1116</v>
      </c>
      <c r="B5" s="150">
        <v>0</v>
      </c>
      <c r="C5" s="150">
        <f t="shared" ref="C5:AF5" si="3">$B$5</f>
        <v>0</v>
      </c>
      <c r="D5" s="150">
        <f t="shared" si="3"/>
        <v>0</v>
      </c>
      <c r="E5" s="150">
        <f t="shared" si="3"/>
        <v>0</v>
      </c>
      <c r="F5" s="150">
        <f t="shared" si="3"/>
        <v>0</v>
      </c>
      <c r="G5" s="150">
        <f t="shared" si="3"/>
        <v>0</v>
      </c>
      <c r="H5" s="150">
        <f t="shared" si="3"/>
        <v>0</v>
      </c>
      <c r="I5" s="150">
        <f t="shared" si="3"/>
        <v>0</v>
      </c>
      <c r="J5" s="150">
        <f t="shared" si="3"/>
        <v>0</v>
      </c>
      <c r="K5" s="150">
        <f t="shared" si="3"/>
        <v>0</v>
      </c>
      <c r="L5" s="150">
        <f t="shared" si="3"/>
        <v>0</v>
      </c>
      <c r="M5" s="150">
        <f t="shared" si="3"/>
        <v>0</v>
      </c>
      <c r="N5" s="150">
        <f t="shared" si="3"/>
        <v>0</v>
      </c>
      <c r="O5" s="150">
        <f t="shared" si="3"/>
        <v>0</v>
      </c>
      <c r="P5" s="150">
        <f t="shared" si="3"/>
        <v>0</v>
      </c>
      <c r="Q5" s="150">
        <f t="shared" si="3"/>
        <v>0</v>
      </c>
      <c r="R5" s="150">
        <f t="shared" si="3"/>
        <v>0</v>
      </c>
      <c r="S5" s="150">
        <f t="shared" si="3"/>
        <v>0</v>
      </c>
      <c r="T5" s="150">
        <f t="shared" si="3"/>
        <v>0</v>
      </c>
      <c r="U5" s="150">
        <f t="shared" si="3"/>
        <v>0</v>
      </c>
      <c r="V5" s="150">
        <f t="shared" si="3"/>
        <v>0</v>
      </c>
      <c r="W5" s="150">
        <f t="shared" si="3"/>
        <v>0</v>
      </c>
      <c r="X5" s="150">
        <f t="shared" si="3"/>
        <v>0</v>
      </c>
      <c r="Y5" s="150">
        <f t="shared" si="3"/>
        <v>0</v>
      </c>
      <c r="Z5" s="150">
        <f t="shared" si="3"/>
        <v>0</v>
      </c>
      <c r="AA5" s="150">
        <f t="shared" si="3"/>
        <v>0</v>
      </c>
      <c r="AB5" s="150">
        <f t="shared" si="3"/>
        <v>0</v>
      </c>
      <c r="AC5" s="150">
        <f t="shared" si="3"/>
        <v>0</v>
      </c>
      <c r="AD5" s="150">
        <f t="shared" si="3"/>
        <v>0</v>
      </c>
      <c r="AE5" s="150">
        <f t="shared" si="3"/>
        <v>0</v>
      </c>
      <c r="AF5" s="150">
        <f t="shared" si="3"/>
        <v>0</v>
      </c>
    </row>
    <row r="6" spans="1:32" ht="14.25" customHeight="1">
      <c r="A6" s="125" t="s">
        <v>1117</v>
      </c>
      <c r="B6" s="150">
        <v>0</v>
      </c>
      <c r="C6" s="150">
        <f t="shared" ref="C6:AF6" si="4">$B$6</f>
        <v>0</v>
      </c>
      <c r="D6" s="150">
        <f t="shared" si="4"/>
        <v>0</v>
      </c>
      <c r="E6" s="150">
        <f t="shared" si="4"/>
        <v>0</v>
      </c>
      <c r="F6" s="150">
        <f t="shared" si="4"/>
        <v>0</v>
      </c>
      <c r="G6" s="150">
        <f t="shared" si="4"/>
        <v>0</v>
      </c>
      <c r="H6" s="150">
        <f t="shared" si="4"/>
        <v>0</v>
      </c>
      <c r="I6" s="150">
        <f t="shared" si="4"/>
        <v>0</v>
      </c>
      <c r="J6" s="150">
        <f t="shared" si="4"/>
        <v>0</v>
      </c>
      <c r="K6" s="150">
        <f t="shared" si="4"/>
        <v>0</v>
      </c>
      <c r="L6" s="150">
        <f t="shared" si="4"/>
        <v>0</v>
      </c>
      <c r="M6" s="150">
        <f t="shared" si="4"/>
        <v>0</v>
      </c>
      <c r="N6" s="150">
        <f t="shared" si="4"/>
        <v>0</v>
      </c>
      <c r="O6" s="150">
        <f t="shared" si="4"/>
        <v>0</v>
      </c>
      <c r="P6" s="150">
        <f t="shared" si="4"/>
        <v>0</v>
      </c>
      <c r="Q6" s="150">
        <f t="shared" si="4"/>
        <v>0</v>
      </c>
      <c r="R6" s="150">
        <f t="shared" si="4"/>
        <v>0</v>
      </c>
      <c r="S6" s="150">
        <f t="shared" si="4"/>
        <v>0</v>
      </c>
      <c r="T6" s="150">
        <f t="shared" si="4"/>
        <v>0</v>
      </c>
      <c r="U6" s="150">
        <f t="shared" si="4"/>
        <v>0</v>
      </c>
      <c r="V6" s="150">
        <f t="shared" si="4"/>
        <v>0</v>
      </c>
      <c r="W6" s="150">
        <f t="shared" si="4"/>
        <v>0</v>
      </c>
      <c r="X6" s="150">
        <f t="shared" si="4"/>
        <v>0</v>
      </c>
      <c r="Y6" s="150">
        <f t="shared" si="4"/>
        <v>0</v>
      </c>
      <c r="Z6" s="150">
        <f t="shared" si="4"/>
        <v>0</v>
      </c>
      <c r="AA6" s="150">
        <f t="shared" si="4"/>
        <v>0</v>
      </c>
      <c r="AB6" s="150">
        <f t="shared" si="4"/>
        <v>0</v>
      </c>
      <c r="AC6" s="150">
        <f t="shared" si="4"/>
        <v>0</v>
      </c>
      <c r="AD6" s="150">
        <f t="shared" si="4"/>
        <v>0</v>
      </c>
      <c r="AE6" s="150">
        <f t="shared" si="4"/>
        <v>0</v>
      </c>
      <c r="AF6" s="150">
        <f t="shared" si="4"/>
        <v>0</v>
      </c>
    </row>
    <row r="7" spans="1:32" ht="14.25" customHeight="1">
      <c r="A7" s="125" t="s">
        <v>1118</v>
      </c>
      <c r="B7" s="150">
        <v>0</v>
      </c>
      <c r="C7" s="150">
        <f t="shared" ref="C7:AF7" si="5">$B$7</f>
        <v>0</v>
      </c>
      <c r="D7" s="150">
        <f t="shared" si="5"/>
        <v>0</v>
      </c>
      <c r="E7" s="150">
        <f t="shared" si="5"/>
        <v>0</v>
      </c>
      <c r="F7" s="150">
        <f t="shared" si="5"/>
        <v>0</v>
      </c>
      <c r="G7" s="150">
        <f t="shared" si="5"/>
        <v>0</v>
      </c>
      <c r="H7" s="150">
        <f t="shared" si="5"/>
        <v>0</v>
      </c>
      <c r="I7" s="150">
        <f t="shared" si="5"/>
        <v>0</v>
      </c>
      <c r="J7" s="150">
        <f t="shared" si="5"/>
        <v>0</v>
      </c>
      <c r="K7" s="150">
        <f t="shared" si="5"/>
        <v>0</v>
      </c>
      <c r="L7" s="150">
        <f t="shared" si="5"/>
        <v>0</v>
      </c>
      <c r="M7" s="150">
        <f t="shared" si="5"/>
        <v>0</v>
      </c>
      <c r="N7" s="150">
        <f t="shared" si="5"/>
        <v>0</v>
      </c>
      <c r="O7" s="150">
        <f t="shared" si="5"/>
        <v>0</v>
      </c>
      <c r="P7" s="150">
        <f t="shared" si="5"/>
        <v>0</v>
      </c>
      <c r="Q7" s="150">
        <f t="shared" si="5"/>
        <v>0</v>
      </c>
      <c r="R7" s="150">
        <f t="shared" si="5"/>
        <v>0</v>
      </c>
      <c r="S7" s="150">
        <f t="shared" si="5"/>
        <v>0</v>
      </c>
      <c r="T7" s="150">
        <f t="shared" si="5"/>
        <v>0</v>
      </c>
      <c r="U7" s="150">
        <f t="shared" si="5"/>
        <v>0</v>
      </c>
      <c r="V7" s="150">
        <f t="shared" si="5"/>
        <v>0</v>
      </c>
      <c r="W7" s="150">
        <f t="shared" si="5"/>
        <v>0</v>
      </c>
      <c r="X7" s="150">
        <f t="shared" si="5"/>
        <v>0</v>
      </c>
      <c r="Y7" s="150">
        <f t="shared" si="5"/>
        <v>0</v>
      </c>
      <c r="Z7" s="150">
        <f t="shared" si="5"/>
        <v>0</v>
      </c>
      <c r="AA7" s="150">
        <f t="shared" si="5"/>
        <v>0</v>
      </c>
      <c r="AB7" s="150">
        <f t="shared" si="5"/>
        <v>0</v>
      </c>
      <c r="AC7" s="150">
        <f t="shared" si="5"/>
        <v>0</v>
      </c>
      <c r="AD7" s="150">
        <f t="shared" si="5"/>
        <v>0</v>
      </c>
      <c r="AE7" s="150">
        <f t="shared" si="5"/>
        <v>0</v>
      </c>
      <c r="AF7" s="150">
        <f t="shared" si="5"/>
        <v>0</v>
      </c>
    </row>
    <row r="8" spans="1:32" ht="14.25" customHeight="1">
      <c r="A8" s="125" t="s">
        <v>1129</v>
      </c>
      <c r="B8" s="150">
        <v>0</v>
      </c>
      <c r="C8" s="150">
        <f t="shared" ref="C8:AF8" si="6">$B$8</f>
        <v>0</v>
      </c>
      <c r="D8" s="150">
        <f t="shared" si="6"/>
        <v>0</v>
      </c>
      <c r="E8" s="150">
        <f t="shared" si="6"/>
        <v>0</v>
      </c>
      <c r="F8" s="150">
        <f t="shared" si="6"/>
        <v>0</v>
      </c>
      <c r="G8" s="150">
        <f t="shared" si="6"/>
        <v>0</v>
      </c>
      <c r="H8" s="150">
        <f t="shared" si="6"/>
        <v>0</v>
      </c>
      <c r="I8" s="150">
        <f t="shared" si="6"/>
        <v>0</v>
      </c>
      <c r="J8" s="150">
        <f t="shared" si="6"/>
        <v>0</v>
      </c>
      <c r="K8" s="150">
        <f t="shared" si="6"/>
        <v>0</v>
      </c>
      <c r="L8" s="150">
        <f t="shared" si="6"/>
        <v>0</v>
      </c>
      <c r="M8" s="150">
        <f t="shared" si="6"/>
        <v>0</v>
      </c>
      <c r="N8" s="150">
        <f t="shared" si="6"/>
        <v>0</v>
      </c>
      <c r="O8" s="150">
        <f t="shared" si="6"/>
        <v>0</v>
      </c>
      <c r="P8" s="150">
        <f t="shared" si="6"/>
        <v>0</v>
      </c>
      <c r="Q8" s="150">
        <f t="shared" si="6"/>
        <v>0</v>
      </c>
      <c r="R8" s="150">
        <f t="shared" si="6"/>
        <v>0</v>
      </c>
      <c r="S8" s="150">
        <f t="shared" si="6"/>
        <v>0</v>
      </c>
      <c r="T8" s="150">
        <f t="shared" si="6"/>
        <v>0</v>
      </c>
      <c r="U8" s="150">
        <f t="shared" si="6"/>
        <v>0</v>
      </c>
      <c r="V8" s="150">
        <f t="shared" si="6"/>
        <v>0</v>
      </c>
      <c r="W8" s="150">
        <f t="shared" si="6"/>
        <v>0</v>
      </c>
      <c r="X8" s="150">
        <f t="shared" si="6"/>
        <v>0</v>
      </c>
      <c r="Y8" s="150">
        <f t="shared" si="6"/>
        <v>0</v>
      </c>
      <c r="Z8" s="150">
        <f t="shared" si="6"/>
        <v>0</v>
      </c>
      <c r="AA8" s="150">
        <f t="shared" si="6"/>
        <v>0</v>
      </c>
      <c r="AB8" s="150">
        <f t="shared" si="6"/>
        <v>0</v>
      </c>
      <c r="AC8" s="150">
        <f t="shared" si="6"/>
        <v>0</v>
      </c>
      <c r="AD8" s="150">
        <f t="shared" si="6"/>
        <v>0</v>
      </c>
      <c r="AE8" s="150">
        <f t="shared" si="6"/>
        <v>0</v>
      </c>
      <c r="AF8" s="150">
        <f t="shared" si="6"/>
        <v>0</v>
      </c>
    </row>
    <row r="9" spans="1:32" ht="14.25" customHeight="1">
      <c r="A9" s="125" t="s">
        <v>1119</v>
      </c>
      <c r="B9" s="150">
        <v>0</v>
      </c>
      <c r="C9" s="150">
        <f t="shared" ref="C9:AF9" si="7">$B$9</f>
        <v>0</v>
      </c>
      <c r="D9" s="150">
        <f t="shared" si="7"/>
        <v>0</v>
      </c>
      <c r="E9" s="150">
        <f t="shared" si="7"/>
        <v>0</v>
      </c>
      <c r="F9" s="150">
        <f t="shared" si="7"/>
        <v>0</v>
      </c>
      <c r="G9" s="150">
        <f t="shared" si="7"/>
        <v>0</v>
      </c>
      <c r="H9" s="150">
        <f t="shared" si="7"/>
        <v>0</v>
      </c>
      <c r="I9" s="150">
        <f t="shared" si="7"/>
        <v>0</v>
      </c>
      <c r="J9" s="150">
        <f t="shared" si="7"/>
        <v>0</v>
      </c>
      <c r="K9" s="150">
        <f t="shared" si="7"/>
        <v>0</v>
      </c>
      <c r="L9" s="150">
        <f t="shared" si="7"/>
        <v>0</v>
      </c>
      <c r="M9" s="150">
        <f t="shared" si="7"/>
        <v>0</v>
      </c>
      <c r="N9" s="150">
        <f t="shared" si="7"/>
        <v>0</v>
      </c>
      <c r="O9" s="150">
        <f t="shared" si="7"/>
        <v>0</v>
      </c>
      <c r="P9" s="150">
        <f t="shared" si="7"/>
        <v>0</v>
      </c>
      <c r="Q9" s="150">
        <f t="shared" si="7"/>
        <v>0</v>
      </c>
      <c r="R9" s="150">
        <f t="shared" si="7"/>
        <v>0</v>
      </c>
      <c r="S9" s="150">
        <f t="shared" si="7"/>
        <v>0</v>
      </c>
      <c r="T9" s="150">
        <f t="shared" si="7"/>
        <v>0</v>
      </c>
      <c r="U9" s="150">
        <f t="shared" si="7"/>
        <v>0</v>
      </c>
      <c r="V9" s="150">
        <f t="shared" si="7"/>
        <v>0</v>
      </c>
      <c r="W9" s="150">
        <f t="shared" si="7"/>
        <v>0</v>
      </c>
      <c r="X9" s="150">
        <f t="shared" si="7"/>
        <v>0</v>
      </c>
      <c r="Y9" s="150">
        <f t="shared" si="7"/>
        <v>0</v>
      </c>
      <c r="Z9" s="150">
        <f t="shared" si="7"/>
        <v>0</v>
      </c>
      <c r="AA9" s="150">
        <f t="shared" si="7"/>
        <v>0</v>
      </c>
      <c r="AB9" s="150">
        <f t="shared" si="7"/>
        <v>0</v>
      </c>
      <c r="AC9" s="150">
        <f t="shared" si="7"/>
        <v>0</v>
      </c>
      <c r="AD9" s="150">
        <f t="shared" si="7"/>
        <v>0</v>
      </c>
      <c r="AE9" s="150">
        <f t="shared" si="7"/>
        <v>0</v>
      </c>
      <c r="AF9" s="150">
        <f t="shared" si="7"/>
        <v>0</v>
      </c>
    </row>
    <row r="10" spans="1:32" ht="14.25" customHeight="1">
      <c r="A10" s="125" t="s">
        <v>1120</v>
      </c>
      <c r="B10" s="150">
        <v>0</v>
      </c>
      <c r="C10" s="150">
        <f t="shared" ref="C10:AF10" si="8">$B10</f>
        <v>0</v>
      </c>
      <c r="D10" s="150">
        <f t="shared" si="8"/>
        <v>0</v>
      </c>
      <c r="E10" s="150">
        <f t="shared" si="8"/>
        <v>0</v>
      </c>
      <c r="F10" s="150">
        <f t="shared" si="8"/>
        <v>0</v>
      </c>
      <c r="G10" s="150">
        <f t="shared" si="8"/>
        <v>0</v>
      </c>
      <c r="H10" s="150">
        <f t="shared" si="8"/>
        <v>0</v>
      </c>
      <c r="I10" s="150">
        <f t="shared" si="8"/>
        <v>0</v>
      </c>
      <c r="J10" s="150">
        <f t="shared" si="8"/>
        <v>0</v>
      </c>
      <c r="K10" s="150">
        <f t="shared" si="8"/>
        <v>0</v>
      </c>
      <c r="L10" s="150">
        <f t="shared" si="8"/>
        <v>0</v>
      </c>
      <c r="M10" s="150">
        <f t="shared" si="8"/>
        <v>0</v>
      </c>
      <c r="N10" s="150">
        <f t="shared" si="8"/>
        <v>0</v>
      </c>
      <c r="O10" s="150">
        <f t="shared" si="8"/>
        <v>0</v>
      </c>
      <c r="P10" s="150">
        <f t="shared" si="8"/>
        <v>0</v>
      </c>
      <c r="Q10" s="150">
        <f t="shared" si="8"/>
        <v>0</v>
      </c>
      <c r="R10" s="150">
        <f t="shared" si="8"/>
        <v>0</v>
      </c>
      <c r="S10" s="150">
        <f t="shared" si="8"/>
        <v>0</v>
      </c>
      <c r="T10" s="150">
        <f t="shared" si="8"/>
        <v>0</v>
      </c>
      <c r="U10" s="150">
        <f t="shared" si="8"/>
        <v>0</v>
      </c>
      <c r="V10" s="150">
        <f t="shared" si="8"/>
        <v>0</v>
      </c>
      <c r="W10" s="150">
        <f t="shared" si="8"/>
        <v>0</v>
      </c>
      <c r="X10" s="150">
        <f t="shared" si="8"/>
        <v>0</v>
      </c>
      <c r="Y10" s="150">
        <f t="shared" si="8"/>
        <v>0</v>
      </c>
      <c r="Z10" s="150">
        <f t="shared" si="8"/>
        <v>0</v>
      </c>
      <c r="AA10" s="150">
        <f t="shared" si="8"/>
        <v>0</v>
      </c>
      <c r="AB10" s="150">
        <f t="shared" si="8"/>
        <v>0</v>
      </c>
      <c r="AC10" s="150">
        <f t="shared" si="8"/>
        <v>0</v>
      </c>
      <c r="AD10" s="150">
        <f t="shared" si="8"/>
        <v>0</v>
      </c>
      <c r="AE10" s="150">
        <f t="shared" si="8"/>
        <v>0</v>
      </c>
      <c r="AF10" s="150">
        <f t="shared" si="8"/>
        <v>0</v>
      </c>
    </row>
    <row r="11" spans="1:32" ht="14.25" customHeight="1">
      <c r="A11" s="125" t="s">
        <v>1121</v>
      </c>
      <c r="B11" s="150">
        <v>0</v>
      </c>
      <c r="C11" s="150">
        <f t="shared" ref="C11:AF11" si="9">$B11</f>
        <v>0</v>
      </c>
      <c r="D11" s="150">
        <f t="shared" si="9"/>
        <v>0</v>
      </c>
      <c r="E11" s="150">
        <f t="shared" si="9"/>
        <v>0</v>
      </c>
      <c r="F11" s="150">
        <f t="shared" si="9"/>
        <v>0</v>
      </c>
      <c r="G11" s="150">
        <f t="shared" si="9"/>
        <v>0</v>
      </c>
      <c r="H11" s="150">
        <f t="shared" si="9"/>
        <v>0</v>
      </c>
      <c r="I11" s="150">
        <f t="shared" si="9"/>
        <v>0</v>
      </c>
      <c r="J11" s="150">
        <f t="shared" si="9"/>
        <v>0</v>
      </c>
      <c r="K11" s="150">
        <f t="shared" si="9"/>
        <v>0</v>
      </c>
      <c r="L11" s="150">
        <f t="shared" si="9"/>
        <v>0</v>
      </c>
      <c r="M11" s="150">
        <f t="shared" si="9"/>
        <v>0</v>
      </c>
      <c r="N11" s="150">
        <f t="shared" si="9"/>
        <v>0</v>
      </c>
      <c r="O11" s="150">
        <f t="shared" si="9"/>
        <v>0</v>
      </c>
      <c r="P11" s="150">
        <f t="shared" si="9"/>
        <v>0</v>
      </c>
      <c r="Q11" s="150">
        <f t="shared" si="9"/>
        <v>0</v>
      </c>
      <c r="R11" s="150">
        <f t="shared" si="9"/>
        <v>0</v>
      </c>
      <c r="S11" s="150">
        <f t="shared" si="9"/>
        <v>0</v>
      </c>
      <c r="T11" s="150">
        <f t="shared" si="9"/>
        <v>0</v>
      </c>
      <c r="U11" s="150">
        <f t="shared" si="9"/>
        <v>0</v>
      </c>
      <c r="V11" s="150">
        <f t="shared" si="9"/>
        <v>0</v>
      </c>
      <c r="W11" s="150">
        <f t="shared" si="9"/>
        <v>0</v>
      </c>
      <c r="X11" s="150">
        <f t="shared" si="9"/>
        <v>0</v>
      </c>
      <c r="Y11" s="150">
        <f t="shared" si="9"/>
        <v>0</v>
      </c>
      <c r="Z11" s="150">
        <f t="shared" si="9"/>
        <v>0</v>
      </c>
      <c r="AA11" s="150">
        <f t="shared" si="9"/>
        <v>0</v>
      </c>
      <c r="AB11" s="150">
        <f t="shared" si="9"/>
        <v>0</v>
      </c>
      <c r="AC11" s="150">
        <f t="shared" si="9"/>
        <v>0</v>
      </c>
      <c r="AD11" s="150">
        <f t="shared" si="9"/>
        <v>0</v>
      </c>
      <c r="AE11" s="150">
        <f t="shared" si="9"/>
        <v>0</v>
      </c>
      <c r="AF11" s="150">
        <f t="shared" si="9"/>
        <v>0</v>
      </c>
    </row>
    <row r="12" spans="1:32" ht="14.25" customHeight="1">
      <c r="A12" s="125" t="s">
        <v>1122</v>
      </c>
      <c r="B12" s="150">
        <v>0</v>
      </c>
      <c r="C12" s="150">
        <f t="shared" ref="C12:AF12" si="10">$B12</f>
        <v>0</v>
      </c>
      <c r="D12" s="150">
        <f t="shared" si="10"/>
        <v>0</v>
      </c>
      <c r="E12" s="150">
        <f t="shared" si="10"/>
        <v>0</v>
      </c>
      <c r="F12" s="150">
        <f t="shared" si="10"/>
        <v>0</v>
      </c>
      <c r="G12" s="150">
        <f t="shared" si="10"/>
        <v>0</v>
      </c>
      <c r="H12" s="150">
        <f t="shared" si="10"/>
        <v>0</v>
      </c>
      <c r="I12" s="150">
        <f t="shared" si="10"/>
        <v>0</v>
      </c>
      <c r="J12" s="150">
        <f t="shared" si="10"/>
        <v>0</v>
      </c>
      <c r="K12" s="150">
        <f t="shared" si="10"/>
        <v>0</v>
      </c>
      <c r="L12" s="150">
        <f t="shared" si="10"/>
        <v>0</v>
      </c>
      <c r="M12" s="150">
        <f t="shared" si="10"/>
        <v>0</v>
      </c>
      <c r="N12" s="150">
        <f t="shared" si="10"/>
        <v>0</v>
      </c>
      <c r="O12" s="150">
        <f t="shared" si="10"/>
        <v>0</v>
      </c>
      <c r="P12" s="150">
        <f t="shared" si="10"/>
        <v>0</v>
      </c>
      <c r="Q12" s="150">
        <f t="shared" si="10"/>
        <v>0</v>
      </c>
      <c r="R12" s="150">
        <f t="shared" si="10"/>
        <v>0</v>
      </c>
      <c r="S12" s="150">
        <f t="shared" si="10"/>
        <v>0</v>
      </c>
      <c r="T12" s="150">
        <f t="shared" si="10"/>
        <v>0</v>
      </c>
      <c r="U12" s="150">
        <f t="shared" si="10"/>
        <v>0</v>
      </c>
      <c r="V12" s="150">
        <f t="shared" si="10"/>
        <v>0</v>
      </c>
      <c r="W12" s="150">
        <f t="shared" si="10"/>
        <v>0</v>
      </c>
      <c r="X12" s="150">
        <f t="shared" si="10"/>
        <v>0</v>
      </c>
      <c r="Y12" s="150">
        <f t="shared" si="10"/>
        <v>0</v>
      </c>
      <c r="Z12" s="150">
        <f t="shared" si="10"/>
        <v>0</v>
      </c>
      <c r="AA12" s="150">
        <f t="shared" si="10"/>
        <v>0</v>
      </c>
      <c r="AB12" s="150">
        <f t="shared" si="10"/>
        <v>0</v>
      </c>
      <c r="AC12" s="150">
        <f t="shared" si="10"/>
        <v>0</v>
      </c>
      <c r="AD12" s="150">
        <f t="shared" si="10"/>
        <v>0</v>
      </c>
      <c r="AE12" s="150">
        <f t="shared" si="10"/>
        <v>0</v>
      </c>
      <c r="AF12" s="150">
        <f t="shared" si="10"/>
        <v>0</v>
      </c>
    </row>
    <row r="13" spans="1:32" ht="14.25" customHeight="1">
      <c r="A13" s="125" t="s">
        <v>1123</v>
      </c>
      <c r="B13" s="150">
        <v>0</v>
      </c>
      <c r="C13" s="150">
        <f t="shared" ref="C13:AF13" si="11">$B13</f>
        <v>0</v>
      </c>
      <c r="D13" s="150">
        <f t="shared" si="11"/>
        <v>0</v>
      </c>
      <c r="E13" s="150">
        <f t="shared" si="11"/>
        <v>0</v>
      </c>
      <c r="F13" s="150">
        <f t="shared" si="11"/>
        <v>0</v>
      </c>
      <c r="G13" s="150">
        <f t="shared" si="11"/>
        <v>0</v>
      </c>
      <c r="H13" s="150">
        <f t="shared" si="11"/>
        <v>0</v>
      </c>
      <c r="I13" s="150">
        <f t="shared" si="11"/>
        <v>0</v>
      </c>
      <c r="J13" s="150">
        <f t="shared" si="11"/>
        <v>0</v>
      </c>
      <c r="K13" s="150">
        <f t="shared" si="11"/>
        <v>0</v>
      </c>
      <c r="L13" s="150">
        <f t="shared" si="11"/>
        <v>0</v>
      </c>
      <c r="M13" s="150">
        <f t="shared" si="11"/>
        <v>0</v>
      </c>
      <c r="N13" s="150">
        <f t="shared" si="11"/>
        <v>0</v>
      </c>
      <c r="O13" s="150">
        <f t="shared" si="11"/>
        <v>0</v>
      </c>
      <c r="P13" s="150">
        <f t="shared" si="11"/>
        <v>0</v>
      </c>
      <c r="Q13" s="150">
        <f t="shared" si="11"/>
        <v>0</v>
      </c>
      <c r="R13" s="150">
        <f t="shared" si="11"/>
        <v>0</v>
      </c>
      <c r="S13" s="150">
        <f t="shared" si="11"/>
        <v>0</v>
      </c>
      <c r="T13" s="150">
        <f t="shared" si="11"/>
        <v>0</v>
      </c>
      <c r="U13" s="150">
        <f t="shared" si="11"/>
        <v>0</v>
      </c>
      <c r="V13" s="150">
        <f t="shared" si="11"/>
        <v>0</v>
      </c>
      <c r="W13" s="150">
        <f t="shared" si="11"/>
        <v>0</v>
      </c>
      <c r="X13" s="150">
        <f t="shared" si="11"/>
        <v>0</v>
      </c>
      <c r="Y13" s="150">
        <f t="shared" si="11"/>
        <v>0</v>
      </c>
      <c r="Z13" s="150">
        <f t="shared" si="11"/>
        <v>0</v>
      </c>
      <c r="AA13" s="150">
        <f t="shared" si="11"/>
        <v>0</v>
      </c>
      <c r="AB13" s="150">
        <f t="shared" si="11"/>
        <v>0</v>
      </c>
      <c r="AC13" s="150">
        <f t="shared" si="11"/>
        <v>0</v>
      </c>
      <c r="AD13" s="150">
        <f t="shared" si="11"/>
        <v>0</v>
      </c>
      <c r="AE13" s="150">
        <f t="shared" si="11"/>
        <v>0</v>
      </c>
      <c r="AF13" s="150">
        <f t="shared" si="11"/>
        <v>0</v>
      </c>
    </row>
    <row r="14" spans="1:32" ht="14.25" customHeight="1">
      <c r="A14" s="125" t="s">
        <v>1124</v>
      </c>
      <c r="B14" s="150">
        <v>0</v>
      </c>
      <c r="C14" s="150">
        <f t="shared" ref="C14:AF14" si="12">$B14</f>
        <v>0</v>
      </c>
      <c r="D14" s="150">
        <f t="shared" si="12"/>
        <v>0</v>
      </c>
      <c r="E14" s="150">
        <f t="shared" si="12"/>
        <v>0</v>
      </c>
      <c r="F14" s="150">
        <f t="shared" si="12"/>
        <v>0</v>
      </c>
      <c r="G14" s="150">
        <f t="shared" si="12"/>
        <v>0</v>
      </c>
      <c r="H14" s="150">
        <f t="shared" si="12"/>
        <v>0</v>
      </c>
      <c r="I14" s="150">
        <f t="shared" si="12"/>
        <v>0</v>
      </c>
      <c r="J14" s="150">
        <f t="shared" si="12"/>
        <v>0</v>
      </c>
      <c r="K14" s="150">
        <f t="shared" si="12"/>
        <v>0</v>
      </c>
      <c r="L14" s="150">
        <f t="shared" si="12"/>
        <v>0</v>
      </c>
      <c r="M14" s="150">
        <f t="shared" si="12"/>
        <v>0</v>
      </c>
      <c r="N14" s="150">
        <f t="shared" si="12"/>
        <v>0</v>
      </c>
      <c r="O14" s="150">
        <f t="shared" si="12"/>
        <v>0</v>
      </c>
      <c r="P14" s="150">
        <f t="shared" si="12"/>
        <v>0</v>
      </c>
      <c r="Q14" s="150">
        <f t="shared" si="12"/>
        <v>0</v>
      </c>
      <c r="R14" s="150">
        <f t="shared" si="12"/>
        <v>0</v>
      </c>
      <c r="S14" s="150">
        <f t="shared" si="12"/>
        <v>0</v>
      </c>
      <c r="T14" s="150">
        <f t="shared" si="12"/>
        <v>0</v>
      </c>
      <c r="U14" s="150">
        <f t="shared" si="12"/>
        <v>0</v>
      </c>
      <c r="V14" s="150">
        <f t="shared" si="12"/>
        <v>0</v>
      </c>
      <c r="W14" s="150">
        <f t="shared" si="12"/>
        <v>0</v>
      </c>
      <c r="X14" s="150">
        <f t="shared" si="12"/>
        <v>0</v>
      </c>
      <c r="Y14" s="150">
        <f t="shared" si="12"/>
        <v>0</v>
      </c>
      <c r="Z14" s="150">
        <f t="shared" si="12"/>
        <v>0</v>
      </c>
      <c r="AA14" s="150">
        <f t="shared" si="12"/>
        <v>0</v>
      </c>
      <c r="AB14" s="150">
        <f t="shared" si="12"/>
        <v>0</v>
      </c>
      <c r="AC14" s="150">
        <f t="shared" si="12"/>
        <v>0</v>
      </c>
      <c r="AD14" s="150">
        <f t="shared" si="12"/>
        <v>0</v>
      </c>
      <c r="AE14" s="150">
        <f t="shared" si="12"/>
        <v>0</v>
      </c>
      <c r="AF14" s="150">
        <f t="shared" si="12"/>
        <v>0</v>
      </c>
    </row>
    <row r="15" spans="1:32" ht="14.25" customHeight="1">
      <c r="A15" s="125" t="s">
        <v>1125</v>
      </c>
      <c r="B15" s="150">
        <v>0</v>
      </c>
      <c r="C15" s="150">
        <f t="shared" ref="C15:AF15" si="13">$B15</f>
        <v>0</v>
      </c>
      <c r="D15" s="150">
        <f t="shared" si="13"/>
        <v>0</v>
      </c>
      <c r="E15" s="150">
        <f t="shared" si="13"/>
        <v>0</v>
      </c>
      <c r="F15" s="150">
        <f t="shared" si="13"/>
        <v>0</v>
      </c>
      <c r="G15" s="150">
        <f t="shared" si="13"/>
        <v>0</v>
      </c>
      <c r="H15" s="150">
        <f t="shared" si="13"/>
        <v>0</v>
      </c>
      <c r="I15" s="150">
        <f t="shared" si="13"/>
        <v>0</v>
      </c>
      <c r="J15" s="150">
        <f t="shared" si="13"/>
        <v>0</v>
      </c>
      <c r="K15" s="150">
        <f t="shared" si="13"/>
        <v>0</v>
      </c>
      <c r="L15" s="150">
        <f t="shared" si="13"/>
        <v>0</v>
      </c>
      <c r="M15" s="150">
        <f t="shared" si="13"/>
        <v>0</v>
      </c>
      <c r="N15" s="150">
        <f t="shared" si="13"/>
        <v>0</v>
      </c>
      <c r="O15" s="150">
        <f t="shared" si="13"/>
        <v>0</v>
      </c>
      <c r="P15" s="150">
        <f t="shared" si="13"/>
        <v>0</v>
      </c>
      <c r="Q15" s="150">
        <f t="shared" si="13"/>
        <v>0</v>
      </c>
      <c r="R15" s="150">
        <f t="shared" si="13"/>
        <v>0</v>
      </c>
      <c r="S15" s="150">
        <f t="shared" si="13"/>
        <v>0</v>
      </c>
      <c r="T15" s="150">
        <f t="shared" si="13"/>
        <v>0</v>
      </c>
      <c r="U15" s="150">
        <f t="shared" si="13"/>
        <v>0</v>
      </c>
      <c r="V15" s="150">
        <f t="shared" si="13"/>
        <v>0</v>
      </c>
      <c r="W15" s="150">
        <f t="shared" si="13"/>
        <v>0</v>
      </c>
      <c r="X15" s="150">
        <f t="shared" si="13"/>
        <v>0</v>
      </c>
      <c r="Y15" s="150">
        <f t="shared" si="13"/>
        <v>0</v>
      </c>
      <c r="Z15" s="150">
        <f t="shared" si="13"/>
        <v>0</v>
      </c>
      <c r="AA15" s="150">
        <f t="shared" si="13"/>
        <v>0</v>
      </c>
      <c r="AB15" s="150">
        <f t="shared" si="13"/>
        <v>0</v>
      </c>
      <c r="AC15" s="150">
        <f t="shared" si="13"/>
        <v>0</v>
      </c>
      <c r="AD15" s="150">
        <f t="shared" si="13"/>
        <v>0</v>
      </c>
      <c r="AE15" s="150">
        <f t="shared" si="13"/>
        <v>0</v>
      </c>
      <c r="AF15" s="150">
        <f t="shared" si="13"/>
        <v>0</v>
      </c>
    </row>
    <row r="16" spans="1:32" ht="14.25" customHeight="1">
      <c r="A16" s="125" t="s">
        <v>1126</v>
      </c>
      <c r="B16" s="150">
        <v>0</v>
      </c>
      <c r="C16" s="150">
        <f t="shared" ref="C16:AF16" si="14">$B16</f>
        <v>0</v>
      </c>
      <c r="D16" s="150">
        <f t="shared" si="14"/>
        <v>0</v>
      </c>
      <c r="E16" s="150">
        <f t="shared" si="14"/>
        <v>0</v>
      </c>
      <c r="F16" s="150">
        <f t="shared" si="14"/>
        <v>0</v>
      </c>
      <c r="G16" s="150">
        <f t="shared" si="14"/>
        <v>0</v>
      </c>
      <c r="H16" s="150">
        <f t="shared" si="14"/>
        <v>0</v>
      </c>
      <c r="I16" s="150">
        <f t="shared" si="14"/>
        <v>0</v>
      </c>
      <c r="J16" s="150">
        <f t="shared" si="14"/>
        <v>0</v>
      </c>
      <c r="K16" s="150">
        <f t="shared" si="14"/>
        <v>0</v>
      </c>
      <c r="L16" s="150">
        <f t="shared" si="14"/>
        <v>0</v>
      </c>
      <c r="M16" s="150">
        <f t="shared" si="14"/>
        <v>0</v>
      </c>
      <c r="N16" s="150">
        <f t="shared" si="14"/>
        <v>0</v>
      </c>
      <c r="O16" s="150">
        <f t="shared" si="14"/>
        <v>0</v>
      </c>
      <c r="P16" s="150">
        <f t="shared" si="14"/>
        <v>0</v>
      </c>
      <c r="Q16" s="150">
        <f t="shared" si="14"/>
        <v>0</v>
      </c>
      <c r="R16" s="150">
        <f t="shared" si="14"/>
        <v>0</v>
      </c>
      <c r="S16" s="150">
        <f t="shared" si="14"/>
        <v>0</v>
      </c>
      <c r="T16" s="150">
        <f t="shared" si="14"/>
        <v>0</v>
      </c>
      <c r="U16" s="150">
        <f t="shared" si="14"/>
        <v>0</v>
      </c>
      <c r="V16" s="150">
        <f t="shared" si="14"/>
        <v>0</v>
      </c>
      <c r="W16" s="150">
        <f t="shared" si="14"/>
        <v>0</v>
      </c>
      <c r="X16" s="150">
        <f t="shared" si="14"/>
        <v>0</v>
      </c>
      <c r="Y16" s="150">
        <f t="shared" si="14"/>
        <v>0</v>
      </c>
      <c r="Z16" s="150">
        <f t="shared" si="14"/>
        <v>0</v>
      </c>
      <c r="AA16" s="150">
        <f t="shared" si="14"/>
        <v>0</v>
      </c>
      <c r="AB16" s="150">
        <f t="shared" si="14"/>
        <v>0</v>
      </c>
      <c r="AC16" s="150">
        <f t="shared" si="14"/>
        <v>0</v>
      </c>
      <c r="AD16" s="150">
        <f t="shared" si="14"/>
        <v>0</v>
      </c>
      <c r="AE16" s="150">
        <f t="shared" si="14"/>
        <v>0</v>
      </c>
      <c r="AF16" s="150">
        <f t="shared" si="14"/>
        <v>0</v>
      </c>
    </row>
    <row r="17" spans="1:32" ht="14.25" customHeight="1">
      <c r="A17" s="125" t="s">
        <v>1127</v>
      </c>
      <c r="B17" s="150">
        <v>0</v>
      </c>
      <c r="C17" s="150">
        <f t="shared" ref="C17:AF17" si="15">$B17</f>
        <v>0</v>
      </c>
      <c r="D17" s="150">
        <f t="shared" si="15"/>
        <v>0</v>
      </c>
      <c r="E17" s="150">
        <f t="shared" si="15"/>
        <v>0</v>
      </c>
      <c r="F17" s="150">
        <f t="shared" si="15"/>
        <v>0</v>
      </c>
      <c r="G17" s="150">
        <f t="shared" si="15"/>
        <v>0</v>
      </c>
      <c r="H17" s="150">
        <f t="shared" si="15"/>
        <v>0</v>
      </c>
      <c r="I17" s="150">
        <f t="shared" si="15"/>
        <v>0</v>
      </c>
      <c r="J17" s="150">
        <f t="shared" si="15"/>
        <v>0</v>
      </c>
      <c r="K17" s="150">
        <f t="shared" si="15"/>
        <v>0</v>
      </c>
      <c r="L17" s="150">
        <f t="shared" si="15"/>
        <v>0</v>
      </c>
      <c r="M17" s="150">
        <f t="shared" si="15"/>
        <v>0</v>
      </c>
      <c r="N17" s="150">
        <f t="shared" si="15"/>
        <v>0</v>
      </c>
      <c r="O17" s="150">
        <f t="shared" si="15"/>
        <v>0</v>
      </c>
      <c r="P17" s="150">
        <f t="shared" si="15"/>
        <v>0</v>
      </c>
      <c r="Q17" s="150">
        <f t="shared" si="15"/>
        <v>0</v>
      </c>
      <c r="R17" s="150">
        <f t="shared" si="15"/>
        <v>0</v>
      </c>
      <c r="S17" s="150">
        <f t="shared" si="15"/>
        <v>0</v>
      </c>
      <c r="T17" s="150">
        <f t="shared" si="15"/>
        <v>0</v>
      </c>
      <c r="U17" s="150">
        <f t="shared" si="15"/>
        <v>0</v>
      </c>
      <c r="V17" s="150">
        <f t="shared" si="15"/>
        <v>0</v>
      </c>
      <c r="W17" s="150">
        <f t="shared" si="15"/>
        <v>0</v>
      </c>
      <c r="X17" s="150">
        <f t="shared" si="15"/>
        <v>0</v>
      </c>
      <c r="Y17" s="150">
        <f t="shared" si="15"/>
        <v>0</v>
      </c>
      <c r="Z17" s="150">
        <f t="shared" si="15"/>
        <v>0</v>
      </c>
      <c r="AA17" s="150">
        <f t="shared" si="15"/>
        <v>0</v>
      </c>
      <c r="AB17" s="150">
        <f t="shared" si="15"/>
        <v>0</v>
      </c>
      <c r="AC17" s="150">
        <f t="shared" si="15"/>
        <v>0</v>
      </c>
      <c r="AD17" s="150">
        <f t="shared" si="15"/>
        <v>0</v>
      </c>
      <c r="AE17" s="150">
        <f t="shared" si="15"/>
        <v>0</v>
      </c>
      <c r="AF17" s="150">
        <f t="shared" si="15"/>
        <v>0</v>
      </c>
    </row>
    <row r="18" spans="1:32" ht="14.25" customHeight="1">
      <c r="B18" s="150"/>
      <c r="C18" s="150"/>
      <c r="D18" s="150"/>
      <c r="E18" s="150"/>
      <c r="F18" s="150"/>
      <c r="G18" s="150"/>
      <c r="H18" s="150"/>
      <c r="I18" s="150"/>
      <c r="J18" s="150"/>
      <c r="K18" s="150"/>
      <c r="L18" s="150"/>
      <c r="M18" s="150"/>
      <c r="N18" s="150"/>
      <c r="O18" s="150"/>
      <c r="P18" s="150"/>
      <c r="Q18" s="150"/>
      <c r="R18" s="150"/>
      <c r="S18" s="150"/>
      <c r="T18" s="150"/>
      <c r="U18" s="150"/>
      <c r="V18" s="150"/>
      <c r="W18" s="150"/>
      <c r="X18" s="150"/>
      <c r="Y18" s="150"/>
      <c r="Z18" s="150"/>
      <c r="AA18" s="150"/>
      <c r="AB18" s="150"/>
      <c r="AC18" s="150"/>
      <c r="AD18" s="150"/>
      <c r="AE18" s="150"/>
      <c r="AF18" s="150"/>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F1000"/>
  <sheetViews>
    <sheetView workbookViewId="0">
      <selection activeCell="B2" sqref="B2:AF17"/>
    </sheetView>
  </sheetViews>
  <sheetFormatPr baseColWidth="10" defaultColWidth="14.5" defaultRowHeight="15" customHeight="1"/>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32" ht="14.25" customHeight="1">
      <c r="A1" s="3" t="s">
        <v>1130</v>
      </c>
      <c r="B1" s="134">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125" t="s">
        <v>1114</v>
      </c>
      <c r="B2" s="149">
        <f>'CCaMC-AFOaMCpUC-pre-ret'!B2</f>
        <v>39238.095238095237</v>
      </c>
      <c r="C2" s="149">
        <f>'CCaMC-AFOaMCpUC-pre-ret'!C2</f>
        <v>41079.365079365074</v>
      </c>
      <c r="D2" s="149">
        <f>'CCaMC-AFOaMCpUC-pre-ret'!D2</f>
        <v>42920.634920634919</v>
      </c>
      <c r="E2" s="149">
        <f>'CCaMC-AFOaMCpUC-pre-ret'!E2</f>
        <v>44761.904761904756</v>
      </c>
      <c r="F2" s="149">
        <f>'CCaMC-AFOaMCpUC-pre-ret'!F2</f>
        <v>44571.428571428565</v>
      </c>
      <c r="G2" s="149">
        <f>'CCaMC-AFOaMCpUC-pre-ret'!G2</f>
        <v>44380.952380952374</v>
      </c>
      <c r="H2" s="149">
        <f>'CCaMC-AFOaMCpUC-pre-ret'!H2</f>
        <v>44190.476190476184</v>
      </c>
      <c r="I2" s="149">
        <f>'CCaMC-AFOaMCpUC-pre-ret'!I2</f>
        <v>44000</v>
      </c>
      <c r="J2" s="149">
        <f>'CCaMC-AFOaMCpUC-pre-ret'!J2</f>
        <v>43809.523809523809</v>
      </c>
      <c r="K2" s="149">
        <f>'CCaMC-AFOaMCpUC-pre-ret'!K2</f>
        <v>43619.047619047618</v>
      </c>
      <c r="L2" s="149">
        <f>'CCaMC-AFOaMCpUC-pre-ret'!L2</f>
        <v>43428.571428571428</v>
      </c>
      <c r="M2" s="149">
        <f>'CCaMC-AFOaMCpUC-pre-ret'!M2</f>
        <v>43357.142857142855</v>
      </c>
      <c r="N2" s="149">
        <f>'CCaMC-AFOaMCpUC-pre-ret'!N2</f>
        <v>43285.714285714283</v>
      </c>
      <c r="O2" s="149">
        <f>'CCaMC-AFOaMCpUC-pre-ret'!O2</f>
        <v>43214.28571428571</v>
      </c>
      <c r="P2" s="149">
        <f>'CCaMC-AFOaMCpUC-pre-ret'!P2</f>
        <v>43142.857142857145</v>
      </c>
      <c r="Q2" s="149">
        <f>'CCaMC-AFOaMCpUC-pre-ret'!Q2</f>
        <v>43071.428571428572</v>
      </c>
      <c r="R2" s="149">
        <f>'CCaMC-AFOaMCpUC-pre-ret'!R2</f>
        <v>43000</v>
      </c>
      <c r="S2" s="149">
        <f>'CCaMC-AFOaMCpUC-pre-ret'!S2</f>
        <v>42928.571428571428</v>
      </c>
      <c r="T2" s="149">
        <f>'CCaMC-AFOaMCpUC-pre-ret'!T2</f>
        <v>42857.142857142855</v>
      </c>
      <c r="U2" s="149">
        <f>'CCaMC-AFOaMCpUC-pre-ret'!U2</f>
        <v>42785.714285714283</v>
      </c>
      <c r="V2" s="149">
        <f>'CCaMC-AFOaMCpUC-pre-ret'!V2</f>
        <v>42714.28571428571</v>
      </c>
      <c r="W2" s="149">
        <f>'CCaMC-AFOaMCpUC-pre-ret'!W2</f>
        <v>42642.857142857145</v>
      </c>
      <c r="X2" s="149">
        <f>'CCaMC-AFOaMCpUC-pre-ret'!X2</f>
        <v>42571.428571428572</v>
      </c>
      <c r="Y2" s="149">
        <f>'CCaMC-AFOaMCpUC-pre-ret'!Y2</f>
        <v>42500</v>
      </c>
      <c r="Z2" s="149">
        <f>'CCaMC-AFOaMCpUC-pre-ret'!Z2</f>
        <v>42428.571428571428</v>
      </c>
      <c r="AA2" s="149">
        <f>'CCaMC-AFOaMCpUC-pre-ret'!AA2</f>
        <v>42357.142857142855</v>
      </c>
      <c r="AB2" s="149">
        <f>'CCaMC-AFOaMCpUC-pre-ret'!AB2</f>
        <v>42285.714285714283</v>
      </c>
      <c r="AC2" s="149">
        <f>'CCaMC-AFOaMCpUC-pre-ret'!AC2</f>
        <v>42214.285714285717</v>
      </c>
      <c r="AD2" s="149">
        <f>'CCaMC-AFOaMCpUC-pre-ret'!AD2</f>
        <v>42142.857142857145</v>
      </c>
      <c r="AE2" s="149">
        <f>'CCaMC-AFOaMCpUC-pre-ret'!AE2</f>
        <v>42071.428571428572</v>
      </c>
      <c r="AF2" s="149">
        <f>'CCaMC-AFOaMCpUC-pre-ret'!AF2</f>
        <v>42000</v>
      </c>
    </row>
    <row r="3" spans="1:32" ht="14.25" customHeight="1">
      <c r="A3" s="125" t="s">
        <v>1115</v>
      </c>
      <c r="B3" s="149">
        <f>'CCaMC-AFOaMCpUC-pre-ret'!B3</f>
        <v>39142.857142857138</v>
      </c>
      <c r="C3" s="149">
        <f>'CCaMC-AFOaMCpUC-pre-ret'!C3</f>
        <v>39666.666666666664</v>
      </c>
      <c r="D3" s="149">
        <f>'CCaMC-AFOaMCpUC-pre-ret'!D3</f>
        <v>40190.476190476184</v>
      </c>
      <c r="E3" s="149">
        <f>'CCaMC-AFOaMCpUC-pre-ret'!E3</f>
        <v>40714.28571428571</v>
      </c>
      <c r="F3" s="149">
        <f>'CCaMC-AFOaMCpUC-pre-ret'!F3</f>
        <v>40061.224489795917</v>
      </c>
      <c r="G3" s="149">
        <f>'CCaMC-AFOaMCpUC-pre-ret'!G3</f>
        <v>39408.163265306117</v>
      </c>
      <c r="H3" s="149">
        <f>'CCaMC-AFOaMCpUC-pre-ret'!H3</f>
        <v>38755.102040816324</v>
      </c>
      <c r="I3" s="149">
        <f>'CCaMC-AFOaMCpUC-pre-ret'!I3</f>
        <v>38102.040816326524</v>
      </c>
      <c r="J3" s="149">
        <f>'CCaMC-AFOaMCpUC-pre-ret'!J3</f>
        <v>37448.979591836731</v>
      </c>
      <c r="K3" s="149">
        <f>'CCaMC-AFOaMCpUC-pre-ret'!K3</f>
        <v>36795.918367346938</v>
      </c>
      <c r="L3" s="149">
        <f>'CCaMC-AFOaMCpUC-pre-ret'!L3</f>
        <v>36142.857142857138</v>
      </c>
      <c r="M3" s="149">
        <f>'CCaMC-AFOaMCpUC-pre-ret'!M3</f>
        <v>35828.57142857142</v>
      </c>
      <c r="N3" s="149">
        <f>'CCaMC-AFOaMCpUC-pre-ret'!N3</f>
        <v>35514.28571428571</v>
      </c>
      <c r="O3" s="149">
        <f>'CCaMC-AFOaMCpUC-pre-ret'!O3</f>
        <v>35199.999999999993</v>
      </c>
      <c r="P3" s="149">
        <f>'CCaMC-AFOaMCpUC-pre-ret'!P3</f>
        <v>34885.714285714283</v>
      </c>
      <c r="Q3" s="149">
        <f>'CCaMC-AFOaMCpUC-pre-ret'!Q3</f>
        <v>34571.428571428565</v>
      </c>
      <c r="R3" s="149">
        <f>'CCaMC-AFOaMCpUC-pre-ret'!R3</f>
        <v>34257.142857142855</v>
      </c>
      <c r="S3" s="149">
        <f>'CCaMC-AFOaMCpUC-pre-ret'!S3</f>
        <v>33942.857142857138</v>
      </c>
      <c r="T3" s="149">
        <f>'CCaMC-AFOaMCpUC-pre-ret'!T3</f>
        <v>33628.571428571428</v>
      </c>
      <c r="U3" s="149">
        <f>'CCaMC-AFOaMCpUC-pre-ret'!U3</f>
        <v>33314.28571428571</v>
      </c>
      <c r="V3" s="149">
        <f>'CCaMC-AFOaMCpUC-pre-ret'!V3</f>
        <v>33000</v>
      </c>
      <c r="W3" s="149">
        <f>'CCaMC-AFOaMCpUC-pre-ret'!W3</f>
        <v>32685.714285714283</v>
      </c>
      <c r="X3" s="149">
        <f>'CCaMC-AFOaMCpUC-pre-ret'!X3</f>
        <v>32371.428571428569</v>
      </c>
      <c r="Y3" s="149">
        <f>'CCaMC-AFOaMCpUC-pre-ret'!Y3</f>
        <v>32057.142857142855</v>
      </c>
      <c r="Z3" s="149">
        <f>'CCaMC-AFOaMCpUC-pre-ret'!Z3</f>
        <v>31742.857142857141</v>
      </c>
      <c r="AA3" s="149">
        <f>'CCaMC-AFOaMCpUC-pre-ret'!AA3</f>
        <v>31428.571428571428</v>
      </c>
      <c r="AB3" s="149">
        <f>'CCaMC-AFOaMCpUC-pre-ret'!AB3</f>
        <v>31114.28571428571</v>
      </c>
      <c r="AC3" s="149">
        <f>'CCaMC-AFOaMCpUC-pre-ret'!AC3</f>
        <v>30800</v>
      </c>
      <c r="AD3" s="149">
        <f>'CCaMC-AFOaMCpUC-pre-ret'!AD3</f>
        <v>30485.714285714283</v>
      </c>
      <c r="AE3" s="149">
        <f>'CCaMC-AFOaMCpUC-pre-ret'!AE3</f>
        <v>30171.428571428569</v>
      </c>
      <c r="AF3" s="149">
        <f>'CCaMC-AFOaMCpUC-pre-ret'!AF3</f>
        <v>29857.142857142855</v>
      </c>
    </row>
    <row r="4" spans="1:32" ht="14.25" customHeight="1">
      <c r="A4" s="125" t="s">
        <v>1102</v>
      </c>
      <c r="B4" s="149">
        <f>'CCaMC-AFOaMCpUC-pre-ret'!B4</f>
        <v>119047.61904761904</v>
      </c>
      <c r="C4" s="149">
        <f>'CCaMC-AFOaMCpUC-pre-ret'!C4</f>
        <v>119682.53968253967</v>
      </c>
      <c r="D4" s="149">
        <f>'CCaMC-AFOaMCpUC-pre-ret'!D4</f>
        <v>120317.46031746031</v>
      </c>
      <c r="E4" s="149">
        <f>'CCaMC-AFOaMCpUC-pre-ret'!E4</f>
        <v>120952.38095238095</v>
      </c>
      <c r="F4" s="149">
        <f>'CCaMC-AFOaMCpUC-pre-ret'!F4</f>
        <v>120000</v>
      </c>
      <c r="G4" s="149">
        <f>'CCaMC-AFOaMCpUC-pre-ret'!G4</f>
        <v>119047.61904761904</v>
      </c>
      <c r="H4" s="149">
        <f>'CCaMC-AFOaMCpUC-pre-ret'!H4</f>
        <v>118095.23809523809</v>
      </c>
      <c r="I4" s="149">
        <f>'CCaMC-AFOaMCpUC-pre-ret'!I4</f>
        <v>117142.85714285713</v>
      </c>
      <c r="J4" s="149">
        <f>'CCaMC-AFOaMCpUC-pre-ret'!J4</f>
        <v>116190.47619047618</v>
      </c>
      <c r="K4" s="149">
        <f>'CCaMC-AFOaMCpUC-pre-ret'!K4</f>
        <v>115238.09523809522</v>
      </c>
      <c r="L4" s="149">
        <f>'CCaMC-AFOaMCpUC-pre-ret'!L4</f>
        <v>114285.71428571428</v>
      </c>
      <c r="M4" s="149">
        <f>'CCaMC-AFOaMCpUC-pre-ret'!M4</f>
        <v>113952.38095238095</v>
      </c>
      <c r="N4" s="149">
        <f>'CCaMC-AFOaMCpUC-pre-ret'!N4</f>
        <v>113619.0476190476</v>
      </c>
      <c r="O4" s="149">
        <f>'CCaMC-AFOaMCpUC-pre-ret'!O4</f>
        <v>113285.71428571428</v>
      </c>
      <c r="P4" s="149">
        <f>'CCaMC-AFOaMCpUC-pre-ret'!P4</f>
        <v>112952.38095238095</v>
      </c>
      <c r="Q4" s="149">
        <f>'CCaMC-AFOaMCpUC-pre-ret'!Q4</f>
        <v>112619.0476190476</v>
      </c>
      <c r="R4" s="149">
        <f>'CCaMC-AFOaMCpUC-pre-ret'!R4</f>
        <v>112285.71428571428</v>
      </c>
      <c r="S4" s="149">
        <f>'CCaMC-AFOaMCpUC-pre-ret'!S4</f>
        <v>111952.38095238095</v>
      </c>
      <c r="T4" s="149">
        <f>'CCaMC-AFOaMCpUC-pre-ret'!T4</f>
        <v>111619.04761904762</v>
      </c>
      <c r="U4" s="149">
        <f>'CCaMC-AFOaMCpUC-pre-ret'!U4</f>
        <v>111285.71428571428</v>
      </c>
      <c r="V4" s="149">
        <f>'CCaMC-AFOaMCpUC-pre-ret'!V4</f>
        <v>110952.38095238095</v>
      </c>
      <c r="W4" s="149">
        <f>'CCaMC-AFOaMCpUC-pre-ret'!W4</f>
        <v>110619.04761904762</v>
      </c>
      <c r="X4" s="149">
        <f>'CCaMC-AFOaMCpUC-pre-ret'!X4</f>
        <v>110285.71428571428</v>
      </c>
      <c r="Y4" s="149">
        <f>'CCaMC-AFOaMCpUC-pre-ret'!Y4</f>
        <v>109952.38095238095</v>
      </c>
      <c r="Z4" s="149">
        <f>'CCaMC-AFOaMCpUC-pre-ret'!Z4</f>
        <v>109619.04761904762</v>
      </c>
      <c r="AA4" s="149">
        <f>'CCaMC-AFOaMCpUC-pre-ret'!AA4</f>
        <v>109285.71428571429</v>
      </c>
      <c r="AB4" s="149">
        <f>'CCaMC-AFOaMCpUC-pre-ret'!AB4</f>
        <v>108952.38095238095</v>
      </c>
      <c r="AC4" s="149">
        <f>'CCaMC-AFOaMCpUC-pre-ret'!AC4</f>
        <v>108619.04761904762</v>
      </c>
      <c r="AD4" s="149">
        <f>'CCaMC-AFOaMCpUC-pre-ret'!AD4</f>
        <v>108285.71428571429</v>
      </c>
      <c r="AE4" s="149">
        <f>'CCaMC-AFOaMCpUC-pre-ret'!AE4</f>
        <v>107952.38095238095</v>
      </c>
      <c r="AF4" s="149">
        <f>'CCaMC-AFOaMCpUC-pre-ret'!AF4</f>
        <v>107619.04761904762</v>
      </c>
    </row>
    <row r="5" spans="1:32" ht="14.25" customHeight="1">
      <c r="A5" s="125" t="s">
        <v>1116</v>
      </c>
      <c r="B5" s="149">
        <f>'CCaMC-AFOaMCpUC-pre-ret'!B5</f>
        <v>35904.761904761901</v>
      </c>
      <c r="C5" s="149">
        <f>'CCaMC-AFOaMCpUC-pre-ret'!C5</f>
        <v>37587.301587301583</v>
      </c>
      <c r="D5" s="149">
        <f>'CCaMC-AFOaMCpUC-pre-ret'!D5</f>
        <v>39269.841269841265</v>
      </c>
      <c r="E5" s="149">
        <f>'CCaMC-AFOaMCpUC-pre-ret'!E5</f>
        <v>40952.380952380947</v>
      </c>
      <c r="F5" s="149">
        <f>'CCaMC-AFOaMCpUC-pre-ret'!F5</f>
        <v>40680.272108843536</v>
      </c>
      <c r="G5" s="149">
        <f>'CCaMC-AFOaMCpUC-pre-ret'!G5</f>
        <v>40408.163265306117</v>
      </c>
      <c r="H5" s="149">
        <f>'CCaMC-AFOaMCpUC-pre-ret'!H5</f>
        <v>40136.054421768706</v>
      </c>
      <c r="I5" s="149">
        <f>'CCaMC-AFOaMCpUC-pre-ret'!I5</f>
        <v>39863.945578231287</v>
      </c>
      <c r="J5" s="149">
        <f>'CCaMC-AFOaMCpUC-pre-ret'!J5</f>
        <v>39591.836734693876</v>
      </c>
      <c r="K5" s="149">
        <f>'CCaMC-AFOaMCpUC-pre-ret'!K5</f>
        <v>39319.727891156457</v>
      </c>
      <c r="L5" s="149">
        <f>'CCaMC-AFOaMCpUC-pre-ret'!L5</f>
        <v>39047.619047619046</v>
      </c>
      <c r="M5" s="149">
        <f>'CCaMC-AFOaMCpUC-pre-ret'!M5</f>
        <v>38904.761904761901</v>
      </c>
      <c r="N5" s="149">
        <f>'CCaMC-AFOaMCpUC-pre-ret'!N5</f>
        <v>38761.904761904763</v>
      </c>
      <c r="O5" s="149">
        <f>'CCaMC-AFOaMCpUC-pre-ret'!O5</f>
        <v>38619.047619047618</v>
      </c>
      <c r="P5" s="149">
        <f>'CCaMC-AFOaMCpUC-pre-ret'!P5</f>
        <v>38476.190476190473</v>
      </c>
      <c r="Q5" s="149">
        <f>'CCaMC-AFOaMCpUC-pre-ret'!Q5</f>
        <v>38333.333333333328</v>
      </c>
      <c r="R5" s="149">
        <f>'CCaMC-AFOaMCpUC-pre-ret'!R5</f>
        <v>38190.476190476191</v>
      </c>
      <c r="S5" s="149">
        <f>'CCaMC-AFOaMCpUC-pre-ret'!S5</f>
        <v>38047.619047619046</v>
      </c>
      <c r="T5" s="149">
        <f>'CCaMC-AFOaMCpUC-pre-ret'!T5</f>
        <v>37904.761904761901</v>
      </c>
      <c r="U5" s="149">
        <f>'CCaMC-AFOaMCpUC-pre-ret'!U5</f>
        <v>37761.904761904763</v>
      </c>
      <c r="V5" s="149">
        <f>'CCaMC-AFOaMCpUC-pre-ret'!V5</f>
        <v>37619.047619047618</v>
      </c>
      <c r="W5" s="149">
        <f>'CCaMC-AFOaMCpUC-pre-ret'!W5</f>
        <v>37476.190476190473</v>
      </c>
      <c r="X5" s="149">
        <f>'CCaMC-AFOaMCpUC-pre-ret'!X5</f>
        <v>37333.333333333336</v>
      </c>
      <c r="Y5" s="149">
        <f>'CCaMC-AFOaMCpUC-pre-ret'!Y5</f>
        <v>37190.476190476191</v>
      </c>
      <c r="Z5" s="149">
        <f>'CCaMC-AFOaMCpUC-pre-ret'!Z5</f>
        <v>37047.619047619046</v>
      </c>
      <c r="AA5" s="149">
        <f>'CCaMC-AFOaMCpUC-pre-ret'!AA5</f>
        <v>36904.761904761908</v>
      </c>
      <c r="AB5" s="149">
        <f>'CCaMC-AFOaMCpUC-pre-ret'!AB5</f>
        <v>36761.904761904763</v>
      </c>
      <c r="AC5" s="149">
        <f>'CCaMC-AFOaMCpUC-pre-ret'!AC5</f>
        <v>36619.047619047618</v>
      </c>
      <c r="AD5" s="149">
        <f>'CCaMC-AFOaMCpUC-pre-ret'!AD5</f>
        <v>36476.190476190473</v>
      </c>
      <c r="AE5" s="149">
        <f>'CCaMC-AFOaMCpUC-pre-ret'!AE5</f>
        <v>36333.333333333336</v>
      </c>
      <c r="AF5" s="149">
        <f>'CCaMC-AFOaMCpUC-pre-ret'!AF5</f>
        <v>36190.476190476191</v>
      </c>
    </row>
    <row r="6" spans="1:32" ht="14.25" customHeight="1">
      <c r="A6" s="125" t="s">
        <v>1117</v>
      </c>
      <c r="B6" s="149">
        <f>'CCaMC-AFOaMCpUC-pre-ret'!B6</f>
        <v>57142.857142857138</v>
      </c>
      <c r="C6" s="149">
        <f>'CCaMC-AFOaMCpUC-pre-ret'!C6</f>
        <v>50793.650793650791</v>
      </c>
      <c r="D6" s="149">
        <f>'CCaMC-AFOaMCpUC-pre-ret'!D6</f>
        <v>44444.444444444438</v>
      </c>
      <c r="E6" s="149">
        <f>'CCaMC-AFOaMCpUC-pre-ret'!E6</f>
        <v>38095.238095238092</v>
      </c>
      <c r="F6" s="149">
        <f>'CCaMC-AFOaMCpUC-pre-ret'!F6</f>
        <v>37551.020408163262</v>
      </c>
      <c r="G6" s="149">
        <f>'CCaMC-AFOaMCpUC-pre-ret'!G6</f>
        <v>37006.802721088432</v>
      </c>
      <c r="H6" s="149">
        <f>'CCaMC-AFOaMCpUC-pre-ret'!H6</f>
        <v>36462.585034013602</v>
      </c>
      <c r="I6" s="149">
        <f>'CCaMC-AFOaMCpUC-pre-ret'!I6</f>
        <v>35918.367346938772</v>
      </c>
      <c r="J6" s="149">
        <f>'CCaMC-AFOaMCpUC-pre-ret'!J6</f>
        <v>35374.149659863942</v>
      </c>
      <c r="K6" s="149">
        <f>'CCaMC-AFOaMCpUC-pre-ret'!K6</f>
        <v>34829.931972789112</v>
      </c>
      <c r="L6" s="149">
        <f>'CCaMC-AFOaMCpUC-pre-ret'!L6</f>
        <v>34285.714285714283</v>
      </c>
      <c r="M6" s="149">
        <f>'CCaMC-AFOaMCpUC-pre-ret'!M6</f>
        <v>34000</v>
      </c>
      <c r="N6" s="149">
        <f>'CCaMC-AFOaMCpUC-pre-ret'!N6</f>
        <v>33714.28571428571</v>
      </c>
      <c r="O6" s="149">
        <f>'CCaMC-AFOaMCpUC-pre-ret'!O6</f>
        <v>33428.571428571428</v>
      </c>
      <c r="P6" s="149">
        <f>'CCaMC-AFOaMCpUC-pre-ret'!P6</f>
        <v>33142.857142857138</v>
      </c>
      <c r="Q6" s="149">
        <f>'CCaMC-AFOaMCpUC-pre-ret'!Q6</f>
        <v>32857.142857142855</v>
      </c>
      <c r="R6" s="149">
        <f>'CCaMC-AFOaMCpUC-pre-ret'!R6</f>
        <v>32571.428571428569</v>
      </c>
      <c r="S6" s="149">
        <f>'CCaMC-AFOaMCpUC-pre-ret'!S6</f>
        <v>32285.714285714283</v>
      </c>
      <c r="T6" s="149">
        <f>'CCaMC-AFOaMCpUC-pre-ret'!T6</f>
        <v>31999.999999999996</v>
      </c>
      <c r="U6" s="149">
        <f>'CCaMC-AFOaMCpUC-pre-ret'!U6</f>
        <v>31714.28571428571</v>
      </c>
      <c r="V6" s="149">
        <f>'CCaMC-AFOaMCpUC-pre-ret'!V6</f>
        <v>31428.571428571428</v>
      </c>
      <c r="W6" s="149">
        <f>'CCaMC-AFOaMCpUC-pre-ret'!W6</f>
        <v>31142.857142857141</v>
      </c>
      <c r="X6" s="149">
        <f>'CCaMC-AFOaMCpUC-pre-ret'!X6</f>
        <v>30857.142857142855</v>
      </c>
      <c r="Y6" s="149">
        <f>'CCaMC-AFOaMCpUC-pre-ret'!Y6</f>
        <v>30571.428571428569</v>
      </c>
      <c r="Z6" s="149">
        <f>'CCaMC-AFOaMCpUC-pre-ret'!Z6</f>
        <v>30285.714285714283</v>
      </c>
      <c r="AA6" s="149">
        <f>'CCaMC-AFOaMCpUC-pre-ret'!AA6</f>
        <v>29999.999999999996</v>
      </c>
      <c r="AB6" s="149">
        <f>'CCaMC-AFOaMCpUC-pre-ret'!AB6</f>
        <v>29714.28571428571</v>
      </c>
      <c r="AC6" s="149">
        <f>'CCaMC-AFOaMCpUC-pre-ret'!AC6</f>
        <v>29428.571428571428</v>
      </c>
      <c r="AD6" s="149">
        <f>'CCaMC-AFOaMCpUC-pre-ret'!AD6</f>
        <v>29142.857142857141</v>
      </c>
      <c r="AE6" s="149">
        <f>'CCaMC-AFOaMCpUC-pre-ret'!AE6</f>
        <v>28857.142857142855</v>
      </c>
      <c r="AF6" s="149">
        <f>'CCaMC-AFOaMCpUC-pre-ret'!AF6</f>
        <v>28571.428571428569</v>
      </c>
    </row>
    <row r="7" spans="1:32" ht="14.25" customHeight="1">
      <c r="A7" s="125" t="s">
        <v>1118</v>
      </c>
      <c r="B7" s="149">
        <f>'CCaMC-AFOaMCpUC-pre-ret'!B7</f>
        <v>14285.714285714284</v>
      </c>
      <c r="C7" s="149">
        <f>'CCaMC-AFOaMCpUC-pre-ret'!C7</f>
        <v>11904.761904761905</v>
      </c>
      <c r="D7" s="149">
        <f>'CCaMC-AFOaMCpUC-pre-ret'!D7</f>
        <v>9523.8095238095229</v>
      </c>
      <c r="E7" s="149">
        <f>'CCaMC-AFOaMCpUC-pre-ret'!E7</f>
        <v>7142.8571428571422</v>
      </c>
      <c r="F7" s="149">
        <f>'CCaMC-AFOaMCpUC-pre-ret'!F7</f>
        <v>7047.6190476190468</v>
      </c>
      <c r="G7" s="149">
        <f>'CCaMC-AFOaMCpUC-pre-ret'!G7</f>
        <v>6952.3809523809523</v>
      </c>
      <c r="H7" s="149">
        <f>'CCaMC-AFOaMCpUC-pre-ret'!H7</f>
        <v>6857.1428571428569</v>
      </c>
      <c r="I7" s="149">
        <f>'CCaMC-AFOaMCpUC-pre-ret'!I7</f>
        <v>6761.9047619047615</v>
      </c>
      <c r="J7" s="149">
        <f>'CCaMC-AFOaMCpUC-pre-ret'!J7</f>
        <v>6666.6666666666661</v>
      </c>
      <c r="K7" s="149">
        <f>'CCaMC-AFOaMCpUC-pre-ret'!K7</f>
        <v>6571.4285714285716</v>
      </c>
      <c r="L7" s="149">
        <f>'CCaMC-AFOaMCpUC-pre-ret'!L7</f>
        <v>6476.1904761904761</v>
      </c>
      <c r="M7" s="149">
        <f>'CCaMC-AFOaMCpUC-pre-ret'!M7</f>
        <v>6442.8571428571431</v>
      </c>
      <c r="N7" s="149">
        <f>'CCaMC-AFOaMCpUC-pre-ret'!N7</f>
        <v>6409.5238095238092</v>
      </c>
      <c r="O7" s="149">
        <f>'CCaMC-AFOaMCpUC-pre-ret'!O7</f>
        <v>6376.1904761904761</v>
      </c>
      <c r="P7" s="149">
        <f>'CCaMC-AFOaMCpUC-pre-ret'!P7</f>
        <v>6342.8571428571431</v>
      </c>
      <c r="Q7" s="149">
        <f>'CCaMC-AFOaMCpUC-pre-ret'!Q7</f>
        <v>6309.5238095238092</v>
      </c>
      <c r="R7" s="149">
        <f>'CCaMC-AFOaMCpUC-pre-ret'!R7</f>
        <v>6276.1904761904761</v>
      </c>
      <c r="S7" s="149">
        <f>'CCaMC-AFOaMCpUC-pre-ret'!S7</f>
        <v>6242.8571428571431</v>
      </c>
      <c r="T7" s="149">
        <f>'CCaMC-AFOaMCpUC-pre-ret'!T7</f>
        <v>6209.5238095238092</v>
      </c>
      <c r="U7" s="149">
        <f>'CCaMC-AFOaMCpUC-pre-ret'!U7</f>
        <v>6176.1904761904761</v>
      </c>
      <c r="V7" s="149">
        <f>'CCaMC-AFOaMCpUC-pre-ret'!V7</f>
        <v>6142.8571428571431</v>
      </c>
      <c r="W7" s="149">
        <f>'CCaMC-AFOaMCpUC-pre-ret'!W7</f>
        <v>6109.5238095238092</v>
      </c>
      <c r="X7" s="149">
        <f>'CCaMC-AFOaMCpUC-pre-ret'!X7</f>
        <v>6076.1904761904761</v>
      </c>
      <c r="Y7" s="149">
        <f>'CCaMC-AFOaMCpUC-pre-ret'!Y7</f>
        <v>6042.8571428571422</v>
      </c>
      <c r="Z7" s="149">
        <f>'CCaMC-AFOaMCpUC-pre-ret'!Z7</f>
        <v>6009.5238095238092</v>
      </c>
      <c r="AA7" s="149">
        <f>'CCaMC-AFOaMCpUC-pre-ret'!AA7</f>
        <v>5976.1904761904761</v>
      </c>
      <c r="AB7" s="149">
        <f>'CCaMC-AFOaMCpUC-pre-ret'!AB7</f>
        <v>5942.8571428571422</v>
      </c>
      <c r="AC7" s="149">
        <f>'CCaMC-AFOaMCpUC-pre-ret'!AC7</f>
        <v>5909.5238095238092</v>
      </c>
      <c r="AD7" s="149">
        <f>'CCaMC-AFOaMCpUC-pre-ret'!AD7</f>
        <v>5876.1904761904761</v>
      </c>
      <c r="AE7" s="149">
        <f>'CCaMC-AFOaMCpUC-pre-ret'!AE7</f>
        <v>5842.8571428571422</v>
      </c>
      <c r="AF7" s="149">
        <f>'CCaMC-AFOaMCpUC-pre-ret'!AF7</f>
        <v>5809.5238095238092</v>
      </c>
    </row>
    <row r="8" spans="1:32" ht="14.25" customHeight="1">
      <c r="A8" s="125" t="s">
        <v>1129</v>
      </c>
      <c r="B8" s="149">
        <f>'CCaMC-AFOaMCpUC-pre-ret'!B8</f>
        <v>4889025.6520339139</v>
      </c>
      <c r="C8" s="149">
        <f>'CCaMC-AFOaMCpUC-pre-ret'!C8</f>
        <v>4848348.3095416995</v>
      </c>
      <c r="D8" s="149">
        <f>'CCaMC-AFOaMCpUC-pre-ret'!D8</f>
        <v>4807670.9670494851</v>
      </c>
      <c r="E8" s="149">
        <f>'CCaMC-AFOaMCpUC-pre-ret'!E8</f>
        <v>4766993.6245572707</v>
      </c>
      <c r="F8" s="149">
        <f>'CCaMC-AFOaMCpUC-pre-ret'!F8</f>
        <v>4726316.2820650507</v>
      </c>
      <c r="G8" s="149">
        <f>'CCaMC-AFOaMCpUC-pre-ret'!G8</f>
        <v>4685638.9395728298</v>
      </c>
      <c r="H8" s="149">
        <f>'CCaMC-AFOaMCpUC-pre-ret'!H8</f>
        <v>4644961.5970806098</v>
      </c>
      <c r="I8" s="149">
        <f>'CCaMC-AFOaMCpUC-pre-ret'!I8</f>
        <v>4604284.2545883888</v>
      </c>
      <c r="J8" s="149">
        <f>'CCaMC-AFOaMCpUC-pre-ret'!J8</f>
        <v>4563606.9120961688</v>
      </c>
      <c r="K8" s="149">
        <f>'CCaMC-AFOaMCpUC-pre-ret'!K8</f>
        <v>4522929.5696039479</v>
      </c>
      <c r="L8" s="149">
        <f>'CCaMC-AFOaMCpUC-pre-ret'!L8</f>
        <v>4482252.2271117279</v>
      </c>
      <c r="M8" s="149">
        <f>'CCaMC-AFOaMCpUC-pre-ret'!M8</f>
        <v>4441574.8846195098</v>
      </c>
      <c r="N8" s="149">
        <f>'CCaMC-AFOaMCpUC-pre-ret'!N8</f>
        <v>4400897.5421272907</v>
      </c>
      <c r="O8" s="149">
        <f>'CCaMC-AFOaMCpUC-pre-ret'!O8</f>
        <v>4360220.1996350726</v>
      </c>
      <c r="P8" s="149">
        <f>'CCaMC-AFOaMCpUC-pre-ret'!P8</f>
        <v>4319542.8571428536</v>
      </c>
      <c r="Q8" s="149">
        <f>'CCaMC-AFOaMCpUC-pre-ret'!Q8</f>
        <v>4278865.5146506354</v>
      </c>
      <c r="R8" s="149">
        <f>'CCaMC-AFOaMCpUC-pre-ret'!R8</f>
        <v>4238188.1721584164</v>
      </c>
      <c r="S8" s="149">
        <f>'CCaMC-AFOaMCpUC-pre-ret'!S8</f>
        <v>4197510.8296661982</v>
      </c>
      <c r="T8" s="149">
        <f>'CCaMC-AFOaMCpUC-pre-ret'!T8</f>
        <v>4156833.4871739796</v>
      </c>
      <c r="U8" s="149">
        <f>'CCaMC-AFOaMCpUC-pre-ret'!U8</f>
        <v>4116156.144681761</v>
      </c>
      <c r="V8" s="149">
        <f>'CCaMC-AFOaMCpUC-pre-ret'!V8</f>
        <v>4075478.8021895429</v>
      </c>
      <c r="W8" s="149">
        <f>'CCaMC-AFOaMCpUC-pre-ret'!W8</f>
        <v>4034801.4596973243</v>
      </c>
      <c r="X8" s="149">
        <f>'CCaMC-AFOaMCpUC-pre-ret'!X8</f>
        <v>3994124.1172051057</v>
      </c>
      <c r="Y8" s="149">
        <f>'CCaMC-AFOaMCpUC-pre-ret'!Y8</f>
        <v>3953446.7747128871</v>
      </c>
      <c r="Z8" s="149">
        <f>'CCaMC-AFOaMCpUC-pre-ret'!Z8</f>
        <v>3912769.4322206685</v>
      </c>
      <c r="AA8" s="149">
        <f>'CCaMC-AFOaMCpUC-pre-ret'!AA8</f>
        <v>3872092.0897284499</v>
      </c>
      <c r="AB8" s="149">
        <f>'CCaMC-AFOaMCpUC-pre-ret'!AB8</f>
        <v>3831414.7472362313</v>
      </c>
      <c r="AC8" s="149">
        <f>'CCaMC-AFOaMCpUC-pre-ret'!AC8</f>
        <v>3790737.4047440132</v>
      </c>
      <c r="AD8" s="149">
        <f>'CCaMC-AFOaMCpUC-pre-ret'!AD8</f>
        <v>3750060.0622517946</v>
      </c>
      <c r="AE8" s="149">
        <f>'CCaMC-AFOaMCpUC-pre-ret'!AE8</f>
        <v>3709382.719759576</v>
      </c>
      <c r="AF8" s="149">
        <f>'CCaMC-AFOaMCpUC-pre-ret'!AF8</f>
        <v>3668705.3772673574</v>
      </c>
    </row>
    <row r="9" spans="1:32" ht="14.25" customHeight="1">
      <c r="A9" s="125" t="s">
        <v>1119</v>
      </c>
      <c r="B9" s="149">
        <f>'CCaMC-AFOaMCpUC-pre-ret'!B9</f>
        <v>45333.333333333328</v>
      </c>
      <c r="C9" s="149">
        <f>'CCaMC-AFOaMCpUC-pre-ret'!C9</f>
        <v>47365.079365079364</v>
      </c>
      <c r="D9" s="149">
        <f>'CCaMC-AFOaMCpUC-pre-ret'!D9</f>
        <v>49396.825396825392</v>
      </c>
      <c r="E9" s="149">
        <f>'CCaMC-AFOaMCpUC-pre-ret'!E9</f>
        <v>51428.571428571428</v>
      </c>
      <c r="F9" s="149">
        <f>'CCaMC-AFOaMCpUC-pre-ret'!F9</f>
        <v>50843.537414965984</v>
      </c>
      <c r="G9" s="149">
        <f>'CCaMC-AFOaMCpUC-pre-ret'!G9</f>
        <v>50258.50340136054</v>
      </c>
      <c r="H9" s="149">
        <f>'CCaMC-AFOaMCpUC-pre-ret'!H9</f>
        <v>49673.469387755096</v>
      </c>
      <c r="I9" s="149">
        <f>'CCaMC-AFOaMCpUC-pre-ret'!I9</f>
        <v>49088.43537414966</v>
      </c>
      <c r="J9" s="149">
        <f>'CCaMC-AFOaMCpUC-pre-ret'!J9</f>
        <v>48503.401360544216</v>
      </c>
      <c r="K9" s="149">
        <f>'CCaMC-AFOaMCpUC-pre-ret'!K9</f>
        <v>47918.367346938772</v>
      </c>
      <c r="L9" s="149">
        <f>'CCaMC-AFOaMCpUC-pre-ret'!L9</f>
        <v>47333.333333333328</v>
      </c>
      <c r="M9" s="149">
        <f>'CCaMC-AFOaMCpUC-pre-ret'!M9</f>
        <v>47023.809523809519</v>
      </c>
      <c r="N9" s="149">
        <f>'CCaMC-AFOaMCpUC-pre-ret'!N9</f>
        <v>46714.28571428571</v>
      </c>
      <c r="O9" s="149">
        <f>'CCaMC-AFOaMCpUC-pre-ret'!O9</f>
        <v>46404.761904761901</v>
      </c>
      <c r="P9" s="149">
        <f>'CCaMC-AFOaMCpUC-pre-ret'!P9</f>
        <v>46095.238095238092</v>
      </c>
      <c r="Q9" s="149">
        <f>'CCaMC-AFOaMCpUC-pre-ret'!Q9</f>
        <v>45785.714285714283</v>
      </c>
      <c r="R9" s="149">
        <f>'CCaMC-AFOaMCpUC-pre-ret'!R9</f>
        <v>45476.190476190473</v>
      </c>
      <c r="S9" s="149">
        <f>'CCaMC-AFOaMCpUC-pre-ret'!S9</f>
        <v>45166.666666666664</v>
      </c>
      <c r="T9" s="149">
        <f>'CCaMC-AFOaMCpUC-pre-ret'!T9</f>
        <v>44857.142857142855</v>
      </c>
      <c r="U9" s="149">
        <f>'CCaMC-AFOaMCpUC-pre-ret'!U9</f>
        <v>44547.619047619046</v>
      </c>
      <c r="V9" s="149">
        <f>'CCaMC-AFOaMCpUC-pre-ret'!V9</f>
        <v>44238.095238095237</v>
      </c>
      <c r="W9" s="149">
        <f>'CCaMC-AFOaMCpUC-pre-ret'!W9</f>
        <v>43928.57142857142</v>
      </c>
      <c r="X9" s="149">
        <f>'CCaMC-AFOaMCpUC-pre-ret'!X9</f>
        <v>43619.047619047611</v>
      </c>
      <c r="Y9" s="149">
        <f>'CCaMC-AFOaMCpUC-pre-ret'!Y9</f>
        <v>43309.523809523802</v>
      </c>
      <c r="Z9" s="149">
        <f>'CCaMC-AFOaMCpUC-pre-ret'!Z9</f>
        <v>42999.999999999993</v>
      </c>
      <c r="AA9" s="149">
        <f>'CCaMC-AFOaMCpUC-pre-ret'!AA9</f>
        <v>42690.476190476184</v>
      </c>
      <c r="AB9" s="149">
        <f>'CCaMC-AFOaMCpUC-pre-ret'!AB9</f>
        <v>42380.952380952374</v>
      </c>
      <c r="AC9" s="149">
        <f>'CCaMC-AFOaMCpUC-pre-ret'!AC9</f>
        <v>42071.428571428565</v>
      </c>
      <c r="AD9" s="149">
        <f>'CCaMC-AFOaMCpUC-pre-ret'!AD9</f>
        <v>41761.904761904756</v>
      </c>
      <c r="AE9" s="149">
        <f>'CCaMC-AFOaMCpUC-pre-ret'!AE9</f>
        <v>41452.380952380947</v>
      </c>
      <c r="AF9" s="149">
        <f>'CCaMC-AFOaMCpUC-pre-ret'!AF9</f>
        <v>41142.857142857138</v>
      </c>
    </row>
    <row r="10" spans="1:32" ht="14.25" customHeight="1">
      <c r="A10" s="125" t="s">
        <v>1120</v>
      </c>
      <c r="B10" s="149">
        <f>'CCaMC-AFOaMCpUC-pre-ret'!B10</f>
        <v>17142.857142857141</v>
      </c>
      <c r="C10" s="149">
        <f>'CCaMC-AFOaMCpUC-pre-ret'!C10</f>
        <v>46349.206349206346</v>
      </c>
      <c r="D10" s="149">
        <f>'CCaMC-AFOaMCpUC-pre-ret'!D10</f>
        <v>75555.555555555547</v>
      </c>
      <c r="E10" s="149">
        <f>'CCaMC-AFOaMCpUC-pre-ret'!E10</f>
        <v>104761.90476190476</v>
      </c>
      <c r="F10" s="149">
        <f>'CCaMC-AFOaMCpUC-pre-ret'!F10</f>
        <v>104761.90476190476</v>
      </c>
      <c r="G10" s="149">
        <f>'CCaMC-AFOaMCpUC-pre-ret'!G10</f>
        <v>104761.90476190476</v>
      </c>
      <c r="H10" s="149">
        <f>'CCaMC-AFOaMCpUC-pre-ret'!H10</f>
        <v>104761.90476190476</v>
      </c>
      <c r="I10" s="149">
        <f>'CCaMC-AFOaMCpUC-pre-ret'!I10</f>
        <v>104761.90476190476</v>
      </c>
      <c r="J10" s="149">
        <f>'CCaMC-AFOaMCpUC-pre-ret'!J10</f>
        <v>104761.90476190476</v>
      </c>
      <c r="K10" s="149">
        <f>'CCaMC-AFOaMCpUC-pre-ret'!K10</f>
        <v>104761.90476190476</v>
      </c>
      <c r="L10" s="149">
        <f>'CCaMC-AFOaMCpUC-pre-ret'!L10</f>
        <v>104761.90476190476</v>
      </c>
      <c r="M10" s="149">
        <f>'CCaMC-AFOaMCpUC-pre-ret'!M10</f>
        <v>104238.09523809524</v>
      </c>
      <c r="N10" s="149">
        <f>'CCaMC-AFOaMCpUC-pre-ret'!N10</f>
        <v>103714.28571428571</v>
      </c>
      <c r="O10" s="149">
        <f>'CCaMC-AFOaMCpUC-pre-ret'!O10</f>
        <v>103190.47619047618</v>
      </c>
      <c r="P10" s="149">
        <f>'CCaMC-AFOaMCpUC-pre-ret'!P10</f>
        <v>102666.66666666667</v>
      </c>
      <c r="Q10" s="149">
        <f>'CCaMC-AFOaMCpUC-pre-ret'!Q10</f>
        <v>102142.85714285714</v>
      </c>
      <c r="R10" s="149">
        <f>'CCaMC-AFOaMCpUC-pre-ret'!R10</f>
        <v>101619.04761904762</v>
      </c>
      <c r="S10" s="149">
        <f>'CCaMC-AFOaMCpUC-pre-ret'!S10</f>
        <v>101095.23809523809</v>
      </c>
      <c r="T10" s="149">
        <f>'CCaMC-AFOaMCpUC-pre-ret'!T10</f>
        <v>100571.42857142857</v>
      </c>
      <c r="U10" s="149">
        <f>'CCaMC-AFOaMCpUC-pre-ret'!U10</f>
        <v>100047.61904761904</v>
      </c>
      <c r="V10" s="149">
        <f>'CCaMC-AFOaMCpUC-pre-ret'!V10</f>
        <v>99523.809523809527</v>
      </c>
      <c r="W10" s="149">
        <f>'CCaMC-AFOaMCpUC-pre-ret'!W10</f>
        <v>99000</v>
      </c>
      <c r="X10" s="149">
        <f>'CCaMC-AFOaMCpUC-pre-ret'!X10</f>
        <v>98476.190476190473</v>
      </c>
      <c r="Y10" s="149">
        <f>'CCaMC-AFOaMCpUC-pre-ret'!Y10</f>
        <v>97952.380952380947</v>
      </c>
      <c r="Z10" s="149">
        <f>'CCaMC-AFOaMCpUC-pre-ret'!Z10</f>
        <v>97428.57142857142</v>
      </c>
      <c r="AA10" s="149">
        <f>'CCaMC-AFOaMCpUC-pre-ret'!AA10</f>
        <v>96904.761904761894</v>
      </c>
      <c r="AB10" s="149">
        <f>'CCaMC-AFOaMCpUC-pre-ret'!AB10</f>
        <v>96380.952380952367</v>
      </c>
      <c r="AC10" s="149">
        <f>'CCaMC-AFOaMCpUC-pre-ret'!AC10</f>
        <v>95857.142857142841</v>
      </c>
      <c r="AD10" s="149">
        <f>'CCaMC-AFOaMCpUC-pre-ret'!AD10</f>
        <v>95333.333333333328</v>
      </c>
      <c r="AE10" s="149">
        <f>'CCaMC-AFOaMCpUC-pre-ret'!AE10</f>
        <v>94809.523809523802</v>
      </c>
      <c r="AF10" s="149">
        <f>'CCaMC-AFOaMCpUC-pre-ret'!AF10</f>
        <v>94285.714285714275</v>
      </c>
    </row>
    <row r="11" spans="1:32" ht="14.25" customHeight="1">
      <c r="A11" s="125" t="s">
        <v>1121</v>
      </c>
      <c r="B11" s="149">
        <f>'CCaMC-AFOaMCpUC-pre-ret'!B11</f>
        <v>7619.0476190476184</v>
      </c>
      <c r="C11" s="149">
        <f>'CCaMC-AFOaMCpUC-pre-ret'!C11</f>
        <v>7974.603174603174</v>
      </c>
      <c r="D11" s="149">
        <f>'CCaMC-AFOaMCpUC-pre-ret'!D11</f>
        <v>8330.1587301587297</v>
      </c>
      <c r="E11" s="149">
        <f>'CCaMC-AFOaMCpUC-pre-ret'!E11</f>
        <v>8685.7142857142844</v>
      </c>
      <c r="F11" s="149">
        <f>'CCaMC-AFOaMCpUC-pre-ret'!F11</f>
        <v>8685.7142857142844</v>
      </c>
      <c r="G11" s="149">
        <f>'CCaMC-AFOaMCpUC-pre-ret'!G11</f>
        <v>8685.7142857142844</v>
      </c>
      <c r="H11" s="149">
        <f>'CCaMC-AFOaMCpUC-pre-ret'!H11</f>
        <v>8685.7142857142844</v>
      </c>
      <c r="I11" s="149">
        <f>'CCaMC-AFOaMCpUC-pre-ret'!I11</f>
        <v>8685.7142857142844</v>
      </c>
      <c r="J11" s="149">
        <f>'CCaMC-AFOaMCpUC-pre-ret'!J11</f>
        <v>8685.7142857142844</v>
      </c>
      <c r="K11" s="149">
        <f>'CCaMC-AFOaMCpUC-pre-ret'!K11</f>
        <v>8685.7142857142844</v>
      </c>
      <c r="L11" s="149">
        <f>'CCaMC-AFOaMCpUC-pre-ret'!L11</f>
        <v>8685.7142857142844</v>
      </c>
      <c r="M11" s="149">
        <f>'CCaMC-AFOaMCpUC-pre-ret'!M11</f>
        <v>8672.7142857142844</v>
      </c>
      <c r="N11" s="149">
        <f>'CCaMC-AFOaMCpUC-pre-ret'!N11</f>
        <v>8659.7142857142844</v>
      </c>
      <c r="O11" s="149">
        <f>'CCaMC-AFOaMCpUC-pre-ret'!O11</f>
        <v>8646.7142857142844</v>
      </c>
      <c r="P11" s="149">
        <f>'CCaMC-AFOaMCpUC-pre-ret'!P11</f>
        <v>8633.7142857142844</v>
      </c>
      <c r="Q11" s="149">
        <f>'CCaMC-AFOaMCpUC-pre-ret'!Q11</f>
        <v>8620.7142857142844</v>
      </c>
      <c r="R11" s="149">
        <f>'CCaMC-AFOaMCpUC-pre-ret'!R11</f>
        <v>8607.7142857142844</v>
      </c>
      <c r="S11" s="149">
        <f>'CCaMC-AFOaMCpUC-pre-ret'!S11</f>
        <v>8594.7142857142844</v>
      </c>
      <c r="T11" s="149">
        <f>'CCaMC-AFOaMCpUC-pre-ret'!T11</f>
        <v>8581.7142857142844</v>
      </c>
      <c r="U11" s="149">
        <f>'CCaMC-AFOaMCpUC-pre-ret'!U11</f>
        <v>8568.7142857142844</v>
      </c>
      <c r="V11" s="149">
        <f>'CCaMC-AFOaMCpUC-pre-ret'!V11</f>
        <v>8555.7142857142844</v>
      </c>
      <c r="W11" s="149">
        <f>'CCaMC-AFOaMCpUC-pre-ret'!W11</f>
        <v>8542.7142857142844</v>
      </c>
      <c r="X11" s="149">
        <f>'CCaMC-AFOaMCpUC-pre-ret'!X11</f>
        <v>8529.7142857142844</v>
      </c>
      <c r="Y11" s="149">
        <f>'CCaMC-AFOaMCpUC-pre-ret'!Y11</f>
        <v>8516.7142857142844</v>
      </c>
      <c r="Z11" s="149">
        <f>'CCaMC-AFOaMCpUC-pre-ret'!Z11</f>
        <v>8503.7142857142844</v>
      </c>
      <c r="AA11" s="149">
        <f>'CCaMC-AFOaMCpUC-pre-ret'!AA11</f>
        <v>8490.7142857142844</v>
      </c>
      <c r="AB11" s="149">
        <f>'CCaMC-AFOaMCpUC-pre-ret'!AB11</f>
        <v>8477.7142857142844</v>
      </c>
      <c r="AC11" s="149">
        <f>'CCaMC-AFOaMCpUC-pre-ret'!AC11</f>
        <v>8464.7142857142844</v>
      </c>
      <c r="AD11" s="149">
        <f>'CCaMC-AFOaMCpUC-pre-ret'!AD11</f>
        <v>8451.7142857142844</v>
      </c>
      <c r="AE11" s="149">
        <f>'CCaMC-AFOaMCpUC-pre-ret'!AE11</f>
        <v>8438.7142857142844</v>
      </c>
      <c r="AF11" s="149">
        <f>'CCaMC-AFOaMCpUC-pre-ret'!AF11</f>
        <v>8425.7142857142844</v>
      </c>
    </row>
    <row r="12" spans="1:32" ht="14.25" customHeight="1">
      <c r="A12" s="125" t="s">
        <v>1122</v>
      </c>
      <c r="B12" s="149">
        <f>'CCaMC-AFOaMCpUC-pre-ret'!B12</f>
        <v>22095.238095238095</v>
      </c>
      <c r="C12" s="149">
        <f>'CCaMC-AFOaMCpUC-pre-ret'!C12</f>
        <v>23238.095238095237</v>
      </c>
      <c r="D12" s="149">
        <f>'CCaMC-AFOaMCpUC-pre-ret'!D12</f>
        <v>24380.952380952382</v>
      </c>
      <c r="E12" s="149">
        <f>'CCaMC-AFOaMCpUC-pre-ret'!E12</f>
        <v>25523.809523809523</v>
      </c>
      <c r="F12" s="149">
        <f>'CCaMC-AFOaMCpUC-pre-ret'!F12</f>
        <v>25414.965986394556</v>
      </c>
      <c r="G12" s="149">
        <f>'CCaMC-AFOaMCpUC-pre-ret'!G12</f>
        <v>25306.12244897959</v>
      </c>
      <c r="H12" s="149">
        <f>'CCaMC-AFOaMCpUC-pre-ret'!H12</f>
        <v>25197.278911564623</v>
      </c>
      <c r="I12" s="149">
        <f>'CCaMC-AFOaMCpUC-pre-ret'!I12</f>
        <v>25088.43537414966</v>
      </c>
      <c r="J12" s="149">
        <f>'CCaMC-AFOaMCpUC-pre-ret'!J12</f>
        <v>24979.591836734693</v>
      </c>
      <c r="K12" s="149">
        <f>'CCaMC-AFOaMCpUC-pre-ret'!K12</f>
        <v>24870.748299319726</v>
      </c>
      <c r="L12" s="149">
        <f>'CCaMC-AFOaMCpUC-pre-ret'!L12</f>
        <v>24761.90476190476</v>
      </c>
      <c r="M12" s="149">
        <f>'CCaMC-AFOaMCpUC-pre-ret'!M12</f>
        <v>24723.809523809523</v>
      </c>
      <c r="N12" s="149">
        <f>'CCaMC-AFOaMCpUC-pre-ret'!N12</f>
        <v>24685.714285714283</v>
      </c>
      <c r="O12" s="149">
        <f>'CCaMC-AFOaMCpUC-pre-ret'!O12</f>
        <v>24647.619047619046</v>
      </c>
      <c r="P12" s="149">
        <f>'CCaMC-AFOaMCpUC-pre-ret'!P12</f>
        <v>24609.523809523809</v>
      </c>
      <c r="Q12" s="149">
        <f>'CCaMC-AFOaMCpUC-pre-ret'!Q12</f>
        <v>24571.428571428569</v>
      </c>
      <c r="R12" s="149">
        <f>'CCaMC-AFOaMCpUC-pre-ret'!R12</f>
        <v>24533.333333333332</v>
      </c>
      <c r="S12" s="149">
        <f>'CCaMC-AFOaMCpUC-pre-ret'!S12</f>
        <v>24495.238095238095</v>
      </c>
      <c r="T12" s="149">
        <f>'CCaMC-AFOaMCpUC-pre-ret'!T12</f>
        <v>24457.142857142855</v>
      </c>
      <c r="U12" s="149">
        <f>'CCaMC-AFOaMCpUC-pre-ret'!U12</f>
        <v>24419.047619047618</v>
      </c>
      <c r="V12" s="149">
        <f>'CCaMC-AFOaMCpUC-pre-ret'!V12</f>
        <v>24380.952380952382</v>
      </c>
      <c r="W12" s="149">
        <f>'CCaMC-AFOaMCpUC-pre-ret'!W12</f>
        <v>24342.857142857141</v>
      </c>
      <c r="X12" s="149">
        <f>'CCaMC-AFOaMCpUC-pre-ret'!X12</f>
        <v>24304.761904761905</v>
      </c>
      <c r="Y12" s="149">
        <f>'CCaMC-AFOaMCpUC-pre-ret'!Y12</f>
        <v>24266.666666666664</v>
      </c>
      <c r="Z12" s="149">
        <f>'CCaMC-AFOaMCpUC-pre-ret'!Z12</f>
        <v>24228.571428571428</v>
      </c>
      <c r="AA12" s="149">
        <f>'CCaMC-AFOaMCpUC-pre-ret'!AA12</f>
        <v>24190.476190476191</v>
      </c>
      <c r="AB12" s="149">
        <f>'CCaMC-AFOaMCpUC-pre-ret'!AB12</f>
        <v>24152.38095238095</v>
      </c>
      <c r="AC12" s="149">
        <f>'CCaMC-AFOaMCpUC-pre-ret'!AC12</f>
        <v>24114.285714285714</v>
      </c>
      <c r="AD12" s="149">
        <f>'CCaMC-AFOaMCpUC-pre-ret'!AD12</f>
        <v>24076.190476190477</v>
      </c>
      <c r="AE12" s="149">
        <f>'CCaMC-AFOaMCpUC-pre-ret'!AE12</f>
        <v>24038.095238095237</v>
      </c>
      <c r="AF12" s="149">
        <f>'CCaMC-AFOaMCpUC-pre-ret'!AF12</f>
        <v>24000</v>
      </c>
    </row>
    <row r="13" spans="1:32" ht="14.25" customHeight="1">
      <c r="A13" s="125" t="s">
        <v>1123</v>
      </c>
      <c r="B13" s="149">
        <f>'CCaMC-AFOaMCpUC-pre-ret'!B13</f>
        <v>39238.095238095237</v>
      </c>
      <c r="C13" s="149">
        <f>'CCaMC-AFOaMCpUC-pre-ret'!C13</f>
        <v>41079.365079365074</v>
      </c>
      <c r="D13" s="149">
        <f>'CCaMC-AFOaMCpUC-pre-ret'!D13</f>
        <v>42920.634920634919</v>
      </c>
      <c r="E13" s="149">
        <f>'CCaMC-AFOaMCpUC-pre-ret'!E13</f>
        <v>44761.904761904756</v>
      </c>
      <c r="F13" s="149">
        <f>'CCaMC-AFOaMCpUC-pre-ret'!F13</f>
        <v>44571.428571428565</v>
      </c>
      <c r="G13" s="149">
        <f>'CCaMC-AFOaMCpUC-pre-ret'!G13</f>
        <v>44380.952380952374</v>
      </c>
      <c r="H13" s="149">
        <f>'CCaMC-AFOaMCpUC-pre-ret'!H13</f>
        <v>44190.476190476184</v>
      </c>
      <c r="I13" s="149">
        <f>'CCaMC-AFOaMCpUC-pre-ret'!I13</f>
        <v>44000</v>
      </c>
      <c r="J13" s="149">
        <f>'CCaMC-AFOaMCpUC-pre-ret'!J13</f>
        <v>43809.523809523809</v>
      </c>
      <c r="K13" s="149">
        <f>'CCaMC-AFOaMCpUC-pre-ret'!K13</f>
        <v>43619.047619047618</v>
      </c>
      <c r="L13" s="149">
        <f>'CCaMC-AFOaMCpUC-pre-ret'!L13</f>
        <v>43428.571428571428</v>
      </c>
      <c r="M13" s="149">
        <f>'CCaMC-AFOaMCpUC-pre-ret'!M13</f>
        <v>43357.142857142855</v>
      </c>
      <c r="N13" s="149">
        <f>'CCaMC-AFOaMCpUC-pre-ret'!N13</f>
        <v>43285.714285714283</v>
      </c>
      <c r="O13" s="149">
        <f>'CCaMC-AFOaMCpUC-pre-ret'!O13</f>
        <v>43214.28571428571</v>
      </c>
      <c r="P13" s="149">
        <f>'CCaMC-AFOaMCpUC-pre-ret'!P13</f>
        <v>43142.857142857145</v>
      </c>
      <c r="Q13" s="149">
        <f>'CCaMC-AFOaMCpUC-pre-ret'!Q13</f>
        <v>43071.428571428572</v>
      </c>
      <c r="R13" s="149">
        <f>'CCaMC-AFOaMCpUC-pre-ret'!R13</f>
        <v>43000</v>
      </c>
      <c r="S13" s="149">
        <f>'CCaMC-AFOaMCpUC-pre-ret'!S13</f>
        <v>42928.571428571428</v>
      </c>
      <c r="T13" s="149">
        <f>'CCaMC-AFOaMCpUC-pre-ret'!T13</f>
        <v>42857.142857142855</v>
      </c>
      <c r="U13" s="149">
        <f>'CCaMC-AFOaMCpUC-pre-ret'!U13</f>
        <v>42785.714285714283</v>
      </c>
      <c r="V13" s="149">
        <f>'CCaMC-AFOaMCpUC-pre-ret'!V13</f>
        <v>42714.28571428571</v>
      </c>
      <c r="W13" s="149">
        <f>'CCaMC-AFOaMCpUC-pre-ret'!W13</f>
        <v>42642.857142857145</v>
      </c>
      <c r="X13" s="149">
        <f>'CCaMC-AFOaMCpUC-pre-ret'!X13</f>
        <v>42571.428571428572</v>
      </c>
      <c r="Y13" s="149">
        <f>'CCaMC-AFOaMCpUC-pre-ret'!Y13</f>
        <v>42500</v>
      </c>
      <c r="Z13" s="149">
        <f>'CCaMC-AFOaMCpUC-pre-ret'!Z13</f>
        <v>42428.571428571428</v>
      </c>
      <c r="AA13" s="149">
        <f>'CCaMC-AFOaMCpUC-pre-ret'!AA13</f>
        <v>42357.142857142855</v>
      </c>
      <c r="AB13" s="149">
        <f>'CCaMC-AFOaMCpUC-pre-ret'!AB13</f>
        <v>42285.714285714283</v>
      </c>
      <c r="AC13" s="149">
        <f>'CCaMC-AFOaMCpUC-pre-ret'!AC13</f>
        <v>42214.285714285717</v>
      </c>
      <c r="AD13" s="149">
        <f>'CCaMC-AFOaMCpUC-pre-ret'!AD13</f>
        <v>42142.857142857145</v>
      </c>
      <c r="AE13" s="149">
        <f>'CCaMC-AFOaMCpUC-pre-ret'!AE13</f>
        <v>42071.428571428572</v>
      </c>
      <c r="AF13" s="149">
        <f>'CCaMC-AFOaMCpUC-pre-ret'!AF13</f>
        <v>42000</v>
      </c>
    </row>
    <row r="14" spans="1:32" ht="14.25" customHeight="1">
      <c r="A14" s="125" t="s">
        <v>1124</v>
      </c>
      <c r="B14" s="149">
        <f>'CCaMC-AFOaMCpUC-pre-ret'!B14</f>
        <v>69142.857142857145</v>
      </c>
      <c r="C14" s="149">
        <f>'CCaMC-AFOaMCpUC-pre-ret'!C14</f>
        <v>83799.365079365074</v>
      </c>
      <c r="D14" s="149">
        <f>'CCaMC-AFOaMCpUC-pre-ret'!D14</f>
        <v>98455.873015873018</v>
      </c>
      <c r="E14" s="149">
        <f>'CCaMC-AFOaMCpUC-pre-ret'!E14</f>
        <v>113112.38095238095</v>
      </c>
      <c r="F14" s="149">
        <f>'CCaMC-AFOaMCpUC-pre-ret'!F14</f>
        <v>110530.47619047618</v>
      </c>
      <c r="G14" s="149">
        <f>'CCaMC-AFOaMCpUC-pre-ret'!G14</f>
        <v>107948.57142857142</v>
      </c>
      <c r="H14" s="149">
        <f>'CCaMC-AFOaMCpUC-pre-ret'!H14</f>
        <v>105366.66666666666</v>
      </c>
      <c r="I14" s="149">
        <f>'CCaMC-AFOaMCpUC-pre-ret'!I14</f>
        <v>102784.76190476191</v>
      </c>
      <c r="J14" s="149">
        <f>'CCaMC-AFOaMCpUC-pre-ret'!J14</f>
        <v>100202.85714285714</v>
      </c>
      <c r="K14" s="149">
        <f>'CCaMC-AFOaMCpUC-pre-ret'!K14</f>
        <v>97620.952380952382</v>
      </c>
      <c r="L14" s="149">
        <f>'CCaMC-AFOaMCpUC-pre-ret'!L14</f>
        <v>95039.047619047618</v>
      </c>
      <c r="M14" s="149">
        <f>'CCaMC-AFOaMCpUC-pre-ret'!M14</f>
        <v>94158.047619047618</v>
      </c>
      <c r="N14" s="149">
        <f>'CCaMC-AFOaMCpUC-pre-ret'!N14</f>
        <v>93277.047619047618</v>
      </c>
      <c r="O14" s="149">
        <f>'CCaMC-AFOaMCpUC-pre-ret'!O14</f>
        <v>92396.047619047618</v>
      </c>
      <c r="P14" s="149">
        <f>'CCaMC-AFOaMCpUC-pre-ret'!P14</f>
        <v>91515.047619047618</v>
      </c>
      <c r="Q14" s="149">
        <f>'CCaMC-AFOaMCpUC-pre-ret'!Q14</f>
        <v>90634.047619047618</v>
      </c>
      <c r="R14" s="149">
        <f>'CCaMC-AFOaMCpUC-pre-ret'!R14</f>
        <v>89753.047619047618</v>
      </c>
      <c r="S14" s="149">
        <f>'CCaMC-AFOaMCpUC-pre-ret'!S14</f>
        <v>88872.047619047618</v>
      </c>
      <c r="T14" s="149">
        <f>'CCaMC-AFOaMCpUC-pre-ret'!T14</f>
        <v>87991.047619047618</v>
      </c>
      <c r="U14" s="149">
        <f>'CCaMC-AFOaMCpUC-pre-ret'!U14</f>
        <v>87110.047619047618</v>
      </c>
      <c r="V14" s="149">
        <f>'CCaMC-AFOaMCpUC-pre-ret'!V14</f>
        <v>86229.047619047618</v>
      </c>
      <c r="W14" s="149">
        <f>'CCaMC-AFOaMCpUC-pre-ret'!W14</f>
        <v>85348.047619047618</v>
      </c>
      <c r="X14" s="149">
        <f>'CCaMC-AFOaMCpUC-pre-ret'!X14</f>
        <v>84467.047619047618</v>
      </c>
      <c r="Y14" s="149">
        <f>'CCaMC-AFOaMCpUC-pre-ret'!Y14</f>
        <v>83586.047619047618</v>
      </c>
      <c r="Z14" s="149">
        <f>'CCaMC-AFOaMCpUC-pre-ret'!Z14</f>
        <v>82705.047619047618</v>
      </c>
      <c r="AA14" s="149">
        <f>'CCaMC-AFOaMCpUC-pre-ret'!AA14</f>
        <v>81824.047619047618</v>
      </c>
      <c r="AB14" s="149">
        <f>'CCaMC-AFOaMCpUC-pre-ret'!AB14</f>
        <v>80943.047619047618</v>
      </c>
      <c r="AC14" s="149">
        <f>'CCaMC-AFOaMCpUC-pre-ret'!AC14</f>
        <v>80062.047619047618</v>
      </c>
      <c r="AD14" s="149">
        <f>'CCaMC-AFOaMCpUC-pre-ret'!AD14</f>
        <v>79181.047619047618</v>
      </c>
      <c r="AE14" s="149">
        <f>'CCaMC-AFOaMCpUC-pre-ret'!AE14</f>
        <v>78300.047619047618</v>
      </c>
      <c r="AF14" s="149">
        <f>'CCaMC-AFOaMCpUC-pre-ret'!AF14</f>
        <v>77419.047619047618</v>
      </c>
    </row>
    <row r="15" spans="1:32" ht="14.25" customHeight="1">
      <c r="A15" s="125" t="s">
        <v>1125</v>
      </c>
      <c r="B15" s="149">
        <f>'CCaMC-AFOaMCpUC-pre-ret'!B15</f>
        <v>7619.0476190476184</v>
      </c>
      <c r="C15" s="149">
        <f>'CCaMC-AFOaMCpUC-pre-ret'!C15</f>
        <v>7974.603174603174</v>
      </c>
      <c r="D15" s="149">
        <f>'CCaMC-AFOaMCpUC-pre-ret'!D15</f>
        <v>8330.1587301587297</v>
      </c>
      <c r="E15" s="149">
        <f>'CCaMC-AFOaMCpUC-pre-ret'!E15</f>
        <v>8685.7142857142844</v>
      </c>
      <c r="F15" s="149">
        <f>'CCaMC-AFOaMCpUC-pre-ret'!F15</f>
        <v>8685.7142857142844</v>
      </c>
      <c r="G15" s="149">
        <f>'CCaMC-AFOaMCpUC-pre-ret'!G15</f>
        <v>8685.7142857142844</v>
      </c>
      <c r="H15" s="149">
        <f>'CCaMC-AFOaMCpUC-pre-ret'!H15</f>
        <v>8685.7142857142844</v>
      </c>
      <c r="I15" s="149">
        <f>'CCaMC-AFOaMCpUC-pre-ret'!I15</f>
        <v>8685.7142857142844</v>
      </c>
      <c r="J15" s="149">
        <f>'CCaMC-AFOaMCpUC-pre-ret'!J15</f>
        <v>8685.7142857142844</v>
      </c>
      <c r="K15" s="149">
        <f>'CCaMC-AFOaMCpUC-pre-ret'!K15</f>
        <v>8685.7142857142844</v>
      </c>
      <c r="L15" s="149">
        <f>'CCaMC-AFOaMCpUC-pre-ret'!L15</f>
        <v>8685.7142857142844</v>
      </c>
      <c r="M15" s="149">
        <f>'CCaMC-AFOaMCpUC-pre-ret'!M15</f>
        <v>8672.7142857142844</v>
      </c>
      <c r="N15" s="149">
        <f>'CCaMC-AFOaMCpUC-pre-ret'!N15</f>
        <v>8659.7142857142844</v>
      </c>
      <c r="O15" s="149">
        <f>'CCaMC-AFOaMCpUC-pre-ret'!O15</f>
        <v>8646.7142857142844</v>
      </c>
      <c r="P15" s="149">
        <f>'CCaMC-AFOaMCpUC-pre-ret'!P15</f>
        <v>8633.7142857142844</v>
      </c>
      <c r="Q15" s="149">
        <f>'CCaMC-AFOaMCpUC-pre-ret'!Q15</f>
        <v>8620.7142857142844</v>
      </c>
      <c r="R15" s="149">
        <f>'CCaMC-AFOaMCpUC-pre-ret'!R15</f>
        <v>8607.7142857142844</v>
      </c>
      <c r="S15" s="149">
        <f>'CCaMC-AFOaMCpUC-pre-ret'!S15</f>
        <v>8594.7142857142844</v>
      </c>
      <c r="T15" s="149">
        <f>'CCaMC-AFOaMCpUC-pre-ret'!T15</f>
        <v>8581.7142857142844</v>
      </c>
      <c r="U15" s="149">
        <f>'CCaMC-AFOaMCpUC-pre-ret'!U15</f>
        <v>8568.7142857142844</v>
      </c>
      <c r="V15" s="149">
        <f>'CCaMC-AFOaMCpUC-pre-ret'!V15</f>
        <v>8555.7142857142844</v>
      </c>
      <c r="W15" s="149">
        <f>'CCaMC-AFOaMCpUC-pre-ret'!W15</f>
        <v>8542.7142857142844</v>
      </c>
      <c r="X15" s="149">
        <f>'CCaMC-AFOaMCpUC-pre-ret'!X15</f>
        <v>8529.7142857142844</v>
      </c>
      <c r="Y15" s="149">
        <f>'CCaMC-AFOaMCpUC-pre-ret'!Y15</f>
        <v>8516.7142857142844</v>
      </c>
      <c r="Z15" s="149">
        <f>'CCaMC-AFOaMCpUC-pre-ret'!Z15</f>
        <v>8503.7142857142844</v>
      </c>
      <c r="AA15" s="149">
        <f>'CCaMC-AFOaMCpUC-pre-ret'!AA15</f>
        <v>8490.7142857142844</v>
      </c>
      <c r="AB15" s="149">
        <f>'CCaMC-AFOaMCpUC-pre-ret'!AB15</f>
        <v>8477.7142857142844</v>
      </c>
      <c r="AC15" s="149">
        <f>'CCaMC-AFOaMCpUC-pre-ret'!AC15</f>
        <v>8464.7142857142844</v>
      </c>
      <c r="AD15" s="149">
        <f>'CCaMC-AFOaMCpUC-pre-ret'!AD15</f>
        <v>8451.7142857142844</v>
      </c>
      <c r="AE15" s="149">
        <f>'CCaMC-AFOaMCpUC-pre-ret'!AE15</f>
        <v>8438.7142857142844</v>
      </c>
      <c r="AF15" s="149">
        <f>'CCaMC-AFOaMCpUC-pre-ret'!AF15</f>
        <v>8425.7142857142844</v>
      </c>
    </row>
    <row r="16" spans="1:32" ht="14.25" customHeight="1">
      <c r="A16" s="125" t="s">
        <v>1126</v>
      </c>
      <c r="B16" s="149">
        <f>'CCaMC-AFOaMCpUC-pre-ret'!B16</f>
        <v>7619.0476190476184</v>
      </c>
      <c r="C16" s="149">
        <f>'CCaMC-AFOaMCpUC-pre-ret'!C16</f>
        <v>7974.603174603174</v>
      </c>
      <c r="D16" s="149">
        <f>'CCaMC-AFOaMCpUC-pre-ret'!D16</f>
        <v>8330.1587301587297</v>
      </c>
      <c r="E16" s="149">
        <f>'CCaMC-AFOaMCpUC-pre-ret'!E16</f>
        <v>8685.7142857142844</v>
      </c>
      <c r="F16" s="149">
        <f>'CCaMC-AFOaMCpUC-pre-ret'!F16</f>
        <v>8685.7142857142844</v>
      </c>
      <c r="G16" s="149">
        <f>'CCaMC-AFOaMCpUC-pre-ret'!G16</f>
        <v>8685.7142857142844</v>
      </c>
      <c r="H16" s="149">
        <f>'CCaMC-AFOaMCpUC-pre-ret'!H16</f>
        <v>8685.7142857142844</v>
      </c>
      <c r="I16" s="149">
        <f>'CCaMC-AFOaMCpUC-pre-ret'!I16</f>
        <v>8685.7142857142844</v>
      </c>
      <c r="J16" s="149">
        <f>'CCaMC-AFOaMCpUC-pre-ret'!J16</f>
        <v>8685.7142857142844</v>
      </c>
      <c r="K16" s="149">
        <f>'CCaMC-AFOaMCpUC-pre-ret'!K16</f>
        <v>8685.7142857142844</v>
      </c>
      <c r="L16" s="149">
        <f>'CCaMC-AFOaMCpUC-pre-ret'!L16</f>
        <v>8685.7142857142844</v>
      </c>
      <c r="M16" s="149">
        <f>'CCaMC-AFOaMCpUC-pre-ret'!M16</f>
        <v>8672.7142857142844</v>
      </c>
      <c r="N16" s="149">
        <f>'CCaMC-AFOaMCpUC-pre-ret'!N16</f>
        <v>8659.7142857142844</v>
      </c>
      <c r="O16" s="149">
        <f>'CCaMC-AFOaMCpUC-pre-ret'!O16</f>
        <v>8646.7142857142844</v>
      </c>
      <c r="P16" s="149">
        <f>'CCaMC-AFOaMCpUC-pre-ret'!P16</f>
        <v>8633.7142857142844</v>
      </c>
      <c r="Q16" s="149">
        <f>'CCaMC-AFOaMCpUC-pre-ret'!Q16</f>
        <v>8620.7142857142844</v>
      </c>
      <c r="R16" s="149">
        <f>'CCaMC-AFOaMCpUC-pre-ret'!R16</f>
        <v>8607.7142857142844</v>
      </c>
      <c r="S16" s="149">
        <f>'CCaMC-AFOaMCpUC-pre-ret'!S16</f>
        <v>8594.7142857142844</v>
      </c>
      <c r="T16" s="149">
        <f>'CCaMC-AFOaMCpUC-pre-ret'!T16</f>
        <v>8581.7142857142844</v>
      </c>
      <c r="U16" s="149">
        <f>'CCaMC-AFOaMCpUC-pre-ret'!U16</f>
        <v>8568.7142857142844</v>
      </c>
      <c r="V16" s="149">
        <f>'CCaMC-AFOaMCpUC-pre-ret'!V16</f>
        <v>8555.7142857142844</v>
      </c>
      <c r="W16" s="149">
        <f>'CCaMC-AFOaMCpUC-pre-ret'!W16</f>
        <v>8542.7142857142844</v>
      </c>
      <c r="X16" s="149">
        <f>'CCaMC-AFOaMCpUC-pre-ret'!X16</f>
        <v>8529.7142857142844</v>
      </c>
      <c r="Y16" s="149">
        <f>'CCaMC-AFOaMCpUC-pre-ret'!Y16</f>
        <v>8516.7142857142844</v>
      </c>
      <c r="Z16" s="149">
        <f>'CCaMC-AFOaMCpUC-pre-ret'!Z16</f>
        <v>8503.7142857142844</v>
      </c>
      <c r="AA16" s="149">
        <f>'CCaMC-AFOaMCpUC-pre-ret'!AA16</f>
        <v>8490.7142857142844</v>
      </c>
      <c r="AB16" s="149">
        <f>'CCaMC-AFOaMCpUC-pre-ret'!AB16</f>
        <v>8477.7142857142844</v>
      </c>
      <c r="AC16" s="149">
        <f>'CCaMC-AFOaMCpUC-pre-ret'!AC16</f>
        <v>8464.7142857142844</v>
      </c>
      <c r="AD16" s="149">
        <f>'CCaMC-AFOaMCpUC-pre-ret'!AD16</f>
        <v>8451.7142857142844</v>
      </c>
      <c r="AE16" s="149">
        <f>'CCaMC-AFOaMCpUC-pre-ret'!AE16</f>
        <v>8438.7142857142844</v>
      </c>
      <c r="AF16" s="149">
        <f>'CCaMC-AFOaMCpUC-pre-ret'!AF16</f>
        <v>8425.7142857142844</v>
      </c>
    </row>
    <row r="17" spans="1:32" ht="14.25" customHeight="1">
      <c r="A17" s="125" t="s">
        <v>1127</v>
      </c>
      <c r="B17" s="149">
        <f>'CCaMC-AFOaMCpUC-pre-ret'!B17</f>
        <v>119047.61904761904</v>
      </c>
      <c r="C17" s="149">
        <f>'CCaMC-AFOaMCpUC-pre-ret'!C17</f>
        <v>124603.1746031746</v>
      </c>
      <c r="D17" s="149">
        <f>'CCaMC-AFOaMCpUC-pre-ret'!D17</f>
        <v>130158.73015873015</v>
      </c>
      <c r="E17" s="149">
        <f>'CCaMC-AFOaMCpUC-pre-ret'!E17</f>
        <v>135714.28571428571</v>
      </c>
      <c r="F17" s="149">
        <f>'CCaMC-AFOaMCpUC-pre-ret'!F17</f>
        <v>135714.28571428571</v>
      </c>
      <c r="G17" s="149">
        <f>'CCaMC-AFOaMCpUC-pre-ret'!G17</f>
        <v>135714.28571428571</v>
      </c>
      <c r="H17" s="149">
        <f>'CCaMC-AFOaMCpUC-pre-ret'!H17</f>
        <v>135714.28571428571</v>
      </c>
      <c r="I17" s="149">
        <f>'CCaMC-AFOaMCpUC-pre-ret'!I17</f>
        <v>135714.28571428571</v>
      </c>
      <c r="J17" s="149">
        <f>'CCaMC-AFOaMCpUC-pre-ret'!J17</f>
        <v>135714.28571428571</v>
      </c>
      <c r="K17" s="149">
        <f>'CCaMC-AFOaMCpUC-pre-ret'!K17</f>
        <v>135714.28571428571</v>
      </c>
      <c r="L17" s="149">
        <f>'CCaMC-AFOaMCpUC-pre-ret'!L17</f>
        <v>135714.28571428571</v>
      </c>
      <c r="M17" s="149">
        <f>'CCaMC-AFOaMCpUC-pre-ret'!M17</f>
        <v>135714.28571428571</v>
      </c>
      <c r="N17" s="149">
        <f>'CCaMC-AFOaMCpUC-pre-ret'!N17</f>
        <v>135714.28571428571</v>
      </c>
      <c r="O17" s="149">
        <f>'CCaMC-AFOaMCpUC-pre-ret'!O17</f>
        <v>135714.28571428571</v>
      </c>
      <c r="P17" s="149">
        <f>'CCaMC-AFOaMCpUC-pre-ret'!P17</f>
        <v>135714.28571428571</v>
      </c>
      <c r="Q17" s="149">
        <f>'CCaMC-AFOaMCpUC-pre-ret'!Q17</f>
        <v>135714.28571428571</v>
      </c>
      <c r="R17" s="149">
        <f>'CCaMC-AFOaMCpUC-pre-ret'!R17</f>
        <v>135714.28571428571</v>
      </c>
      <c r="S17" s="149">
        <f>'CCaMC-AFOaMCpUC-pre-ret'!S17</f>
        <v>135714.28571428571</v>
      </c>
      <c r="T17" s="149">
        <f>'CCaMC-AFOaMCpUC-pre-ret'!T17</f>
        <v>135714.28571428571</v>
      </c>
      <c r="U17" s="149">
        <f>'CCaMC-AFOaMCpUC-pre-ret'!U17</f>
        <v>135714.28571428571</v>
      </c>
      <c r="V17" s="149">
        <f>'CCaMC-AFOaMCpUC-pre-ret'!V17</f>
        <v>135714.28571428571</v>
      </c>
      <c r="W17" s="149">
        <f>'CCaMC-AFOaMCpUC-pre-ret'!W17</f>
        <v>135714.28571428571</v>
      </c>
      <c r="X17" s="149">
        <f>'CCaMC-AFOaMCpUC-pre-ret'!X17</f>
        <v>135714.28571428571</v>
      </c>
      <c r="Y17" s="149">
        <f>'CCaMC-AFOaMCpUC-pre-ret'!Y17</f>
        <v>135714.28571428571</v>
      </c>
      <c r="Z17" s="149">
        <f>'CCaMC-AFOaMCpUC-pre-ret'!Z17</f>
        <v>135714.28571428571</v>
      </c>
      <c r="AA17" s="149">
        <f>'CCaMC-AFOaMCpUC-pre-ret'!AA17</f>
        <v>135714.28571428571</v>
      </c>
      <c r="AB17" s="149">
        <f>'CCaMC-AFOaMCpUC-pre-ret'!AB17</f>
        <v>135714.28571428571</v>
      </c>
      <c r="AC17" s="149">
        <f>'CCaMC-AFOaMCpUC-pre-ret'!AC17</f>
        <v>135714.28571428571</v>
      </c>
      <c r="AD17" s="149">
        <f>'CCaMC-AFOaMCpUC-pre-ret'!AD17</f>
        <v>135714.28571428571</v>
      </c>
      <c r="AE17" s="149">
        <f>'CCaMC-AFOaMCpUC-pre-ret'!AE17</f>
        <v>135714.28571428571</v>
      </c>
      <c r="AF17" s="149">
        <f>'CCaMC-AFOaMCpUC-pre-ret'!AF17</f>
        <v>135714.28571428571</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F1000"/>
  <sheetViews>
    <sheetView workbookViewId="0">
      <selection activeCell="K25" sqref="K25"/>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0">
        <f>Cal!B22</f>
        <v>0.10476190476190475</v>
      </c>
      <c r="C2" s="150">
        <f>$B$2+(($E$2-$B$2)/($E$1-$B$1))*(C1-$B$1)</f>
        <v>0.46666666666666667</v>
      </c>
      <c r="D2" s="150">
        <f>$B$2+(($E$2-$B$2)/($E$1-$B$1))*(D1-$B$1)</f>
        <v>0.82857142857142851</v>
      </c>
      <c r="E2" s="150">
        <f>Cal!C22</f>
        <v>1.1904761904761905</v>
      </c>
      <c r="F2" s="150">
        <f>$E2+(($L2-$E2)/($L$1-$E$1))*(F$1-$E$1)</f>
        <v>1.1836734693877551</v>
      </c>
      <c r="G2" s="150">
        <f t="shared" ref="G2:K2" si="0">$E2+(($L2-$E2)/($L$1-$E$1))*(G$1-$E$1)</f>
        <v>1.1768707482993197</v>
      </c>
      <c r="H2" s="150">
        <f t="shared" si="0"/>
        <v>1.1700680272108843</v>
      </c>
      <c r="I2" s="150">
        <f t="shared" si="0"/>
        <v>1.1632653061224489</v>
      </c>
      <c r="J2" s="150">
        <f t="shared" si="0"/>
        <v>1.1564625850340136</v>
      </c>
      <c r="K2" s="150">
        <f t="shared" si="0"/>
        <v>1.1496598639455782</v>
      </c>
      <c r="L2" s="150">
        <f>Cal!D22</f>
        <v>1.1428571428571428</v>
      </c>
      <c r="M2" s="150">
        <f>$L2+(($AF2-$L2)/($AF$1-$L$1))*(M$1-$L$1)</f>
        <v>1.1404761904761904</v>
      </c>
      <c r="N2" s="150">
        <f t="shared" ref="N2:AE16" si="1">$L2+(($AF2-$L2)/($AF$1-$L$1))*(N$1-$L$1)</f>
        <v>1.138095238095238</v>
      </c>
      <c r="O2" s="150">
        <f t="shared" si="1"/>
        <v>1.1357142857142857</v>
      </c>
      <c r="P2" s="150">
        <f t="shared" si="1"/>
        <v>1.1333333333333333</v>
      </c>
      <c r="Q2" s="150">
        <f t="shared" si="1"/>
        <v>1.1309523809523809</v>
      </c>
      <c r="R2" s="150">
        <f t="shared" si="1"/>
        <v>1.1285714285714286</v>
      </c>
      <c r="S2" s="150">
        <f t="shared" si="1"/>
        <v>1.1261904761904762</v>
      </c>
      <c r="T2" s="150">
        <f t="shared" si="1"/>
        <v>1.1238095238095238</v>
      </c>
      <c r="U2" s="150">
        <f t="shared" si="1"/>
        <v>1.1214285714285714</v>
      </c>
      <c r="V2" s="150">
        <f t="shared" si="1"/>
        <v>1.1190476190476191</v>
      </c>
      <c r="W2" s="150">
        <f t="shared" si="1"/>
        <v>1.1166666666666665</v>
      </c>
      <c r="X2" s="150">
        <f t="shared" si="1"/>
        <v>1.1142857142857141</v>
      </c>
      <c r="Y2" s="150">
        <f t="shared" si="1"/>
        <v>1.1119047619047617</v>
      </c>
      <c r="Z2" s="150">
        <f t="shared" si="1"/>
        <v>1.1095238095238094</v>
      </c>
      <c r="AA2" s="150">
        <f t="shared" si="1"/>
        <v>1.107142857142857</v>
      </c>
      <c r="AB2" s="150">
        <f t="shared" si="1"/>
        <v>1.1047619047619046</v>
      </c>
      <c r="AC2" s="150">
        <f t="shared" si="1"/>
        <v>1.1023809523809522</v>
      </c>
      <c r="AD2" s="150">
        <f t="shared" si="1"/>
        <v>1.0999999999999999</v>
      </c>
      <c r="AE2" s="150">
        <f t="shared" si="1"/>
        <v>1.0976190476190475</v>
      </c>
      <c r="AF2" s="150">
        <f>Cal!E22</f>
        <v>1.0952380952380951</v>
      </c>
    </row>
    <row r="3" spans="1:32" ht="14.25" customHeight="1">
      <c r="A3" s="5" t="s">
        <v>1115</v>
      </c>
      <c r="B3" s="150">
        <f>Cal!B23</f>
        <v>0.10476190476190475</v>
      </c>
      <c r="C3" s="150">
        <f>$B$3+(($E$3-$B$3)/($E$1-$B$1))*(C$1-$B$1)</f>
        <v>1.2126984126984126</v>
      </c>
      <c r="D3" s="150">
        <f>$B$3+(($E$3-$B$3)/($E$1-$B$1))*(D$1-$B$1)</f>
        <v>2.3206349206349204</v>
      </c>
      <c r="E3" s="150">
        <f>Cal!C23</f>
        <v>3.4285714285714284</v>
      </c>
      <c r="F3" s="150">
        <f t="shared" ref="F3:K17" si="2">$E3+(($L3-$E3)/($L$1-$E$1))*(F$1-$E$1)</f>
        <v>3.4149659863945576</v>
      </c>
      <c r="G3" s="150">
        <f t="shared" si="2"/>
        <v>3.4013605442176869</v>
      </c>
      <c r="H3" s="150">
        <f t="shared" si="2"/>
        <v>3.3877551020408161</v>
      </c>
      <c r="I3" s="150">
        <f t="shared" si="2"/>
        <v>3.3741496598639453</v>
      </c>
      <c r="J3" s="150">
        <f t="shared" si="2"/>
        <v>3.3605442176870746</v>
      </c>
      <c r="K3" s="150">
        <f t="shared" si="2"/>
        <v>3.3469387755102038</v>
      </c>
      <c r="L3" s="150">
        <f>Cal!D23</f>
        <v>3.333333333333333</v>
      </c>
      <c r="M3" s="150">
        <f t="shared" ref="M3:AB17" si="3">$L3+(($AF3-$L3)/($AF$1-$L$1))*(M$1-$L$1)</f>
        <v>3.3285714285714283</v>
      </c>
      <c r="N3" s="150">
        <f t="shared" si="3"/>
        <v>3.3238095238095235</v>
      </c>
      <c r="O3" s="150">
        <f t="shared" si="3"/>
        <v>3.3190476190476188</v>
      </c>
      <c r="P3" s="150">
        <f t="shared" si="3"/>
        <v>3.3142857142857141</v>
      </c>
      <c r="Q3" s="150">
        <f t="shared" si="3"/>
        <v>3.3095238095238093</v>
      </c>
      <c r="R3" s="150">
        <f t="shared" si="3"/>
        <v>3.3047619047619046</v>
      </c>
      <c r="S3" s="150">
        <f t="shared" si="3"/>
        <v>3.3</v>
      </c>
      <c r="T3" s="150">
        <f t="shared" si="3"/>
        <v>3.2952380952380951</v>
      </c>
      <c r="U3" s="150">
        <f t="shared" si="3"/>
        <v>3.2904761904761903</v>
      </c>
      <c r="V3" s="150">
        <f t="shared" si="3"/>
        <v>3.2857142857142856</v>
      </c>
      <c r="W3" s="150">
        <f t="shared" si="3"/>
        <v>3.2809523809523804</v>
      </c>
      <c r="X3" s="150">
        <f t="shared" si="3"/>
        <v>3.2761904761904757</v>
      </c>
      <c r="Y3" s="150">
        <f t="shared" si="3"/>
        <v>3.2714285714285709</v>
      </c>
      <c r="Z3" s="150">
        <f t="shared" si="3"/>
        <v>3.2666666666666662</v>
      </c>
      <c r="AA3" s="150">
        <f t="shared" si="3"/>
        <v>3.2619047619047614</v>
      </c>
      <c r="AB3" s="150">
        <f t="shared" si="3"/>
        <v>3.2571428571428567</v>
      </c>
      <c r="AC3" s="150">
        <f t="shared" si="1"/>
        <v>3.2523809523809519</v>
      </c>
      <c r="AD3" s="150">
        <f t="shared" si="1"/>
        <v>3.2476190476190472</v>
      </c>
      <c r="AE3" s="150">
        <f t="shared" si="1"/>
        <v>3.2428571428571424</v>
      </c>
      <c r="AF3" s="150">
        <f>Cal!E23</f>
        <v>3.2380952380952377</v>
      </c>
    </row>
    <row r="4" spans="1:32" ht="14.25" customHeight="1">
      <c r="A4" s="5" t="s">
        <v>1102</v>
      </c>
      <c r="B4" s="150">
        <f>Cal!B24</f>
        <v>2.8571428571428568</v>
      </c>
      <c r="C4" s="150">
        <f>$B4+(($E4-$B4)/($E$1-$B$1))*(C$1-$B$1)</f>
        <v>2.6666666666666665</v>
      </c>
      <c r="D4" s="150">
        <f>$B4+(($E4-$B4)/($E$1-$B$1))*(D$1-$B$1)</f>
        <v>2.4761904761904758</v>
      </c>
      <c r="E4" s="150">
        <f>Cal!C24</f>
        <v>2.2857142857142856</v>
      </c>
      <c r="F4" s="150">
        <f t="shared" si="2"/>
        <v>2.2721088435374148</v>
      </c>
      <c r="G4" s="150">
        <f t="shared" si="2"/>
        <v>2.2585034013605441</v>
      </c>
      <c r="H4" s="150">
        <f t="shared" si="2"/>
        <v>2.2448979591836733</v>
      </c>
      <c r="I4" s="150">
        <f t="shared" si="2"/>
        <v>2.2312925170068025</v>
      </c>
      <c r="J4" s="150">
        <f t="shared" si="2"/>
        <v>2.2176870748299318</v>
      </c>
      <c r="K4" s="150">
        <f t="shared" si="2"/>
        <v>2.204081632653061</v>
      </c>
      <c r="L4" s="150">
        <f>Cal!D24</f>
        <v>2.1904761904761902</v>
      </c>
      <c r="M4" s="150">
        <f t="shared" si="3"/>
        <v>2.1857142857142855</v>
      </c>
      <c r="N4" s="150">
        <f t="shared" si="1"/>
        <v>2.1809523809523808</v>
      </c>
      <c r="O4" s="150">
        <f t="shared" si="1"/>
        <v>2.176190476190476</v>
      </c>
      <c r="P4" s="150">
        <f t="shared" si="1"/>
        <v>2.1714285714285713</v>
      </c>
      <c r="Q4" s="150">
        <f t="shared" si="1"/>
        <v>2.1666666666666665</v>
      </c>
      <c r="R4" s="150">
        <f t="shared" si="1"/>
        <v>2.1619047619047618</v>
      </c>
      <c r="S4" s="150">
        <f t="shared" si="1"/>
        <v>2.157142857142857</v>
      </c>
      <c r="T4" s="150">
        <f t="shared" si="1"/>
        <v>2.1523809523809523</v>
      </c>
      <c r="U4" s="150">
        <f t="shared" si="1"/>
        <v>2.1476190476190475</v>
      </c>
      <c r="V4" s="150">
        <f t="shared" si="1"/>
        <v>2.1428571428571428</v>
      </c>
      <c r="W4" s="150">
        <f t="shared" si="1"/>
        <v>2.138095238095238</v>
      </c>
      <c r="X4" s="150">
        <f t="shared" si="1"/>
        <v>2.1333333333333333</v>
      </c>
      <c r="Y4" s="150">
        <f t="shared" si="1"/>
        <v>2.1285714285714286</v>
      </c>
      <c r="Z4" s="150">
        <f t="shared" si="1"/>
        <v>2.1238095238095238</v>
      </c>
      <c r="AA4" s="150">
        <f t="shared" si="1"/>
        <v>2.1190476190476191</v>
      </c>
      <c r="AB4" s="150">
        <f t="shared" si="1"/>
        <v>2.1142857142857143</v>
      </c>
      <c r="AC4" s="150">
        <f t="shared" si="1"/>
        <v>2.1095238095238096</v>
      </c>
      <c r="AD4" s="150">
        <f t="shared" si="1"/>
        <v>2.1047619047619048</v>
      </c>
      <c r="AE4" s="150">
        <f t="shared" si="1"/>
        <v>2.1</v>
      </c>
      <c r="AF4" s="150">
        <f>Cal!E24</f>
        <v>2.0952380952380953</v>
      </c>
    </row>
    <row r="5" spans="1:32" ht="14.25" customHeight="1">
      <c r="A5" s="5" t="s">
        <v>1116</v>
      </c>
      <c r="B5" s="150">
        <f>Cal!B25</f>
        <v>0.61904761904761907</v>
      </c>
      <c r="C5" s="150">
        <f t="shared" ref="C5:D17" si="4">$B5+(($E5-$B5)/($E$1-$B$1))*(C$1-$B$1)</f>
        <v>0.64761904761904765</v>
      </c>
      <c r="D5" s="150">
        <f t="shared" si="4"/>
        <v>0.67619047619047612</v>
      </c>
      <c r="E5" s="150">
        <f>Cal!C25</f>
        <v>0.7047619047619047</v>
      </c>
      <c r="F5" s="150">
        <f t="shared" si="2"/>
        <v>0.70068027210884343</v>
      </c>
      <c r="G5" s="150">
        <f t="shared" si="2"/>
        <v>0.69659863945578226</v>
      </c>
      <c r="H5" s="150">
        <f t="shared" si="2"/>
        <v>0.69251700680272099</v>
      </c>
      <c r="I5" s="150">
        <f t="shared" si="2"/>
        <v>0.68843537414965983</v>
      </c>
      <c r="J5" s="150">
        <f t="shared" si="2"/>
        <v>0.68435374149659856</v>
      </c>
      <c r="K5" s="150">
        <f t="shared" si="2"/>
        <v>0.68027210884353739</v>
      </c>
      <c r="L5" s="150">
        <f>Cal!D25</f>
        <v>0.67619047619047612</v>
      </c>
      <c r="M5" s="150">
        <f t="shared" si="3"/>
        <v>0.67380952380952375</v>
      </c>
      <c r="N5" s="150">
        <f t="shared" si="1"/>
        <v>0.67142857142857137</v>
      </c>
      <c r="O5" s="150">
        <f t="shared" si="1"/>
        <v>0.669047619047619</v>
      </c>
      <c r="P5" s="150">
        <f t="shared" si="1"/>
        <v>0.66666666666666663</v>
      </c>
      <c r="Q5" s="150">
        <f t="shared" si="1"/>
        <v>0.66428571428571426</v>
      </c>
      <c r="R5" s="150">
        <f t="shared" si="1"/>
        <v>0.66190476190476188</v>
      </c>
      <c r="S5" s="150">
        <f t="shared" si="1"/>
        <v>0.65952380952380951</v>
      </c>
      <c r="T5" s="150">
        <f t="shared" si="1"/>
        <v>0.65714285714285714</v>
      </c>
      <c r="U5" s="150">
        <f t="shared" si="1"/>
        <v>0.65476190476190477</v>
      </c>
      <c r="V5" s="150">
        <f t="shared" si="1"/>
        <v>0.65238095238095228</v>
      </c>
      <c r="W5" s="150">
        <f t="shared" si="1"/>
        <v>0.64999999999999991</v>
      </c>
      <c r="X5" s="150">
        <f t="shared" si="1"/>
        <v>0.64761904761904754</v>
      </c>
      <c r="Y5" s="150">
        <f t="shared" si="1"/>
        <v>0.64523809523809517</v>
      </c>
      <c r="Z5" s="150">
        <f t="shared" si="1"/>
        <v>0.64285714285714279</v>
      </c>
      <c r="AA5" s="150">
        <f t="shared" si="1"/>
        <v>0.64047619047619042</v>
      </c>
      <c r="AB5" s="150">
        <f t="shared" si="1"/>
        <v>0.63809523809523805</v>
      </c>
      <c r="AC5" s="150">
        <f t="shared" si="1"/>
        <v>0.63571428571428568</v>
      </c>
      <c r="AD5" s="150">
        <f t="shared" si="1"/>
        <v>0.6333333333333333</v>
      </c>
      <c r="AE5" s="150">
        <f t="shared" si="1"/>
        <v>0.63095238095238093</v>
      </c>
      <c r="AF5" s="150">
        <f>Cal!E25</f>
        <v>0.62857142857142856</v>
      </c>
    </row>
    <row r="6" spans="1:32" ht="14.25" customHeight="1">
      <c r="A6" s="5" t="s">
        <v>1117</v>
      </c>
      <c r="B6" s="150">
        <f>Cal!B26</f>
        <v>0</v>
      </c>
      <c r="C6" s="150">
        <f t="shared" si="4"/>
        <v>0</v>
      </c>
      <c r="D6" s="150">
        <f t="shared" si="4"/>
        <v>0</v>
      </c>
      <c r="E6" s="150">
        <f>Cal!C26</f>
        <v>0</v>
      </c>
      <c r="F6" s="150">
        <f t="shared" si="2"/>
        <v>0</v>
      </c>
      <c r="G6" s="150">
        <f t="shared" si="2"/>
        <v>0</v>
      </c>
      <c r="H6" s="150">
        <f t="shared" si="2"/>
        <v>0</v>
      </c>
      <c r="I6" s="150">
        <f t="shared" si="2"/>
        <v>0</v>
      </c>
      <c r="J6" s="150">
        <f t="shared" si="2"/>
        <v>0</v>
      </c>
      <c r="K6" s="150">
        <f t="shared" si="2"/>
        <v>0</v>
      </c>
      <c r="L6" s="150">
        <f>Cal!D26</f>
        <v>0</v>
      </c>
      <c r="M6" s="150">
        <f t="shared" si="3"/>
        <v>0</v>
      </c>
      <c r="N6" s="150">
        <f t="shared" si="1"/>
        <v>0</v>
      </c>
      <c r="O6" s="150">
        <f t="shared" si="1"/>
        <v>0</v>
      </c>
      <c r="P6" s="150">
        <f t="shared" si="1"/>
        <v>0</v>
      </c>
      <c r="Q6" s="150">
        <f t="shared" si="1"/>
        <v>0</v>
      </c>
      <c r="R6" s="150">
        <f t="shared" si="1"/>
        <v>0</v>
      </c>
      <c r="S6" s="150">
        <f t="shared" si="1"/>
        <v>0</v>
      </c>
      <c r="T6" s="150">
        <f t="shared" si="1"/>
        <v>0</v>
      </c>
      <c r="U6" s="150">
        <f t="shared" si="1"/>
        <v>0</v>
      </c>
      <c r="V6" s="150">
        <f t="shared" si="1"/>
        <v>0</v>
      </c>
      <c r="W6" s="150">
        <f t="shared" si="1"/>
        <v>0</v>
      </c>
      <c r="X6" s="150">
        <f t="shared" si="1"/>
        <v>0</v>
      </c>
      <c r="Y6" s="150">
        <f t="shared" si="1"/>
        <v>0</v>
      </c>
      <c r="Z6" s="150">
        <f t="shared" si="1"/>
        <v>0</v>
      </c>
      <c r="AA6" s="150">
        <f t="shared" si="1"/>
        <v>0</v>
      </c>
      <c r="AB6" s="150">
        <f t="shared" si="1"/>
        <v>0</v>
      </c>
      <c r="AC6" s="150">
        <f t="shared" si="1"/>
        <v>0</v>
      </c>
      <c r="AD6" s="150">
        <f t="shared" si="1"/>
        <v>0</v>
      </c>
      <c r="AE6" s="150">
        <f t="shared" si="1"/>
        <v>0</v>
      </c>
      <c r="AF6" s="150">
        <f>Cal!E26</f>
        <v>0</v>
      </c>
    </row>
    <row r="7" spans="1:32" ht="14.25" customHeight="1">
      <c r="A7" s="5" t="s">
        <v>1118</v>
      </c>
      <c r="B7" s="150">
        <f>Cal!B27</f>
        <v>0</v>
      </c>
      <c r="C7" s="150">
        <f t="shared" si="4"/>
        <v>0</v>
      </c>
      <c r="D7" s="150">
        <f t="shared" si="4"/>
        <v>0</v>
      </c>
      <c r="E7" s="150">
        <f>Cal!C27</f>
        <v>0</v>
      </c>
      <c r="F7" s="150">
        <f t="shared" si="2"/>
        <v>0</v>
      </c>
      <c r="G7" s="150">
        <f t="shared" si="2"/>
        <v>0</v>
      </c>
      <c r="H7" s="150">
        <f t="shared" si="2"/>
        <v>0</v>
      </c>
      <c r="I7" s="150">
        <f t="shared" si="2"/>
        <v>0</v>
      </c>
      <c r="J7" s="150">
        <f t="shared" si="2"/>
        <v>0</v>
      </c>
      <c r="K7" s="150">
        <f t="shared" si="2"/>
        <v>0</v>
      </c>
      <c r="L7" s="150">
        <f>Cal!D27</f>
        <v>0</v>
      </c>
      <c r="M7" s="150">
        <f t="shared" si="3"/>
        <v>0</v>
      </c>
      <c r="N7" s="150">
        <f t="shared" si="1"/>
        <v>0</v>
      </c>
      <c r="O7" s="150">
        <f t="shared" si="1"/>
        <v>0</v>
      </c>
      <c r="P7" s="150">
        <f t="shared" si="1"/>
        <v>0</v>
      </c>
      <c r="Q7" s="150">
        <f t="shared" si="1"/>
        <v>0</v>
      </c>
      <c r="R7" s="150">
        <f t="shared" si="1"/>
        <v>0</v>
      </c>
      <c r="S7" s="150">
        <f t="shared" si="1"/>
        <v>0</v>
      </c>
      <c r="T7" s="150">
        <f t="shared" si="1"/>
        <v>0</v>
      </c>
      <c r="U7" s="150">
        <f t="shared" si="1"/>
        <v>0</v>
      </c>
      <c r="V7" s="150">
        <f t="shared" si="1"/>
        <v>0</v>
      </c>
      <c r="W7" s="150">
        <f t="shared" si="1"/>
        <v>0</v>
      </c>
      <c r="X7" s="150">
        <f t="shared" si="1"/>
        <v>0</v>
      </c>
      <c r="Y7" s="150">
        <f t="shared" si="1"/>
        <v>0</v>
      </c>
      <c r="Z7" s="150">
        <f t="shared" si="1"/>
        <v>0</v>
      </c>
      <c r="AA7" s="150">
        <f t="shared" si="1"/>
        <v>0</v>
      </c>
      <c r="AB7" s="150">
        <f t="shared" si="1"/>
        <v>0</v>
      </c>
      <c r="AC7" s="150">
        <f t="shared" si="1"/>
        <v>0</v>
      </c>
      <c r="AD7" s="150">
        <f t="shared" si="1"/>
        <v>0</v>
      </c>
      <c r="AE7" s="150">
        <f t="shared" si="1"/>
        <v>0</v>
      </c>
      <c r="AF7" s="150">
        <f>Cal!E27</f>
        <v>0</v>
      </c>
    </row>
    <row r="8" spans="1:32" ht="14.25" customHeight="1">
      <c r="A8" s="5" t="s">
        <v>1129</v>
      </c>
      <c r="B8" s="150">
        <f>Cal!B28</f>
        <v>0</v>
      </c>
      <c r="C8" s="150">
        <f t="shared" si="4"/>
        <v>0</v>
      </c>
      <c r="D8" s="150">
        <f t="shared" si="4"/>
        <v>0</v>
      </c>
      <c r="E8" s="150">
        <f>Cal!C28</f>
        <v>0</v>
      </c>
      <c r="F8" s="150">
        <f t="shared" si="2"/>
        <v>0</v>
      </c>
      <c r="G8" s="150">
        <f t="shared" si="2"/>
        <v>0</v>
      </c>
      <c r="H8" s="150">
        <f t="shared" si="2"/>
        <v>0</v>
      </c>
      <c r="I8" s="150">
        <f t="shared" si="2"/>
        <v>0</v>
      </c>
      <c r="J8" s="150">
        <f t="shared" si="2"/>
        <v>0</v>
      </c>
      <c r="K8" s="150">
        <f t="shared" si="2"/>
        <v>0</v>
      </c>
      <c r="L8" s="150">
        <f>Cal!D28</f>
        <v>0</v>
      </c>
      <c r="M8" s="150">
        <f t="shared" si="3"/>
        <v>0</v>
      </c>
      <c r="N8" s="150">
        <f t="shared" si="1"/>
        <v>0</v>
      </c>
      <c r="O8" s="150">
        <f t="shared" si="1"/>
        <v>0</v>
      </c>
      <c r="P8" s="150">
        <f t="shared" si="1"/>
        <v>0</v>
      </c>
      <c r="Q8" s="150">
        <f t="shared" si="1"/>
        <v>0</v>
      </c>
      <c r="R8" s="150">
        <f t="shared" si="1"/>
        <v>0</v>
      </c>
      <c r="S8" s="150">
        <f t="shared" si="1"/>
        <v>0</v>
      </c>
      <c r="T8" s="150">
        <f t="shared" si="1"/>
        <v>0</v>
      </c>
      <c r="U8" s="150">
        <f t="shared" si="1"/>
        <v>0</v>
      </c>
      <c r="V8" s="150">
        <f t="shared" si="1"/>
        <v>0</v>
      </c>
      <c r="W8" s="150">
        <f t="shared" si="1"/>
        <v>0</v>
      </c>
      <c r="X8" s="150">
        <f t="shared" si="1"/>
        <v>0</v>
      </c>
      <c r="Y8" s="150">
        <f t="shared" si="1"/>
        <v>0</v>
      </c>
      <c r="Z8" s="150">
        <f t="shared" si="1"/>
        <v>0</v>
      </c>
      <c r="AA8" s="150">
        <f t="shared" si="1"/>
        <v>0</v>
      </c>
      <c r="AB8" s="150">
        <f t="shared" si="1"/>
        <v>0</v>
      </c>
      <c r="AC8" s="150">
        <f t="shared" si="1"/>
        <v>0</v>
      </c>
      <c r="AD8" s="150">
        <f t="shared" si="1"/>
        <v>0</v>
      </c>
      <c r="AE8" s="150">
        <f t="shared" si="1"/>
        <v>0</v>
      </c>
      <c r="AF8" s="150">
        <f>Cal!E28</f>
        <v>0</v>
      </c>
    </row>
    <row r="9" spans="1:32" ht="14.25" customHeight="1">
      <c r="A9" s="5" t="s">
        <v>1119</v>
      </c>
      <c r="B9" s="150">
        <f>Cal!B29</f>
        <v>2.8571428571428568</v>
      </c>
      <c r="C9" s="150">
        <f t="shared" si="4"/>
        <v>2.9841269841269837</v>
      </c>
      <c r="D9" s="150">
        <f t="shared" si="4"/>
        <v>3.1111111111111107</v>
      </c>
      <c r="E9" s="150">
        <f>Cal!C29</f>
        <v>3.2380952380952377</v>
      </c>
      <c r="F9" s="150">
        <f t="shared" si="2"/>
        <v>3.2013605442176867</v>
      </c>
      <c r="G9" s="150">
        <f t="shared" si="2"/>
        <v>3.1646258503401357</v>
      </c>
      <c r="H9" s="150">
        <f t="shared" si="2"/>
        <v>3.1278911564625846</v>
      </c>
      <c r="I9" s="150">
        <f t="shared" si="2"/>
        <v>3.0911564625850336</v>
      </c>
      <c r="J9" s="150">
        <f t="shared" si="2"/>
        <v>3.0544217687074826</v>
      </c>
      <c r="K9" s="150">
        <f t="shared" si="2"/>
        <v>3.0176870748299316</v>
      </c>
      <c r="L9" s="150">
        <f>Cal!D29</f>
        <v>2.9809523809523806</v>
      </c>
      <c r="M9" s="150">
        <f t="shared" si="3"/>
        <v>2.9614285714285709</v>
      </c>
      <c r="N9" s="150">
        <f t="shared" si="1"/>
        <v>2.9419047619047616</v>
      </c>
      <c r="O9" s="150">
        <f t="shared" si="1"/>
        <v>2.9223809523809523</v>
      </c>
      <c r="P9" s="150">
        <f t="shared" si="1"/>
        <v>2.9028571428571426</v>
      </c>
      <c r="Q9" s="150">
        <f t="shared" si="1"/>
        <v>2.8833333333333329</v>
      </c>
      <c r="R9" s="150">
        <f t="shared" si="1"/>
        <v>2.8638095238095236</v>
      </c>
      <c r="S9" s="150">
        <f t="shared" si="1"/>
        <v>2.8442857142857143</v>
      </c>
      <c r="T9" s="150">
        <f t="shared" si="1"/>
        <v>2.8247619047619046</v>
      </c>
      <c r="U9" s="150">
        <f t="shared" si="1"/>
        <v>2.8052380952380949</v>
      </c>
      <c r="V9" s="150">
        <f t="shared" si="1"/>
        <v>2.7857142857142856</v>
      </c>
      <c r="W9" s="150">
        <f t="shared" si="1"/>
        <v>2.7661904761904763</v>
      </c>
      <c r="X9" s="150">
        <f t="shared" si="1"/>
        <v>2.7466666666666666</v>
      </c>
      <c r="Y9" s="150">
        <f t="shared" si="1"/>
        <v>2.7271428571428569</v>
      </c>
      <c r="Z9" s="150">
        <f t="shared" si="1"/>
        <v>2.7076190476190476</v>
      </c>
      <c r="AA9" s="150">
        <f t="shared" si="1"/>
        <v>2.6880952380952383</v>
      </c>
      <c r="AB9" s="150">
        <f t="shared" si="1"/>
        <v>2.6685714285714286</v>
      </c>
      <c r="AC9" s="150">
        <f t="shared" si="1"/>
        <v>2.6490476190476189</v>
      </c>
      <c r="AD9" s="150">
        <f t="shared" si="1"/>
        <v>2.6295238095238096</v>
      </c>
      <c r="AE9" s="150">
        <f t="shared" si="1"/>
        <v>2.6100000000000003</v>
      </c>
      <c r="AF9" s="150">
        <f>Cal!E29</f>
        <v>2.5904761904761906</v>
      </c>
    </row>
    <row r="10" spans="1:32" ht="14.25" customHeight="1">
      <c r="A10" s="5" t="s">
        <v>1120</v>
      </c>
      <c r="B10" s="150">
        <f>Cal!B30</f>
        <v>0.23809523809523808</v>
      </c>
      <c r="C10" s="150">
        <f t="shared" si="4"/>
        <v>0.24444444444444444</v>
      </c>
      <c r="D10" s="150">
        <f t="shared" si="4"/>
        <v>0.25079365079365079</v>
      </c>
      <c r="E10" s="150">
        <f>Cal!C30</f>
        <v>0.25714285714285717</v>
      </c>
      <c r="F10" s="150">
        <f t="shared" si="2"/>
        <v>0.25714285714285717</v>
      </c>
      <c r="G10" s="150">
        <f t="shared" si="2"/>
        <v>0.25714285714285717</v>
      </c>
      <c r="H10" s="150">
        <f t="shared" si="2"/>
        <v>0.25714285714285717</v>
      </c>
      <c r="I10" s="150">
        <f t="shared" si="2"/>
        <v>0.25714285714285717</v>
      </c>
      <c r="J10" s="150">
        <f t="shared" si="2"/>
        <v>0.25714285714285717</v>
      </c>
      <c r="K10" s="150">
        <f t="shared" si="2"/>
        <v>0.25714285714285717</v>
      </c>
      <c r="L10" s="150">
        <f>Cal!D30</f>
        <v>0.25714285714285717</v>
      </c>
      <c r="M10" s="150">
        <f t="shared" si="3"/>
        <v>0.25571428571428573</v>
      </c>
      <c r="N10" s="150">
        <f t="shared" si="1"/>
        <v>0.25428571428571434</v>
      </c>
      <c r="O10" s="150">
        <f t="shared" si="1"/>
        <v>0.25285714285714289</v>
      </c>
      <c r="P10" s="150">
        <f t="shared" si="1"/>
        <v>0.25142857142857145</v>
      </c>
      <c r="Q10" s="150">
        <f t="shared" si="1"/>
        <v>0.25</v>
      </c>
      <c r="R10" s="150">
        <f t="shared" si="1"/>
        <v>0.24857142857142858</v>
      </c>
      <c r="S10" s="150">
        <f t="shared" si="1"/>
        <v>0.24714285714285716</v>
      </c>
      <c r="T10" s="150">
        <f t="shared" si="1"/>
        <v>0.24571428571428572</v>
      </c>
      <c r="U10" s="150">
        <f t="shared" si="1"/>
        <v>0.24428571428571427</v>
      </c>
      <c r="V10" s="150">
        <f t="shared" si="1"/>
        <v>0.24285714285714285</v>
      </c>
      <c r="W10" s="150">
        <f t="shared" si="1"/>
        <v>0.24142857142857144</v>
      </c>
      <c r="X10" s="150">
        <f t="shared" si="1"/>
        <v>0.24</v>
      </c>
      <c r="Y10" s="150">
        <f t="shared" si="1"/>
        <v>0.23857142857142855</v>
      </c>
      <c r="Z10" s="150">
        <f t="shared" si="1"/>
        <v>0.23714285714285713</v>
      </c>
      <c r="AA10" s="150">
        <f t="shared" si="1"/>
        <v>0.23571428571428571</v>
      </c>
      <c r="AB10" s="150">
        <f t="shared" si="1"/>
        <v>0.23428571428571426</v>
      </c>
      <c r="AC10" s="150">
        <f t="shared" si="1"/>
        <v>0.23285714285714282</v>
      </c>
      <c r="AD10" s="150">
        <f t="shared" si="1"/>
        <v>0.2314285714285714</v>
      </c>
      <c r="AE10" s="150">
        <f t="shared" si="1"/>
        <v>0.22999999999999998</v>
      </c>
      <c r="AF10" s="150">
        <f>Cal!E30</f>
        <v>0.22857142857142854</v>
      </c>
    </row>
    <row r="11" spans="1:32" ht="14.25" customHeight="1">
      <c r="A11" s="5" t="s">
        <v>1121</v>
      </c>
      <c r="B11" s="150">
        <f>Cal!B31</f>
        <v>6.0952380952380949</v>
      </c>
      <c r="C11" s="150">
        <f t="shared" si="4"/>
        <v>6.3809523809523805</v>
      </c>
      <c r="D11" s="150">
        <f t="shared" si="4"/>
        <v>6.6666666666666661</v>
      </c>
      <c r="E11" s="150">
        <f>Cal!C31</f>
        <v>6.9523809523809517</v>
      </c>
      <c r="F11" s="150">
        <f t="shared" si="2"/>
        <v>6.8897959183673461</v>
      </c>
      <c r="G11" s="150">
        <f t="shared" si="2"/>
        <v>6.8272108843537405</v>
      </c>
      <c r="H11" s="150">
        <f t="shared" si="2"/>
        <v>6.7646258503401349</v>
      </c>
      <c r="I11" s="150">
        <f t="shared" si="2"/>
        <v>6.7020408163265301</v>
      </c>
      <c r="J11" s="150">
        <f t="shared" si="2"/>
        <v>6.6394557823129245</v>
      </c>
      <c r="K11" s="150">
        <f t="shared" si="2"/>
        <v>6.5768707482993189</v>
      </c>
      <c r="L11" s="150">
        <f>Cal!D31</f>
        <v>6.5142857142857133</v>
      </c>
      <c r="M11" s="150">
        <f t="shared" si="3"/>
        <v>6.5033333333333321</v>
      </c>
      <c r="N11" s="150">
        <f t="shared" si="1"/>
        <v>6.4923809523809517</v>
      </c>
      <c r="O11" s="150">
        <f t="shared" si="1"/>
        <v>6.4814285714285704</v>
      </c>
      <c r="P11" s="150">
        <f t="shared" si="1"/>
        <v>6.47047619047619</v>
      </c>
      <c r="Q11" s="150">
        <f t="shared" si="1"/>
        <v>6.4595238095238088</v>
      </c>
      <c r="R11" s="150">
        <f t="shared" si="1"/>
        <v>6.4485714285714275</v>
      </c>
      <c r="S11" s="150">
        <f t="shared" si="1"/>
        <v>6.4376190476190471</v>
      </c>
      <c r="T11" s="150">
        <f t="shared" si="1"/>
        <v>6.4266666666666659</v>
      </c>
      <c r="U11" s="150">
        <f t="shared" si="1"/>
        <v>6.4157142857142855</v>
      </c>
      <c r="V11" s="150">
        <f t="shared" si="1"/>
        <v>6.4047619047619042</v>
      </c>
      <c r="W11" s="150">
        <f t="shared" si="1"/>
        <v>6.3938095238095229</v>
      </c>
      <c r="X11" s="150">
        <f t="shared" si="1"/>
        <v>6.3828571428571426</v>
      </c>
      <c r="Y11" s="150">
        <f t="shared" si="1"/>
        <v>6.3719047619047613</v>
      </c>
      <c r="Z11" s="150">
        <f t="shared" si="1"/>
        <v>6.3609523809523809</v>
      </c>
      <c r="AA11" s="150">
        <f t="shared" si="1"/>
        <v>6.35</v>
      </c>
      <c r="AB11" s="150">
        <f t="shared" si="1"/>
        <v>6.3390476190476184</v>
      </c>
      <c r="AC11" s="150">
        <f t="shared" si="1"/>
        <v>6.328095238095238</v>
      </c>
      <c r="AD11" s="150">
        <f t="shared" si="1"/>
        <v>6.3171428571428567</v>
      </c>
      <c r="AE11" s="150">
        <f t="shared" si="1"/>
        <v>6.3061904761904763</v>
      </c>
      <c r="AF11" s="150">
        <f>Cal!E31</f>
        <v>6.2952380952380951</v>
      </c>
    </row>
    <row r="12" spans="1:32" ht="14.25" customHeight="1">
      <c r="A12" s="5" t="s">
        <v>1122</v>
      </c>
      <c r="B12" s="150">
        <f>Cal!B32</f>
        <v>0.12380952380952381</v>
      </c>
      <c r="C12" s="150">
        <f t="shared" si="4"/>
        <v>0.90793650793650793</v>
      </c>
      <c r="D12" s="150">
        <f t="shared" si="4"/>
        <v>1.692063492063492</v>
      </c>
      <c r="E12" s="150">
        <f>Cal!C32</f>
        <v>2.4761904761904763</v>
      </c>
      <c r="F12" s="150">
        <f t="shared" si="2"/>
        <v>2.4625850340136055</v>
      </c>
      <c r="G12" s="150">
        <f t="shared" si="2"/>
        <v>2.4489795918367347</v>
      </c>
      <c r="H12" s="150">
        <f t="shared" si="2"/>
        <v>2.435374149659864</v>
      </c>
      <c r="I12" s="150">
        <f t="shared" si="2"/>
        <v>2.4217687074829932</v>
      </c>
      <c r="J12" s="150">
        <f t="shared" si="2"/>
        <v>2.4081632653061225</v>
      </c>
      <c r="K12" s="150">
        <f t="shared" si="2"/>
        <v>2.3945578231292517</v>
      </c>
      <c r="L12" s="150">
        <f>Cal!D32</f>
        <v>2.3809523809523809</v>
      </c>
      <c r="M12" s="150">
        <f t="shared" si="3"/>
        <v>2.3761904761904762</v>
      </c>
      <c r="N12" s="150">
        <f t="shared" si="1"/>
        <v>2.3714285714285714</v>
      </c>
      <c r="O12" s="150">
        <f t="shared" si="1"/>
        <v>2.3666666666666667</v>
      </c>
      <c r="P12" s="150">
        <f t="shared" si="1"/>
        <v>2.361904761904762</v>
      </c>
      <c r="Q12" s="150">
        <f t="shared" si="1"/>
        <v>2.3571428571428572</v>
      </c>
      <c r="R12" s="150">
        <f t="shared" si="1"/>
        <v>2.3523809523809525</v>
      </c>
      <c r="S12" s="150">
        <f t="shared" si="1"/>
        <v>2.3476190476190477</v>
      </c>
      <c r="T12" s="150">
        <f t="shared" si="1"/>
        <v>2.342857142857143</v>
      </c>
      <c r="U12" s="150">
        <f t="shared" si="1"/>
        <v>2.3380952380952382</v>
      </c>
      <c r="V12" s="150">
        <f t="shared" si="1"/>
        <v>2.333333333333333</v>
      </c>
      <c r="W12" s="150">
        <f t="shared" si="1"/>
        <v>2.3285714285714283</v>
      </c>
      <c r="X12" s="150">
        <f t="shared" si="1"/>
        <v>2.3238095238095235</v>
      </c>
      <c r="Y12" s="150">
        <f t="shared" si="1"/>
        <v>2.3190476190476188</v>
      </c>
      <c r="Z12" s="150">
        <f t="shared" si="1"/>
        <v>2.3142857142857141</v>
      </c>
      <c r="AA12" s="150">
        <f t="shared" si="1"/>
        <v>2.3095238095238093</v>
      </c>
      <c r="AB12" s="150">
        <f t="shared" si="1"/>
        <v>2.3047619047619046</v>
      </c>
      <c r="AC12" s="150">
        <f t="shared" si="1"/>
        <v>2.2999999999999998</v>
      </c>
      <c r="AD12" s="150">
        <f t="shared" si="1"/>
        <v>2.2952380952380951</v>
      </c>
      <c r="AE12" s="150">
        <f t="shared" si="1"/>
        <v>2.2904761904761903</v>
      </c>
      <c r="AF12" s="150">
        <f>Cal!E32</f>
        <v>2.2857142857142856</v>
      </c>
    </row>
    <row r="13" spans="1:32" ht="14.25" customHeight="1">
      <c r="A13" s="5" t="s">
        <v>1123</v>
      </c>
      <c r="B13" s="150">
        <f>Cal!B33</f>
        <v>0.10476190476190475</v>
      </c>
      <c r="C13" s="150">
        <f t="shared" si="4"/>
        <v>0.46666666666666667</v>
      </c>
      <c r="D13" s="150">
        <f t="shared" si="4"/>
        <v>0.82857142857142851</v>
      </c>
      <c r="E13" s="150">
        <f>Cal!C33</f>
        <v>1.1904761904761905</v>
      </c>
      <c r="F13" s="150">
        <f t="shared" si="2"/>
        <v>1.1836734693877551</v>
      </c>
      <c r="G13" s="150">
        <f t="shared" si="2"/>
        <v>1.1768707482993197</v>
      </c>
      <c r="H13" s="150">
        <f t="shared" si="2"/>
        <v>1.1700680272108843</v>
      </c>
      <c r="I13" s="150">
        <f t="shared" si="2"/>
        <v>1.1632653061224489</v>
      </c>
      <c r="J13" s="150">
        <f t="shared" si="2"/>
        <v>1.1564625850340136</v>
      </c>
      <c r="K13" s="150">
        <f t="shared" si="2"/>
        <v>1.1496598639455782</v>
      </c>
      <c r="L13" s="150">
        <f>Cal!D33</f>
        <v>1.1428571428571428</v>
      </c>
      <c r="M13" s="150">
        <f t="shared" si="3"/>
        <v>1.1404761904761904</v>
      </c>
      <c r="N13" s="150">
        <f t="shared" si="1"/>
        <v>1.138095238095238</v>
      </c>
      <c r="O13" s="150">
        <f t="shared" si="1"/>
        <v>1.1357142857142857</v>
      </c>
      <c r="P13" s="150">
        <f t="shared" si="1"/>
        <v>1.1333333333333333</v>
      </c>
      <c r="Q13" s="150">
        <f t="shared" si="1"/>
        <v>1.1309523809523809</v>
      </c>
      <c r="R13" s="150">
        <f t="shared" si="1"/>
        <v>1.1285714285714286</v>
      </c>
      <c r="S13" s="150">
        <f t="shared" si="1"/>
        <v>1.1261904761904762</v>
      </c>
      <c r="T13" s="150">
        <f t="shared" si="1"/>
        <v>1.1238095238095238</v>
      </c>
      <c r="U13" s="150">
        <f t="shared" si="1"/>
        <v>1.1214285714285714</v>
      </c>
      <c r="V13" s="150">
        <f t="shared" si="1"/>
        <v>1.1190476190476191</v>
      </c>
      <c r="W13" s="150">
        <f t="shared" si="1"/>
        <v>1.1166666666666665</v>
      </c>
      <c r="X13" s="150">
        <f t="shared" si="1"/>
        <v>1.1142857142857141</v>
      </c>
      <c r="Y13" s="150">
        <f t="shared" si="1"/>
        <v>1.1119047619047617</v>
      </c>
      <c r="Z13" s="150">
        <f t="shared" si="1"/>
        <v>1.1095238095238094</v>
      </c>
      <c r="AA13" s="150">
        <f t="shared" si="1"/>
        <v>1.107142857142857</v>
      </c>
      <c r="AB13" s="150">
        <f t="shared" si="1"/>
        <v>1.1047619047619046</v>
      </c>
      <c r="AC13" s="150">
        <f t="shared" si="1"/>
        <v>1.1023809523809522</v>
      </c>
      <c r="AD13" s="150">
        <f t="shared" si="1"/>
        <v>1.0999999999999999</v>
      </c>
      <c r="AE13" s="150">
        <f t="shared" si="1"/>
        <v>1.0976190476190475</v>
      </c>
      <c r="AF13" s="150">
        <f>Cal!E33</f>
        <v>1.0952380952380951</v>
      </c>
    </row>
    <row r="14" spans="1:32" ht="14.25" customHeight="1">
      <c r="A14" s="5" t="s">
        <v>1124</v>
      </c>
      <c r="B14" s="150">
        <f>Cal!B34</f>
        <v>0</v>
      </c>
      <c r="C14" s="150">
        <f t="shared" si="4"/>
        <v>0</v>
      </c>
      <c r="D14" s="150">
        <f t="shared" si="4"/>
        <v>0</v>
      </c>
      <c r="E14" s="150">
        <f>Cal!C34</f>
        <v>0</v>
      </c>
      <c r="F14" s="150">
        <f t="shared" si="2"/>
        <v>0</v>
      </c>
      <c r="G14" s="150">
        <f t="shared" si="2"/>
        <v>0</v>
      </c>
      <c r="H14" s="150">
        <f t="shared" si="2"/>
        <v>0</v>
      </c>
      <c r="I14" s="150">
        <f t="shared" si="2"/>
        <v>0</v>
      </c>
      <c r="J14" s="150">
        <f t="shared" si="2"/>
        <v>0</v>
      </c>
      <c r="K14" s="150">
        <f t="shared" si="2"/>
        <v>0</v>
      </c>
      <c r="L14" s="150">
        <f>Cal!D34</f>
        <v>0</v>
      </c>
      <c r="M14" s="150">
        <f t="shared" si="3"/>
        <v>0</v>
      </c>
      <c r="N14" s="150">
        <f t="shared" si="1"/>
        <v>0</v>
      </c>
      <c r="O14" s="150">
        <f t="shared" si="1"/>
        <v>0</v>
      </c>
      <c r="P14" s="150">
        <f t="shared" si="1"/>
        <v>0</v>
      </c>
      <c r="Q14" s="150">
        <f t="shared" si="1"/>
        <v>0</v>
      </c>
      <c r="R14" s="150">
        <f t="shared" si="1"/>
        <v>0</v>
      </c>
      <c r="S14" s="150">
        <f t="shared" si="1"/>
        <v>0</v>
      </c>
      <c r="T14" s="150">
        <f t="shared" si="1"/>
        <v>0</v>
      </c>
      <c r="U14" s="150">
        <f t="shared" si="1"/>
        <v>0</v>
      </c>
      <c r="V14" s="150">
        <f t="shared" si="1"/>
        <v>0</v>
      </c>
      <c r="W14" s="150">
        <f t="shared" si="1"/>
        <v>0</v>
      </c>
      <c r="X14" s="150">
        <f t="shared" si="1"/>
        <v>0</v>
      </c>
      <c r="Y14" s="150">
        <f t="shared" si="1"/>
        <v>0</v>
      </c>
      <c r="Z14" s="150">
        <f t="shared" si="1"/>
        <v>0</v>
      </c>
      <c r="AA14" s="150">
        <f t="shared" si="1"/>
        <v>0</v>
      </c>
      <c r="AB14" s="150">
        <f t="shared" si="1"/>
        <v>0</v>
      </c>
      <c r="AC14" s="150">
        <f t="shared" si="1"/>
        <v>0</v>
      </c>
      <c r="AD14" s="150">
        <f t="shared" si="1"/>
        <v>0</v>
      </c>
      <c r="AE14" s="150">
        <f t="shared" si="1"/>
        <v>0</v>
      </c>
      <c r="AF14" s="150">
        <f>Cal!E34</f>
        <v>0</v>
      </c>
    </row>
    <row r="15" spans="1:32" ht="14.25" customHeight="1">
      <c r="A15" s="5" t="s">
        <v>1125</v>
      </c>
      <c r="B15" s="150">
        <f>Cal!B35</f>
        <v>6.0952380952380949</v>
      </c>
      <c r="C15" s="150">
        <f t="shared" si="4"/>
        <v>6.3809523809523805</v>
      </c>
      <c r="D15" s="150">
        <f t="shared" si="4"/>
        <v>6.6666666666666661</v>
      </c>
      <c r="E15" s="150">
        <f>Cal!C35</f>
        <v>6.9523809523809517</v>
      </c>
      <c r="F15" s="150">
        <f t="shared" si="2"/>
        <v>6.8897959183673461</v>
      </c>
      <c r="G15" s="150">
        <f t="shared" si="2"/>
        <v>6.8272108843537405</v>
      </c>
      <c r="H15" s="150">
        <f t="shared" si="2"/>
        <v>6.7646258503401349</v>
      </c>
      <c r="I15" s="150">
        <f t="shared" si="2"/>
        <v>6.7020408163265301</v>
      </c>
      <c r="J15" s="150">
        <f t="shared" si="2"/>
        <v>6.6394557823129245</v>
      </c>
      <c r="K15" s="150">
        <f t="shared" si="2"/>
        <v>6.5768707482993189</v>
      </c>
      <c r="L15" s="150">
        <f>Cal!D35</f>
        <v>6.5142857142857133</v>
      </c>
      <c r="M15" s="150">
        <f t="shared" si="3"/>
        <v>6.5033333333333321</v>
      </c>
      <c r="N15" s="150">
        <f t="shared" si="1"/>
        <v>6.4923809523809517</v>
      </c>
      <c r="O15" s="150">
        <f t="shared" si="1"/>
        <v>6.4814285714285704</v>
      </c>
      <c r="P15" s="150">
        <f t="shared" si="1"/>
        <v>6.47047619047619</v>
      </c>
      <c r="Q15" s="150">
        <f t="shared" si="1"/>
        <v>6.4595238095238088</v>
      </c>
      <c r="R15" s="150">
        <f t="shared" si="1"/>
        <v>6.4485714285714275</v>
      </c>
      <c r="S15" s="150">
        <f t="shared" si="1"/>
        <v>6.4376190476190471</v>
      </c>
      <c r="T15" s="150">
        <f t="shared" si="1"/>
        <v>6.4266666666666659</v>
      </c>
      <c r="U15" s="150">
        <f t="shared" si="1"/>
        <v>6.4157142857142855</v>
      </c>
      <c r="V15" s="150">
        <f t="shared" si="1"/>
        <v>6.4047619047619042</v>
      </c>
      <c r="W15" s="150">
        <f t="shared" si="1"/>
        <v>6.3938095238095229</v>
      </c>
      <c r="X15" s="150">
        <f t="shared" si="1"/>
        <v>6.3828571428571426</v>
      </c>
      <c r="Y15" s="150">
        <f t="shared" si="1"/>
        <v>6.3719047619047613</v>
      </c>
      <c r="Z15" s="150">
        <f t="shared" si="1"/>
        <v>6.3609523809523809</v>
      </c>
      <c r="AA15" s="150">
        <f t="shared" si="1"/>
        <v>6.35</v>
      </c>
      <c r="AB15" s="150">
        <f t="shared" si="1"/>
        <v>6.3390476190476184</v>
      </c>
      <c r="AC15" s="150">
        <f t="shared" si="1"/>
        <v>6.328095238095238</v>
      </c>
      <c r="AD15" s="150">
        <f t="shared" si="1"/>
        <v>6.3171428571428567</v>
      </c>
      <c r="AE15" s="150">
        <f t="shared" si="1"/>
        <v>6.3061904761904763</v>
      </c>
      <c r="AF15" s="150">
        <f>Cal!E35</f>
        <v>6.2952380952380951</v>
      </c>
    </row>
    <row r="16" spans="1:32" ht="14.25" customHeight="1">
      <c r="A16" s="5" t="s">
        <v>1126</v>
      </c>
      <c r="B16" s="150">
        <f>Cal!B36</f>
        <v>6.0952380952380949</v>
      </c>
      <c r="C16" s="150">
        <f t="shared" si="4"/>
        <v>6.3809523809523805</v>
      </c>
      <c r="D16" s="150">
        <f t="shared" si="4"/>
        <v>6.6666666666666661</v>
      </c>
      <c r="E16" s="150">
        <f>Cal!C36</f>
        <v>6.9523809523809517</v>
      </c>
      <c r="F16" s="150">
        <f t="shared" si="2"/>
        <v>6.8897959183673461</v>
      </c>
      <c r="G16" s="150">
        <f t="shared" si="2"/>
        <v>6.8272108843537405</v>
      </c>
      <c r="H16" s="150">
        <f t="shared" si="2"/>
        <v>6.7646258503401349</v>
      </c>
      <c r="I16" s="150">
        <f t="shared" si="2"/>
        <v>6.7020408163265301</v>
      </c>
      <c r="J16" s="150">
        <f t="shared" si="2"/>
        <v>6.6394557823129245</v>
      </c>
      <c r="K16" s="150">
        <f t="shared" si="2"/>
        <v>6.5768707482993189</v>
      </c>
      <c r="L16" s="150">
        <f>Cal!D36</f>
        <v>6.5142857142857133</v>
      </c>
      <c r="M16" s="150">
        <f t="shared" si="3"/>
        <v>6.5033333333333321</v>
      </c>
      <c r="N16" s="150">
        <f t="shared" si="1"/>
        <v>6.4923809523809517</v>
      </c>
      <c r="O16" s="150">
        <f t="shared" si="1"/>
        <v>6.4814285714285704</v>
      </c>
      <c r="P16" s="150">
        <f t="shared" si="1"/>
        <v>6.47047619047619</v>
      </c>
      <c r="Q16" s="150">
        <f t="shared" si="1"/>
        <v>6.4595238095238088</v>
      </c>
      <c r="R16" s="150">
        <f t="shared" si="1"/>
        <v>6.4485714285714275</v>
      </c>
      <c r="S16" s="150">
        <f t="shared" si="1"/>
        <v>6.4376190476190471</v>
      </c>
      <c r="T16" s="150">
        <f t="shared" si="1"/>
        <v>6.4266666666666659</v>
      </c>
      <c r="U16" s="150">
        <f t="shared" si="1"/>
        <v>6.4157142857142855</v>
      </c>
      <c r="V16" s="150">
        <f t="shared" si="1"/>
        <v>6.4047619047619042</v>
      </c>
      <c r="W16" s="150">
        <f t="shared" si="1"/>
        <v>6.3938095238095229</v>
      </c>
      <c r="X16" s="150">
        <f t="shared" si="1"/>
        <v>6.3828571428571426</v>
      </c>
      <c r="Y16" s="150">
        <f t="shared" si="1"/>
        <v>6.3719047619047613</v>
      </c>
      <c r="Z16" s="150">
        <f t="shared" si="1"/>
        <v>6.3609523809523809</v>
      </c>
      <c r="AA16" s="150">
        <f t="shared" si="1"/>
        <v>6.35</v>
      </c>
      <c r="AB16" s="150">
        <f t="shared" si="1"/>
        <v>6.3390476190476184</v>
      </c>
      <c r="AC16" s="150">
        <f t="shared" si="1"/>
        <v>6.328095238095238</v>
      </c>
      <c r="AD16" s="150">
        <f t="shared" si="1"/>
        <v>6.3171428571428567</v>
      </c>
      <c r="AE16" s="150">
        <f t="shared" si="1"/>
        <v>6.3061904761904763</v>
      </c>
      <c r="AF16" s="150">
        <f>Cal!E36</f>
        <v>6.2952380952380951</v>
      </c>
    </row>
    <row r="17" spans="1:32" ht="14.25" customHeight="1">
      <c r="A17" s="5" t="s">
        <v>1127</v>
      </c>
      <c r="B17" s="150">
        <f>Cal!B37</f>
        <v>2.8571428571428568</v>
      </c>
      <c r="C17" s="150">
        <f t="shared" si="4"/>
        <v>6.7936507936507935</v>
      </c>
      <c r="D17" s="150">
        <f t="shared" si="4"/>
        <v>10.730158730158731</v>
      </c>
      <c r="E17" s="150">
        <f>Cal!C37</f>
        <v>14.666666666666666</v>
      </c>
      <c r="F17" s="150">
        <f t="shared" si="2"/>
        <v>14.666666666666666</v>
      </c>
      <c r="G17" s="150">
        <f t="shared" si="2"/>
        <v>14.666666666666666</v>
      </c>
      <c r="H17" s="150">
        <f t="shared" si="2"/>
        <v>14.666666666666666</v>
      </c>
      <c r="I17" s="150">
        <f t="shared" si="2"/>
        <v>14.666666666666666</v>
      </c>
      <c r="J17" s="150">
        <f t="shared" si="2"/>
        <v>14.666666666666666</v>
      </c>
      <c r="K17" s="150">
        <f t="shared" si="2"/>
        <v>14.666666666666666</v>
      </c>
      <c r="L17" s="150">
        <f>Cal!D37</f>
        <v>14.666666666666666</v>
      </c>
      <c r="M17" s="150">
        <f t="shared" si="3"/>
        <v>14.666666666666666</v>
      </c>
      <c r="N17" s="150">
        <f t="shared" si="3"/>
        <v>14.666666666666666</v>
      </c>
      <c r="O17" s="150">
        <f t="shared" si="3"/>
        <v>14.666666666666666</v>
      </c>
      <c r="P17" s="150">
        <f t="shared" si="3"/>
        <v>14.666666666666666</v>
      </c>
      <c r="Q17" s="150">
        <f t="shared" si="3"/>
        <v>14.666666666666666</v>
      </c>
      <c r="R17" s="150">
        <f t="shared" si="3"/>
        <v>14.666666666666666</v>
      </c>
      <c r="S17" s="150">
        <f t="shared" si="3"/>
        <v>14.666666666666666</v>
      </c>
      <c r="T17" s="150">
        <f t="shared" si="3"/>
        <v>14.666666666666666</v>
      </c>
      <c r="U17" s="150">
        <f t="shared" si="3"/>
        <v>14.666666666666666</v>
      </c>
      <c r="V17" s="150">
        <f t="shared" si="3"/>
        <v>14.666666666666666</v>
      </c>
      <c r="W17" s="150">
        <f t="shared" si="3"/>
        <v>14.666666666666666</v>
      </c>
      <c r="X17" s="150">
        <f t="shared" si="3"/>
        <v>14.666666666666666</v>
      </c>
      <c r="Y17" s="150">
        <f t="shared" si="3"/>
        <v>14.666666666666666</v>
      </c>
      <c r="Z17" s="150">
        <f t="shared" si="3"/>
        <v>14.666666666666666</v>
      </c>
      <c r="AA17" s="150">
        <f t="shared" si="3"/>
        <v>14.666666666666666</v>
      </c>
      <c r="AB17" s="150">
        <f t="shared" si="3"/>
        <v>14.666666666666666</v>
      </c>
      <c r="AC17" s="150">
        <f t="shared" ref="AC17:AE17" si="5">$L17+(($AF17-$L17)/($AF$1-$L$1))*(AC$1-$L$1)</f>
        <v>14.666666666666666</v>
      </c>
      <c r="AD17" s="150">
        <f t="shared" si="5"/>
        <v>14.666666666666666</v>
      </c>
      <c r="AE17" s="150">
        <f t="shared" si="5"/>
        <v>14.666666666666666</v>
      </c>
      <c r="AF17" s="150">
        <f>Cal!E37</f>
        <v>14.666666666666666</v>
      </c>
    </row>
    <row r="18" spans="1:32" ht="14.25" customHeight="1">
      <c r="C18" s="5"/>
      <c r="AF18" s="138"/>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1131</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0">
        <v>0</v>
      </c>
      <c r="C2" s="150">
        <f t="shared" ref="C2:AF2" si="0">$B$2</f>
        <v>0</v>
      </c>
      <c r="D2" s="150">
        <f t="shared" si="0"/>
        <v>0</v>
      </c>
      <c r="E2" s="150">
        <f t="shared" si="0"/>
        <v>0</v>
      </c>
      <c r="F2" s="150">
        <f t="shared" si="0"/>
        <v>0</v>
      </c>
      <c r="G2" s="150">
        <f t="shared" si="0"/>
        <v>0</v>
      </c>
      <c r="H2" s="150">
        <f t="shared" si="0"/>
        <v>0</v>
      </c>
      <c r="I2" s="150">
        <f t="shared" si="0"/>
        <v>0</v>
      </c>
      <c r="J2" s="150">
        <f t="shared" si="0"/>
        <v>0</v>
      </c>
      <c r="K2" s="150">
        <f t="shared" si="0"/>
        <v>0</v>
      </c>
      <c r="L2" s="150">
        <f t="shared" si="0"/>
        <v>0</v>
      </c>
      <c r="M2" s="150">
        <f t="shared" si="0"/>
        <v>0</v>
      </c>
      <c r="N2" s="150">
        <f t="shared" si="0"/>
        <v>0</v>
      </c>
      <c r="O2" s="150">
        <f t="shared" si="0"/>
        <v>0</v>
      </c>
      <c r="P2" s="150">
        <f t="shared" si="0"/>
        <v>0</v>
      </c>
      <c r="Q2" s="150">
        <f t="shared" si="0"/>
        <v>0</v>
      </c>
      <c r="R2" s="150">
        <f t="shared" si="0"/>
        <v>0</v>
      </c>
      <c r="S2" s="150">
        <f t="shared" si="0"/>
        <v>0</v>
      </c>
      <c r="T2" s="150">
        <f t="shared" si="0"/>
        <v>0</v>
      </c>
      <c r="U2" s="150">
        <f t="shared" si="0"/>
        <v>0</v>
      </c>
      <c r="V2" s="150">
        <f t="shared" si="0"/>
        <v>0</v>
      </c>
      <c r="W2" s="150">
        <f t="shared" si="0"/>
        <v>0</v>
      </c>
      <c r="X2" s="150">
        <f t="shared" si="0"/>
        <v>0</v>
      </c>
      <c r="Y2" s="150">
        <f t="shared" si="0"/>
        <v>0</v>
      </c>
      <c r="Z2" s="150">
        <f t="shared" si="0"/>
        <v>0</v>
      </c>
      <c r="AA2" s="150">
        <f t="shared" si="0"/>
        <v>0</v>
      </c>
      <c r="AB2" s="150">
        <f t="shared" si="0"/>
        <v>0</v>
      </c>
      <c r="AC2" s="150">
        <f t="shared" si="0"/>
        <v>0</v>
      </c>
      <c r="AD2" s="150">
        <f t="shared" si="0"/>
        <v>0</v>
      </c>
      <c r="AE2" s="150">
        <f t="shared" si="0"/>
        <v>0</v>
      </c>
      <c r="AF2" s="150">
        <f t="shared" si="0"/>
        <v>0</v>
      </c>
    </row>
    <row r="3" spans="1:32" ht="14.25" customHeight="1">
      <c r="A3" s="5" t="s">
        <v>1115</v>
      </c>
      <c r="B3" s="150">
        <v>0</v>
      </c>
      <c r="C3" s="150">
        <f t="shared" ref="C3:AF3" si="1">$B$3</f>
        <v>0</v>
      </c>
      <c r="D3" s="150">
        <f t="shared" si="1"/>
        <v>0</v>
      </c>
      <c r="E3" s="150">
        <f t="shared" si="1"/>
        <v>0</v>
      </c>
      <c r="F3" s="150">
        <f t="shared" si="1"/>
        <v>0</v>
      </c>
      <c r="G3" s="150">
        <f t="shared" si="1"/>
        <v>0</v>
      </c>
      <c r="H3" s="150">
        <f t="shared" si="1"/>
        <v>0</v>
      </c>
      <c r="I3" s="150">
        <f t="shared" si="1"/>
        <v>0</v>
      </c>
      <c r="J3" s="150">
        <f t="shared" si="1"/>
        <v>0</v>
      </c>
      <c r="K3" s="150">
        <f t="shared" si="1"/>
        <v>0</v>
      </c>
      <c r="L3" s="150">
        <f t="shared" si="1"/>
        <v>0</v>
      </c>
      <c r="M3" s="150">
        <f t="shared" si="1"/>
        <v>0</v>
      </c>
      <c r="N3" s="150">
        <f t="shared" si="1"/>
        <v>0</v>
      </c>
      <c r="O3" s="150">
        <f t="shared" si="1"/>
        <v>0</v>
      </c>
      <c r="P3" s="150">
        <f t="shared" si="1"/>
        <v>0</v>
      </c>
      <c r="Q3" s="150">
        <f t="shared" si="1"/>
        <v>0</v>
      </c>
      <c r="R3" s="150">
        <f t="shared" si="1"/>
        <v>0</v>
      </c>
      <c r="S3" s="150">
        <f t="shared" si="1"/>
        <v>0</v>
      </c>
      <c r="T3" s="150">
        <f t="shared" si="1"/>
        <v>0</v>
      </c>
      <c r="U3" s="150">
        <f t="shared" si="1"/>
        <v>0</v>
      </c>
      <c r="V3" s="150">
        <f t="shared" si="1"/>
        <v>0</v>
      </c>
      <c r="W3" s="150">
        <f t="shared" si="1"/>
        <v>0</v>
      </c>
      <c r="X3" s="150">
        <f t="shared" si="1"/>
        <v>0</v>
      </c>
      <c r="Y3" s="150">
        <f t="shared" si="1"/>
        <v>0</v>
      </c>
      <c r="Z3" s="150">
        <f t="shared" si="1"/>
        <v>0</v>
      </c>
      <c r="AA3" s="150">
        <f t="shared" si="1"/>
        <v>0</v>
      </c>
      <c r="AB3" s="150">
        <f t="shared" si="1"/>
        <v>0</v>
      </c>
      <c r="AC3" s="150">
        <f t="shared" si="1"/>
        <v>0</v>
      </c>
      <c r="AD3" s="150">
        <f t="shared" si="1"/>
        <v>0</v>
      </c>
      <c r="AE3" s="150">
        <f t="shared" si="1"/>
        <v>0</v>
      </c>
      <c r="AF3" s="150">
        <f t="shared" si="1"/>
        <v>0</v>
      </c>
    </row>
    <row r="4" spans="1:32" ht="14.25" customHeight="1">
      <c r="A4" s="5" t="s">
        <v>1102</v>
      </c>
      <c r="B4" s="150">
        <v>0</v>
      </c>
      <c r="C4" s="150">
        <f t="shared" ref="C4:AF4" si="2">$B$4</f>
        <v>0</v>
      </c>
      <c r="D4" s="150">
        <f t="shared" si="2"/>
        <v>0</v>
      </c>
      <c r="E4" s="150">
        <f t="shared" si="2"/>
        <v>0</v>
      </c>
      <c r="F4" s="150">
        <f t="shared" si="2"/>
        <v>0</v>
      </c>
      <c r="G4" s="150">
        <f t="shared" si="2"/>
        <v>0</v>
      </c>
      <c r="H4" s="150">
        <f t="shared" si="2"/>
        <v>0</v>
      </c>
      <c r="I4" s="150">
        <f t="shared" si="2"/>
        <v>0</v>
      </c>
      <c r="J4" s="150">
        <f t="shared" si="2"/>
        <v>0</v>
      </c>
      <c r="K4" s="150">
        <f t="shared" si="2"/>
        <v>0</v>
      </c>
      <c r="L4" s="150">
        <f t="shared" si="2"/>
        <v>0</v>
      </c>
      <c r="M4" s="150">
        <f t="shared" si="2"/>
        <v>0</v>
      </c>
      <c r="N4" s="150">
        <f t="shared" si="2"/>
        <v>0</v>
      </c>
      <c r="O4" s="150">
        <f t="shared" si="2"/>
        <v>0</v>
      </c>
      <c r="P4" s="150">
        <f t="shared" si="2"/>
        <v>0</v>
      </c>
      <c r="Q4" s="150">
        <f t="shared" si="2"/>
        <v>0</v>
      </c>
      <c r="R4" s="150">
        <f t="shared" si="2"/>
        <v>0</v>
      </c>
      <c r="S4" s="150">
        <f t="shared" si="2"/>
        <v>0</v>
      </c>
      <c r="T4" s="150">
        <f t="shared" si="2"/>
        <v>0</v>
      </c>
      <c r="U4" s="150">
        <f t="shared" si="2"/>
        <v>0</v>
      </c>
      <c r="V4" s="150">
        <f t="shared" si="2"/>
        <v>0</v>
      </c>
      <c r="W4" s="150">
        <f t="shared" si="2"/>
        <v>0</v>
      </c>
      <c r="X4" s="150">
        <f t="shared" si="2"/>
        <v>0</v>
      </c>
      <c r="Y4" s="150">
        <f t="shared" si="2"/>
        <v>0</v>
      </c>
      <c r="Z4" s="150">
        <f t="shared" si="2"/>
        <v>0</v>
      </c>
      <c r="AA4" s="150">
        <f t="shared" si="2"/>
        <v>0</v>
      </c>
      <c r="AB4" s="150">
        <f t="shared" si="2"/>
        <v>0</v>
      </c>
      <c r="AC4" s="150">
        <f t="shared" si="2"/>
        <v>0</v>
      </c>
      <c r="AD4" s="150">
        <f t="shared" si="2"/>
        <v>0</v>
      </c>
      <c r="AE4" s="150">
        <f t="shared" si="2"/>
        <v>0</v>
      </c>
      <c r="AF4" s="150">
        <f t="shared" si="2"/>
        <v>0</v>
      </c>
    </row>
    <row r="5" spans="1:32" ht="14.25" customHeight="1">
      <c r="A5" s="5" t="s">
        <v>1116</v>
      </c>
      <c r="B5" s="150">
        <v>0</v>
      </c>
      <c r="C5" s="150">
        <f t="shared" ref="C5:AF5" si="3">$B$5</f>
        <v>0</v>
      </c>
      <c r="D5" s="150">
        <f t="shared" si="3"/>
        <v>0</v>
      </c>
      <c r="E5" s="150">
        <f t="shared" si="3"/>
        <v>0</v>
      </c>
      <c r="F5" s="150">
        <f t="shared" si="3"/>
        <v>0</v>
      </c>
      <c r="G5" s="150">
        <f t="shared" si="3"/>
        <v>0</v>
      </c>
      <c r="H5" s="150">
        <f t="shared" si="3"/>
        <v>0</v>
      </c>
      <c r="I5" s="150">
        <f t="shared" si="3"/>
        <v>0</v>
      </c>
      <c r="J5" s="150">
        <f t="shared" si="3"/>
        <v>0</v>
      </c>
      <c r="K5" s="150">
        <f t="shared" si="3"/>
        <v>0</v>
      </c>
      <c r="L5" s="150">
        <f t="shared" si="3"/>
        <v>0</v>
      </c>
      <c r="M5" s="150">
        <f t="shared" si="3"/>
        <v>0</v>
      </c>
      <c r="N5" s="150">
        <f t="shared" si="3"/>
        <v>0</v>
      </c>
      <c r="O5" s="150">
        <f t="shared" si="3"/>
        <v>0</v>
      </c>
      <c r="P5" s="150">
        <f t="shared" si="3"/>
        <v>0</v>
      </c>
      <c r="Q5" s="150">
        <f t="shared" si="3"/>
        <v>0</v>
      </c>
      <c r="R5" s="150">
        <f t="shared" si="3"/>
        <v>0</v>
      </c>
      <c r="S5" s="150">
        <f t="shared" si="3"/>
        <v>0</v>
      </c>
      <c r="T5" s="150">
        <f t="shared" si="3"/>
        <v>0</v>
      </c>
      <c r="U5" s="150">
        <f t="shared" si="3"/>
        <v>0</v>
      </c>
      <c r="V5" s="150">
        <f t="shared" si="3"/>
        <v>0</v>
      </c>
      <c r="W5" s="150">
        <f t="shared" si="3"/>
        <v>0</v>
      </c>
      <c r="X5" s="150">
        <f t="shared" si="3"/>
        <v>0</v>
      </c>
      <c r="Y5" s="150">
        <f t="shared" si="3"/>
        <v>0</v>
      </c>
      <c r="Z5" s="150">
        <f t="shared" si="3"/>
        <v>0</v>
      </c>
      <c r="AA5" s="150">
        <f t="shared" si="3"/>
        <v>0</v>
      </c>
      <c r="AB5" s="150">
        <f t="shared" si="3"/>
        <v>0</v>
      </c>
      <c r="AC5" s="150">
        <f t="shared" si="3"/>
        <v>0</v>
      </c>
      <c r="AD5" s="150">
        <f t="shared" si="3"/>
        <v>0</v>
      </c>
      <c r="AE5" s="150">
        <f t="shared" si="3"/>
        <v>0</v>
      </c>
      <c r="AF5" s="150">
        <f t="shared" si="3"/>
        <v>0</v>
      </c>
    </row>
    <row r="6" spans="1:32" ht="14.25" customHeight="1">
      <c r="A6" s="5" t="s">
        <v>1117</v>
      </c>
      <c r="B6" s="150">
        <v>0</v>
      </c>
      <c r="C6" s="150">
        <f t="shared" ref="C6:AF6" si="4">$B$6</f>
        <v>0</v>
      </c>
      <c r="D6" s="150">
        <f t="shared" si="4"/>
        <v>0</v>
      </c>
      <c r="E6" s="150">
        <f t="shared" si="4"/>
        <v>0</v>
      </c>
      <c r="F6" s="150">
        <f t="shared" si="4"/>
        <v>0</v>
      </c>
      <c r="G6" s="150">
        <f t="shared" si="4"/>
        <v>0</v>
      </c>
      <c r="H6" s="150">
        <f t="shared" si="4"/>
        <v>0</v>
      </c>
      <c r="I6" s="150">
        <f t="shared" si="4"/>
        <v>0</v>
      </c>
      <c r="J6" s="150">
        <f t="shared" si="4"/>
        <v>0</v>
      </c>
      <c r="K6" s="150">
        <f t="shared" si="4"/>
        <v>0</v>
      </c>
      <c r="L6" s="150">
        <f t="shared" si="4"/>
        <v>0</v>
      </c>
      <c r="M6" s="150">
        <f t="shared" si="4"/>
        <v>0</v>
      </c>
      <c r="N6" s="150">
        <f t="shared" si="4"/>
        <v>0</v>
      </c>
      <c r="O6" s="150">
        <f t="shared" si="4"/>
        <v>0</v>
      </c>
      <c r="P6" s="150">
        <f t="shared" si="4"/>
        <v>0</v>
      </c>
      <c r="Q6" s="150">
        <f t="shared" si="4"/>
        <v>0</v>
      </c>
      <c r="R6" s="150">
        <f t="shared" si="4"/>
        <v>0</v>
      </c>
      <c r="S6" s="150">
        <f t="shared" si="4"/>
        <v>0</v>
      </c>
      <c r="T6" s="150">
        <f t="shared" si="4"/>
        <v>0</v>
      </c>
      <c r="U6" s="150">
        <f t="shared" si="4"/>
        <v>0</v>
      </c>
      <c r="V6" s="150">
        <f t="shared" si="4"/>
        <v>0</v>
      </c>
      <c r="W6" s="150">
        <f t="shared" si="4"/>
        <v>0</v>
      </c>
      <c r="X6" s="150">
        <f t="shared" si="4"/>
        <v>0</v>
      </c>
      <c r="Y6" s="150">
        <f t="shared" si="4"/>
        <v>0</v>
      </c>
      <c r="Z6" s="150">
        <f t="shared" si="4"/>
        <v>0</v>
      </c>
      <c r="AA6" s="150">
        <f t="shared" si="4"/>
        <v>0</v>
      </c>
      <c r="AB6" s="150">
        <f t="shared" si="4"/>
        <v>0</v>
      </c>
      <c r="AC6" s="150">
        <f t="shared" si="4"/>
        <v>0</v>
      </c>
      <c r="AD6" s="150">
        <f t="shared" si="4"/>
        <v>0</v>
      </c>
      <c r="AE6" s="150">
        <f t="shared" si="4"/>
        <v>0</v>
      </c>
      <c r="AF6" s="150">
        <f t="shared" si="4"/>
        <v>0</v>
      </c>
    </row>
    <row r="7" spans="1:32" ht="14.25" customHeight="1">
      <c r="A7" s="5" t="s">
        <v>1118</v>
      </c>
      <c r="B7" s="150">
        <v>0</v>
      </c>
      <c r="C7" s="150">
        <f t="shared" ref="C7:AF7" si="5">$B$7</f>
        <v>0</v>
      </c>
      <c r="D7" s="150">
        <f t="shared" si="5"/>
        <v>0</v>
      </c>
      <c r="E7" s="150">
        <f t="shared" si="5"/>
        <v>0</v>
      </c>
      <c r="F7" s="150">
        <f t="shared" si="5"/>
        <v>0</v>
      </c>
      <c r="G7" s="150">
        <f t="shared" si="5"/>
        <v>0</v>
      </c>
      <c r="H7" s="150">
        <f t="shared" si="5"/>
        <v>0</v>
      </c>
      <c r="I7" s="150">
        <f t="shared" si="5"/>
        <v>0</v>
      </c>
      <c r="J7" s="150">
        <f t="shared" si="5"/>
        <v>0</v>
      </c>
      <c r="K7" s="150">
        <f t="shared" si="5"/>
        <v>0</v>
      </c>
      <c r="L7" s="150">
        <f t="shared" si="5"/>
        <v>0</v>
      </c>
      <c r="M7" s="150">
        <f t="shared" si="5"/>
        <v>0</v>
      </c>
      <c r="N7" s="150">
        <f t="shared" si="5"/>
        <v>0</v>
      </c>
      <c r="O7" s="150">
        <f t="shared" si="5"/>
        <v>0</v>
      </c>
      <c r="P7" s="150">
        <f t="shared" si="5"/>
        <v>0</v>
      </c>
      <c r="Q7" s="150">
        <f t="shared" si="5"/>
        <v>0</v>
      </c>
      <c r="R7" s="150">
        <f t="shared" si="5"/>
        <v>0</v>
      </c>
      <c r="S7" s="150">
        <f t="shared" si="5"/>
        <v>0</v>
      </c>
      <c r="T7" s="150">
        <f t="shared" si="5"/>
        <v>0</v>
      </c>
      <c r="U7" s="150">
        <f t="shared" si="5"/>
        <v>0</v>
      </c>
      <c r="V7" s="150">
        <f t="shared" si="5"/>
        <v>0</v>
      </c>
      <c r="W7" s="150">
        <f t="shared" si="5"/>
        <v>0</v>
      </c>
      <c r="X7" s="150">
        <f t="shared" si="5"/>
        <v>0</v>
      </c>
      <c r="Y7" s="150">
        <f t="shared" si="5"/>
        <v>0</v>
      </c>
      <c r="Z7" s="150">
        <f t="shared" si="5"/>
        <v>0</v>
      </c>
      <c r="AA7" s="150">
        <f t="shared" si="5"/>
        <v>0</v>
      </c>
      <c r="AB7" s="150">
        <f t="shared" si="5"/>
        <v>0</v>
      </c>
      <c r="AC7" s="150">
        <f t="shared" si="5"/>
        <v>0</v>
      </c>
      <c r="AD7" s="150">
        <f t="shared" si="5"/>
        <v>0</v>
      </c>
      <c r="AE7" s="150">
        <f t="shared" si="5"/>
        <v>0</v>
      </c>
      <c r="AF7" s="150">
        <f t="shared" si="5"/>
        <v>0</v>
      </c>
    </row>
    <row r="8" spans="1:32" ht="14.25" customHeight="1">
      <c r="A8" s="5" t="s">
        <v>1129</v>
      </c>
      <c r="B8" s="150">
        <v>0</v>
      </c>
      <c r="C8" s="150">
        <f t="shared" ref="C8:AF8" si="6">$B$8</f>
        <v>0</v>
      </c>
      <c r="D8" s="150">
        <f t="shared" si="6"/>
        <v>0</v>
      </c>
      <c r="E8" s="150">
        <f t="shared" si="6"/>
        <v>0</v>
      </c>
      <c r="F8" s="150">
        <f t="shared" si="6"/>
        <v>0</v>
      </c>
      <c r="G8" s="150">
        <f t="shared" si="6"/>
        <v>0</v>
      </c>
      <c r="H8" s="150">
        <f t="shared" si="6"/>
        <v>0</v>
      </c>
      <c r="I8" s="150">
        <f t="shared" si="6"/>
        <v>0</v>
      </c>
      <c r="J8" s="150">
        <f t="shared" si="6"/>
        <v>0</v>
      </c>
      <c r="K8" s="150">
        <f t="shared" si="6"/>
        <v>0</v>
      </c>
      <c r="L8" s="150">
        <f t="shared" si="6"/>
        <v>0</v>
      </c>
      <c r="M8" s="150">
        <f t="shared" si="6"/>
        <v>0</v>
      </c>
      <c r="N8" s="150">
        <f t="shared" si="6"/>
        <v>0</v>
      </c>
      <c r="O8" s="150">
        <f t="shared" si="6"/>
        <v>0</v>
      </c>
      <c r="P8" s="150">
        <f t="shared" si="6"/>
        <v>0</v>
      </c>
      <c r="Q8" s="150">
        <f t="shared" si="6"/>
        <v>0</v>
      </c>
      <c r="R8" s="150">
        <f t="shared" si="6"/>
        <v>0</v>
      </c>
      <c r="S8" s="150">
        <f t="shared" si="6"/>
        <v>0</v>
      </c>
      <c r="T8" s="150">
        <f t="shared" si="6"/>
        <v>0</v>
      </c>
      <c r="U8" s="150">
        <f t="shared" si="6"/>
        <v>0</v>
      </c>
      <c r="V8" s="150">
        <f t="shared" si="6"/>
        <v>0</v>
      </c>
      <c r="W8" s="150">
        <f t="shared" si="6"/>
        <v>0</v>
      </c>
      <c r="X8" s="150">
        <f t="shared" si="6"/>
        <v>0</v>
      </c>
      <c r="Y8" s="150">
        <f t="shared" si="6"/>
        <v>0</v>
      </c>
      <c r="Z8" s="150">
        <f t="shared" si="6"/>
        <v>0</v>
      </c>
      <c r="AA8" s="150">
        <f t="shared" si="6"/>
        <v>0</v>
      </c>
      <c r="AB8" s="150">
        <f t="shared" si="6"/>
        <v>0</v>
      </c>
      <c r="AC8" s="150">
        <f t="shared" si="6"/>
        <v>0</v>
      </c>
      <c r="AD8" s="150">
        <f t="shared" si="6"/>
        <v>0</v>
      </c>
      <c r="AE8" s="150">
        <f t="shared" si="6"/>
        <v>0</v>
      </c>
      <c r="AF8" s="150">
        <f t="shared" si="6"/>
        <v>0</v>
      </c>
    </row>
    <row r="9" spans="1:32" ht="14.25" customHeight="1">
      <c r="A9" s="5" t="s">
        <v>1119</v>
      </c>
      <c r="B9" s="150">
        <v>0</v>
      </c>
      <c r="C9" s="150">
        <f t="shared" ref="C9:AF9" si="7">$B$9</f>
        <v>0</v>
      </c>
      <c r="D9" s="150">
        <f t="shared" si="7"/>
        <v>0</v>
      </c>
      <c r="E9" s="150">
        <f t="shared" si="7"/>
        <v>0</v>
      </c>
      <c r="F9" s="150">
        <f t="shared" si="7"/>
        <v>0</v>
      </c>
      <c r="G9" s="150">
        <f t="shared" si="7"/>
        <v>0</v>
      </c>
      <c r="H9" s="150">
        <f t="shared" si="7"/>
        <v>0</v>
      </c>
      <c r="I9" s="150">
        <f t="shared" si="7"/>
        <v>0</v>
      </c>
      <c r="J9" s="150">
        <f t="shared" si="7"/>
        <v>0</v>
      </c>
      <c r="K9" s="150">
        <f t="shared" si="7"/>
        <v>0</v>
      </c>
      <c r="L9" s="150">
        <f t="shared" si="7"/>
        <v>0</v>
      </c>
      <c r="M9" s="150">
        <f t="shared" si="7"/>
        <v>0</v>
      </c>
      <c r="N9" s="150">
        <f t="shared" si="7"/>
        <v>0</v>
      </c>
      <c r="O9" s="150">
        <f t="shared" si="7"/>
        <v>0</v>
      </c>
      <c r="P9" s="150">
        <f t="shared" si="7"/>
        <v>0</v>
      </c>
      <c r="Q9" s="150">
        <f t="shared" si="7"/>
        <v>0</v>
      </c>
      <c r="R9" s="150">
        <f t="shared" si="7"/>
        <v>0</v>
      </c>
      <c r="S9" s="150">
        <f t="shared" si="7"/>
        <v>0</v>
      </c>
      <c r="T9" s="150">
        <f t="shared" si="7"/>
        <v>0</v>
      </c>
      <c r="U9" s="150">
        <f t="shared" si="7"/>
        <v>0</v>
      </c>
      <c r="V9" s="150">
        <f t="shared" si="7"/>
        <v>0</v>
      </c>
      <c r="W9" s="150">
        <f t="shared" si="7"/>
        <v>0</v>
      </c>
      <c r="X9" s="150">
        <f t="shared" si="7"/>
        <v>0</v>
      </c>
      <c r="Y9" s="150">
        <f t="shared" si="7"/>
        <v>0</v>
      </c>
      <c r="Z9" s="150">
        <f t="shared" si="7"/>
        <v>0</v>
      </c>
      <c r="AA9" s="150">
        <f t="shared" si="7"/>
        <v>0</v>
      </c>
      <c r="AB9" s="150">
        <f t="shared" si="7"/>
        <v>0</v>
      </c>
      <c r="AC9" s="150">
        <f t="shared" si="7"/>
        <v>0</v>
      </c>
      <c r="AD9" s="150">
        <f t="shared" si="7"/>
        <v>0</v>
      </c>
      <c r="AE9" s="150">
        <f t="shared" si="7"/>
        <v>0</v>
      </c>
      <c r="AF9" s="150">
        <f t="shared" si="7"/>
        <v>0</v>
      </c>
    </row>
    <row r="10" spans="1:32" ht="14.25" customHeight="1">
      <c r="A10" s="5" t="s">
        <v>1120</v>
      </c>
      <c r="B10" s="150">
        <v>0</v>
      </c>
      <c r="C10" s="150">
        <f t="shared" ref="C10:AF10" si="8">$B10</f>
        <v>0</v>
      </c>
      <c r="D10" s="150">
        <f t="shared" si="8"/>
        <v>0</v>
      </c>
      <c r="E10" s="150">
        <f t="shared" si="8"/>
        <v>0</v>
      </c>
      <c r="F10" s="150">
        <f t="shared" si="8"/>
        <v>0</v>
      </c>
      <c r="G10" s="150">
        <f t="shared" si="8"/>
        <v>0</v>
      </c>
      <c r="H10" s="150">
        <f t="shared" si="8"/>
        <v>0</v>
      </c>
      <c r="I10" s="150">
        <f t="shared" si="8"/>
        <v>0</v>
      </c>
      <c r="J10" s="150">
        <f t="shared" si="8"/>
        <v>0</v>
      </c>
      <c r="K10" s="150">
        <f t="shared" si="8"/>
        <v>0</v>
      </c>
      <c r="L10" s="150">
        <f t="shared" si="8"/>
        <v>0</v>
      </c>
      <c r="M10" s="150">
        <f t="shared" si="8"/>
        <v>0</v>
      </c>
      <c r="N10" s="150">
        <f t="shared" si="8"/>
        <v>0</v>
      </c>
      <c r="O10" s="150">
        <f t="shared" si="8"/>
        <v>0</v>
      </c>
      <c r="P10" s="150">
        <f t="shared" si="8"/>
        <v>0</v>
      </c>
      <c r="Q10" s="150">
        <f t="shared" si="8"/>
        <v>0</v>
      </c>
      <c r="R10" s="150">
        <f t="shared" si="8"/>
        <v>0</v>
      </c>
      <c r="S10" s="150">
        <f t="shared" si="8"/>
        <v>0</v>
      </c>
      <c r="T10" s="150">
        <f t="shared" si="8"/>
        <v>0</v>
      </c>
      <c r="U10" s="150">
        <f t="shared" si="8"/>
        <v>0</v>
      </c>
      <c r="V10" s="150">
        <f t="shared" si="8"/>
        <v>0</v>
      </c>
      <c r="W10" s="150">
        <f t="shared" si="8"/>
        <v>0</v>
      </c>
      <c r="X10" s="150">
        <f t="shared" si="8"/>
        <v>0</v>
      </c>
      <c r="Y10" s="150">
        <f t="shared" si="8"/>
        <v>0</v>
      </c>
      <c r="Z10" s="150">
        <f t="shared" si="8"/>
        <v>0</v>
      </c>
      <c r="AA10" s="150">
        <f t="shared" si="8"/>
        <v>0</v>
      </c>
      <c r="AB10" s="150">
        <f t="shared" si="8"/>
        <v>0</v>
      </c>
      <c r="AC10" s="150">
        <f t="shared" si="8"/>
        <v>0</v>
      </c>
      <c r="AD10" s="150">
        <f t="shared" si="8"/>
        <v>0</v>
      </c>
      <c r="AE10" s="150">
        <f t="shared" si="8"/>
        <v>0</v>
      </c>
      <c r="AF10" s="150">
        <f t="shared" si="8"/>
        <v>0</v>
      </c>
    </row>
    <row r="11" spans="1:32" ht="14.25" customHeight="1">
      <c r="A11" s="5" t="s">
        <v>1121</v>
      </c>
      <c r="B11" s="150">
        <v>0</v>
      </c>
      <c r="C11" s="150">
        <f t="shared" ref="C11:AF11" si="9">$B11</f>
        <v>0</v>
      </c>
      <c r="D11" s="150">
        <f t="shared" si="9"/>
        <v>0</v>
      </c>
      <c r="E11" s="150">
        <f t="shared" si="9"/>
        <v>0</v>
      </c>
      <c r="F11" s="150">
        <f t="shared" si="9"/>
        <v>0</v>
      </c>
      <c r="G11" s="150">
        <f t="shared" si="9"/>
        <v>0</v>
      </c>
      <c r="H11" s="150">
        <f t="shared" si="9"/>
        <v>0</v>
      </c>
      <c r="I11" s="150">
        <f t="shared" si="9"/>
        <v>0</v>
      </c>
      <c r="J11" s="150">
        <f t="shared" si="9"/>
        <v>0</v>
      </c>
      <c r="K11" s="150">
        <f t="shared" si="9"/>
        <v>0</v>
      </c>
      <c r="L11" s="150">
        <f t="shared" si="9"/>
        <v>0</v>
      </c>
      <c r="M11" s="150">
        <f t="shared" si="9"/>
        <v>0</v>
      </c>
      <c r="N11" s="150">
        <f t="shared" si="9"/>
        <v>0</v>
      </c>
      <c r="O11" s="150">
        <f t="shared" si="9"/>
        <v>0</v>
      </c>
      <c r="P11" s="150">
        <f t="shared" si="9"/>
        <v>0</v>
      </c>
      <c r="Q11" s="150">
        <f t="shared" si="9"/>
        <v>0</v>
      </c>
      <c r="R11" s="150">
        <f t="shared" si="9"/>
        <v>0</v>
      </c>
      <c r="S11" s="150">
        <f t="shared" si="9"/>
        <v>0</v>
      </c>
      <c r="T11" s="150">
        <f t="shared" si="9"/>
        <v>0</v>
      </c>
      <c r="U11" s="150">
        <f t="shared" si="9"/>
        <v>0</v>
      </c>
      <c r="V11" s="150">
        <f t="shared" si="9"/>
        <v>0</v>
      </c>
      <c r="W11" s="150">
        <f t="shared" si="9"/>
        <v>0</v>
      </c>
      <c r="X11" s="150">
        <f t="shared" si="9"/>
        <v>0</v>
      </c>
      <c r="Y11" s="150">
        <f t="shared" si="9"/>
        <v>0</v>
      </c>
      <c r="Z11" s="150">
        <f t="shared" si="9"/>
        <v>0</v>
      </c>
      <c r="AA11" s="150">
        <f t="shared" si="9"/>
        <v>0</v>
      </c>
      <c r="AB11" s="150">
        <f t="shared" si="9"/>
        <v>0</v>
      </c>
      <c r="AC11" s="150">
        <f t="shared" si="9"/>
        <v>0</v>
      </c>
      <c r="AD11" s="150">
        <f t="shared" si="9"/>
        <v>0</v>
      </c>
      <c r="AE11" s="150">
        <f t="shared" si="9"/>
        <v>0</v>
      </c>
      <c r="AF11" s="150">
        <f t="shared" si="9"/>
        <v>0</v>
      </c>
    </row>
    <row r="12" spans="1:32" ht="14.25" customHeight="1">
      <c r="A12" s="5" t="s">
        <v>1122</v>
      </c>
      <c r="B12" s="150">
        <v>0</v>
      </c>
      <c r="C12" s="150">
        <f t="shared" ref="C12:AF12" si="10">$B12</f>
        <v>0</v>
      </c>
      <c r="D12" s="150">
        <f t="shared" si="10"/>
        <v>0</v>
      </c>
      <c r="E12" s="150">
        <f t="shared" si="10"/>
        <v>0</v>
      </c>
      <c r="F12" s="150">
        <f t="shared" si="10"/>
        <v>0</v>
      </c>
      <c r="G12" s="150">
        <f t="shared" si="10"/>
        <v>0</v>
      </c>
      <c r="H12" s="150">
        <f t="shared" si="10"/>
        <v>0</v>
      </c>
      <c r="I12" s="150">
        <f t="shared" si="10"/>
        <v>0</v>
      </c>
      <c r="J12" s="150">
        <f t="shared" si="10"/>
        <v>0</v>
      </c>
      <c r="K12" s="150">
        <f t="shared" si="10"/>
        <v>0</v>
      </c>
      <c r="L12" s="150">
        <f t="shared" si="10"/>
        <v>0</v>
      </c>
      <c r="M12" s="150">
        <f t="shared" si="10"/>
        <v>0</v>
      </c>
      <c r="N12" s="150">
        <f t="shared" si="10"/>
        <v>0</v>
      </c>
      <c r="O12" s="150">
        <f t="shared" si="10"/>
        <v>0</v>
      </c>
      <c r="P12" s="150">
        <f t="shared" si="10"/>
        <v>0</v>
      </c>
      <c r="Q12" s="150">
        <f t="shared" si="10"/>
        <v>0</v>
      </c>
      <c r="R12" s="150">
        <f t="shared" si="10"/>
        <v>0</v>
      </c>
      <c r="S12" s="150">
        <f t="shared" si="10"/>
        <v>0</v>
      </c>
      <c r="T12" s="150">
        <f t="shared" si="10"/>
        <v>0</v>
      </c>
      <c r="U12" s="150">
        <f t="shared" si="10"/>
        <v>0</v>
      </c>
      <c r="V12" s="150">
        <f t="shared" si="10"/>
        <v>0</v>
      </c>
      <c r="W12" s="150">
        <f t="shared" si="10"/>
        <v>0</v>
      </c>
      <c r="X12" s="150">
        <f t="shared" si="10"/>
        <v>0</v>
      </c>
      <c r="Y12" s="150">
        <f t="shared" si="10"/>
        <v>0</v>
      </c>
      <c r="Z12" s="150">
        <f t="shared" si="10"/>
        <v>0</v>
      </c>
      <c r="AA12" s="150">
        <f t="shared" si="10"/>
        <v>0</v>
      </c>
      <c r="AB12" s="150">
        <f t="shared" si="10"/>
        <v>0</v>
      </c>
      <c r="AC12" s="150">
        <f t="shared" si="10"/>
        <v>0</v>
      </c>
      <c r="AD12" s="150">
        <f t="shared" si="10"/>
        <v>0</v>
      </c>
      <c r="AE12" s="150">
        <f t="shared" si="10"/>
        <v>0</v>
      </c>
      <c r="AF12" s="150">
        <f t="shared" si="10"/>
        <v>0</v>
      </c>
    </row>
    <row r="13" spans="1:32" ht="14.25" customHeight="1">
      <c r="A13" s="5" t="s">
        <v>1123</v>
      </c>
      <c r="B13" s="150">
        <v>0</v>
      </c>
      <c r="C13" s="150">
        <f t="shared" ref="C13:AF13" si="11">$B13</f>
        <v>0</v>
      </c>
      <c r="D13" s="150">
        <f t="shared" si="11"/>
        <v>0</v>
      </c>
      <c r="E13" s="150">
        <f t="shared" si="11"/>
        <v>0</v>
      </c>
      <c r="F13" s="150">
        <f t="shared" si="11"/>
        <v>0</v>
      </c>
      <c r="G13" s="150">
        <f t="shared" si="11"/>
        <v>0</v>
      </c>
      <c r="H13" s="150">
        <f t="shared" si="11"/>
        <v>0</v>
      </c>
      <c r="I13" s="150">
        <f t="shared" si="11"/>
        <v>0</v>
      </c>
      <c r="J13" s="150">
        <f t="shared" si="11"/>
        <v>0</v>
      </c>
      <c r="K13" s="150">
        <f t="shared" si="11"/>
        <v>0</v>
      </c>
      <c r="L13" s="150">
        <f t="shared" si="11"/>
        <v>0</v>
      </c>
      <c r="M13" s="150">
        <f t="shared" si="11"/>
        <v>0</v>
      </c>
      <c r="N13" s="150">
        <f t="shared" si="11"/>
        <v>0</v>
      </c>
      <c r="O13" s="150">
        <f t="shared" si="11"/>
        <v>0</v>
      </c>
      <c r="P13" s="150">
        <f t="shared" si="11"/>
        <v>0</v>
      </c>
      <c r="Q13" s="150">
        <f t="shared" si="11"/>
        <v>0</v>
      </c>
      <c r="R13" s="150">
        <f t="shared" si="11"/>
        <v>0</v>
      </c>
      <c r="S13" s="150">
        <f t="shared" si="11"/>
        <v>0</v>
      </c>
      <c r="T13" s="150">
        <f t="shared" si="11"/>
        <v>0</v>
      </c>
      <c r="U13" s="150">
        <f t="shared" si="11"/>
        <v>0</v>
      </c>
      <c r="V13" s="150">
        <f t="shared" si="11"/>
        <v>0</v>
      </c>
      <c r="W13" s="150">
        <f t="shared" si="11"/>
        <v>0</v>
      </c>
      <c r="X13" s="150">
        <f t="shared" si="11"/>
        <v>0</v>
      </c>
      <c r="Y13" s="150">
        <f t="shared" si="11"/>
        <v>0</v>
      </c>
      <c r="Z13" s="150">
        <f t="shared" si="11"/>
        <v>0</v>
      </c>
      <c r="AA13" s="150">
        <f t="shared" si="11"/>
        <v>0</v>
      </c>
      <c r="AB13" s="150">
        <f t="shared" si="11"/>
        <v>0</v>
      </c>
      <c r="AC13" s="150">
        <f t="shared" si="11"/>
        <v>0</v>
      </c>
      <c r="AD13" s="150">
        <f t="shared" si="11"/>
        <v>0</v>
      </c>
      <c r="AE13" s="150">
        <f t="shared" si="11"/>
        <v>0</v>
      </c>
      <c r="AF13" s="150">
        <f t="shared" si="11"/>
        <v>0</v>
      </c>
    </row>
    <row r="14" spans="1:32" ht="14.25" customHeight="1">
      <c r="A14" s="5" t="s">
        <v>1124</v>
      </c>
      <c r="B14" s="150">
        <v>0</v>
      </c>
      <c r="C14" s="150">
        <f t="shared" ref="C14:AF14" si="12">$B14</f>
        <v>0</v>
      </c>
      <c r="D14" s="150">
        <f t="shared" si="12"/>
        <v>0</v>
      </c>
      <c r="E14" s="150">
        <f t="shared" si="12"/>
        <v>0</v>
      </c>
      <c r="F14" s="150">
        <f t="shared" si="12"/>
        <v>0</v>
      </c>
      <c r="G14" s="150">
        <f t="shared" si="12"/>
        <v>0</v>
      </c>
      <c r="H14" s="150">
        <f t="shared" si="12"/>
        <v>0</v>
      </c>
      <c r="I14" s="150">
        <f t="shared" si="12"/>
        <v>0</v>
      </c>
      <c r="J14" s="150">
        <f t="shared" si="12"/>
        <v>0</v>
      </c>
      <c r="K14" s="150">
        <f t="shared" si="12"/>
        <v>0</v>
      </c>
      <c r="L14" s="150">
        <f t="shared" si="12"/>
        <v>0</v>
      </c>
      <c r="M14" s="150">
        <f t="shared" si="12"/>
        <v>0</v>
      </c>
      <c r="N14" s="150">
        <f t="shared" si="12"/>
        <v>0</v>
      </c>
      <c r="O14" s="150">
        <f t="shared" si="12"/>
        <v>0</v>
      </c>
      <c r="P14" s="150">
        <f t="shared" si="12"/>
        <v>0</v>
      </c>
      <c r="Q14" s="150">
        <f t="shared" si="12"/>
        <v>0</v>
      </c>
      <c r="R14" s="150">
        <f t="shared" si="12"/>
        <v>0</v>
      </c>
      <c r="S14" s="150">
        <f t="shared" si="12"/>
        <v>0</v>
      </c>
      <c r="T14" s="150">
        <f t="shared" si="12"/>
        <v>0</v>
      </c>
      <c r="U14" s="150">
        <f t="shared" si="12"/>
        <v>0</v>
      </c>
      <c r="V14" s="150">
        <f t="shared" si="12"/>
        <v>0</v>
      </c>
      <c r="W14" s="150">
        <f t="shared" si="12"/>
        <v>0</v>
      </c>
      <c r="X14" s="150">
        <f t="shared" si="12"/>
        <v>0</v>
      </c>
      <c r="Y14" s="150">
        <f t="shared" si="12"/>
        <v>0</v>
      </c>
      <c r="Z14" s="150">
        <f t="shared" si="12"/>
        <v>0</v>
      </c>
      <c r="AA14" s="150">
        <f t="shared" si="12"/>
        <v>0</v>
      </c>
      <c r="AB14" s="150">
        <f t="shared" si="12"/>
        <v>0</v>
      </c>
      <c r="AC14" s="150">
        <f t="shared" si="12"/>
        <v>0</v>
      </c>
      <c r="AD14" s="150">
        <f t="shared" si="12"/>
        <v>0</v>
      </c>
      <c r="AE14" s="150">
        <f t="shared" si="12"/>
        <v>0</v>
      </c>
      <c r="AF14" s="150">
        <f t="shared" si="12"/>
        <v>0</v>
      </c>
    </row>
    <row r="15" spans="1:32" ht="14.25" customHeight="1">
      <c r="A15" s="5" t="s">
        <v>1125</v>
      </c>
      <c r="B15" s="150">
        <v>0</v>
      </c>
      <c r="C15" s="150">
        <f t="shared" ref="C15:AF15" si="13">$B15</f>
        <v>0</v>
      </c>
      <c r="D15" s="150">
        <f t="shared" si="13"/>
        <v>0</v>
      </c>
      <c r="E15" s="150">
        <f t="shared" si="13"/>
        <v>0</v>
      </c>
      <c r="F15" s="150">
        <f t="shared" si="13"/>
        <v>0</v>
      </c>
      <c r="G15" s="150">
        <f t="shared" si="13"/>
        <v>0</v>
      </c>
      <c r="H15" s="150">
        <f t="shared" si="13"/>
        <v>0</v>
      </c>
      <c r="I15" s="150">
        <f t="shared" si="13"/>
        <v>0</v>
      </c>
      <c r="J15" s="150">
        <f t="shared" si="13"/>
        <v>0</v>
      </c>
      <c r="K15" s="150">
        <f t="shared" si="13"/>
        <v>0</v>
      </c>
      <c r="L15" s="150">
        <f t="shared" si="13"/>
        <v>0</v>
      </c>
      <c r="M15" s="150">
        <f t="shared" si="13"/>
        <v>0</v>
      </c>
      <c r="N15" s="150">
        <f t="shared" si="13"/>
        <v>0</v>
      </c>
      <c r="O15" s="150">
        <f t="shared" si="13"/>
        <v>0</v>
      </c>
      <c r="P15" s="150">
        <f t="shared" si="13"/>
        <v>0</v>
      </c>
      <c r="Q15" s="150">
        <f t="shared" si="13"/>
        <v>0</v>
      </c>
      <c r="R15" s="150">
        <f t="shared" si="13"/>
        <v>0</v>
      </c>
      <c r="S15" s="150">
        <f t="shared" si="13"/>
        <v>0</v>
      </c>
      <c r="T15" s="150">
        <f t="shared" si="13"/>
        <v>0</v>
      </c>
      <c r="U15" s="150">
        <f t="shared" si="13"/>
        <v>0</v>
      </c>
      <c r="V15" s="150">
        <f t="shared" si="13"/>
        <v>0</v>
      </c>
      <c r="W15" s="150">
        <f t="shared" si="13"/>
        <v>0</v>
      </c>
      <c r="X15" s="150">
        <f t="shared" si="13"/>
        <v>0</v>
      </c>
      <c r="Y15" s="150">
        <f t="shared" si="13"/>
        <v>0</v>
      </c>
      <c r="Z15" s="150">
        <f t="shared" si="13"/>
        <v>0</v>
      </c>
      <c r="AA15" s="150">
        <f t="shared" si="13"/>
        <v>0</v>
      </c>
      <c r="AB15" s="150">
        <f t="shared" si="13"/>
        <v>0</v>
      </c>
      <c r="AC15" s="150">
        <f t="shared" si="13"/>
        <v>0</v>
      </c>
      <c r="AD15" s="150">
        <f t="shared" si="13"/>
        <v>0</v>
      </c>
      <c r="AE15" s="150">
        <f t="shared" si="13"/>
        <v>0</v>
      </c>
      <c r="AF15" s="150">
        <f t="shared" si="13"/>
        <v>0</v>
      </c>
    </row>
    <row r="16" spans="1:32" ht="14.25" customHeight="1">
      <c r="A16" s="5" t="s">
        <v>1126</v>
      </c>
      <c r="B16" s="150">
        <v>0</v>
      </c>
      <c r="C16" s="150">
        <f t="shared" ref="C16:AF16" si="14">$B16</f>
        <v>0</v>
      </c>
      <c r="D16" s="150">
        <f t="shared" si="14"/>
        <v>0</v>
      </c>
      <c r="E16" s="150">
        <f t="shared" si="14"/>
        <v>0</v>
      </c>
      <c r="F16" s="150">
        <f t="shared" si="14"/>
        <v>0</v>
      </c>
      <c r="G16" s="150">
        <f t="shared" si="14"/>
        <v>0</v>
      </c>
      <c r="H16" s="150">
        <f t="shared" si="14"/>
        <v>0</v>
      </c>
      <c r="I16" s="150">
        <f t="shared" si="14"/>
        <v>0</v>
      </c>
      <c r="J16" s="150">
        <f t="shared" si="14"/>
        <v>0</v>
      </c>
      <c r="K16" s="150">
        <f t="shared" si="14"/>
        <v>0</v>
      </c>
      <c r="L16" s="150">
        <f t="shared" si="14"/>
        <v>0</v>
      </c>
      <c r="M16" s="150">
        <f t="shared" si="14"/>
        <v>0</v>
      </c>
      <c r="N16" s="150">
        <f t="shared" si="14"/>
        <v>0</v>
      </c>
      <c r="O16" s="150">
        <f t="shared" si="14"/>
        <v>0</v>
      </c>
      <c r="P16" s="150">
        <f t="shared" si="14"/>
        <v>0</v>
      </c>
      <c r="Q16" s="150">
        <f t="shared" si="14"/>
        <v>0</v>
      </c>
      <c r="R16" s="150">
        <f t="shared" si="14"/>
        <v>0</v>
      </c>
      <c r="S16" s="150">
        <f t="shared" si="14"/>
        <v>0</v>
      </c>
      <c r="T16" s="150">
        <f t="shared" si="14"/>
        <v>0</v>
      </c>
      <c r="U16" s="150">
        <f t="shared" si="14"/>
        <v>0</v>
      </c>
      <c r="V16" s="150">
        <f t="shared" si="14"/>
        <v>0</v>
      </c>
      <c r="W16" s="150">
        <f t="shared" si="14"/>
        <v>0</v>
      </c>
      <c r="X16" s="150">
        <f t="shared" si="14"/>
        <v>0</v>
      </c>
      <c r="Y16" s="150">
        <f t="shared" si="14"/>
        <v>0</v>
      </c>
      <c r="Z16" s="150">
        <f t="shared" si="14"/>
        <v>0</v>
      </c>
      <c r="AA16" s="150">
        <f t="shared" si="14"/>
        <v>0</v>
      </c>
      <c r="AB16" s="150">
        <f t="shared" si="14"/>
        <v>0</v>
      </c>
      <c r="AC16" s="150">
        <f t="shared" si="14"/>
        <v>0</v>
      </c>
      <c r="AD16" s="150">
        <f t="shared" si="14"/>
        <v>0</v>
      </c>
      <c r="AE16" s="150">
        <f t="shared" si="14"/>
        <v>0</v>
      </c>
      <c r="AF16" s="150">
        <f t="shared" si="14"/>
        <v>0</v>
      </c>
    </row>
    <row r="17" spans="1:32" ht="14.25" customHeight="1">
      <c r="A17" s="5" t="s">
        <v>1127</v>
      </c>
      <c r="B17" s="150">
        <v>0</v>
      </c>
      <c r="C17" s="150">
        <f t="shared" ref="C17:AF17" si="15">$B17</f>
        <v>0</v>
      </c>
      <c r="D17" s="150">
        <f t="shared" si="15"/>
        <v>0</v>
      </c>
      <c r="E17" s="150">
        <f t="shared" si="15"/>
        <v>0</v>
      </c>
      <c r="F17" s="150">
        <f t="shared" si="15"/>
        <v>0</v>
      </c>
      <c r="G17" s="150">
        <f t="shared" si="15"/>
        <v>0</v>
      </c>
      <c r="H17" s="150">
        <f t="shared" si="15"/>
        <v>0</v>
      </c>
      <c r="I17" s="150">
        <f t="shared" si="15"/>
        <v>0</v>
      </c>
      <c r="J17" s="150">
        <f t="shared" si="15"/>
        <v>0</v>
      </c>
      <c r="K17" s="150">
        <f t="shared" si="15"/>
        <v>0</v>
      </c>
      <c r="L17" s="150">
        <f t="shared" si="15"/>
        <v>0</v>
      </c>
      <c r="M17" s="150">
        <f t="shared" si="15"/>
        <v>0</v>
      </c>
      <c r="N17" s="150">
        <f t="shared" si="15"/>
        <v>0</v>
      </c>
      <c r="O17" s="150">
        <f t="shared" si="15"/>
        <v>0</v>
      </c>
      <c r="P17" s="150">
        <f t="shared" si="15"/>
        <v>0</v>
      </c>
      <c r="Q17" s="150">
        <f t="shared" si="15"/>
        <v>0</v>
      </c>
      <c r="R17" s="150">
        <f t="shared" si="15"/>
        <v>0</v>
      </c>
      <c r="S17" s="150">
        <f t="shared" si="15"/>
        <v>0</v>
      </c>
      <c r="T17" s="150">
        <f t="shared" si="15"/>
        <v>0</v>
      </c>
      <c r="U17" s="150">
        <f t="shared" si="15"/>
        <v>0</v>
      </c>
      <c r="V17" s="150">
        <f t="shared" si="15"/>
        <v>0</v>
      </c>
      <c r="W17" s="150">
        <f t="shared" si="15"/>
        <v>0</v>
      </c>
      <c r="X17" s="150">
        <f t="shared" si="15"/>
        <v>0</v>
      </c>
      <c r="Y17" s="150">
        <f t="shared" si="15"/>
        <v>0</v>
      </c>
      <c r="Z17" s="150">
        <f t="shared" si="15"/>
        <v>0</v>
      </c>
      <c r="AA17" s="150">
        <f t="shared" si="15"/>
        <v>0</v>
      </c>
      <c r="AB17" s="150">
        <f t="shared" si="15"/>
        <v>0</v>
      </c>
      <c r="AC17" s="150">
        <f t="shared" si="15"/>
        <v>0</v>
      </c>
      <c r="AD17" s="150">
        <f t="shared" si="15"/>
        <v>0</v>
      </c>
      <c r="AE17" s="150">
        <f t="shared" si="15"/>
        <v>0</v>
      </c>
      <c r="AF17" s="150">
        <f t="shared" si="15"/>
        <v>0</v>
      </c>
    </row>
    <row r="18" spans="1:32" ht="14.25" customHeight="1">
      <c r="C18" s="5">
        <f>B18</f>
        <v>0</v>
      </c>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F1000"/>
  <sheetViews>
    <sheetView workbookViewId="0">
      <selection activeCell="B2" sqref="B2:AF17"/>
    </sheetView>
  </sheetViews>
  <sheetFormatPr baseColWidth="10" defaultColWidth="14.5" defaultRowHeight="15" customHeight="1"/>
  <cols>
    <col min="1" max="1" width="36.5" customWidth="1"/>
    <col min="2" max="32" width="7.33203125" customWidth="1"/>
  </cols>
  <sheetData>
    <row r="1" spans="1:32" ht="14.25" customHeight="1">
      <c r="A1" s="136" t="s">
        <v>1133</v>
      </c>
      <c r="B1" s="137">
        <v>2020</v>
      </c>
      <c r="C1" s="134">
        <v>2021</v>
      </c>
      <c r="D1" s="134">
        <v>2022</v>
      </c>
      <c r="E1" s="134">
        <v>2023</v>
      </c>
      <c r="F1" s="134">
        <v>2024</v>
      </c>
      <c r="G1" s="134">
        <v>2025</v>
      </c>
      <c r="H1" s="134">
        <v>2026</v>
      </c>
      <c r="I1" s="134">
        <v>2027</v>
      </c>
      <c r="J1" s="134">
        <v>2028</v>
      </c>
      <c r="K1" s="134">
        <v>2029</v>
      </c>
      <c r="L1" s="134">
        <v>2030</v>
      </c>
      <c r="M1" s="134">
        <v>2031</v>
      </c>
      <c r="N1" s="134">
        <v>2032</v>
      </c>
      <c r="O1" s="134">
        <v>2033</v>
      </c>
      <c r="P1" s="134">
        <v>2034</v>
      </c>
      <c r="Q1" s="134">
        <v>2035</v>
      </c>
      <c r="R1" s="134">
        <v>2036</v>
      </c>
      <c r="S1" s="134">
        <v>2037</v>
      </c>
      <c r="T1" s="134">
        <v>2038</v>
      </c>
      <c r="U1" s="134">
        <v>2039</v>
      </c>
      <c r="V1" s="134">
        <v>2040</v>
      </c>
      <c r="W1" s="134">
        <v>2041</v>
      </c>
      <c r="X1" s="134">
        <v>2042</v>
      </c>
      <c r="Y1" s="134">
        <v>2043</v>
      </c>
      <c r="Z1" s="134">
        <v>2044</v>
      </c>
      <c r="AA1" s="134">
        <v>2045</v>
      </c>
      <c r="AB1" s="134">
        <v>2046</v>
      </c>
      <c r="AC1" s="134">
        <v>2047</v>
      </c>
      <c r="AD1" s="134">
        <v>2048</v>
      </c>
      <c r="AE1" s="134">
        <v>2049</v>
      </c>
      <c r="AF1" s="134">
        <v>2050</v>
      </c>
    </row>
    <row r="2" spans="1:32" ht="14.25" customHeight="1">
      <c r="A2" s="5" t="s">
        <v>1132</v>
      </c>
      <c r="B2" s="151">
        <f>'CCaMC-VOaMCpUC-pre-ret'!B2</f>
        <v>0.10476190476190475</v>
      </c>
      <c r="C2" s="151">
        <f>'CCaMC-VOaMCpUC-pre-ret'!C2</f>
        <v>0.46666666666666667</v>
      </c>
      <c r="D2" s="151">
        <f>'CCaMC-VOaMCpUC-pre-ret'!D2</f>
        <v>0.82857142857142851</v>
      </c>
      <c r="E2" s="151">
        <f>'CCaMC-VOaMCpUC-pre-ret'!E2</f>
        <v>1.1904761904761905</v>
      </c>
      <c r="F2" s="151">
        <f>'CCaMC-VOaMCpUC-pre-ret'!F2</f>
        <v>1.1836734693877551</v>
      </c>
      <c r="G2" s="151">
        <f>'CCaMC-VOaMCpUC-pre-ret'!G2</f>
        <v>1.1768707482993197</v>
      </c>
      <c r="H2" s="151">
        <f>'CCaMC-VOaMCpUC-pre-ret'!H2</f>
        <v>1.1700680272108843</v>
      </c>
      <c r="I2" s="151">
        <f>'CCaMC-VOaMCpUC-pre-ret'!I2</f>
        <v>1.1632653061224489</v>
      </c>
      <c r="J2" s="151">
        <f>'CCaMC-VOaMCpUC-pre-ret'!J2</f>
        <v>1.1564625850340136</v>
      </c>
      <c r="K2" s="151">
        <f>'CCaMC-VOaMCpUC-pre-ret'!K2</f>
        <v>1.1496598639455782</v>
      </c>
      <c r="L2" s="151">
        <f>'CCaMC-VOaMCpUC-pre-ret'!L2</f>
        <v>1.1428571428571428</v>
      </c>
      <c r="M2" s="151">
        <f>'CCaMC-VOaMCpUC-pre-ret'!M2</f>
        <v>1.1404761904761904</v>
      </c>
      <c r="N2" s="151">
        <f>'CCaMC-VOaMCpUC-pre-ret'!N2</f>
        <v>1.138095238095238</v>
      </c>
      <c r="O2" s="151">
        <f>'CCaMC-VOaMCpUC-pre-ret'!O2</f>
        <v>1.1357142857142857</v>
      </c>
      <c r="P2" s="151">
        <f>'CCaMC-VOaMCpUC-pre-ret'!P2</f>
        <v>1.1333333333333333</v>
      </c>
      <c r="Q2" s="151">
        <f>'CCaMC-VOaMCpUC-pre-ret'!Q2</f>
        <v>1.1309523809523809</v>
      </c>
      <c r="R2" s="151">
        <f>'CCaMC-VOaMCpUC-pre-ret'!R2</f>
        <v>1.1285714285714286</v>
      </c>
      <c r="S2" s="151">
        <f>'CCaMC-VOaMCpUC-pre-ret'!S2</f>
        <v>1.1261904761904762</v>
      </c>
      <c r="T2" s="151">
        <f>'CCaMC-VOaMCpUC-pre-ret'!T2</f>
        <v>1.1238095238095238</v>
      </c>
      <c r="U2" s="151">
        <f>'CCaMC-VOaMCpUC-pre-ret'!U2</f>
        <v>1.1214285714285714</v>
      </c>
      <c r="V2" s="151">
        <f>'CCaMC-VOaMCpUC-pre-ret'!V2</f>
        <v>1.1190476190476191</v>
      </c>
      <c r="W2" s="151">
        <f>'CCaMC-VOaMCpUC-pre-ret'!W2</f>
        <v>1.1166666666666665</v>
      </c>
      <c r="X2" s="151">
        <f>'CCaMC-VOaMCpUC-pre-ret'!X2</f>
        <v>1.1142857142857141</v>
      </c>
      <c r="Y2" s="151">
        <f>'CCaMC-VOaMCpUC-pre-ret'!Y2</f>
        <v>1.1119047619047617</v>
      </c>
      <c r="Z2" s="151">
        <f>'CCaMC-VOaMCpUC-pre-ret'!Z2</f>
        <v>1.1095238095238094</v>
      </c>
      <c r="AA2" s="151">
        <f>'CCaMC-VOaMCpUC-pre-ret'!AA2</f>
        <v>1.107142857142857</v>
      </c>
      <c r="AB2" s="151">
        <f>'CCaMC-VOaMCpUC-pre-ret'!AB2</f>
        <v>1.1047619047619046</v>
      </c>
      <c r="AC2" s="151">
        <f>'CCaMC-VOaMCpUC-pre-ret'!AC2</f>
        <v>1.1023809523809522</v>
      </c>
      <c r="AD2" s="151">
        <f>'CCaMC-VOaMCpUC-pre-ret'!AD2</f>
        <v>1.0999999999999999</v>
      </c>
      <c r="AE2" s="151">
        <f>'CCaMC-VOaMCpUC-pre-ret'!AE2</f>
        <v>1.0976190476190475</v>
      </c>
      <c r="AF2" s="151">
        <f>'CCaMC-VOaMCpUC-pre-ret'!AF2</f>
        <v>1.0952380952380951</v>
      </c>
    </row>
    <row r="3" spans="1:32" ht="14.25" customHeight="1">
      <c r="A3" s="5" t="s">
        <v>1115</v>
      </c>
      <c r="B3" s="151">
        <f>'CCaMC-VOaMCpUC-pre-ret'!B3</f>
        <v>0.10476190476190475</v>
      </c>
      <c r="C3" s="151">
        <f>'CCaMC-VOaMCpUC-pre-ret'!C3</f>
        <v>1.2126984126984126</v>
      </c>
      <c r="D3" s="151">
        <f>'CCaMC-VOaMCpUC-pre-ret'!D3</f>
        <v>2.3206349206349204</v>
      </c>
      <c r="E3" s="151">
        <f>'CCaMC-VOaMCpUC-pre-ret'!E3</f>
        <v>3.4285714285714284</v>
      </c>
      <c r="F3" s="151">
        <f>'CCaMC-VOaMCpUC-pre-ret'!F3</f>
        <v>3.4149659863945576</v>
      </c>
      <c r="G3" s="151">
        <f>'CCaMC-VOaMCpUC-pre-ret'!G3</f>
        <v>3.4013605442176869</v>
      </c>
      <c r="H3" s="151">
        <f>'CCaMC-VOaMCpUC-pre-ret'!H3</f>
        <v>3.3877551020408161</v>
      </c>
      <c r="I3" s="151">
        <f>'CCaMC-VOaMCpUC-pre-ret'!I3</f>
        <v>3.3741496598639453</v>
      </c>
      <c r="J3" s="151">
        <f>'CCaMC-VOaMCpUC-pre-ret'!J3</f>
        <v>3.3605442176870746</v>
      </c>
      <c r="K3" s="151">
        <f>'CCaMC-VOaMCpUC-pre-ret'!K3</f>
        <v>3.3469387755102038</v>
      </c>
      <c r="L3" s="151">
        <f>'CCaMC-VOaMCpUC-pre-ret'!L3</f>
        <v>3.333333333333333</v>
      </c>
      <c r="M3" s="151">
        <f>'CCaMC-VOaMCpUC-pre-ret'!M3</f>
        <v>3.3285714285714283</v>
      </c>
      <c r="N3" s="151">
        <f>'CCaMC-VOaMCpUC-pre-ret'!N3</f>
        <v>3.3238095238095235</v>
      </c>
      <c r="O3" s="151">
        <f>'CCaMC-VOaMCpUC-pre-ret'!O3</f>
        <v>3.3190476190476188</v>
      </c>
      <c r="P3" s="151">
        <f>'CCaMC-VOaMCpUC-pre-ret'!P3</f>
        <v>3.3142857142857141</v>
      </c>
      <c r="Q3" s="151">
        <f>'CCaMC-VOaMCpUC-pre-ret'!Q3</f>
        <v>3.3095238095238093</v>
      </c>
      <c r="R3" s="151">
        <f>'CCaMC-VOaMCpUC-pre-ret'!R3</f>
        <v>3.3047619047619046</v>
      </c>
      <c r="S3" s="151">
        <f>'CCaMC-VOaMCpUC-pre-ret'!S3</f>
        <v>3.3</v>
      </c>
      <c r="T3" s="151">
        <f>'CCaMC-VOaMCpUC-pre-ret'!T3</f>
        <v>3.2952380952380951</v>
      </c>
      <c r="U3" s="151">
        <f>'CCaMC-VOaMCpUC-pre-ret'!U3</f>
        <v>3.2904761904761903</v>
      </c>
      <c r="V3" s="151">
        <f>'CCaMC-VOaMCpUC-pre-ret'!V3</f>
        <v>3.2857142857142856</v>
      </c>
      <c r="W3" s="151">
        <f>'CCaMC-VOaMCpUC-pre-ret'!W3</f>
        <v>3.2809523809523804</v>
      </c>
      <c r="X3" s="151">
        <f>'CCaMC-VOaMCpUC-pre-ret'!X3</f>
        <v>3.2761904761904757</v>
      </c>
      <c r="Y3" s="151">
        <f>'CCaMC-VOaMCpUC-pre-ret'!Y3</f>
        <v>3.2714285714285709</v>
      </c>
      <c r="Z3" s="151">
        <f>'CCaMC-VOaMCpUC-pre-ret'!Z3</f>
        <v>3.2666666666666662</v>
      </c>
      <c r="AA3" s="151">
        <f>'CCaMC-VOaMCpUC-pre-ret'!AA3</f>
        <v>3.2619047619047614</v>
      </c>
      <c r="AB3" s="151">
        <f>'CCaMC-VOaMCpUC-pre-ret'!AB3</f>
        <v>3.2571428571428567</v>
      </c>
      <c r="AC3" s="151">
        <f>'CCaMC-VOaMCpUC-pre-ret'!AC3</f>
        <v>3.2523809523809519</v>
      </c>
      <c r="AD3" s="151">
        <f>'CCaMC-VOaMCpUC-pre-ret'!AD3</f>
        <v>3.2476190476190472</v>
      </c>
      <c r="AE3" s="151">
        <f>'CCaMC-VOaMCpUC-pre-ret'!AE3</f>
        <v>3.2428571428571424</v>
      </c>
      <c r="AF3" s="151">
        <f>'CCaMC-VOaMCpUC-pre-ret'!AF3</f>
        <v>3.2380952380952377</v>
      </c>
    </row>
    <row r="4" spans="1:32" ht="14.25" customHeight="1">
      <c r="A4" s="5" t="s">
        <v>1102</v>
      </c>
      <c r="B4" s="151">
        <f>'CCaMC-VOaMCpUC-pre-ret'!B4</f>
        <v>2.8571428571428568</v>
      </c>
      <c r="C4" s="151">
        <f>'CCaMC-VOaMCpUC-pre-ret'!C4</f>
        <v>2.6666666666666665</v>
      </c>
      <c r="D4" s="151">
        <f>'CCaMC-VOaMCpUC-pre-ret'!D4</f>
        <v>2.4761904761904758</v>
      </c>
      <c r="E4" s="151">
        <f>'CCaMC-VOaMCpUC-pre-ret'!E4</f>
        <v>2.2857142857142856</v>
      </c>
      <c r="F4" s="151">
        <f>'CCaMC-VOaMCpUC-pre-ret'!F4</f>
        <v>2.2721088435374148</v>
      </c>
      <c r="G4" s="151">
        <f>'CCaMC-VOaMCpUC-pre-ret'!G4</f>
        <v>2.2585034013605441</v>
      </c>
      <c r="H4" s="151">
        <f>'CCaMC-VOaMCpUC-pre-ret'!H4</f>
        <v>2.2448979591836733</v>
      </c>
      <c r="I4" s="151">
        <f>'CCaMC-VOaMCpUC-pre-ret'!I4</f>
        <v>2.2312925170068025</v>
      </c>
      <c r="J4" s="151">
        <f>'CCaMC-VOaMCpUC-pre-ret'!J4</f>
        <v>2.2176870748299318</v>
      </c>
      <c r="K4" s="151">
        <f>'CCaMC-VOaMCpUC-pre-ret'!K4</f>
        <v>2.204081632653061</v>
      </c>
      <c r="L4" s="151">
        <f>'CCaMC-VOaMCpUC-pre-ret'!L4</f>
        <v>2.1904761904761902</v>
      </c>
      <c r="M4" s="151">
        <f>'CCaMC-VOaMCpUC-pre-ret'!M4</f>
        <v>2.1857142857142855</v>
      </c>
      <c r="N4" s="151">
        <f>'CCaMC-VOaMCpUC-pre-ret'!N4</f>
        <v>2.1809523809523808</v>
      </c>
      <c r="O4" s="151">
        <f>'CCaMC-VOaMCpUC-pre-ret'!O4</f>
        <v>2.176190476190476</v>
      </c>
      <c r="P4" s="151">
        <f>'CCaMC-VOaMCpUC-pre-ret'!P4</f>
        <v>2.1714285714285713</v>
      </c>
      <c r="Q4" s="151">
        <f>'CCaMC-VOaMCpUC-pre-ret'!Q4</f>
        <v>2.1666666666666665</v>
      </c>
      <c r="R4" s="151">
        <f>'CCaMC-VOaMCpUC-pre-ret'!R4</f>
        <v>2.1619047619047618</v>
      </c>
      <c r="S4" s="151">
        <f>'CCaMC-VOaMCpUC-pre-ret'!S4</f>
        <v>2.157142857142857</v>
      </c>
      <c r="T4" s="151">
        <f>'CCaMC-VOaMCpUC-pre-ret'!T4</f>
        <v>2.1523809523809523</v>
      </c>
      <c r="U4" s="151">
        <f>'CCaMC-VOaMCpUC-pre-ret'!U4</f>
        <v>2.1476190476190475</v>
      </c>
      <c r="V4" s="151">
        <f>'CCaMC-VOaMCpUC-pre-ret'!V4</f>
        <v>2.1428571428571428</v>
      </c>
      <c r="W4" s="151">
        <f>'CCaMC-VOaMCpUC-pre-ret'!W4</f>
        <v>2.138095238095238</v>
      </c>
      <c r="X4" s="151">
        <f>'CCaMC-VOaMCpUC-pre-ret'!X4</f>
        <v>2.1333333333333333</v>
      </c>
      <c r="Y4" s="151">
        <f>'CCaMC-VOaMCpUC-pre-ret'!Y4</f>
        <v>2.1285714285714286</v>
      </c>
      <c r="Z4" s="151">
        <f>'CCaMC-VOaMCpUC-pre-ret'!Z4</f>
        <v>2.1238095238095238</v>
      </c>
      <c r="AA4" s="151">
        <f>'CCaMC-VOaMCpUC-pre-ret'!AA4</f>
        <v>2.1190476190476191</v>
      </c>
      <c r="AB4" s="151">
        <f>'CCaMC-VOaMCpUC-pre-ret'!AB4</f>
        <v>2.1142857142857143</v>
      </c>
      <c r="AC4" s="151">
        <f>'CCaMC-VOaMCpUC-pre-ret'!AC4</f>
        <v>2.1095238095238096</v>
      </c>
      <c r="AD4" s="151">
        <f>'CCaMC-VOaMCpUC-pre-ret'!AD4</f>
        <v>2.1047619047619048</v>
      </c>
      <c r="AE4" s="151">
        <f>'CCaMC-VOaMCpUC-pre-ret'!AE4</f>
        <v>2.1</v>
      </c>
      <c r="AF4" s="151">
        <f>'CCaMC-VOaMCpUC-pre-ret'!AF4</f>
        <v>2.0952380952380953</v>
      </c>
    </row>
    <row r="5" spans="1:32" ht="14.25" customHeight="1">
      <c r="A5" s="5" t="s">
        <v>1116</v>
      </c>
      <c r="B5" s="151">
        <f>'CCaMC-VOaMCpUC-pre-ret'!B5</f>
        <v>0.61904761904761907</v>
      </c>
      <c r="C5" s="151">
        <f>'CCaMC-VOaMCpUC-pre-ret'!C5</f>
        <v>0.64761904761904765</v>
      </c>
      <c r="D5" s="151">
        <f>'CCaMC-VOaMCpUC-pre-ret'!D5</f>
        <v>0.67619047619047612</v>
      </c>
      <c r="E5" s="151">
        <f>'CCaMC-VOaMCpUC-pre-ret'!E5</f>
        <v>0.7047619047619047</v>
      </c>
      <c r="F5" s="151">
        <f>'CCaMC-VOaMCpUC-pre-ret'!F5</f>
        <v>0.70068027210884343</v>
      </c>
      <c r="G5" s="151">
        <f>'CCaMC-VOaMCpUC-pre-ret'!G5</f>
        <v>0.69659863945578226</v>
      </c>
      <c r="H5" s="151">
        <f>'CCaMC-VOaMCpUC-pre-ret'!H5</f>
        <v>0.69251700680272099</v>
      </c>
      <c r="I5" s="151">
        <f>'CCaMC-VOaMCpUC-pre-ret'!I5</f>
        <v>0.68843537414965983</v>
      </c>
      <c r="J5" s="151">
        <f>'CCaMC-VOaMCpUC-pre-ret'!J5</f>
        <v>0.68435374149659856</v>
      </c>
      <c r="K5" s="151">
        <f>'CCaMC-VOaMCpUC-pre-ret'!K5</f>
        <v>0.68027210884353739</v>
      </c>
      <c r="L5" s="151">
        <f>'CCaMC-VOaMCpUC-pre-ret'!L5</f>
        <v>0.67619047619047612</v>
      </c>
      <c r="M5" s="151">
        <f>'CCaMC-VOaMCpUC-pre-ret'!M5</f>
        <v>0.67380952380952375</v>
      </c>
      <c r="N5" s="151">
        <f>'CCaMC-VOaMCpUC-pre-ret'!N5</f>
        <v>0.67142857142857137</v>
      </c>
      <c r="O5" s="151">
        <f>'CCaMC-VOaMCpUC-pre-ret'!O5</f>
        <v>0.669047619047619</v>
      </c>
      <c r="P5" s="151">
        <f>'CCaMC-VOaMCpUC-pre-ret'!P5</f>
        <v>0.66666666666666663</v>
      </c>
      <c r="Q5" s="151">
        <f>'CCaMC-VOaMCpUC-pre-ret'!Q5</f>
        <v>0.66428571428571426</v>
      </c>
      <c r="R5" s="151">
        <f>'CCaMC-VOaMCpUC-pre-ret'!R5</f>
        <v>0.66190476190476188</v>
      </c>
      <c r="S5" s="151">
        <f>'CCaMC-VOaMCpUC-pre-ret'!S5</f>
        <v>0.65952380952380951</v>
      </c>
      <c r="T5" s="151">
        <f>'CCaMC-VOaMCpUC-pre-ret'!T5</f>
        <v>0.65714285714285714</v>
      </c>
      <c r="U5" s="151">
        <f>'CCaMC-VOaMCpUC-pre-ret'!U5</f>
        <v>0.65476190476190477</v>
      </c>
      <c r="V5" s="151">
        <f>'CCaMC-VOaMCpUC-pre-ret'!V5</f>
        <v>0.65238095238095228</v>
      </c>
      <c r="W5" s="151">
        <f>'CCaMC-VOaMCpUC-pre-ret'!W5</f>
        <v>0.64999999999999991</v>
      </c>
      <c r="X5" s="151">
        <f>'CCaMC-VOaMCpUC-pre-ret'!X5</f>
        <v>0.64761904761904754</v>
      </c>
      <c r="Y5" s="151">
        <f>'CCaMC-VOaMCpUC-pre-ret'!Y5</f>
        <v>0.64523809523809517</v>
      </c>
      <c r="Z5" s="151">
        <f>'CCaMC-VOaMCpUC-pre-ret'!Z5</f>
        <v>0.64285714285714279</v>
      </c>
      <c r="AA5" s="151">
        <f>'CCaMC-VOaMCpUC-pre-ret'!AA5</f>
        <v>0.64047619047619042</v>
      </c>
      <c r="AB5" s="151">
        <f>'CCaMC-VOaMCpUC-pre-ret'!AB5</f>
        <v>0.63809523809523805</v>
      </c>
      <c r="AC5" s="151">
        <f>'CCaMC-VOaMCpUC-pre-ret'!AC5</f>
        <v>0.63571428571428568</v>
      </c>
      <c r="AD5" s="151">
        <f>'CCaMC-VOaMCpUC-pre-ret'!AD5</f>
        <v>0.6333333333333333</v>
      </c>
      <c r="AE5" s="151">
        <f>'CCaMC-VOaMCpUC-pre-ret'!AE5</f>
        <v>0.63095238095238093</v>
      </c>
      <c r="AF5" s="151">
        <f>'CCaMC-VOaMCpUC-pre-ret'!AF5</f>
        <v>0.62857142857142856</v>
      </c>
    </row>
    <row r="6" spans="1:32" ht="14.25" customHeight="1">
      <c r="A6" s="5" t="s">
        <v>1117</v>
      </c>
      <c r="B6" s="151">
        <f>'CCaMC-VOaMCpUC-pre-ret'!B6</f>
        <v>0</v>
      </c>
      <c r="C6" s="151">
        <f>'CCaMC-VOaMCpUC-pre-ret'!C6</f>
        <v>0</v>
      </c>
      <c r="D6" s="151">
        <f>'CCaMC-VOaMCpUC-pre-ret'!D6</f>
        <v>0</v>
      </c>
      <c r="E6" s="151">
        <f>'CCaMC-VOaMCpUC-pre-ret'!E6</f>
        <v>0</v>
      </c>
      <c r="F6" s="151">
        <f>'CCaMC-VOaMCpUC-pre-ret'!F6</f>
        <v>0</v>
      </c>
      <c r="G6" s="151">
        <f>'CCaMC-VOaMCpUC-pre-ret'!G6</f>
        <v>0</v>
      </c>
      <c r="H6" s="151">
        <f>'CCaMC-VOaMCpUC-pre-ret'!H6</f>
        <v>0</v>
      </c>
      <c r="I6" s="151">
        <f>'CCaMC-VOaMCpUC-pre-ret'!I6</f>
        <v>0</v>
      </c>
      <c r="J6" s="151">
        <f>'CCaMC-VOaMCpUC-pre-ret'!J6</f>
        <v>0</v>
      </c>
      <c r="K6" s="151">
        <f>'CCaMC-VOaMCpUC-pre-ret'!K6</f>
        <v>0</v>
      </c>
      <c r="L6" s="151">
        <f>'CCaMC-VOaMCpUC-pre-ret'!L6</f>
        <v>0</v>
      </c>
      <c r="M6" s="151">
        <f>'CCaMC-VOaMCpUC-pre-ret'!M6</f>
        <v>0</v>
      </c>
      <c r="N6" s="151">
        <f>'CCaMC-VOaMCpUC-pre-ret'!N6</f>
        <v>0</v>
      </c>
      <c r="O6" s="151">
        <f>'CCaMC-VOaMCpUC-pre-ret'!O6</f>
        <v>0</v>
      </c>
      <c r="P6" s="151">
        <f>'CCaMC-VOaMCpUC-pre-ret'!P6</f>
        <v>0</v>
      </c>
      <c r="Q6" s="151">
        <f>'CCaMC-VOaMCpUC-pre-ret'!Q6</f>
        <v>0</v>
      </c>
      <c r="R6" s="151">
        <f>'CCaMC-VOaMCpUC-pre-ret'!R6</f>
        <v>0</v>
      </c>
      <c r="S6" s="151">
        <f>'CCaMC-VOaMCpUC-pre-ret'!S6</f>
        <v>0</v>
      </c>
      <c r="T6" s="151">
        <f>'CCaMC-VOaMCpUC-pre-ret'!T6</f>
        <v>0</v>
      </c>
      <c r="U6" s="151">
        <f>'CCaMC-VOaMCpUC-pre-ret'!U6</f>
        <v>0</v>
      </c>
      <c r="V6" s="151">
        <f>'CCaMC-VOaMCpUC-pre-ret'!V6</f>
        <v>0</v>
      </c>
      <c r="W6" s="151">
        <f>'CCaMC-VOaMCpUC-pre-ret'!W6</f>
        <v>0</v>
      </c>
      <c r="X6" s="151">
        <f>'CCaMC-VOaMCpUC-pre-ret'!X6</f>
        <v>0</v>
      </c>
      <c r="Y6" s="151">
        <f>'CCaMC-VOaMCpUC-pre-ret'!Y6</f>
        <v>0</v>
      </c>
      <c r="Z6" s="151">
        <f>'CCaMC-VOaMCpUC-pre-ret'!Z6</f>
        <v>0</v>
      </c>
      <c r="AA6" s="151">
        <f>'CCaMC-VOaMCpUC-pre-ret'!AA6</f>
        <v>0</v>
      </c>
      <c r="AB6" s="151">
        <f>'CCaMC-VOaMCpUC-pre-ret'!AB6</f>
        <v>0</v>
      </c>
      <c r="AC6" s="151">
        <f>'CCaMC-VOaMCpUC-pre-ret'!AC6</f>
        <v>0</v>
      </c>
      <c r="AD6" s="151">
        <f>'CCaMC-VOaMCpUC-pre-ret'!AD6</f>
        <v>0</v>
      </c>
      <c r="AE6" s="151">
        <f>'CCaMC-VOaMCpUC-pre-ret'!AE6</f>
        <v>0</v>
      </c>
      <c r="AF6" s="151">
        <f>'CCaMC-VOaMCpUC-pre-ret'!AF6</f>
        <v>0</v>
      </c>
    </row>
    <row r="7" spans="1:32" ht="14.25" customHeight="1">
      <c r="A7" s="5" t="s">
        <v>1118</v>
      </c>
      <c r="B7" s="151">
        <f>'CCaMC-VOaMCpUC-pre-ret'!B7</f>
        <v>0</v>
      </c>
      <c r="C7" s="151">
        <f>'CCaMC-VOaMCpUC-pre-ret'!C7</f>
        <v>0</v>
      </c>
      <c r="D7" s="151">
        <f>'CCaMC-VOaMCpUC-pre-ret'!D7</f>
        <v>0</v>
      </c>
      <c r="E7" s="151">
        <f>'CCaMC-VOaMCpUC-pre-ret'!E7</f>
        <v>0</v>
      </c>
      <c r="F7" s="151">
        <f>'CCaMC-VOaMCpUC-pre-ret'!F7</f>
        <v>0</v>
      </c>
      <c r="G7" s="151">
        <f>'CCaMC-VOaMCpUC-pre-ret'!G7</f>
        <v>0</v>
      </c>
      <c r="H7" s="151">
        <f>'CCaMC-VOaMCpUC-pre-ret'!H7</f>
        <v>0</v>
      </c>
      <c r="I7" s="151">
        <f>'CCaMC-VOaMCpUC-pre-ret'!I7</f>
        <v>0</v>
      </c>
      <c r="J7" s="151">
        <f>'CCaMC-VOaMCpUC-pre-ret'!J7</f>
        <v>0</v>
      </c>
      <c r="K7" s="151">
        <f>'CCaMC-VOaMCpUC-pre-ret'!K7</f>
        <v>0</v>
      </c>
      <c r="L7" s="151">
        <f>'CCaMC-VOaMCpUC-pre-ret'!L7</f>
        <v>0</v>
      </c>
      <c r="M7" s="151">
        <f>'CCaMC-VOaMCpUC-pre-ret'!M7</f>
        <v>0</v>
      </c>
      <c r="N7" s="151">
        <f>'CCaMC-VOaMCpUC-pre-ret'!N7</f>
        <v>0</v>
      </c>
      <c r="O7" s="151">
        <f>'CCaMC-VOaMCpUC-pre-ret'!O7</f>
        <v>0</v>
      </c>
      <c r="P7" s="151">
        <f>'CCaMC-VOaMCpUC-pre-ret'!P7</f>
        <v>0</v>
      </c>
      <c r="Q7" s="151">
        <f>'CCaMC-VOaMCpUC-pre-ret'!Q7</f>
        <v>0</v>
      </c>
      <c r="R7" s="151">
        <f>'CCaMC-VOaMCpUC-pre-ret'!R7</f>
        <v>0</v>
      </c>
      <c r="S7" s="151">
        <f>'CCaMC-VOaMCpUC-pre-ret'!S7</f>
        <v>0</v>
      </c>
      <c r="T7" s="151">
        <f>'CCaMC-VOaMCpUC-pre-ret'!T7</f>
        <v>0</v>
      </c>
      <c r="U7" s="151">
        <f>'CCaMC-VOaMCpUC-pre-ret'!U7</f>
        <v>0</v>
      </c>
      <c r="V7" s="151">
        <f>'CCaMC-VOaMCpUC-pre-ret'!V7</f>
        <v>0</v>
      </c>
      <c r="W7" s="151">
        <f>'CCaMC-VOaMCpUC-pre-ret'!W7</f>
        <v>0</v>
      </c>
      <c r="X7" s="151">
        <f>'CCaMC-VOaMCpUC-pre-ret'!X7</f>
        <v>0</v>
      </c>
      <c r="Y7" s="151">
        <f>'CCaMC-VOaMCpUC-pre-ret'!Y7</f>
        <v>0</v>
      </c>
      <c r="Z7" s="151">
        <f>'CCaMC-VOaMCpUC-pre-ret'!Z7</f>
        <v>0</v>
      </c>
      <c r="AA7" s="151">
        <f>'CCaMC-VOaMCpUC-pre-ret'!AA7</f>
        <v>0</v>
      </c>
      <c r="AB7" s="151">
        <f>'CCaMC-VOaMCpUC-pre-ret'!AB7</f>
        <v>0</v>
      </c>
      <c r="AC7" s="151">
        <f>'CCaMC-VOaMCpUC-pre-ret'!AC7</f>
        <v>0</v>
      </c>
      <c r="AD7" s="151">
        <f>'CCaMC-VOaMCpUC-pre-ret'!AD7</f>
        <v>0</v>
      </c>
      <c r="AE7" s="151">
        <f>'CCaMC-VOaMCpUC-pre-ret'!AE7</f>
        <v>0</v>
      </c>
      <c r="AF7" s="151">
        <f>'CCaMC-VOaMCpUC-pre-ret'!AF7</f>
        <v>0</v>
      </c>
    </row>
    <row r="8" spans="1:32" ht="14.25" customHeight="1">
      <c r="A8" s="5" t="s">
        <v>1129</v>
      </c>
      <c r="B8" s="151">
        <f>'CCaMC-VOaMCpUC-pre-ret'!B8</f>
        <v>0</v>
      </c>
      <c r="C8" s="151">
        <f>'CCaMC-VOaMCpUC-pre-ret'!C8</f>
        <v>0</v>
      </c>
      <c r="D8" s="151">
        <f>'CCaMC-VOaMCpUC-pre-ret'!D8</f>
        <v>0</v>
      </c>
      <c r="E8" s="151">
        <f>'CCaMC-VOaMCpUC-pre-ret'!E8</f>
        <v>0</v>
      </c>
      <c r="F8" s="151">
        <f>'CCaMC-VOaMCpUC-pre-ret'!F8</f>
        <v>0</v>
      </c>
      <c r="G8" s="151">
        <f>'CCaMC-VOaMCpUC-pre-ret'!G8</f>
        <v>0</v>
      </c>
      <c r="H8" s="151">
        <f>'CCaMC-VOaMCpUC-pre-ret'!H8</f>
        <v>0</v>
      </c>
      <c r="I8" s="151">
        <f>'CCaMC-VOaMCpUC-pre-ret'!I8</f>
        <v>0</v>
      </c>
      <c r="J8" s="151">
        <f>'CCaMC-VOaMCpUC-pre-ret'!J8</f>
        <v>0</v>
      </c>
      <c r="K8" s="151">
        <f>'CCaMC-VOaMCpUC-pre-ret'!K8</f>
        <v>0</v>
      </c>
      <c r="L8" s="151">
        <f>'CCaMC-VOaMCpUC-pre-ret'!L8</f>
        <v>0</v>
      </c>
      <c r="M8" s="151">
        <f>'CCaMC-VOaMCpUC-pre-ret'!M8</f>
        <v>0</v>
      </c>
      <c r="N8" s="151">
        <f>'CCaMC-VOaMCpUC-pre-ret'!N8</f>
        <v>0</v>
      </c>
      <c r="O8" s="151">
        <f>'CCaMC-VOaMCpUC-pre-ret'!O8</f>
        <v>0</v>
      </c>
      <c r="P8" s="151">
        <f>'CCaMC-VOaMCpUC-pre-ret'!P8</f>
        <v>0</v>
      </c>
      <c r="Q8" s="151">
        <f>'CCaMC-VOaMCpUC-pre-ret'!Q8</f>
        <v>0</v>
      </c>
      <c r="R8" s="151">
        <f>'CCaMC-VOaMCpUC-pre-ret'!R8</f>
        <v>0</v>
      </c>
      <c r="S8" s="151">
        <f>'CCaMC-VOaMCpUC-pre-ret'!S8</f>
        <v>0</v>
      </c>
      <c r="T8" s="151">
        <f>'CCaMC-VOaMCpUC-pre-ret'!T8</f>
        <v>0</v>
      </c>
      <c r="U8" s="151">
        <f>'CCaMC-VOaMCpUC-pre-ret'!U8</f>
        <v>0</v>
      </c>
      <c r="V8" s="151">
        <f>'CCaMC-VOaMCpUC-pre-ret'!V8</f>
        <v>0</v>
      </c>
      <c r="W8" s="151">
        <f>'CCaMC-VOaMCpUC-pre-ret'!W8</f>
        <v>0</v>
      </c>
      <c r="X8" s="151">
        <f>'CCaMC-VOaMCpUC-pre-ret'!X8</f>
        <v>0</v>
      </c>
      <c r="Y8" s="151">
        <f>'CCaMC-VOaMCpUC-pre-ret'!Y8</f>
        <v>0</v>
      </c>
      <c r="Z8" s="151">
        <f>'CCaMC-VOaMCpUC-pre-ret'!Z8</f>
        <v>0</v>
      </c>
      <c r="AA8" s="151">
        <f>'CCaMC-VOaMCpUC-pre-ret'!AA8</f>
        <v>0</v>
      </c>
      <c r="AB8" s="151">
        <f>'CCaMC-VOaMCpUC-pre-ret'!AB8</f>
        <v>0</v>
      </c>
      <c r="AC8" s="151">
        <f>'CCaMC-VOaMCpUC-pre-ret'!AC8</f>
        <v>0</v>
      </c>
      <c r="AD8" s="151">
        <f>'CCaMC-VOaMCpUC-pre-ret'!AD8</f>
        <v>0</v>
      </c>
      <c r="AE8" s="151">
        <f>'CCaMC-VOaMCpUC-pre-ret'!AE8</f>
        <v>0</v>
      </c>
      <c r="AF8" s="151">
        <f>'CCaMC-VOaMCpUC-pre-ret'!AF8</f>
        <v>0</v>
      </c>
    </row>
    <row r="9" spans="1:32" ht="14.25" customHeight="1">
      <c r="A9" s="5" t="s">
        <v>1119</v>
      </c>
      <c r="B9" s="151">
        <f>'CCaMC-VOaMCpUC-pre-ret'!B9</f>
        <v>2.8571428571428568</v>
      </c>
      <c r="C9" s="151">
        <f>'CCaMC-VOaMCpUC-pre-ret'!C9</f>
        <v>2.9841269841269837</v>
      </c>
      <c r="D9" s="151">
        <f>'CCaMC-VOaMCpUC-pre-ret'!D9</f>
        <v>3.1111111111111107</v>
      </c>
      <c r="E9" s="151">
        <f>'CCaMC-VOaMCpUC-pre-ret'!E9</f>
        <v>3.2380952380952377</v>
      </c>
      <c r="F9" s="151">
        <f>'CCaMC-VOaMCpUC-pre-ret'!F9</f>
        <v>3.2013605442176867</v>
      </c>
      <c r="G9" s="151">
        <f>'CCaMC-VOaMCpUC-pre-ret'!G9</f>
        <v>3.1646258503401357</v>
      </c>
      <c r="H9" s="151">
        <f>'CCaMC-VOaMCpUC-pre-ret'!H9</f>
        <v>3.1278911564625846</v>
      </c>
      <c r="I9" s="151">
        <f>'CCaMC-VOaMCpUC-pre-ret'!I9</f>
        <v>3.0911564625850336</v>
      </c>
      <c r="J9" s="151">
        <f>'CCaMC-VOaMCpUC-pre-ret'!J9</f>
        <v>3.0544217687074826</v>
      </c>
      <c r="K9" s="151">
        <f>'CCaMC-VOaMCpUC-pre-ret'!K9</f>
        <v>3.0176870748299316</v>
      </c>
      <c r="L9" s="151">
        <f>'CCaMC-VOaMCpUC-pre-ret'!L9</f>
        <v>2.9809523809523806</v>
      </c>
      <c r="M9" s="151">
        <f>'CCaMC-VOaMCpUC-pre-ret'!M9</f>
        <v>2.9614285714285709</v>
      </c>
      <c r="N9" s="151">
        <f>'CCaMC-VOaMCpUC-pre-ret'!N9</f>
        <v>2.9419047619047616</v>
      </c>
      <c r="O9" s="151">
        <f>'CCaMC-VOaMCpUC-pre-ret'!O9</f>
        <v>2.9223809523809523</v>
      </c>
      <c r="P9" s="151">
        <f>'CCaMC-VOaMCpUC-pre-ret'!P9</f>
        <v>2.9028571428571426</v>
      </c>
      <c r="Q9" s="151">
        <f>'CCaMC-VOaMCpUC-pre-ret'!Q9</f>
        <v>2.8833333333333329</v>
      </c>
      <c r="R9" s="151">
        <f>'CCaMC-VOaMCpUC-pre-ret'!R9</f>
        <v>2.8638095238095236</v>
      </c>
      <c r="S9" s="151">
        <f>'CCaMC-VOaMCpUC-pre-ret'!S9</f>
        <v>2.8442857142857143</v>
      </c>
      <c r="T9" s="151">
        <f>'CCaMC-VOaMCpUC-pre-ret'!T9</f>
        <v>2.8247619047619046</v>
      </c>
      <c r="U9" s="151">
        <f>'CCaMC-VOaMCpUC-pre-ret'!U9</f>
        <v>2.8052380952380949</v>
      </c>
      <c r="V9" s="151">
        <f>'CCaMC-VOaMCpUC-pre-ret'!V9</f>
        <v>2.7857142857142856</v>
      </c>
      <c r="W9" s="151">
        <f>'CCaMC-VOaMCpUC-pre-ret'!W9</f>
        <v>2.7661904761904763</v>
      </c>
      <c r="X9" s="151">
        <f>'CCaMC-VOaMCpUC-pre-ret'!X9</f>
        <v>2.7466666666666666</v>
      </c>
      <c r="Y9" s="151">
        <f>'CCaMC-VOaMCpUC-pre-ret'!Y9</f>
        <v>2.7271428571428569</v>
      </c>
      <c r="Z9" s="151">
        <f>'CCaMC-VOaMCpUC-pre-ret'!Z9</f>
        <v>2.7076190476190476</v>
      </c>
      <c r="AA9" s="151">
        <f>'CCaMC-VOaMCpUC-pre-ret'!AA9</f>
        <v>2.6880952380952383</v>
      </c>
      <c r="AB9" s="151">
        <f>'CCaMC-VOaMCpUC-pre-ret'!AB9</f>
        <v>2.6685714285714286</v>
      </c>
      <c r="AC9" s="151">
        <f>'CCaMC-VOaMCpUC-pre-ret'!AC9</f>
        <v>2.6490476190476189</v>
      </c>
      <c r="AD9" s="151">
        <f>'CCaMC-VOaMCpUC-pre-ret'!AD9</f>
        <v>2.6295238095238096</v>
      </c>
      <c r="AE9" s="151">
        <f>'CCaMC-VOaMCpUC-pre-ret'!AE9</f>
        <v>2.6100000000000003</v>
      </c>
      <c r="AF9" s="151">
        <f>'CCaMC-VOaMCpUC-pre-ret'!AF9</f>
        <v>2.5904761904761906</v>
      </c>
    </row>
    <row r="10" spans="1:32" ht="14.25" customHeight="1">
      <c r="A10" s="5" t="s">
        <v>1120</v>
      </c>
      <c r="B10" s="151">
        <f>'CCaMC-VOaMCpUC-pre-ret'!B10</f>
        <v>0.23809523809523808</v>
      </c>
      <c r="C10" s="151">
        <f>'CCaMC-VOaMCpUC-pre-ret'!C10</f>
        <v>0.24444444444444444</v>
      </c>
      <c r="D10" s="151">
        <f>'CCaMC-VOaMCpUC-pre-ret'!D10</f>
        <v>0.25079365079365079</v>
      </c>
      <c r="E10" s="151">
        <f>'CCaMC-VOaMCpUC-pre-ret'!E10</f>
        <v>0.25714285714285717</v>
      </c>
      <c r="F10" s="151">
        <f>'CCaMC-VOaMCpUC-pre-ret'!F10</f>
        <v>0.25714285714285717</v>
      </c>
      <c r="G10" s="151">
        <f>'CCaMC-VOaMCpUC-pre-ret'!G10</f>
        <v>0.25714285714285717</v>
      </c>
      <c r="H10" s="151">
        <f>'CCaMC-VOaMCpUC-pre-ret'!H10</f>
        <v>0.25714285714285717</v>
      </c>
      <c r="I10" s="151">
        <f>'CCaMC-VOaMCpUC-pre-ret'!I10</f>
        <v>0.25714285714285717</v>
      </c>
      <c r="J10" s="151">
        <f>'CCaMC-VOaMCpUC-pre-ret'!J10</f>
        <v>0.25714285714285717</v>
      </c>
      <c r="K10" s="151">
        <f>'CCaMC-VOaMCpUC-pre-ret'!K10</f>
        <v>0.25714285714285717</v>
      </c>
      <c r="L10" s="151">
        <f>'CCaMC-VOaMCpUC-pre-ret'!L10</f>
        <v>0.25714285714285717</v>
      </c>
      <c r="M10" s="151">
        <f>'CCaMC-VOaMCpUC-pre-ret'!M10</f>
        <v>0.25571428571428573</v>
      </c>
      <c r="N10" s="151">
        <f>'CCaMC-VOaMCpUC-pre-ret'!N10</f>
        <v>0.25428571428571434</v>
      </c>
      <c r="O10" s="151">
        <f>'CCaMC-VOaMCpUC-pre-ret'!O10</f>
        <v>0.25285714285714289</v>
      </c>
      <c r="P10" s="151">
        <f>'CCaMC-VOaMCpUC-pre-ret'!P10</f>
        <v>0.25142857142857145</v>
      </c>
      <c r="Q10" s="151">
        <f>'CCaMC-VOaMCpUC-pre-ret'!Q10</f>
        <v>0.25</v>
      </c>
      <c r="R10" s="151">
        <f>'CCaMC-VOaMCpUC-pre-ret'!R10</f>
        <v>0.24857142857142858</v>
      </c>
      <c r="S10" s="151">
        <f>'CCaMC-VOaMCpUC-pre-ret'!S10</f>
        <v>0.24714285714285716</v>
      </c>
      <c r="T10" s="151">
        <f>'CCaMC-VOaMCpUC-pre-ret'!T10</f>
        <v>0.24571428571428572</v>
      </c>
      <c r="U10" s="151">
        <f>'CCaMC-VOaMCpUC-pre-ret'!U10</f>
        <v>0.24428571428571427</v>
      </c>
      <c r="V10" s="151">
        <f>'CCaMC-VOaMCpUC-pre-ret'!V10</f>
        <v>0.24285714285714285</v>
      </c>
      <c r="W10" s="151">
        <f>'CCaMC-VOaMCpUC-pre-ret'!W10</f>
        <v>0.24142857142857144</v>
      </c>
      <c r="X10" s="151">
        <f>'CCaMC-VOaMCpUC-pre-ret'!X10</f>
        <v>0.24</v>
      </c>
      <c r="Y10" s="151">
        <f>'CCaMC-VOaMCpUC-pre-ret'!Y10</f>
        <v>0.23857142857142855</v>
      </c>
      <c r="Z10" s="151">
        <f>'CCaMC-VOaMCpUC-pre-ret'!Z10</f>
        <v>0.23714285714285713</v>
      </c>
      <c r="AA10" s="151">
        <f>'CCaMC-VOaMCpUC-pre-ret'!AA10</f>
        <v>0.23571428571428571</v>
      </c>
      <c r="AB10" s="151">
        <f>'CCaMC-VOaMCpUC-pre-ret'!AB10</f>
        <v>0.23428571428571426</v>
      </c>
      <c r="AC10" s="151">
        <f>'CCaMC-VOaMCpUC-pre-ret'!AC10</f>
        <v>0.23285714285714282</v>
      </c>
      <c r="AD10" s="151">
        <f>'CCaMC-VOaMCpUC-pre-ret'!AD10</f>
        <v>0.2314285714285714</v>
      </c>
      <c r="AE10" s="151">
        <f>'CCaMC-VOaMCpUC-pre-ret'!AE10</f>
        <v>0.22999999999999998</v>
      </c>
      <c r="AF10" s="151">
        <f>'CCaMC-VOaMCpUC-pre-ret'!AF10</f>
        <v>0.22857142857142854</v>
      </c>
    </row>
    <row r="11" spans="1:32" ht="14.25" customHeight="1">
      <c r="A11" s="5" t="s">
        <v>1121</v>
      </c>
      <c r="B11" s="151">
        <f>'CCaMC-VOaMCpUC-pre-ret'!B11</f>
        <v>6.0952380952380949</v>
      </c>
      <c r="C11" s="151">
        <f>'CCaMC-VOaMCpUC-pre-ret'!C11</f>
        <v>6.3809523809523805</v>
      </c>
      <c r="D11" s="151">
        <f>'CCaMC-VOaMCpUC-pre-ret'!D11</f>
        <v>6.6666666666666661</v>
      </c>
      <c r="E11" s="151">
        <f>'CCaMC-VOaMCpUC-pre-ret'!E11</f>
        <v>6.9523809523809517</v>
      </c>
      <c r="F11" s="151">
        <f>'CCaMC-VOaMCpUC-pre-ret'!F11</f>
        <v>6.8897959183673461</v>
      </c>
      <c r="G11" s="151">
        <f>'CCaMC-VOaMCpUC-pre-ret'!G11</f>
        <v>6.8272108843537405</v>
      </c>
      <c r="H11" s="151">
        <f>'CCaMC-VOaMCpUC-pre-ret'!H11</f>
        <v>6.7646258503401349</v>
      </c>
      <c r="I11" s="151">
        <f>'CCaMC-VOaMCpUC-pre-ret'!I11</f>
        <v>6.7020408163265301</v>
      </c>
      <c r="J11" s="151">
        <f>'CCaMC-VOaMCpUC-pre-ret'!J11</f>
        <v>6.6394557823129245</v>
      </c>
      <c r="K11" s="151">
        <f>'CCaMC-VOaMCpUC-pre-ret'!K11</f>
        <v>6.5768707482993189</v>
      </c>
      <c r="L11" s="151">
        <f>'CCaMC-VOaMCpUC-pre-ret'!L11</f>
        <v>6.5142857142857133</v>
      </c>
      <c r="M11" s="151">
        <f>'CCaMC-VOaMCpUC-pre-ret'!M11</f>
        <v>6.5033333333333321</v>
      </c>
      <c r="N11" s="151">
        <f>'CCaMC-VOaMCpUC-pre-ret'!N11</f>
        <v>6.4923809523809517</v>
      </c>
      <c r="O11" s="151">
        <f>'CCaMC-VOaMCpUC-pre-ret'!O11</f>
        <v>6.4814285714285704</v>
      </c>
      <c r="P11" s="151">
        <f>'CCaMC-VOaMCpUC-pre-ret'!P11</f>
        <v>6.47047619047619</v>
      </c>
      <c r="Q11" s="151">
        <f>'CCaMC-VOaMCpUC-pre-ret'!Q11</f>
        <v>6.4595238095238088</v>
      </c>
      <c r="R11" s="151">
        <f>'CCaMC-VOaMCpUC-pre-ret'!R11</f>
        <v>6.4485714285714275</v>
      </c>
      <c r="S11" s="151">
        <f>'CCaMC-VOaMCpUC-pre-ret'!S11</f>
        <v>6.4376190476190471</v>
      </c>
      <c r="T11" s="151">
        <f>'CCaMC-VOaMCpUC-pre-ret'!T11</f>
        <v>6.4266666666666659</v>
      </c>
      <c r="U11" s="151">
        <f>'CCaMC-VOaMCpUC-pre-ret'!U11</f>
        <v>6.4157142857142855</v>
      </c>
      <c r="V11" s="151">
        <f>'CCaMC-VOaMCpUC-pre-ret'!V11</f>
        <v>6.4047619047619042</v>
      </c>
      <c r="W11" s="151">
        <f>'CCaMC-VOaMCpUC-pre-ret'!W11</f>
        <v>6.3938095238095229</v>
      </c>
      <c r="X11" s="151">
        <f>'CCaMC-VOaMCpUC-pre-ret'!X11</f>
        <v>6.3828571428571426</v>
      </c>
      <c r="Y11" s="151">
        <f>'CCaMC-VOaMCpUC-pre-ret'!Y11</f>
        <v>6.3719047619047613</v>
      </c>
      <c r="Z11" s="151">
        <f>'CCaMC-VOaMCpUC-pre-ret'!Z11</f>
        <v>6.3609523809523809</v>
      </c>
      <c r="AA11" s="151">
        <f>'CCaMC-VOaMCpUC-pre-ret'!AA11</f>
        <v>6.35</v>
      </c>
      <c r="AB11" s="151">
        <f>'CCaMC-VOaMCpUC-pre-ret'!AB11</f>
        <v>6.3390476190476184</v>
      </c>
      <c r="AC11" s="151">
        <f>'CCaMC-VOaMCpUC-pre-ret'!AC11</f>
        <v>6.328095238095238</v>
      </c>
      <c r="AD11" s="151">
        <f>'CCaMC-VOaMCpUC-pre-ret'!AD11</f>
        <v>6.3171428571428567</v>
      </c>
      <c r="AE11" s="151">
        <f>'CCaMC-VOaMCpUC-pre-ret'!AE11</f>
        <v>6.3061904761904763</v>
      </c>
      <c r="AF11" s="151">
        <f>'CCaMC-VOaMCpUC-pre-ret'!AF11</f>
        <v>6.2952380952380951</v>
      </c>
    </row>
    <row r="12" spans="1:32" ht="14.25" customHeight="1">
      <c r="A12" s="5" t="s">
        <v>1122</v>
      </c>
      <c r="B12" s="151">
        <f>'CCaMC-VOaMCpUC-pre-ret'!B12</f>
        <v>0.12380952380952381</v>
      </c>
      <c r="C12" s="151">
        <f>'CCaMC-VOaMCpUC-pre-ret'!C12</f>
        <v>0.90793650793650793</v>
      </c>
      <c r="D12" s="151">
        <f>'CCaMC-VOaMCpUC-pre-ret'!D12</f>
        <v>1.692063492063492</v>
      </c>
      <c r="E12" s="151">
        <f>'CCaMC-VOaMCpUC-pre-ret'!E12</f>
        <v>2.4761904761904763</v>
      </c>
      <c r="F12" s="151">
        <f>'CCaMC-VOaMCpUC-pre-ret'!F12</f>
        <v>2.4625850340136055</v>
      </c>
      <c r="G12" s="151">
        <f>'CCaMC-VOaMCpUC-pre-ret'!G12</f>
        <v>2.4489795918367347</v>
      </c>
      <c r="H12" s="151">
        <f>'CCaMC-VOaMCpUC-pre-ret'!H12</f>
        <v>2.435374149659864</v>
      </c>
      <c r="I12" s="151">
        <f>'CCaMC-VOaMCpUC-pre-ret'!I12</f>
        <v>2.4217687074829932</v>
      </c>
      <c r="J12" s="151">
        <f>'CCaMC-VOaMCpUC-pre-ret'!J12</f>
        <v>2.4081632653061225</v>
      </c>
      <c r="K12" s="151">
        <f>'CCaMC-VOaMCpUC-pre-ret'!K12</f>
        <v>2.3945578231292517</v>
      </c>
      <c r="L12" s="151">
        <f>'CCaMC-VOaMCpUC-pre-ret'!L12</f>
        <v>2.3809523809523809</v>
      </c>
      <c r="M12" s="151">
        <f>'CCaMC-VOaMCpUC-pre-ret'!M12</f>
        <v>2.3761904761904762</v>
      </c>
      <c r="N12" s="151">
        <f>'CCaMC-VOaMCpUC-pre-ret'!N12</f>
        <v>2.3714285714285714</v>
      </c>
      <c r="O12" s="151">
        <f>'CCaMC-VOaMCpUC-pre-ret'!O12</f>
        <v>2.3666666666666667</v>
      </c>
      <c r="P12" s="151">
        <f>'CCaMC-VOaMCpUC-pre-ret'!P12</f>
        <v>2.361904761904762</v>
      </c>
      <c r="Q12" s="151">
        <f>'CCaMC-VOaMCpUC-pre-ret'!Q12</f>
        <v>2.3571428571428572</v>
      </c>
      <c r="R12" s="151">
        <f>'CCaMC-VOaMCpUC-pre-ret'!R12</f>
        <v>2.3523809523809525</v>
      </c>
      <c r="S12" s="151">
        <f>'CCaMC-VOaMCpUC-pre-ret'!S12</f>
        <v>2.3476190476190477</v>
      </c>
      <c r="T12" s="151">
        <f>'CCaMC-VOaMCpUC-pre-ret'!T12</f>
        <v>2.342857142857143</v>
      </c>
      <c r="U12" s="151">
        <f>'CCaMC-VOaMCpUC-pre-ret'!U12</f>
        <v>2.3380952380952382</v>
      </c>
      <c r="V12" s="151">
        <f>'CCaMC-VOaMCpUC-pre-ret'!V12</f>
        <v>2.333333333333333</v>
      </c>
      <c r="W12" s="151">
        <f>'CCaMC-VOaMCpUC-pre-ret'!W12</f>
        <v>2.3285714285714283</v>
      </c>
      <c r="X12" s="151">
        <f>'CCaMC-VOaMCpUC-pre-ret'!X12</f>
        <v>2.3238095238095235</v>
      </c>
      <c r="Y12" s="151">
        <f>'CCaMC-VOaMCpUC-pre-ret'!Y12</f>
        <v>2.3190476190476188</v>
      </c>
      <c r="Z12" s="151">
        <f>'CCaMC-VOaMCpUC-pre-ret'!Z12</f>
        <v>2.3142857142857141</v>
      </c>
      <c r="AA12" s="151">
        <f>'CCaMC-VOaMCpUC-pre-ret'!AA12</f>
        <v>2.3095238095238093</v>
      </c>
      <c r="AB12" s="151">
        <f>'CCaMC-VOaMCpUC-pre-ret'!AB12</f>
        <v>2.3047619047619046</v>
      </c>
      <c r="AC12" s="151">
        <f>'CCaMC-VOaMCpUC-pre-ret'!AC12</f>
        <v>2.2999999999999998</v>
      </c>
      <c r="AD12" s="151">
        <f>'CCaMC-VOaMCpUC-pre-ret'!AD12</f>
        <v>2.2952380952380951</v>
      </c>
      <c r="AE12" s="151">
        <f>'CCaMC-VOaMCpUC-pre-ret'!AE12</f>
        <v>2.2904761904761903</v>
      </c>
      <c r="AF12" s="151">
        <f>'CCaMC-VOaMCpUC-pre-ret'!AF12</f>
        <v>2.2857142857142856</v>
      </c>
    </row>
    <row r="13" spans="1:32" ht="14.25" customHeight="1">
      <c r="A13" s="5" t="s">
        <v>1123</v>
      </c>
      <c r="B13" s="151">
        <f>'CCaMC-VOaMCpUC-pre-ret'!B13</f>
        <v>0.10476190476190475</v>
      </c>
      <c r="C13" s="151">
        <f>'CCaMC-VOaMCpUC-pre-ret'!C13</f>
        <v>0.46666666666666667</v>
      </c>
      <c r="D13" s="151">
        <f>'CCaMC-VOaMCpUC-pre-ret'!D13</f>
        <v>0.82857142857142851</v>
      </c>
      <c r="E13" s="151">
        <f>'CCaMC-VOaMCpUC-pre-ret'!E13</f>
        <v>1.1904761904761905</v>
      </c>
      <c r="F13" s="151">
        <f>'CCaMC-VOaMCpUC-pre-ret'!F13</f>
        <v>1.1836734693877551</v>
      </c>
      <c r="G13" s="151">
        <f>'CCaMC-VOaMCpUC-pre-ret'!G13</f>
        <v>1.1768707482993197</v>
      </c>
      <c r="H13" s="151">
        <f>'CCaMC-VOaMCpUC-pre-ret'!H13</f>
        <v>1.1700680272108843</v>
      </c>
      <c r="I13" s="151">
        <f>'CCaMC-VOaMCpUC-pre-ret'!I13</f>
        <v>1.1632653061224489</v>
      </c>
      <c r="J13" s="151">
        <f>'CCaMC-VOaMCpUC-pre-ret'!J13</f>
        <v>1.1564625850340136</v>
      </c>
      <c r="K13" s="151">
        <f>'CCaMC-VOaMCpUC-pre-ret'!K13</f>
        <v>1.1496598639455782</v>
      </c>
      <c r="L13" s="151">
        <f>'CCaMC-VOaMCpUC-pre-ret'!L13</f>
        <v>1.1428571428571428</v>
      </c>
      <c r="M13" s="151">
        <f>'CCaMC-VOaMCpUC-pre-ret'!M13</f>
        <v>1.1404761904761904</v>
      </c>
      <c r="N13" s="151">
        <f>'CCaMC-VOaMCpUC-pre-ret'!N13</f>
        <v>1.138095238095238</v>
      </c>
      <c r="O13" s="151">
        <f>'CCaMC-VOaMCpUC-pre-ret'!O13</f>
        <v>1.1357142857142857</v>
      </c>
      <c r="P13" s="151">
        <f>'CCaMC-VOaMCpUC-pre-ret'!P13</f>
        <v>1.1333333333333333</v>
      </c>
      <c r="Q13" s="151">
        <f>'CCaMC-VOaMCpUC-pre-ret'!Q13</f>
        <v>1.1309523809523809</v>
      </c>
      <c r="R13" s="151">
        <f>'CCaMC-VOaMCpUC-pre-ret'!R13</f>
        <v>1.1285714285714286</v>
      </c>
      <c r="S13" s="151">
        <f>'CCaMC-VOaMCpUC-pre-ret'!S13</f>
        <v>1.1261904761904762</v>
      </c>
      <c r="T13" s="151">
        <f>'CCaMC-VOaMCpUC-pre-ret'!T13</f>
        <v>1.1238095238095238</v>
      </c>
      <c r="U13" s="151">
        <f>'CCaMC-VOaMCpUC-pre-ret'!U13</f>
        <v>1.1214285714285714</v>
      </c>
      <c r="V13" s="151">
        <f>'CCaMC-VOaMCpUC-pre-ret'!V13</f>
        <v>1.1190476190476191</v>
      </c>
      <c r="W13" s="151">
        <f>'CCaMC-VOaMCpUC-pre-ret'!W13</f>
        <v>1.1166666666666665</v>
      </c>
      <c r="X13" s="151">
        <f>'CCaMC-VOaMCpUC-pre-ret'!X13</f>
        <v>1.1142857142857141</v>
      </c>
      <c r="Y13" s="151">
        <f>'CCaMC-VOaMCpUC-pre-ret'!Y13</f>
        <v>1.1119047619047617</v>
      </c>
      <c r="Z13" s="151">
        <f>'CCaMC-VOaMCpUC-pre-ret'!Z13</f>
        <v>1.1095238095238094</v>
      </c>
      <c r="AA13" s="151">
        <f>'CCaMC-VOaMCpUC-pre-ret'!AA13</f>
        <v>1.107142857142857</v>
      </c>
      <c r="AB13" s="151">
        <f>'CCaMC-VOaMCpUC-pre-ret'!AB13</f>
        <v>1.1047619047619046</v>
      </c>
      <c r="AC13" s="151">
        <f>'CCaMC-VOaMCpUC-pre-ret'!AC13</f>
        <v>1.1023809523809522</v>
      </c>
      <c r="AD13" s="151">
        <f>'CCaMC-VOaMCpUC-pre-ret'!AD13</f>
        <v>1.0999999999999999</v>
      </c>
      <c r="AE13" s="151">
        <f>'CCaMC-VOaMCpUC-pre-ret'!AE13</f>
        <v>1.0976190476190475</v>
      </c>
      <c r="AF13" s="151">
        <f>'CCaMC-VOaMCpUC-pre-ret'!AF13</f>
        <v>1.0952380952380951</v>
      </c>
    </row>
    <row r="14" spans="1:32" ht="14.25" customHeight="1">
      <c r="A14" s="5" t="s">
        <v>1124</v>
      </c>
      <c r="B14" s="151">
        <f>'CCaMC-VOaMCpUC-pre-ret'!B14</f>
        <v>0</v>
      </c>
      <c r="C14" s="151">
        <f>'CCaMC-VOaMCpUC-pre-ret'!C14</f>
        <v>0</v>
      </c>
      <c r="D14" s="151">
        <f>'CCaMC-VOaMCpUC-pre-ret'!D14</f>
        <v>0</v>
      </c>
      <c r="E14" s="151">
        <f>'CCaMC-VOaMCpUC-pre-ret'!E14</f>
        <v>0</v>
      </c>
      <c r="F14" s="151">
        <f>'CCaMC-VOaMCpUC-pre-ret'!F14</f>
        <v>0</v>
      </c>
      <c r="G14" s="151">
        <f>'CCaMC-VOaMCpUC-pre-ret'!G14</f>
        <v>0</v>
      </c>
      <c r="H14" s="151">
        <f>'CCaMC-VOaMCpUC-pre-ret'!H14</f>
        <v>0</v>
      </c>
      <c r="I14" s="151">
        <f>'CCaMC-VOaMCpUC-pre-ret'!I14</f>
        <v>0</v>
      </c>
      <c r="J14" s="151">
        <f>'CCaMC-VOaMCpUC-pre-ret'!J14</f>
        <v>0</v>
      </c>
      <c r="K14" s="151">
        <f>'CCaMC-VOaMCpUC-pre-ret'!K14</f>
        <v>0</v>
      </c>
      <c r="L14" s="151">
        <f>'CCaMC-VOaMCpUC-pre-ret'!L14</f>
        <v>0</v>
      </c>
      <c r="M14" s="151">
        <f>'CCaMC-VOaMCpUC-pre-ret'!M14</f>
        <v>0</v>
      </c>
      <c r="N14" s="151">
        <f>'CCaMC-VOaMCpUC-pre-ret'!N14</f>
        <v>0</v>
      </c>
      <c r="O14" s="151">
        <f>'CCaMC-VOaMCpUC-pre-ret'!O14</f>
        <v>0</v>
      </c>
      <c r="P14" s="151">
        <f>'CCaMC-VOaMCpUC-pre-ret'!P14</f>
        <v>0</v>
      </c>
      <c r="Q14" s="151">
        <f>'CCaMC-VOaMCpUC-pre-ret'!Q14</f>
        <v>0</v>
      </c>
      <c r="R14" s="151">
        <f>'CCaMC-VOaMCpUC-pre-ret'!R14</f>
        <v>0</v>
      </c>
      <c r="S14" s="151">
        <f>'CCaMC-VOaMCpUC-pre-ret'!S14</f>
        <v>0</v>
      </c>
      <c r="T14" s="151">
        <f>'CCaMC-VOaMCpUC-pre-ret'!T14</f>
        <v>0</v>
      </c>
      <c r="U14" s="151">
        <f>'CCaMC-VOaMCpUC-pre-ret'!U14</f>
        <v>0</v>
      </c>
      <c r="V14" s="151">
        <f>'CCaMC-VOaMCpUC-pre-ret'!V14</f>
        <v>0</v>
      </c>
      <c r="W14" s="151">
        <f>'CCaMC-VOaMCpUC-pre-ret'!W14</f>
        <v>0</v>
      </c>
      <c r="X14" s="151">
        <f>'CCaMC-VOaMCpUC-pre-ret'!X14</f>
        <v>0</v>
      </c>
      <c r="Y14" s="151">
        <f>'CCaMC-VOaMCpUC-pre-ret'!Y14</f>
        <v>0</v>
      </c>
      <c r="Z14" s="151">
        <f>'CCaMC-VOaMCpUC-pre-ret'!Z14</f>
        <v>0</v>
      </c>
      <c r="AA14" s="151">
        <f>'CCaMC-VOaMCpUC-pre-ret'!AA14</f>
        <v>0</v>
      </c>
      <c r="AB14" s="151">
        <f>'CCaMC-VOaMCpUC-pre-ret'!AB14</f>
        <v>0</v>
      </c>
      <c r="AC14" s="151">
        <f>'CCaMC-VOaMCpUC-pre-ret'!AC14</f>
        <v>0</v>
      </c>
      <c r="AD14" s="151">
        <f>'CCaMC-VOaMCpUC-pre-ret'!AD14</f>
        <v>0</v>
      </c>
      <c r="AE14" s="151">
        <f>'CCaMC-VOaMCpUC-pre-ret'!AE14</f>
        <v>0</v>
      </c>
      <c r="AF14" s="151">
        <f>'CCaMC-VOaMCpUC-pre-ret'!AF14</f>
        <v>0</v>
      </c>
    </row>
    <row r="15" spans="1:32" ht="14.25" customHeight="1">
      <c r="A15" s="5" t="s">
        <v>1125</v>
      </c>
      <c r="B15" s="151">
        <f>'CCaMC-VOaMCpUC-pre-ret'!B15</f>
        <v>6.0952380952380949</v>
      </c>
      <c r="C15" s="151">
        <f>'CCaMC-VOaMCpUC-pre-ret'!C15</f>
        <v>6.3809523809523805</v>
      </c>
      <c r="D15" s="151">
        <f>'CCaMC-VOaMCpUC-pre-ret'!D15</f>
        <v>6.6666666666666661</v>
      </c>
      <c r="E15" s="151">
        <f>'CCaMC-VOaMCpUC-pre-ret'!E15</f>
        <v>6.9523809523809517</v>
      </c>
      <c r="F15" s="151">
        <f>'CCaMC-VOaMCpUC-pre-ret'!F15</f>
        <v>6.8897959183673461</v>
      </c>
      <c r="G15" s="151">
        <f>'CCaMC-VOaMCpUC-pre-ret'!G15</f>
        <v>6.8272108843537405</v>
      </c>
      <c r="H15" s="151">
        <f>'CCaMC-VOaMCpUC-pre-ret'!H15</f>
        <v>6.7646258503401349</v>
      </c>
      <c r="I15" s="151">
        <f>'CCaMC-VOaMCpUC-pre-ret'!I15</f>
        <v>6.7020408163265301</v>
      </c>
      <c r="J15" s="151">
        <f>'CCaMC-VOaMCpUC-pre-ret'!J15</f>
        <v>6.6394557823129245</v>
      </c>
      <c r="K15" s="151">
        <f>'CCaMC-VOaMCpUC-pre-ret'!K15</f>
        <v>6.5768707482993189</v>
      </c>
      <c r="L15" s="151">
        <f>'CCaMC-VOaMCpUC-pre-ret'!L15</f>
        <v>6.5142857142857133</v>
      </c>
      <c r="M15" s="151">
        <f>'CCaMC-VOaMCpUC-pre-ret'!M15</f>
        <v>6.5033333333333321</v>
      </c>
      <c r="N15" s="151">
        <f>'CCaMC-VOaMCpUC-pre-ret'!N15</f>
        <v>6.4923809523809517</v>
      </c>
      <c r="O15" s="151">
        <f>'CCaMC-VOaMCpUC-pre-ret'!O15</f>
        <v>6.4814285714285704</v>
      </c>
      <c r="P15" s="151">
        <f>'CCaMC-VOaMCpUC-pre-ret'!P15</f>
        <v>6.47047619047619</v>
      </c>
      <c r="Q15" s="151">
        <f>'CCaMC-VOaMCpUC-pre-ret'!Q15</f>
        <v>6.4595238095238088</v>
      </c>
      <c r="R15" s="151">
        <f>'CCaMC-VOaMCpUC-pre-ret'!R15</f>
        <v>6.4485714285714275</v>
      </c>
      <c r="S15" s="151">
        <f>'CCaMC-VOaMCpUC-pre-ret'!S15</f>
        <v>6.4376190476190471</v>
      </c>
      <c r="T15" s="151">
        <f>'CCaMC-VOaMCpUC-pre-ret'!T15</f>
        <v>6.4266666666666659</v>
      </c>
      <c r="U15" s="151">
        <f>'CCaMC-VOaMCpUC-pre-ret'!U15</f>
        <v>6.4157142857142855</v>
      </c>
      <c r="V15" s="151">
        <f>'CCaMC-VOaMCpUC-pre-ret'!V15</f>
        <v>6.4047619047619042</v>
      </c>
      <c r="W15" s="151">
        <f>'CCaMC-VOaMCpUC-pre-ret'!W15</f>
        <v>6.3938095238095229</v>
      </c>
      <c r="X15" s="151">
        <f>'CCaMC-VOaMCpUC-pre-ret'!X15</f>
        <v>6.3828571428571426</v>
      </c>
      <c r="Y15" s="151">
        <f>'CCaMC-VOaMCpUC-pre-ret'!Y15</f>
        <v>6.3719047619047613</v>
      </c>
      <c r="Z15" s="151">
        <f>'CCaMC-VOaMCpUC-pre-ret'!Z15</f>
        <v>6.3609523809523809</v>
      </c>
      <c r="AA15" s="151">
        <f>'CCaMC-VOaMCpUC-pre-ret'!AA15</f>
        <v>6.35</v>
      </c>
      <c r="AB15" s="151">
        <f>'CCaMC-VOaMCpUC-pre-ret'!AB15</f>
        <v>6.3390476190476184</v>
      </c>
      <c r="AC15" s="151">
        <f>'CCaMC-VOaMCpUC-pre-ret'!AC15</f>
        <v>6.328095238095238</v>
      </c>
      <c r="AD15" s="151">
        <f>'CCaMC-VOaMCpUC-pre-ret'!AD15</f>
        <v>6.3171428571428567</v>
      </c>
      <c r="AE15" s="151">
        <f>'CCaMC-VOaMCpUC-pre-ret'!AE15</f>
        <v>6.3061904761904763</v>
      </c>
      <c r="AF15" s="151">
        <f>'CCaMC-VOaMCpUC-pre-ret'!AF15</f>
        <v>6.2952380952380951</v>
      </c>
    </row>
    <row r="16" spans="1:32" ht="14.25" customHeight="1">
      <c r="A16" s="5" t="s">
        <v>1126</v>
      </c>
      <c r="B16" s="151">
        <f>'CCaMC-VOaMCpUC-pre-ret'!B16</f>
        <v>6.0952380952380949</v>
      </c>
      <c r="C16" s="151">
        <f>'CCaMC-VOaMCpUC-pre-ret'!C16</f>
        <v>6.3809523809523805</v>
      </c>
      <c r="D16" s="151">
        <f>'CCaMC-VOaMCpUC-pre-ret'!D16</f>
        <v>6.6666666666666661</v>
      </c>
      <c r="E16" s="151">
        <f>'CCaMC-VOaMCpUC-pre-ret'!E16</f>
        <v>6.9523809523809517</v>
      </c>
      <c r="F16" s="151">
        <f>'CCaMC-VOaMCpUC-pre-ret'!F16</f>
        <v>6.8897959183673461</v>
      </c>
      <c r="G16" s="151">
        <f>'CCaMC-VOaMCpUC-pre-ret'!G16</f>
        <v>6.8272108843537405</v>
      </c>
      <c r="H16" s="151">
        <f>'CCaMC-VOaMCpUC-pre-ret'!H16</f>
        <v>6.7646258503401349</v>
      </c>
      <c r="I16" s="151">
        <f>'CCaMC-VOaMCpUC-pre-ret'!I16</f>
        <v>6.7020408163265301</v>
      </c>
      <c r="J16" s="151">
        <f>'CCaMC-VOaMCpUC-pre-ret'!J16</f>
        <v>6.6394557823129245</v>
      </c>
      <c r="K16" s="151">
        <f>'CCaMC-VOaMCpUC-pre-ret'!K16</f>
        <v>6.5768707482993189</v>
      </c>
      <c r="L16" s="151">
        <f>'CCaMC-VOaMCpUC-pre-ret'!L16</f>
        <v>6.5142857142857133</v>
      </c>
      <c r="M16" s="151">
        <f>'CCaMC-VOaMCpUC-pre-ret'!M16</f>
        <v>6.5033333333333321</v>
      </c>
      <c r="N16" s="151">
        <f>'CCaMC-VOaMCpUC-pre-ret'!N16</f>
        <v>6.4923809523809517</v>
      </c>
      <c r="O16" s="151">
        <f>'CCaMC-VOaMCpUC-pre-ret'!O16</f>
        <v>6.4814285714285704</v>
      </c>
      <c r="P16" s="151">
        <f>'CCaMC-VOaMCpUC-pre-ret'!P16</f>
        <v>6.47047619047619</v>
      </c>
      <c r="Q16" s="151">
        <f>'CCaMC-VOaMCpUC-pre-ret'!Q16</f>
        <v>6.4595238095238088</v>
      </c>
      <c r="R16" s="151">
        <f>'CCaMC-VOaMCpUC-pre-ret'!R16</f>
        <v>6.4485714285714275</v>
      </c>
      <c r="S16" s="151">
        <f>'CCaMC-VOaMCpUC-pre-ret'!S16</f>
        <v>6.4376190476190471</v>
      </c>
      <c r="T16" s="151">
        <f>'CCaMC-VOaMCpUC-pre-ret'!T16</f>
        <v>6.4266666666666659</v>
      </c>
      <c r="U16" s="151">
        <f>'CCaMC-VOaMCpUC-pre-ret'!U16</f>
        <v>6.4157142857142855</v>
      </c>
      <c r="V16" s="151">
        <f>'CCaMC-VOaMCpUC-pre-ret'!V16</f>
        <v>6.4047619047619042</v>
      </c>
      <c r="W16" s="151">
        <f>'CCaMC-VOaMCpUC-pre-ret'!W16</f>
        <v>6.3938095238095229</v>
      </c>
      <c r="X16" s="151">
        <f>'CCaMC-VOaMCpUC-pre-ret'!X16</f>
        <v>6.3828571428571426</v>
      </c>
      <c r="Y16" s="151">
        <f>'CCaMC-VOaMCpUC-pre-ret'!Y16</f>
        <v>6.3719047619047613</v>
      </c>
      <c r="Z16" s="151">
        <f>'CCaMC-VOaMCpUC-pre-ret'!Z16</f>
        <v>6.3609523809523809</v>
      </c>
      <c r="AA16" s="151">
        <f>'CCaMC-VOaMCpUC-pre-ret'!AA16</f>
        <v>6.35</v>
      </c>
      <c r="AB16" s="151">
        <f>'CCaMC-VOaMCpUC-pre-ret'!AB16</f>
        <v>6.3390476190476184</v>
      </c>
      <c r="AC16" s="151">
        <f>'CCaMC-VOaMCpUC-pre-ret'!AC16</f>
        <v>6.328095238095238</v>
      </c>
      <c r="AD16" s="151">
        <f>'CCaMC-VOaMCpUC-pre-ret'!AD16</f>
        <v>6.3171428571428567</v>
      </c>
      <c r="AE16" s="151">
        <f>'CCaMC-VOaMCpUC-pre-ret'!AE16</f>
        <v>6.3061904761904763</v>
      </c>
      <c r="AF16" s="151">
        <f>'CCaMC-VOaMCpUC-pre-ret'!AF16</f>
        <v>6.2952380952380951</v>
      </c>
    </row>
    <row r="17" spans="1:32" ht="14.25" customHeight="1">
      <c r="A17" s="5" t="s">
        <v>1127</v>
      </c>
      <c r="B17" s="151">
        <f>'CCaMC-VOaMCpUC-pre-ret'!B17</f>
        <v>2.8571428571428568</v>
      </c>
      <c r="C17" s="151">
        <f>'CCaMC-VOaMCpUC-pre-ret'!C17</f>
        <v>6.7936507936507935</v>
      </c>
      <c r="D17" s="151">
        <f>'CCaMC-VOaMCpUC-pre-ret'!D17</f>
        <v>10.730158730158731</v>
      </c>
      <c r="E17" s="151">
        <f>'CCaMC-VOaMCpUC-pre-ret'!E17</f>
        <v>14.666666666666666</v>
      </c>
      <c r="F17" s="151">
        <f>'CCaMC-VOaMCpUC-pre-ret'!F17</f>
        <v>14.666666666666666</v>
      </c>
      <c r="G17" s="151">
        <f>'CCaMC-VOaMCpUC-pre-ret'!G17</f>
        <v>14.666666666666666</v>
      </c>
      <c r="H17" s="151">
        <f>'CCaMC-VOaMCpUC-pre-ret'!H17</f>
        <v>14.666666666666666</v>
      </c>
      <c r="I17" s="151">
        <f>'CCaMC-VOaMCpUC-pre-ret'!I17</f>
        <v>14.666666666666666</v>
      </c>
      <c r="J17" s="151">
        <f>'CCaMC-VOaMCpUC-pre-ret'!J17</f>
        <v>14.666666666666666</v>
      </c>
      <c r="K17" s="151">
        <f>'CCaMC-VOaMCpUC-pre-ret'!K17</f>
        <v>14.666666666666666</v>
      </c>
      <c r="L17" s="151">
        <f>'CCaMC-VOaMCpUC-pre-ret'!L17</f>
        <v>14.666666666666666</v>
      </c>
      <c r="M17" s="151">
        <f>'CCaMC-VOaMCpUC-pre-ret'!M17</f>
        <v>14.666666666666666</v>
      </c>
      <c r="N17" s="151">
        <f>'CCaMC-VOaMCpUC-pre-ret'!N17</f>
        <v>14.666666666666666</v>
      </c>
      <c r="O17" s="151">
        <f>'CCaMC-VOaMCpUC-pre-ret'!O17</f>
        <v>14.666666666666666</v>
      </c>
      <c r="P17" s="151">
        <f>'CCaMC-VOaMCpUC-pre-ret'!P17</f>
        <v>14.666666666666666</v>
      </c>
      <c r="Q17" s="151">
        <f>'CCaMC-VOaMCpUC-pre-ret'!Q17</f>
        <v>14.666666666666666</v>
      </c>
      <c r="R17" s="151">
        <f>'CCaMC-VOaMCpUC-pre-ret'!R17</f>
        <v>14.666666666666666</v>
      </c>
      <c r="S17" s="151">
        <f>'CCaMC-VOaMCpUC-pre-ret'!S17</f>
        <v>14.666666666666666</v>
      </c>
      <c r="T17" s="151">
        <f>'CCaMC-VOaMCpUC-pre-ret'!T17</f>
        <v>14.666666666666666</v>
      </c>
      <c r="U17" s="151">
        <f>'CCaMC-VOaMCpUC-pre-ret'!U17</f>
        <v>14.666666666666666</v>
      </c>
      <c r="V17" s="151">
        <f>'CCaMC-VOaMCpUC-pre-ret'!V17</f>
        <v>14.666666666666666</v>
      </c>
      <c r="W17" s="151">
        <f>'CCaMC-VOaMCpUC-pre-ret'!W17</f>
        <v>14.666666666666666</v>
      </c>
      <c r="X17" s="151">
        <f>'CCaMC-VOaMCpUC-pre-ret'!X17</f>
        <v>14.666666666666666</v>
      </c>
      <c r="Y17" s="151">
        <f>'CCaMC-VOaMCpUC-pre-ret'!Y17</f>
        <v>14.666666666666666</v>
      </c>
      <c r="Z17" s="151">
        <f>'CCaMC-VOaMCpUC-pre-ret'!Z17</f>
        <v>14.666666666666666</v>
      </c>
      <c r="AA17" s="151">
        <f>'CCaMC-VOaMCpUC-pre-ret'!AA17</f>
        <v>14.666666666666666</v>
      </c>
      <c r="AB17" s="151">
        <f>'CCaMC-VOaMCpUC-pre-ret'!AB17</f>
        <v>14.666666666666666</v>
      </c>
      <c r="AC17" s="151">
        <f>'CCaMC-VOaMCpUC-pre-ret'!AC17</f>
        <v>14.666666666666666</v>
      </c>
      <c r="AD17" s="151">
        <f>'CCaMC-VOaMCpUC-pre-ret'!AD17</f>
        <v>14.666666666666666</v>
      </c>
      <c r="AE17" s="151">
        <f>'CCaMC-VOaMCpUC-pre-ret'!AE17</f>
        <v>14.666666666666666</v>
      </c>
      <c r="AF17" s="151">
        <f>'CCaMC-VOaMCpUC-pre-ret'!AF17</f>
        <v>14.666666666666666</v>
      </c>
    </row>
    <row r="18" spans="1:32" ht="14.25" customHeight="1">
      <c r="C18" s="5"/>
    </row>
    <row r="19" spans="1:32" ht="14.25" customHeight="1">
      <c r="A19" s="1"/>
    </row>
    <row r="20" spans="1:32" ht="14.25" customHeight="1">
      <c r="F20" s="1"/>
      <c r="G20" s="1"/>
      <c r="H20" s="1"/>
      <c r="I20" s="1"/>
    </row>
    <row r="21" spans="1:32" ht="14.25" customHeight="1"/>
    <row r="22" spans="1:32" ht="14.25" customHeight="1"/>
    <row r="23" spans="1:32" ht="14.25" customHeight="1"/>
    <row r="24" spans="1:32" ht="14.25" customHeight="1"/>
    <row r="25" spans="1:32" ht="14.25" customHeight="1"/>
    <row r="26" spans="1:32" ht="14.25" customHeight="1"/>
    <row r="27" spans="1:32" ht="14.25" customHeight="1"/>
    <row r="28" spans="1:32" ht="14.25" customHeight="1"/>
    <row r="29" spans="1:32" ht="14.25" customHeight="1"/>
    <row r="30" spans="1:32" ht="14.25" customHeight="1"/>
    <row r="31" spans="1:32" ht="14.25" customHeight="1"/>
    <row r="32" spans="1: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AG1000"/>
  <sheetViews>
    <sheetView tabSelected="1" workbookViewId="0">
      <selection activeCell="D25" sqref="D25"/>
    </sheetView>
  </sheetViews>
  <sheetFormatPr baseColWidth="10" defaultColWidth="14.5" defaultRowHeight="15" customHeight="1"/>
  <cols>
    <col min="1" max="1" width="28.1640625" customWidth="1"/>
    <col min="2" max="2" width="10.33203125" customWidth="1"/>
    <col min="3"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49">
        <f t="array" ref="B2">TREND('capital processing'!$B$3:$D$3,'capital processing'!$B$2:$D$2,'CCaMC-BCCpUC'!B1)</f>
        <v>1646071.4285714282</v>
      </c>
      <c r="C2" s="149">
        <f t="array" ref="C2">TREND('capital processing'!$B$3:$D$3,'capital processing'!$B$2:$D$2,'CCaMC-BCCpUC'!C1)</f>
        <v>1642857.1428571427</v>
      </c>
      <c r="D2" s="149">
        <f t="array" ref="D2">TREND('capital processing'!$B$3:$D$3,'capital processing'!$B$2:$D$2,'CCaMC-BCCpUC'!D1)</f>
        <v>1639642.8571428573</v>
      </c>
      <c r="E2" s="149">
        <f t="array" ref="E2">TREND('capital processing'!$B$3:$D$3,'capital processing'!$B$2:$D$2,'CCaMC-BCCpUC'!E1)</f>
        <v>1636428.5714285709</v>
      </c>
      <c r="F2" s="149">
        <f t="array" ref="F2">TREND('capital processing'!$B$3:$D$3,'capital processing'!$B$2:$D$2,'CCaMC-BCCpUC'!F1)</f>
        <v>1633214.2857142854</v>
      </c>
      <c r="G2" s="149">
        <f t="array" ref="G2">TREND('capital processing'!$B$3:$D$3,'capital processing'!$B$2:$D$2,'CCaMC-BCCpUC'!G1)</f>
        <v>1630000</v>
      </c>
      <c r="H2" s="149">
        <f t="array" ref="H2">TREND('capital processing'!$B$3:$D$3,'capital processing'!$B$2:$D$2,'CCaMC-BCCpUC'!H1)</f>
        <v>1626785.7142857146</v>
      </c>
      <c r="I2" s="149">
        <f t="array" ref="I2">TREND('capital processing'!$B$3:$D$3,'capital processing'!$B$2:$D$2,'CCaMC-BCCpUC'!I1)</f>
        <v>1623571.4285714282</v>
      </c>
      <c r="J2" s="149">
        <f t="array" ref="J2">TREND('capital processing'!$B$3:$D$3,'capital processing'!$B$2:$D$2,'CCaMC-BCCpUC'!J1)</f>
        <v>1620357.1428571427</v>
      </c>
      <c r="K2" s="149">
        <f t="array" ref="K2">TREND('capital processing'!$B$3:$D$3,'capital processing'!$B$2:$D$2,'CCaMC-BCCpUC'!K1)</f>
        <v>1617142.8571428573</v>
      </c>
      <c r="L2" s="149">
        <f t="array" ref="L2">TREND('capital processing'!$B$3:$D$3,'capital processing'!$B$2:$D$2,'CCaMC-BCCpUC'!L1)</f>
        <v>1613928.5714285709</v>
      </c>
      <c r="M2" s="149">
        <f t="array" ref="M2">TREND('capital processing'!$B$3:$D$3,'capital processing'!$B$2:$D$2,'CCaMC-BCCpUC'!M1)</f>
        <v>1610714.2857142854</v>
      </c>
      <c r="N2" s="149">
        <f t="array" ref="N2">TREND('capital processing'!$B$3:$D$3,'capital processing'!$B$2:$D$2,'CCaMC-BCCpUC'!N1)</f>
        <v>1607500</v>
      </c>
      <c r="O2" s="149">
        <f t="array" ref="O2">TREND('capital processing'!$B$3:$D$3,'capital processing'!$B$2:$D$2,'CCaMC-BCCpUC'!O1)</f>
        <v>1604285.7142857146</v>
      </c>
      <c r="P2" s="149">
        <f t="array" ref="P2">TREND('capital processing'!$B$3:$D$3,'capital processing'!$B$2:$D$2,'CCaMC-BCCpUC'!P1)</f>
        <v>1601071.4285714282</v>
      </c>
      <c r="Q2" s="149">
        <f t="array" ref="Q2">TREND('capital processing'!$B$3:$D$3,'capital processing'!$B$2:$D$2,'CCaMC-BCCpUC'!Q1)</f>
        <v>1597857.1428571427</v>
      </c>
      <c r="R2" s="149">
        <f t="array" ref="R2">TREND('capital processing'!$B$3:$D$3,'capital processing'!$B$2:$D$2,'CCaMC-BCCpUC'!R1)</f>
        <v>1594642.8571428573</v>
      </c>
      <c r="S2" s="149">
        <f t="array" ref="S2">TREND('capital processing'!$B$3:$D$3,'capital processing'!$B$2:$D$2,'CCaMC-BCCpUC'!S1)</f>
        <v>1591428.5714285709</v>
      </c>
      <c r="T2" s="149">
        <f t="array" ref="T2">TREND('capital processing'!$B$3:$D$3,'capital processing'!$B$2:$D$2,'CCaMC-BCCpUC'!T1)</f>
        <v>1588214.2857142854</v>
      </c>
      <c r="U2" s="149">
        <f t="array" ref="U2">TREND('capital processing'!$B$3:$D$3,'capital processing'!$B$2:$D$2,'CCaMC-BCCpUC'!U1)</f>
        <v>1585000</v>
      </c>
      <c r="V2" s="149">
        <f t="array" ref="V2">TREND('capital processing'!$B$3:$D$3,'capital processing'!$B$2:$D$2,'CCaMC-BCCpUC'!V1)</f>
        <v>1581785.7142857146</v>
      </c>
      <c r="W2" s="149">
        <f t="array" ref="W2">TREND('capital processing'!$B$3:$D$3,'capital processing'!$B$2:$D$2,'CCaMC-BCCpUC'!W1)</f>
        <v>1578571.4285714282</v>
      </c>
      <c r="X2" s="149">
        <f t="array" ref="X2">TREND('capital processing'!$B$3:$D$3,'capital processing'!$B$2:$D$2,'CCaMC-BCCpUC'!X1)</f>
        <v>1575357.1428571427</v>
      </c>
      <c r="Y2" s="149">
        <f t="array" ref="Y2">TREND('capital processing'!$B$3:$D$3,'capital processing'!$B$2:$D$2,'CCaMC-BCCpUC'!Y1)</f>
        <v>1572142.8571428573</v>
      </c>
      <c r="Z2" s="149">
        <f t="array" ref="Z2">TREND('capital processing'!$B$3:$D$3,'capital processing'!$B$2:$D$2,'CCaMC-BCCpUC'!Z1)</f>
        <v>1568928.5714285709</v>
      </c>
      <c r="AA2" s="149">
        <f t="array" ref="AA2">TREND('capital processing'!$B$3:$D$3,'capital processing'!$B$2:$D$2,'CCaMC-BCCpUC'!AA1)</f>
        <v>1565714.2857142854</v>
      </c>
      <c r="AB2" s="149">
        <f t="array" ref="AB2">TREND('capital processing'!$B$3:$D$3,'capital processing'!$B$2:$D$2,'CCaMC-BCCpUC'!AB1)</f>
        <v>1562500</v>
      </c>
      <c r="AC2" s="149">
        <f t="array" ref="AC2">TREND('capital processing'!$B$3:$D$3,'capital processing'!$B$2:$D$2,'CCaMC-BCCpUC'!AC1)</f>
        <v>1559285.7142857146</v>
      </c>
      <c r="AD2" s="149">
        <f t="array" ref="AD2">TREND('capital processing'!$B$3:$D$3,'capital processing'!$B$2:$D$2,'CCaMC-BCCpUC'!AD1)</f>
        <v>1556071.4285714282</v>
      </c>
      <c r="AE2" s="149">
        <f t="array" ref="AE2">TREND('capital processing'!$B$3:$D$3,'capital processing'!$B$2:$D$2,'CCaMC-BCCpUC'!AE1)</f>
        <v>1552857.1428571427</v>
      </c>
      <c r="AF2" s="149">
        <f t="array" ref="AF2">TREND('capital processing'!$B$3:$D$3,'capital processing'!$B$2:$D$2,'CCaMC-BCCpUC'!AF1)</f>
        <v>1549642.8571428573</v>
      </c>
      <c r="AG2" s="149">
        <f t="array" ref="AG2">TREND('capital processing'!$B$3:$D$3,'capital processing'!$B$2:$D$2,'CCaMC-BCCpUC'!AG1)</f>
        <v>1546428.5714285709</v>
      </c>
    </row>
    <row r="3" spans="1:33" ht="14.25" customHeight="1">
      <c r="A3" s="1" t="s">
        <v>1136</v>
      </c>
      <c r="B3" s="149">
        <f t="array" ref="B3">TREND('capital processing'!$B$4:$D$4,'capital processing'!$B$2:$D$2,'CCaMC-BCCpUC'!B1)</f>
        <v>768642.85714285728</v>
      </c>
      <c r="C3" s="149">
        <f t="array" ref="C3">TREND('capital processing'!$B$4:$D$4,'capital processing'!$B$2:$D$2,'CCaMC-BCCpUC'!C1)</f>
        <v>765714.28571428545</v>
      </c>
      <c r="D3" s="149">
        <f t="array" ref="D3">TREND('capital processing'!$B$4:$D$4,'capital processing'!$B$2:$D$2,'CCaMC-BCCpUC'!D1)</f>
        <v>762785.71428571362</v>
      </c>
      <c r="E3" s="149">
        <f t="array" ref="E3">TREND('capital processing'!$B$4:$D$4,'capital processing'!$B$2:$D$2,'CCaMC-BCCpUC'!E1)</f>
        <v>759857.14285714272</v>
      </c>
      <c r="F3" s="149">
        <f t="array" ref="F3">TREND('capital processing'!$B$4:$D$4,'capital processing'!$B$2:$D$2,'CCaMC-BCCpUC'!F1)</f>
        <v>756928.5714285709</v>
      </c>
      <c r="G3" s="149">
        <f t="array" ref="G3">TREND('capital processing'!$B$4:$D$4,'capital processing'!$B$2:$D$2,'CCaMC-BCCpUC'!G1)</f>
        <v>754000</v>
      </c>
      <c r="H3" s="149">
        <f t="array" ref="H3">TREND('capital processing'!$B$4:$D$4,'capital processing'!$B$2:$D$2,'CCaMC-BCCpUC'!H1)</f>
        <v>751071.42857142817</v>
      </c>
      <c r="I3" s="149">
        <f t="array" ref="I3">TREND('capital processing'!$B$4:$D$4,'capital processing'!$B$2:$D$2,'CCaMC-BCCpUC'!I1)</f>
        <v>748142.85714285728</v>
      </c>
      <c r="J3" s="149">
        <f t="array" ref="J3">TREND('capital processing'!$B$4:$D$4,'capital processing'!$B$2:$D$2,'CCaMC-BCCpUC'!J1)</f>
        <v>745214.28571428545</v>
      </c>
      <c r="K3" s="149">
        <f t="array" ref="K3">TREND('capital processing'!$B$4:$D$4,'capital processing'!$B$2:$D$2,'CCaMC-BCCpUC'!K1)</f>
        <v>742285.71428571362</v>
      </c>
      <c r="L3" s="149">
        <f t="array" ref="L3">TREND('capital processing'!$B$4:$D$4,'capital processing'!$B$2:$D$2,'CCaMC-BCCpUC'!L1)</f>
        <v>739357.14285714272</v>
      </c>
      <c r="M3" s="149">
        <f t="array" ref="M3">TREND('capital processing'!$B$4:$D$4,'capital processing'!$B$2:$D$2,'CCaMC-BCCpUC'!M1)</f>
        <v>736428.5714285709</v>
      </c>
      <c r="N3" s="149">
        <f t="array" ref="N3">TREND('capital processing'!$B$4:$D$4,'capital processing'!$B$2:$D$2,'CCaMC-BCCpUC'!N1)</f>
        <v>733500</v>
      </c>
      <c r="O3" s="149">
        <f t="array" ref="O3">TREND('capital processing'!$B$4:$D$4,'capital processing'!$B$2:$D$2,'CCaMC-BCCpUC'!O1)</f>
        <v>730571.42857142817</v>
      </c>
      <c r="P3" s="149">
        <f t="array" ref="P3">TREND('capital processing'!$B$4:$D$4,'capital processing'!$B$2:$D$2,'CCaMC-BCCpUC'!P1)</f>
        <v>727642.85714285728</v>
      </c>
      <c r="Q3" s="149">
        <f t="array" ref="Q3">TREND('capital processing'!$B$4:$D$4,'capital processing'!$B$2:$D$2,'CCaMC-BCCpUC'!Q1)</f>
        <v>724714.28571428545</v>
      </c>
      <c r="R3" s="149">
        <f t="array" ref="R3">TREND('capital processing'!$B$4:$D$4,'capital processing'!$B$2:$D$2,'CCaMC-BCCpUC'!R1)</f>
        <v>721785.71428571362</v>
      </c>
      <c r="S3" s="149">
        <f t="array" ref="S3">TREND('capital processing'!$B$4:$D$4,'capital processing'!$B$2:$D$2,'CCaMC-BCCpUC'!S1)</f>
        <v>718857.14285714272</v>
      </c>
      <c r="T3" s="149">
        <f t="array" ref="T3">TREND('capital processing'!$B$4:$D$4,'capital processing'!$B$2:$D$2,'CCaMC-BCCpUC'!T1)</f>
        <v>715928.5714285709</v>
      </c>
      <c r="U3" s="149">
        <f t="array" ref="U3">TREND('capital processing'!$B$4:$D$4,'capital processing'!$B$2:$D$2,'CCaMC-BCCpUC'!U1)</f>
        <v>713000</v>
      </c>
      <c r="V3" s="149">
        <f t="array" ref="V3">TREND('capital processing'!$B$4:$D$4,'capital processing'!$B$2:$D$2,'CCaMC-BCCpUC'!V1)</f>
        <v>710071.42857142817</v>
      </c>
      <c r="W3" s="149">
        <f t="array" ref="W3">TREND('capital processing'!$B$4:$D$4,'capital processing'!$B$2:$D$2,'CCaMC-BCCpUC'!W1)</f>
        <v>707142.85714285728</v>
      </c>
      <c r="X3" s="149">
        <f t="array" ref="X3">TREND('capital processing'!$B$4:$D$4,'capital processing'!$B$2:$D$2,'CCaMC-BCCpUC'!X1)</f>
        <v>704214.28571428545</v>
      </c>
      <c r="Y3" s="149">
        <f t="array" ref="Y3">TREND('capital processing'!$B$4:$D$4,'capital processing'!$B$2:$D$2,'CCaMC-BCCpUC'!Y1)</f>
        <v>701285.71428571362</v>
      </c>
      <c r="Z3" s="149">
        <f t="array" ref="Z3">TREND('capital processing'!$B$4:$D$4,'capital processing'!$B$2:$D$2,'CCaMC-BCCpUC'!Z1)</f>
        <v>698357.14285714272</v>
      </c>
      <c r="AA3" s="149">
        <f t="array" ref="AA3">TREND('capital processing'!$B$4:$D$4,'capital processing'!$B$2:$D$2,'CCaMC-BCCpUC'!AA1)</f>
        <v>695428.5714285709</v>
      </c>
      <c r="AB3" s="149">
        <f t="array" ref="AB3">TREND('capital processing'!$B$4:$D$4,'capital processing'!$B$2:$D$2,'CCaMC-BCCpUC'!AB1)</f>
        <v>692500</v>
      </c>
      <c r="AC3" s="149">
        <f t="array" ref="AC3">TREND('capital processing'!$B$4:$D$4,'capital processing'!$B$2:$D$2,'CCaMC-BCCpUC'!AC1)</f>
        <v>689571.42857142817</v>
      </c>
      <c r="AD3" s="149">
        <f t="array" ref="AD3">TREND('capital processing'!$B$4:$D$4,'capital processing'!$B$2:$D$2,'CCaMC-BCCpUC'!AD1)</f>
        <v>686642.85714285728</v>
      </c>
      <c r="AE3" s="149">
        <f t="array" ref="AE3">TREND('capital processing'!$B$4:$D$4,'capital processing'!$B$2:$D$2,'CCaMC-BCCpUC'!AE1)</f>
        <v>683714.28571428545</v>
      </c>
      <c r="AF3" s="149">
        <f t="array" ref="AF3">TREND('capital processing'!$B$4:$D$4,'capital processing'!$B$2:$D$2,'CCaMC-BCCpUC'!AF1)</f>
        <v>680785.71428571362</v>
      </c>
      <c r="AG3" s="149">
        <f t="array" ref="AG3">TREND('capital processing'!$B$4:$D$4,'capital processing'!$B$2:$D$2,'CCaMC-BCCpUC'!AG1)</f>
        <v>677857.14285714272</v>
      </c>
    </row>
    <row r="4" spans="1:33" ht="14.25" customHeight="1">
      <c r="A4" s="1" t="s">
        <v>1137</v>
      </c>
      <c r="B4" s="149">
        <f>nuclear!D3*About!$A$34</f>
        <v>7291.9504746640278</v>
      </c>
      <c r="C4" s="149">
        <f>nuclear!E3*About!$A$34</f>
        <v>7254.5327840907339</v>
      </c>
      <c r="D4" s="149">
        <f>nuclear!F3*About!$A$34</f>
        <v>7217.1150935174401</v>
      </c>
      <c r="E4" s="149">
        <f>nuclear!G3*About!$A$34</f>
        <v>7179.6974029441462</v>
      </c>
      <c r="F4" s="149">
        <f>nuclear!H3*About!$A$34</f>
        <v>7142.2797123708524</v>
      </c>
      <c r="G4" s="149">
        <f>nuclear!I3*About!$A$34</f>
        <v>7104.8620217975586</v>
      </c>
      <c r="H4" s="149">
        <f>nuclear!J3*About!$A$34</f>
        <v>7067.4443312242647</v>
      </c>
      <c r="I4" s="149">
        <f>nuclear!K3*About!$A$34</f>
        <v>7030.02664065097</v>
      </c>
      <c r="J4" s="149">
        <f>nuclear!L3*About!$A$34</f>
        <v>6988.2841390042568</v>
      </c>
      <c r="K4" s="149">
        <f>nuclear!M3*About!$A$34</f>
        <v>6949.9003590008879</v>
      </c>
      <c r="L4" s="149">
        <f>nuclear!N3*About!$A$34</f>
        <v>6909.6370323190122</v>
      </c>
      <c r="M4" s="149">
        <f>nuclear!O3*About!$A$34</f>
        <v>6862.3557971572072</v>
      </c>
      <c r="N4" s="149">
        <f>nuclear!P3*About!$A$34</f>
        <v>6816.8599648889194</v>
      </c>
      <c r="O4" s="149">
        <f>nuclear!Q3*About!$A$34</f>
        <v>6769.0812891003889</v>
      </c>
      <c r="P4" s="149">
        <f>nuclear!R3*About!$A$34</f>
        <v>6720.2886687967093</v>
      </c>
      <c r="Q4" s="149">
        <f>nuclear!S3*About!$A$34</f>
        <v>6678.7305550713145</v>
      </c>
      <c r="R4" s="149">
        <f>nuclear!T3*About!$A$34</f>
        <v>6635.2191510538241</v>
      </c>
      <c r="S4" s="149">
        <f>nuclear!U3*About!$A$34</f>
        <v>6582.4912432184638</v>
      </c>
      <c r="T4" s="149">
        <f>nuclear!V3*About!$A$34</f>
        <v>6539.3926935866475</v>
      </c>
      <c r="U4" s="149">
        <f>nuclear!W3*About!$A$34</f>
        <v>6493.8011904769601</v>
      </c>
      <c r="V4" s="149">
        <f>nuclear!X3*About!$A$34</f>
        <v>6443.1665279171784</v>
      </c>
      <c r="W4" s="149">
        <f>nuclear!Y3*About!$A$34</f>
        <v>6391.3325159169017</v>
      </c>
      <c r="X4" s="149">
        <f>nuclear!Z3*About!$A$34</f>
        <v>6350.6892332333946</v>
      </c>
      <c r="Y4" s="149">
        <f>nuclear!AA3*About!$A$34</f>
        <v>6301.298847499208</v>
      </c>
      <c r="Z4" s="149">
        <f>nuclear!AB3*About!$A$34</f>
        <v>6256.247468381549</v>
      </c>
      <c r="AA4" s="149">
        <f>nuclear!AC3*About!$A$34</f>
        <v>6210.8926827012865</v>
      </c>
      <c r="AB4" s="149">
        <f>nuclear!AD3*About!$A$34</f>
        <v>6169.0029165539481</v>
      </c>
      <c r="AC4" s="149">
        <f>nuclear!AE3*About!$A$34</f>
        <v>6115.8731479106109</v>
      </c>
      <c r="AD4" s="149">
        <f>nuclear!AF3*About!$A$34</f>
        <v>6070.8464173785005</v>
      </c>
      <c r="AE4" s="149">
        <f>nuclear!AG3*About!$A$34</f>
        <v>6025.5582786131754</v>
      </c>
      <c r="AF4" s="149">
        <f>nuclear!AH3*About!$A$34</f>
        <v>5980.1364734247509</v>
      </c>
      <c r="AG4" s="149">
        <f>nuclear!AI3*About!$A$34</f>
        <v>5883.4503554028424</v>
      </c>
    </row>
    <row r="5" spans="1:33" ht="14.25" customHeight="1">
      <c r="A5" s="1" t="s">
        <v>1138</v>
      </c>
      <c r="B5" s="149">
        <f t="array" ref="B5">TREND('capital processing'!$B$5:$D$5,'capital processing'!$B$2:$D$2,'CCaMC-BCCpUC'!B1)</f>
        <v>2086214.2857142854</v>
      </c>
      <c r="C5" s="149">
        <f t="array" ref="C5">TREND('capital processing'!$B$5:$D$5,'capital processing'!$B$2:$D$2,'CCaMC-BCCpUC'!C1)</f>
        <v>2078571.4285714291</v>
      </c>
      <c r="D5" s="149">
        <f t="array" ref="D5">TREND('capital processing'!$B$5:$D$5,'capital processing'!$B$2:$D$2,'CCaMC-BCCpUC'!D1)</f>
        <v>2070928.5714285728</v>
      </c>
      <c r="E5" s="149">
        <f t="array" ref="E5">TREND('capital processing'!$B$5:$D$5,'capital processing'!$B$2:$D$2,'CCaMC-BCCpUC'!E1)</f>
        <v>2063285.7142857146</v>
      </c>
      <c r="F5" s="149">
        <f t="array" ref="F5">TREND('capital processing'!$B$5:$D$5,'capital processing'!$B$2:$D$2,'CCaMC-BCCpUC'!F1)</f>
        <v>2055642.8571428582</v>
      </c>
      <c r="G5" s="149">
        <f t="array" ref="G5">TREND('capital processing'!$B$5:$D$5,'capital processing'!$B$2:$D$2,'CCaMC-BCCpUC'!G1)</f>
        <v>2048000</v>
      </c>
      <c r="H5" s="149">
        <f t="array" ref="H5">TREND('capital processing'!$B$5:$D$5,'capital processing'!$B$2:$D$2,'CCaMC-BCCpUC'!H1)</f>
        <v>2040357.1428571437</v>
      </c>
      <c r="I5" s="149">
        <f t="array" ref="I5">TREND('capital processing'!$B$5:$D$5,'capital processing'!$B$2:$D$2,'CCaMC-BCCpUC'!I1)</f>
        <v>2032714.2857142854</v>
      </c>
      <c r="J5" s="149">
        <f t="array" ref="J5">TREND('capital processing'!$B$5:$D$5,'capital processing'!$B$2:$D$2,'CCaMC-BCCpUC'!J1)</f>
        <v>2025071.4285714291</v>
      </c>
      <c r="K5" s="149">
        <f t="array" ref="K5">TREND('capital processing'!$B$5:$D$5,'capital processing'!$B$2:$D$2,'CCaMC-BCCpUC'!K1)</f>
        <v>2017428.5714285728</v>
      </c>
      <c r="L5" s="149">
        <f t="array" ref="L5">TREND('capital processing'!$B$5:$D$5,'capital processing'!$B$2:$D$2,'CCaMC-BCCpUC'!L1)</f>
        <v>2009785.7142857146</v>
      </c>
      <c r="M5" s="149">
        <f t="array" ref="M5">TREND('capital processing'!$B$5:$D$5,'capital processing'!$B$2:$D$2,'CCaMC-BCCpUC'!M1)</f>
        <v>2002142.8571428582</v>
      </c>
      <c r="N5" s="149">
        <f t="array" ref="N5">TREND('capital processing'!$B$5:$D$5,'capital processing'!$B$2:$D$2,'CCaMC-BCCpUC'!N1)</f>
        <v>1994500</v>
      </c>
      <c r="O5" s="149">
        <f t="array" ref="O5">TREND('capital processing'!$B$5:$D$5,'capital processing'!$B$2:$D$2,'CCaMC-BCCpUC'!O1)</f>
        <v>1986857.1428571437</v>
      </c>
      <c r="P5" s="149">
        <f t="array" ref="P5">TREND('capital processing'!$B$5:$D$5,'capital processing'!$B$2:$D$2,'CCaMC-BCCpUC'!P1)</f>
        <v>1979214.2857142854</v>
      </c>
      <c r="Q5" s="149">
        <f t="array" ref="Q5">TREND('capital processing'!$B$5:$D$5,'capital processing'!$B$2:$D$2,'CCaMC-BCCpUC'!Q1)</f>
        <v>1971571.4285714291</v>
      </c>
      <c r="R5" s="149">
        <f t="array" ref="R5">TREND('capital processing'!$B$5:$D$5,'capital processing'!$B$2:$D$2,'CCaMC-BCCpUC'!R1)</f>
        <v>1963928.5714285728</v>
      </c>
      <c r="S5" s="149">
        <f t="array" ref="S5">TREND('capital processing'!$B$5:$D$5,'capital processing'!$B$2:$D$2,'CCaMC-BCCpUC'!S1)</f>
        <v>1956285.7142857146</v>
      </c>
      <c r="T5" s="149">
        <f t="array" ref="T5">TREND('capital processing'!$B$5:$D$5,'capital processing'!$B$2:$D$2,'CCaMC-BCCpUC'!T1)</f>
        <v>1948642.8571428582</v>
      </c>
      <c r="U5" s="149">
        <f t="array" ref="U5">TREND('capital processing'!$B$5:$D$5,'capital processing'!$B$2:$D$2,'CCaMC-BCCpUC'!U1)</f>
        <v>1941000</v>
      </c>
      <c r="V5" s="149">
        <f t="array" ref="V5">TREND('capital processing'!$B$5:$D$5,'capital processing'!$B$2:$D$2,'CCaMC-BCCpUC'!V1)</f>
        <v>1933357.1428571437</v>
      </c>
      <c r="W5" s="149">
        <f t="array" ref="W5">TREND('capital processing'!$B$5:$D$5,'capital processing'!$B$2:$D$2,'CCaMC-BCCpUC'!W1)</f>
        <v>1925714.2857142854</v>
      </c>
      <c r="X5" s="149">
        <f t="array" ref="X5">TREND('capital processing'!$B$5:$D$5,'capital processing'!$B$2:$D$2,'CCaMC-BCCpUC'!X1)</f>
        <v>1918071.4285714291</v>
      </c>
      <c r="Y5" s="149">
        <f t="array" ref="Y5">TREND('capital processing'!$B$5:$D$5,'capital processing'!$B$2:$D$2,'CCaMC-BCCpUC'!Y1)</f>
        <v>1910428.5714285728</v>
      </c>
      <c r="Z5" s="149">
        <f t="array" ref="Z5">TREND('capital processing'!$B$5:$D$5,'capital processing'!$B$2:$D$2,'CCaMC-BCCpUC'!Z1)</f>
        <v>1902785.7142857146</v>
      </c>
      <c r="AA5" s="149">
        <f t="array" ref="AA5">TREND('capital processing'!$B$5:$D$5,'capital processing'!$B$2:$D$2,'CCaMC-BCCpUC'!AA1)</f>
        <v>1895142.8571428582</v>
      </c>
      <c r="AB5" s="149">
        <f t="array" ref="AB5">TREND('capital processing'!$B$5:$D$5,'capital processing'!$B$2:$D$2,'CCaMC-BCCpUC'!AB1)</f>
        <v>1887500</v>
      </c>
      <c r="AC5" s="149">
        <f t="array" ref="AC5">TREND('capital processing'!$B$5:$D$5,'capital processing'!$B$2:$D$2,'CCaMC-BCCpUC'!AC1)</f>
        <v>1879857.1428571437</v>
      </c>
      <c r="AD5" s="149">
        <f t="array" ref="AD5">TREND('capital processing'!$B$5:$D$5,'capital processing'!$B$2:$D$2,'CCaMC-BCCpUC'!AD1)</f>
        <v>1872214.2857142854</v>
      </c>
      <c r="AE5" s="149">
        <f t="array" ref="AE5">TREND('capital processing'!$B$5:$D$5,'capital processing'!$B$2:$D$2,'CCaMC-BCCpUC'!AE1)</f>
        <v>1864571.4285714291</v>
      </c>
      <c r="AF5" s="149">
        <f t="array" ref="AF5">TREND('capital processing'!$B$5:$D$5,'capital processing'!$B$2:$D$2,'CCaMC-BCCpUC'!AF1)</f>
        <v>1856928.5714285728</v>
      </c>
      <c r="AG5" s="149">
        <f t="array" ref="AG5">TREND('capital processing'!$B$5:$D$5,'capital processing'!$B$2:$D$2,'CCaMC-BCCpUC'!AG1)</f>
        <v>1849285.7142857146</v>
      </c>
    </row>
    <row r="6" spans="1:33" ht="14.25" customHeight="1">
      <c r="A6" s="1" t="s">
        <v>1139</v>
      </c>
      <c r="B6" s="160">
        <f t="array" ref="B6">TREND('capital processing'!$B$6:$D$6,'capital processing'!$B$2:$D$2,'CCaMC-BCCpUC'!B1)</f>
        <v>1479142.8571428582</v>
      </c>
      <c r="C6" s="160">
        <f>B6</f>
        <v>1479142.8571428582</v>
      </c>
      <c r="D6" s="149">
        <v>0</v>
      </c>
      <c r="E6" s="149">
        <v>0</v>
      </c>
      <c r="F6" s="149">
        <v>0</v>
      </c>
      <c r="G6" s="149">
        <v>0</v>
      </c>
      <c r="H6" s="149">
        <v>0</v>
      </c>
      <c r="I6" s="149">
        <v>0</v>
      </c>
      <c r="J6" s="149">
        <v>0</v>
      </c>
      <c r="K6" s="149">
        <v>0</v>
      </c>
      <c r="L6" s="149">
        <v>0</v>
      </c>
      <c r="M6" s="149">
        <v>0</v>
      </c>
      <c r="N6" s="149">
        <v>0</v>
      </c>
      <c r="O6" s="149">
        <v>0</v>
      </c>
      <c r="P6" s="149">
        <v>0</v>
      </c>
      <c r="Q6" s="149">
        <v>0</v>
      </c>
      <c r="R6" s="149">
        <v>0</v>
      </c>
      <c r="S6" s="149">
        <v>0</v>
      </c>
      <c r="T6" s="149">
        <v>0</v>
      </c>
      <c r="U6" s="149">
        <v>0</v>
      </c>
      <c r="V6" s="149">
        <v>0</v>
      </c>
      <c r="W6" s="149">
        <v>0</v>
      </c>
      <c r="X6" s="149">
        <v>0</v>
      </c>
      <c r="Y6" s="149">
        <v>0</v>
      </c>
      <c r="Z6" s="149">
        <v>0</v>
      </c>
      <c r="AA6" s="149">
        <v>0</v>
      </c>
      <c r="AB6" s="149">
        <v>0</v>
      </c>
      <c r="AC6" s="149">
        <v>0</v>
      </c>
      <c r="AD6" s="149">
        <v>0</v>
      </c>
      <c r="AE6" s="149">
        <v>0</v>
      </c>
      <c r="AF6" s="149">
        <v>0</v>
      </c>
      <c r="AG6" s="149">
        <v>0</v>
      </c>
    </row>
    <row r="7" spans="1:33" ht="14.25" customHeight="1">
      <c r="A7" s="1" t="s">
        <v>379</v>
      </c>
      <c r="B7" s="160">
        <f t="array" ref="B7">TREND('capital processing'!$B$7:$D$7,'capital processing'!$B$2:$D$2,'CCaMC-BCCpUC'!B1)</f>
        <v>757642.85714285821</v>
      </c>
      <c r="C7" s="160">
        <f>B7</f>
        <v>757642.85714285821</v>
      </c>
      <c r="D7" s="149">
        <v>0</v>
      </c>
      <c r="E7" s="149">
        <v>0</v>
      </c>
      <c r="F7" s="149">
        <v>0</v>
      </c>
      <c r="G7" s="149">
        <v>0</v>
      </c>
      <c r="H7" s="149">
        <v>0</v>
      </c>
      <c r="I7" s="149">
        <v>0</v>
      </c>
      <c r="J7" s="149">
        <v>0</v>
      </c>
      <c r="K7" s="149">
        <v>0</v>
      </c>
      <c r="L7" s="149">
        <v>0</v>
      </c>
      <c r="M7" s="149">
        <v>0</v>
      </c>
      <c r="N7" s="149">
        <v>0</v>
      </c>
      <c r="O7" s="149">
        <v>0</v>
      </c>
      <c r="P7" s="149">
        <v>0</v>
      </c>
      <c r="Q7" s="149">
        <v>0</v>
      </c>
      <c r="R7" s="149">
        <v>0</v>
      </c>
      <c r="S7" s="149">
        <v>0</v>
      </c>
      <c r="T7" s="149">
        <v>0</v>
      </c>
      <c r="U7" s="149">
        <v>0</v>
      </c>
      <c r="V7" s="149">
        <v>0</v>
      </c>
      <c r="W7" s="149">
        <v>0</v>
      </c>
      <c r="X7" s="149">
        <v>0</v>
      </c>
      <c r="Y7" s="149">
        <v>0</v>
      </c>
      <c r="Z7" s="149">
        <v>0</v>
      </c>
      <c r="AA7" s="149">
        <v>0</v>
      </c>
      <c r="AB7" s="149">
        <v>0</v>
      </c>
      <c r="AC7" s="149">
        <v>0</v>
      </c>
      <c r="AD7" s="149">
        <v>0</v>
      </c>
      <c r="AE7" s="149">
        <v>0</v>
      </c>
      <c r="AF7" s="149">
        <v>0</v>
      </c>
      <c r="AG7" s="149">
        <v>0</v>
      </c>
    </row>
    <row r="8" spans="1:33" ht="14.25" customHeight="1">
      <c r="A8" s="1" t="s">
        <v>1140</v>
      </c>
      <c r="B8" s="149">
        <f>'solar thermal'!B11*About!$A$35</f>
        <v>5124426.2628099248</v>
      </c>
      <c r="C8" s="149">
        <f>'solar thermal'!C11*About!$A$35</f>
        <v>5082142.165289253</v>
      </c>
      <c r="D8" s="149">
        <f>'solar thermal'!D11*About!$A$35</f>
        <v>5039858.0677685961</v>
      </c>
      <c r="E8" s="149">
        <f>'solar thermal'!E11*About!$A$35</f>
        <v>4997573.9702479402</v>
      </c>
      <c r="F8" s="149">
        <f>'solar thermal'!F11*About!$A$35</f>
        <v>4955289.8727272833</v>
      </c>
      <c r="G8" s="149">
        <f>'solar thermal'!G11*About!$A$35</f>
        <v>4913005.7752066115</v>
      </c>
      <c r="H8" s="149">
        <f>'solar thermal'!H11*About!$A$35</f>
        <v>4870721.6776859546</v>
      </c>
      <c r="I8" s="149">
        <f>'solar thermal'!I11*About!$A$35</f>
        <v>4828437.5801652977</v>
      </c>
      <c r="J8" s="149">
        <f>'solar thermal'!J11*About!$A$35</f>
        <v>4786153.4826446269</v>
      </c>
      <c r="K8" s="149">
        <f>'solar thermal'!K11*About!$A$35</f>
        <v>4743869.38512397</v>
      </c>
      <c r="L8" s="149">
        <f>'solar thermal'!L11*About!$A$35</f>
        <v>4701585.2876033131</v>
      </c>
      <c r="M8" s="149">
        <f>'solar thermal'!M11*About!$A$35</f>
        <v>4659301.1900826413</v>
      </c>
      <c r="N8" s="149">
        <f>'solar thermal'!N11*About!$A$35</f>
        <v>4617017.0925619854</v>
      </c>
      <c r="O8" s="149">
        <f>'solar thermal'!O11*About!$A$35</f>
        <v>4574732.9950413285</v>
      </c>
      <c r="P8" s="149">
        <f>'solar thermal'!P11*About!$A$35</f>
        <v>4532448.8975206716</v>
      </c>
      <c r="Q8" s="149">
        <f>'solar thermal'!Q11*About!$A$35</f>
        <v>4490164.8</v>
      </c>
      <c r="R8" s="149">
        <f>'solar thermal'!R11*About!$A$35</f>
        <v>4447880.7024793429</v>
      </c>
      <c r="S8" s="149">
        <f>'solar thermal'!S11*About!$A$35</f>
        <v>4405596.604958686</v>
      </c>
      <c r="T8" s="149">
        <f>'solar thermal'!T11*About!$A$35</f>
        <v>4363312.5074380152</v>
      </c>
      <c r="U8" s="149">
        <f>'solar thermal'!U11*About!$A$35</f>
        <v>4321028.4099173583</v>
      </c>
      <c r="V8" s="149">
        <f>'solar thermal'!V11*About!$A$35</f>
        <v>4278744.3123967014</v>
      </c>
      <c r="W8" s="149">
        <f>'solar thermal'!W11*About!$A$35</f>
        <v>4236460.2148760296</v>
      </c>
      <c r="X8" s="149">
        <f>'solar thermal'!X11*About!$A$35</f>
        <v>4194176.1173553732</v>
      </c>
      <c r="Y8" s="149">
        <f>'solar thermal'!Y11*About!$A$35</f>
        <v>4151892.0198347168</v>
      </c>
      <c r="Z8" s="149">
        <f>'solar thermal'!Z11*About!$A$35</f>
        <v>4109607.9223140599</v>
      </c>
      <c r="AA8" s="149">
        <f>'solar thermal'!AA11*About!$A$35</f>
        <v>4067323.8247933881</v>
      </c>
      <c r="AB8" s="149">
        <f>'solar thermal'!AB11*About!$A$35</f>
        <v>4025039.7272727317</v>
      </c>
      <c r="AC8" s="149">
        <f>'solar thermal'!AC11*About!$A$35</f>
        <v>3982755.6297520748</v>
      </c>
      <c r="AD8" s="149">
        <f>'solar thermal'!AD11*About!$A$35</f>
        <v>3940471.5322314035</v>
      </c>
      <c r="AE8" s="149">
        <f>'solar thermal'!AE11*About!$A$35</f>
        <v>3898187.4347107466</v>
      </c>
      <c r="AF8" s="149">
        <f>'solar thermal'!AF11*About!$A$35</f>
        <v>3855903.3371900897</v>
      </c>
      <c r="AG8" s="149">
        <f>'solar thermal'!AG11*About!$A$35</f>
        <v>3813619.2396694184</v>
      </c>
    </row>
    <row r="9" spans="1:33" ht="14.25" customHeight="1">
      <c r="A9" s="1" t="s">
        <v>857</v>
      </c>
      <c r="B9" s="149">
        <f t="array" ref="B9">TREND('capital processing'!$B$8:$D$8,'capital processing'!$B$2:$D$2,'CCaMC-BCCpUC'!B1)</f>
        <v>1993000</v>
      </c>
      <c r="C9" s="149">
        <f t="array" ref="C9">TREND('capital processing'!$B$8:$D$8,'capital processing'!$B$2:$D$2,'CCaMC-BCCpUC'!C1)</f>
        <v>1980000</v>
      </c>
      <c r="D9" s="149">
        <f t="array" ref="D9">TREND('capital processing'!$B$8:$D$8,'capital processing'!$B$2:$D$2,'CCaMC-BCCpUC'!D1)</f>
        <v>1967000</v>
      </c>
      <c r="E9" s="149">
        <f t="array" ref="E9">TREND('capital processing'!$B$8:$D$8,'capital processing'!$B$2:$D$2,'CCaMC-BCCpUC'!E1)</f>
        <v>1954000</v>
      </c>
      <c r="F9" s="149">
        <f t="array" ref="F9">TREND('capital processing'!$B$8:$D$8,'capital processing'!$B$2:$D$2,'CCaMC-BCCpUC'!F1)</f>
        <v>1941000</v>
      </c>
      <c r="G9" s="149">
        <f t="array" ref="G9">TREND('capital processing'!$B$8:$D$8,'capital processing'!$B$2:$D$2,'CCaMC-BCCpUC'!G1)</f>
        <v>1928000</v>
      </c>
      <c r="H9" s="149">
        <f t="array" ref="H9">TREND('capital processing'!$B$8:$D$8,'capital processing'!$B$2:$D$2,'CCaMC-BCCpUC'!H1)</f>
        <v>1915000</v>
      </c>
      <c r="I9" s="149">
        <f t="array" ref="I9">TREND('capital processing'!$B$8:$D$8,'capital processing'!$B$2:$D$2,'CCaMC-BCCpUC'!I1)</f>
        <v>1902000</v>
      </c>
      <c r="J9" s="149">
        <f t="array" ref="J9">TREND('capital processing'!$B$8:$D$8,'capital processing'!$B$2:$D$2,'CCaMC-BCCpUC'!J1)</f>
        <v>1889000</v>
      </c>
      <c r="K9" s="149">
        <f t="array" ref="K9">TREND('capital processing'!$B$8:$D$8,'capital processing'!$B$2:$D$2,'CCaMC-BCCpUC'!K1)</f>
        <v>1876000</v>
      </c>
      <c r="L9" s="149">
        <f t="array" ref="L9">TREND('capital processing'!$B$8:$D$8,'capital processing'!$B$2:$D$2,'CCaMC-BCCpUC'!L1)</f>
        <v>1863000</v>
      </c>
      <c r="M9" s="149">
        <f t="array" ref="M9">TREND('capital processing'!$B$8:$D$8,'capital processing'!$B$2:$D$2,'CCaMC-BCCpUC'!M1)</f>
        <v>1850000</v>
      </c>
      <c r="N9" s="149">
        <f t="array" ref="N9">TREND('capital processing'!$B$8:$D$8,'capital processing'!$B$2:$D$2,'CCaMC-BCCpUC'!N1)</f>
        <v>1837000</v>
      </c>
      <c r="O9" s="149">
        <f t="array" ref="O9">TREND('capital processing'!$B$8:$D$8,'capital processing'!$B$2:$D$2,'CCaMC-BCCpUC'!O1)</f>
        <v>1824000</v>
      </c>
      <c r="P9" s="149">
        <f t="array" ref="P9">TREND('capital processing'!$B$8:$D$8,'capital processing'!$B$2:$D$2,'CCaMC-BCCpUC'!P1)</f>
        <v>1811000</v>
      </c>
      <c r="Q9" s="149">
        <f t="array" ref="Q9">TREND('capital processing'!$B$8:$D$8,'capital processing'!$B$2:$D$2,'CCaMC-BCCpUC'!Q1)</f>
        <v>1798000</v>
      </c>
      <c r="R9" s="149">
        <f t="array" ref="R9">TREND('capital processing'!$B$8:$D$8,'capital processing'!$B$2:$D$2,'CCaMC-BCCpUC'!R1)</f>
        <v>1785000</v>
      </c>
      <c r="S9" s="149">
        <f t="array" ref="S9">TREND('capital processing'!$B$8:$D$8,'capital processing'!$B$2:$D$2,'CCaMC-BCCpUC'!S1)</f>
        <v>1772000</v>
      </c>
      <c r="T9" s="149">
        <f t="array" ref="T9">TREND('capital processing'!$B$8:$D$8,'capital processing'!$B$2:$D$2,'CCaMC-BCCpUC'!T1)</f>
        <v>1759000</v>
      </c>
      <c r="U9" s="149">
        <f t="array" ref="U9">TREND('capital processing'!$B$8:$D$8,'capital processing'!$B$2:$D$2,'CCaMC-BCCpUC'!U1)</f>
        <v>1746000</v>
      </c>
      <c r="V9" s="149">
        <f t="array" ref="V9">TREND('capital processing'!$B$8:$D$8,'capital processing'!$B$2:$D$2,'CCaMC-BCCpUC'!V1)</f>
        <v>1733000</v>
      </c>
      <c r="W9" s="149">
        <f t="array" ref="W9">TREND('capital processing'!$B$8:$D$8,'capital processing'!$B$2:$D$2,'CCaMC-BCCpUC'!W1)</f>
        <v>1720000</v>
      </c>
      <c r="X9" s="149">
        <f t="array" ref="X9">TREND('capital processing'!$B$8:$D$8,'capital processing'!$B$2:$D$2,'CCaMC-BCCpUC'!X1)</f>
        <v>1707000</v>
      </c>
      <c r="Y9" s="149">
        <f t="array" ref="Y9">TREND('capital processing'!$B$8:$D$8,'capital processing'!$B$2:$D$2,'CCaMC-BCCpUC'!Y1)</f>
        <v>1694000</v>
      </c>
      <c r="Z9" s="149">
        <f t="array" ref="Z9">TREND('capital processing'!$B$8:$D$8,'capital processing'!$B$2:$D$2,'CCaMC-BCCpUC'!Z1)</f>
        <v>1681000</v>
      </c>
      <c r="AA9" s="149">
        <f t="array" ref="AA9">TREND('capital processing'!$B$8:$D$8,'capital processing'!$B$2:$D$2,'CCaMC-BCCpUC'!AA1)</f>
        <v>1668000</v>
      </c>
      <c r="AB9" s="149">
        <f t="array" ref="AB9">TREND('capital processing'!$B$8:$D$8,'capital processing'!$B$2:$D$2,'CCaMC-BCCpUC'!AB1)</f>
        <v>1655000</v>
      </c>
      <c r="AC9" s="149">
        <f t="array" ref="AC9">TREND('capital processing'!$B$8:$D$8,'capital processing'!$B$2:$D$2,'CCaMC-BCCpUC'!AC1)</f>
        <v>1642000</v>
      </c>
      <c r="AD9" s="149">
        <f t="array" ref="AD9">TREND('capital processing'!$B$8:$D$8,'capital processing'!$B$2:$D$2,'CCaMC-BCCpUC'!AD1)</f>
        <v>1629000</v>
      </c>
      <c r="AE9" s="149">
        <f t="array" ref="AE9">TREND('capital processing'!$B$8:$D$8,'capital processing'!$B$2:$D$2,'CCaMC-BCCpUC'!AE1)</f>
        <v>1616000</v>
      </c>
      <c r="AF9" s="149">
        <f t="array" ref="AF9">TREND('capital processing'!$B$8:$D$8,'capital processing'!$B$2:$D$2,'CCaMC-BCCpUC'!AF1)</f>
        <v>1603000</v>
      </c>
      <c r="AG9" s="149">
        <f t="array" ref="AG9">TREND('capital processing'!$B$8:$D$8,'capital processing'!$B$2:$D$2,'CCaMC-BCCpUC'!AG1)</f>
        <v>1590000</v>
      </c>
    </row>
    <row r="10" spans="1:33" ht="14.25" customHeight="1">
      <c r="A10" s="1" t="s">
        <v>28</v>
      </c>
      <c r="B10" s="149">
        <f t="array" ref="B10">TREND('capital processing'!$B$9:$D$9,'capital processing'!$B$2:$D$2,'CCaMC-BCCpUC'!B1)</f>
        <v>3963142.8571428508</v>
      </c>
      <c r="C10" s="149">
        <f t="array" ref="C10">TREND('capital processing'!$B$9:$D$9,'capital processing'!$B$2:$D$2,'CCaMC-BCCpUC'!C1)</f>
        <v>3925714.2857142836</v>
      </c>
      <c r="D10" s="149">
        <f t="array" ref="D10">TREND('capital processing'!$B$9:$D$9,'capital processing'!$B$2:$D$2,'CCaMC-BCCpUC'!D1)</f>
        <v>3888285.7142857164</v>
      </c>
      <c r="E10" s="149">
        <f t="array" ref="E10">TREND('capital processing'!$B$9:$D$9,'capital processing'!$B$2:$D$2,'CCaMC-BCCpUC'!E1)</f>
        <v>3850857.1428571343</v>
      </c>
      <c r="F10" s="149">
        <f t="array" ref="F10">TREND('capital processing'!$B$9:$D$9,'capital processing'!$B$2:$D$2,'CCaMC-BCCpUC'!F1)</f>
        <v>3813428.5714285672</v>
      </c>
      <c r="G10" s="149">
        <f t="array" ref="G10">TREND('capital processing'!$B$9:$D$9,'capital processing'!$B$2:$D$2,'CCaMC-BCCpUC'!G1)</f>
        <v>3776000</v>
      </c>
      <c r="H10" s="149">
        <f t="array" ref="H10">TREND('capital processing'!$B$9:$D$9,'capital processing'!$B$2:$D$2,'CCaMC-BCCpUC'!H1)</f>
        <v>3738571.4285714328</v>
      </c>
      <c r="I10" s="149">
        <f t="array" ref="I10">TREND('capital processing'!$B$9:$D$9,'capital processing'!$B$2:$D$2,'CCaMC-BCCpUC'!I1)</f>
        <v>3701142.8571428508</v>
      </c>
      <c r="J10" s="149">
        <f t="array" ref="J10">TREND('capital processing'!$B$9:$D$9,'capital processing'!$B$2:$D$2,'CCaMC-BCCpUC'!J1)</f>
        <v>3663714.2857142836</v>
      </c>
      <c r="K10" s="149">
        <f t="array" ref="K10">TREND('capital processing'!$B$9:$D$9,'capital processing'!$B$2:$D$2,'CCaMC-BCCpUC'!K1)</f>
        <v>3626285.7142857164</v>
      </c>
      <c r="L10" s="149">
        <f t="array" ref="L10">TREND('capital processing'!$B$9:$D$9,'capital processing'!$B$2:$D$2,'CCaMC-BCCpUC'!L1)</f>
        <v>3588857.1428571343</v>
      </c>
      <c r="M10" s="149">
        <f t="array" ref="M10">TREND('capital processing'!$B$9:$D$9,'capital processing'!$B$2:$D$2,'CCaMC-BCCpUC'!M1)</f>
        <v>3551428.5714285672</v>
      </c>
      <c r="N10" s="149">
        <f t="array" ref="N10">TREND('capital processing'!$B$9:$D$9,'capital processing'!$B$2:$D$2,'CCaMC-BCCpUC'!N1)</f>
        <v>3514000</v>
      </c>
      <c r="O10" s="149">
        <f t="array" ref="O10">TREND('capital processing'!$B$9:$D$9,'capital processing'!$B$2:$D$2,'CCaMC-BCCpUC'!O1)</f>
        <v>3476571.4285714328</v>
      </c>
      <c r="P10" s="149">
        <f t="array" ref="P10">TREND('capital processing'!$B$9:$D$9,'capital processing'!$B$2:$D$2,'CCaMC-BCCpUC'!P1)</f>
        <v>3439142.8571428508</v>
      </c>
      <c r="Q10" s="149">
        <f t="array" ref="Q10">TREND('capital processing'!$B$9:$D$9,'capital processing'!$B$2:$D$2,'CCaMC-BCCpUC'!Q1)</f>
        <v>3401714.2857142836</v>
      </c>
      <c r="R10" s="149">
        <f t="array" ref="R10">TREND('capital processing'!$B$9:$D$9,'capital processing'!$B$2:$D$2,'CCaMC-BCCpUC'!R1)</f>
        <v>3364285.7142857164</v>
      </c>
      <c r="S10" s="149">
        <f t="array" ref="S10">TREND('capital processing'!$B$9:$D$9,'capital processing'!$B$2:$D$2,'CCaMC-BCCpUC'!S1)</f>
        <v>3326857.1428571343</v>
      </c>
      <c r="T10" s="149">
        <f t="array" ref="T10">TREND('capital processing'!$B$9:$D$9,'capital processing'!$B$2:$D$2,'CCaMC-BCCpUC'!T1)</f>
        <v>3289428.5714285672</v>
      </c>
      <c r="U10" s="149">
        <f t="array" ref="U10">TREND('capital processing'!$B$9:$D$9,'capital processing'!$B$2:$D$2,'CCaMC-BCCpUC'!U1)</f>
        <v>3252000</v>
      </c>
      <c r="V10" s="149">
        <f t="array" ref="V10">TREND('capital processing'!$B$9:$D$9,'capital processing'!$B$2:$D$2,'CCaMC-BCCpUC'!V1)</f>
        <v>3214571.4285714328</v>
      </c>
      <c r="W10" s="149">
        <f t="array" ref="W10">TREND('capital processing'!$B$9:$D$9,'capital processing'!$B$2:$D$2,'CCaMC-BCCpUC'!W1)</f>
        <v>3177142.8571428508</v>
      </c>
      <c r="X10" s="149">
        <f t="array" ref="X10">TREND('capital processing'!$B$9:$D$9,'capital processing'!$B$2:$D$2,'CCaMC-BCCpUC'!X1)</f>
        <v>3139714.2857142836</v>
      </c>
      <c r="Y10" s="149">
        <f t="array" ref="Y10">TREND('capital processing'!$B$9:$D$9,'capital processing'!$B$2:$D$2,'CCaMC-BCCpUC'!Y1)</f>
        <v>3102285.7142857164</v>
      </c>
      <c r="Z10" s="149">
        <f t="array" ref="Z10">TREND('capital processing'!$B$9:$D$9,'capital processing'!$B$2:$D$2,'CCaMC-BCCpUC'!Z1)</f>
        <v>3064857.1428571343</v>
      </c>
      <c r="AA10" s="149">
        <f t="array" ref="AA10">TREND('capital processing'!$B$9:$D$9,'capital processing'!$B$2:$D$2,'CCaMC-BCCpUC'!AA1)</f>
        <v>3027428.5714285672</v>
      </c>
      <c r="AB10" s="149">
        <f t="array" ref="AB10">TREND('capital processing'!$B$9:$D$9,'capital processing'!$B$2:$D$2,'CCaMC-BCCpUC'!AB1)</f>
        <v>2990000</v>
      </c>
      <c r="AC10" s="149">
        <f t="array" ref="AC10">TREND('capital processing'!$B$9:$D$9,'capital processing'!$B$2:$D$2,'CCaMC-BCCpUC'!AC1)</f>
        <v>2952571.4285714328</v>
      </c>
      <c r="AD10" s="149">
        <f t="array" ref="AD10">TREND('capital processing'!$B$9:$D$9,'capital processing'!$B$2:$D$2,'CCaMC-BCCpUC'!AD1)</f>
        <v>2915142.8571428508</v>
      </c>
      <c r="AE10" s="149">
        <f t="array" ref="AE10">TREND('capital processing'!$B$9:$D$9,'capital processing'!$B$2:$D$2,'CCaMC-BCCpUC'!AE1)</f>
        <v>2877714.2857142836</v>
      </c>
      <c r="AF10" s="149">
        <f t="array" ref="AF10">TREND('capital processing'!$B$9:$D$9,'capital processing'!$B$2:$D$2,'CCaMC-BCCpUC'!AF1)</f>
        <v>2840285.7142857164</v>
      </c>
      <c r="AG10" s="149">
        <f t="array" ref="AG10">TREND('capital processing'!$B$9:$D$9,'capital processing'!$B$2:$D$2,'CCaMC-BCCpUC'!AG1)</f>
        <v>2802857.1428571343</v>
      </c>
    </row>
    <row r="11" spans="1:33" ht="14.25" customHeight="1">
      <c r="A11" s="1" t="s">
        <v>1141</v>
      </c>
      <c r="B11" s="149">
        <f t="array" ref="B11">TREND('capital processing'!$B$10:$D$10,'capital processing'!$B$2:$D$2,'CCaMC-BCCpUC'!B1)</f>
        <v>803571.42857142864</v>
      </c>
      <c r="C11" s="149">
        <f t="array" ref="C11">TREND('capital processing'!$B$10:$D$10,'capital processing'!$B$2:$D$2,'CCaMC-BCCpUC'!C1)</f>
        <v>802857.14285714296</v>
      </c>
      <c r="D11" s="149">
        <f t="array" ref="D11">TREND('capital processing'!$B$10:$D$10,'capital processing'!$B$2:$D$2,'CCaMC-BCCpUC'!D1)</f>
        <v>802142.85714285728</v>
      </c>
      <c r="E11" s="149">
        <f t="array" ref="E11">TREND('capital processing'!$B$10:$D$10,'capital processing'!$B$2:$D$2,'CCaMC-BCCpUC'!E1)</f>
        <v>801428.57142857159</v>
      </c>
      <c r="F11" s="149">
        <f t="array" ref="F11">TREND('capital processing'!$B$10:$D$10,'capital processing'!$B$2:$D$2,'CCaMC-BCCpUC'!F1)</f>
        <v>800714.28571428591</v>
      </c>
      <c r="G11" s="149">
        <f t="array" ref="G11">TREND('capital processing'!$B$10:$D$10,'capital processing'!$B$2:$D$2,'CCaMC-BCCpUC'!G1)</f>
        <v>800000</v>
      </c>
      <c r="H11" s="149">
        <f t="array" ref="H11">TREND('capital processing'!$B$10:$D$10,'capital processing'!$B$2:$D$2,'CCaMC-BCCpUC'!H1)</f>
        <v>799285.71428571432</v>
      </c>
      <c r="I11" s="149">
        <f t="array" ref="I11">TREND('capital processing'!$B$10:$D$10,'capital processing'!$B$2:$D$2,'CCaMC-BCCpUC'!I1)</f>
        <v>798571.42857142864</v>
      </c>
      <c r="J11" s="149">
        <f t="array" ref="J11">TREND('capital processing'!$B$10:$D$10,'capital processing'!$B$2:$D$2,'CCaMC-BCCpUC'!J1)</f>
        <v>797857.14285714296</v>
      </c>
      <c r="K11" s="149">
        <f t="array" ref="K11">TREND('capital processing'!$B$10:$D$10,'capital processing'!$B$2:$D$2,'CCaMC-BCCpUC'!K1)</f>
        <v>797142.85714285728</v>
      </c>
      <c r="L11" s="149">
        <f t="array" ref="L11">TREND('capital processing'!$B$10:$D$10,'capital processing'!$B$2:$D$2,'CCaMC-BCCpUC'!L1)</f>
        <v>796428.57142857159</v>
      </c>
      <c r="M11" s="149">
        <f t="array" ref="M11">TREND('capital processing'!$B$10:$D$10,'capital processing'!$B$2:$D$2,'CCaMC-BCCpUC'!M1)</f>
        <v>795714.28571428591</v>
      </c>
      <c r="N11" s="149">
        <f t="array" ref="N11">TREND('capital processing'!$B$10:$D$10,'capital processing'!$B$2:$D$2,'CCaMC-BCCpUC'!N1)</f>
        <v>795000</v>
      </c>
      <c r="O11" s="149">
        <f t="array" ref="O11">TREND('capital processing'!$B$10:$D$10,'capital processing'!$B$2:$D$2,'CCaMC-BCCpUC'!O1)</f>
        <v>794285.71428571432</v>
      </c>
      <c r="P11" s="149">
        <f t="array" ref="P11">TREND('capital processing'!$B$10:$D$10,'capital processing'!$B$2:$D$2,'CCaMC-BCCpUC'!P1)</f>
        <v>793571.42857142864</v>
      </c>
      <c r="Q11" s="149">
        <f t="array" ref="Q11">TREND('capital processing'!$B$10:$D$10,'capital processing'!$B$2:$D$2,'CCaMC-BCCpUC'!Q1)</f>
        <v>792857.14285714296</v>
      </c>
      <c r="R11" s="149">
        <f t="array" ref="R11">TREND('capital processing'!$B$10:$D$10,'capital processing'!$B$2:$D$2,'CCaMC-BCCpUC'!R1)</f>
        <v>792142.85714285728</v>
      </c>
      <c r="S11" s="149">
        <f t="array" ref="S11">TREND('capital processing'!$B$10:$D$10,'capital processing'!$B$2:$D$2,'CCaMC-BCCpUC'!S1)</f>
        <v>791428.57142857159</v>
      </c>
      <c r="T11" s="149">
        <f t="array" ref="T11">TREND('capital processing'!$B$10:$D$10,'capital processing'!$B$2:$D$2,'CCaMC-BCCpUC'!T1)</f>
        <v>790714.28571428591</v>
      </c>
      <c r="U11" s="149">
        <f t="array" ref="U11">TREND('capital processing'!$B$10:$D$10,'capital processing'!$B$2:$D$2,'CCaMC-BCCpUC'!U1)</f>
        <v>790000</v>
      </c>
      <c r="V11" s="149">
        <f t="array" ref="V11">TREND('capital processing'!$B$10:$D$10,'capital processing'!$B$2:$D$2,'CCaMC-BCCpUC'!V1)</f>
        <v>789285.71428571432</v>
      </c>
      <c r="W11" s="149">
        <f t="array" ref="W11">TREND('capital processing'!$B$10:$D$10,'capital processing'!$B$2:$D$2,'CCaMC-BCCpUC'!W1)</f>
        <v>788571.42857142864</v>
      </c>
      <c r="X11" s="149">
        <f t="array" ref="X11">TREND('capital processing'!$B$10:$D$10,'capital processing'!$B$2:$D$2,'CCaMC-BCCpUC'!X1)</f>
        <v>787857.14285714296</v>
      </c>
      <c r="Y11" s="149">
        <f t="array" ref="Y11">TREND('capital processing'!$B$10:$D$10,'capital processing'!$B$2:$D$2,'CCaMC-BCCpUC'!Y1)</f>
        <v>787142.85714285728</v>
      </c>
      <c r="Z11" s="149">
        <f t="array" ref="Z11">TREND('capital processing'!$B$10:$D$10,'capital processing'!$B$2:$D$2,'CCaMC-BCCpUC'!Z1)</f>
        <v>786428.57142857159</v>
      </c>
      <c r="AA11" s="149">
        <f t="array" ref="AA11">TREND('capital processing'!$B$10:$D$10,'capital processing'!$B$2:$D$2,'CCaMC-BCCpUC'!AA1)</f>
        <v>785714.28571428591</v>
      </c>
      <c r="AB11" s="149">
        <f t="array" ref="AB11">TREND('capital processing'!$B$10:$D$10,'capital processing'!$B$2:$D$2,'CCaMC-BCCpUC'!AB1)</f>
        <v>785000</v>
      </c>
      <c r="AC11" s="149">
        <f t="array" ref="AC11">TREND('capital processing'!$B$10:$D$10,'capital processing'!$B$2:$D$2,'CCaMC-BCCpUC'!AC1)</f>
        <v>784285.71428571432</v>
      </c>
      <c r="AD11" s="149">
        <f t="array" ref="AD11">TREND('capital processing'!$B$10:$D$10,'capital processing'!$B$2:$D$2,'CCaMC-BCCpUC'!AD1)</f>
        <v>783571.42857142864</v>
      </c>
      <c r="AE11" s="149">
        <f t="array" ref="AE11">TREND('capital processing'!$B$10:$D$10,'capital processing'!$B$2:$D$2,'CCaMC-BCCpUC'!AE1)</f>
        <v>782857.14285714296</v>
      </c>
      <c r="AF11" s="149">
        <f t="array" ref="AF11">TREND('capital processing'!$B$10:$D$10,'capital processing'!$B$2:$D$2,'CCaMC-BCCpUC'!AF1)</f>
        <v>782142.85714285728</v>
      </c>
      <c r="AG11" s="149">
        <f t="array" ref="AG11">TREND('capital processing'!$B$10:$D$10,'capital processing'!$B$2:$D$2,'CCaMC-BCCpUC'!AG1)</f>
        <v>781428.57142857159</v>
      </c>
    </row>
    <row r="12" spans="1:33" ht="14.25" customHeight="1">
      <c r="A12" s="1" t="s">
        <v>1142</v>
      </c>
      <c r="B12" s="149">
        <f t="array" ref="B12">TREND('capital processing'!$B$11:$D$11,'capital processing'!$B$2:$D$2,'CCaMC-BCCpUC'!B1)</f>
        <v>691214.28571428545</v>
      </c>
      <c r="C12" s="149">
        <f t="array" ref="C12">TREND('capital processing'!$B$11:$D$11,'capital processing'!$B$2:$D$2,'CCaMC-BCCpUC'!C1)</f>
        <v>688571.42857142817</v>
      </c>
      <c r="D12" s="149">
        <f t="array" ref="D12">TREND('capital processing'!$B$11:$D$11,'capital processing'!$B$2:$D$2,'CCaMC-BCCpUC'!D1)</f>
        <v>685928.5714285709</v>
      </c>
      <c r="E12" s="149">
        <f t="array" ref="E12">TREND('capital processing'!$B$11:$D$11,'capital processing'!$B$2:$D$2,'CCaMC-BCCpUC'!E1)</f>
        <v>683285.71428571362</v>
      </c>
      <c r="F12" s="149">
        <f t="array" ref="F12">TREND('capital processing'!$B$11:$D$11,'capital processing'!$B$2:$D$2,'CCaMC-BCCpUC'!F1)</f>
        <v>680642.85714285634</v>
      </c>
      <c r="G12" s="149">
        <f t="array" ref="G12">TREND('capital processing'!$B$11:$D$11,'capital processing'!$B$2:$D$2,'CCaMC-BCCpUC'!G1)</f>
        <v>678000</v>
      </c>
      <c r="H12" s="149">
        <f t="array" ref="H12">TREND('capital processing'!$B$11:$D$11,'capital processing'!$B$2:$D$2,'CCaMC-BCCpUC'!H1)</f>
        <v>675357.14285714272</v>
      </c>
      <c r="I12" s="149">
        <f t="array" ref="I12">TREND('capital processing'!$B$11:$D$11,'capital processing'!$B$2:$D$2,'CCaMC-BCCpUC'!I1)</f>
        <v>672714.28571428545</v>
      </c>
      <c r="J12" s="149">
        <f t="array" ref="J12">TREND('capital processing'!$B$11:$D$11,'capital processing'!$B$2:$D$2,'CCaMC-BCCpUC'!J1)</f>
        <v>670071.42857142817</v>
      </c>
      <c r="K12" s="149">
        <f t="array" ref="K12">TREND('capital processing'!$B$11:$D$11,'capital processing'!$B$2:$D$2,'CCaMC-BCCpUC'!K1)</f>
        <v>667428.5714285709</v>
      </c>
      <c r="L12" s="149">
        <f t="array" ref="L12">TREND('capital processing'!$B$11:$D$11,'capital processing'!$B$2:$D$2,'CCaMC-BCCpUC'!L1)</f>
        <v>664785.71428571362</v>
      </c>
      <c r="M12" s="149">
        <f t="array" ref="M12">TREND('capital processing'!$B$11:$D$11,'capital processing'!$B$2:$D$2,'CCaMC-BCCpUC'!M1)</f>
        <v>662142.85714285634</v>
      </c>
      <c r="N12" s="149">
        <f t="array" ref="N12">TREND('capital processing'!$B$11:$D$11,'capital processing'!$B$2:$D$2,'CCaMC-BCCpUC'!N1)</f>
        <v>659500</v>
      </c>
      <c r="O12" s="149">
        <f t="array" ref="O12">TREND('capital processing'!$B$11:$D$11,'capital processing'!$B$2:$D$2,'CCaMC-BCCpUC'!O1)</f>
        <v>656857.14285714272</v>
      </c>
      <c r="P12" s="149">
        <f t="array" ref="P12">TREND('capital processing'!$B$11:$D$11,'capital processing'!$B$2:$D$2,'CCaMC-BCCpUC'!P1)</f>
        <v>654214.28571428545</v>
      </c>
      <c r="Q12" s="149">
        <f t="array" ref="Q12">TREND('capital processing'!$B$11:$D$11,'capital processing'!$B$2:$D$2,'CCaMC-BCCpUC'!Q1)</f>
        <v>651571.42857142817</v>
      </c>
      <c r="R12" s="149">
        <f t="array" ref="R12">TREND('capital processing'!$B$11:$D$11,'capital processing'!$B$2:$D$2,'CCaMC-BCCpUC'!R1)</f>
        <v>648928.5714285709</v>
      </c>
      <c r="S12" s="149">
        <f t="array" ref="S12">TREND('capital processing'!$B$11:$D$11,'capital processing'!$B$2:$D$2,'CCaMC-BCCpUC'!S1)</f>
        <v>646285.71428571362</v>
      </c>
      <c r="T12" s="149">
        <f t="array" ref="T12">TREND('capital processing'!$B$11:$D$11,'capital processing'!$B$2:$D$2,'CCaMC-BCCpUC'!T1)</f>
        <v>643642.85714285634</v>
      </c>
      <c r="U12" s="149">
        <f t="array" ref="U12">TREND('capital processing'!$B$11:$D$11,'capital processing'!$B$2:$D$2,'CCaMC-BCCpUC'!U1)</f>
        <v>641000</v>
      </c>
      <c r="V12" s="149">
        <f t="array" ref="V12">TREND('capital processing'!$B$11:$D$11,'capital processing'!$B$2:$D$2,'CCaMC-BCCpUC'!V1)</f>
        <v>638357.14285714272</v>
      </c>
      <c r="W12" s="149">
        <f t="array" ref="W12">TREND('capital processing'!$B$11:$D$11,'capital processing'!$B$2:$D$2,'CCaMC-BCCpUC'!W1)</f>
        <v>635714.28571428545</v>
      </c>
      <c r="X12" s="149">
        <f t="array" ref="X12">TREND('capital processing'!$B$11:$D$11,'capital processing'!$B$2:$D$2,'CCaMC-BCCpUC'!X1)</f>
        <v>633071.42857142817</v>
      </c>
      <c r="Y12" s="149">
        <f t="array" ref="Y12">TREND('capital processing'!$B$11:$D$11,'capital processing'!$B$2:$D$2,'CCaMC-BCCpUC'!Y1)</f>
        <v>630428.5714285709</v>
      </c>
      <c r="Z12" s="149">
        <f t="array" ref="Z12">TREND('capital processing'!$B$11:$D$11,'capital processing'!$B$2:$D$2,'CCaMC-BCCpUC'!Z1)</f>
        <v>627785.71428571362</v>
      </c>
      <c r="AA12" s="149">
        <f t="array" ref="AA12">TREND('capital processing'!$B$11:$D$11,'capital processing'!$B$2:$D$2,'CCaMC-BCCpUC'!AA1)</f>
        <v>625142.85714285634</v>
      </c>
      <c r="AB12" s="149">
        <f t="array" ref="AB12">TREND('capital processing'!$B$11:$D$11,'capital processing'!$B$2:$D$2,'CCaMC-BCCpUC'!AB1)</f>
        <v>622500</v>
      </c>
      <c r="AC12" s="149">
        <f t="array" ref="AC12">TREND('capital processing'!$B$11:$D$11,'capital processing'!$B$2:$D$2,'CCaMC-BCCpUC'!AC1)</f>
        <v>619857.14285714272</v>
      </c>
      <c r="AD12" s="149">
        <f t="array" ref="AD12">TREND('capital processing'!$B$11:$D$11,'capital processing'!$B$2:$D$2,'CCaMC-BCCpUC'!AD1)</f>
        <v>617214.28571428545</v>
      </c>
      <c r="AE12" s="149">
        <f t="array" ref="AE12">TREND('capital processing'!$B$11:$D$11,'capital processing'!$B$2:$D$2,'CCaMC-BCCpUC'!AE1)</f>
        <v>614571.42857142817</v>
      </c>
      <c r="AF12" s="149">
        <f t="array" ref="AF12">TREND('capital processing'!$B$11:$D$11,'capital processing'!$B$2:$D$2,'CCaMC-BCCpUC'!AF1)</f>
        <v>611928.5714285709</v>
      </c>
      <c r="AG12" s="149">
        <f t="array" ref="AG12">TREND('capital processing'!$B$11:$D$11,'capital processing'!$B$2:$D$2,'CCaMC-BCCpUC'!AG1)</f>
        <v>609285.71428571362</v>
      </c>
    </row>
    <row r="13" spans="1:33" ht="14.25" customHeight="1">
      <c r="A13" s="1" t="s">
        <v>1143</v>
      </c>
      <c r="B13" s="149">
        <f t="array" ref="B13">TREND('capital processing'!$B$12:$D$12,'capital processing'!$B$2:$D$2,'CCaMC-BCCpUC'!B1)</f>
        <v>1646071.4285714282</v>
      </c>
      <c r="C13" s="149">
        <f t="array" ref="C13">TREND('capital processing'!$B$12:$D$12,'capital processing'!$B$2:$D$2,'CCaMC-BCCpUC'!C1)</f>
        <v>1642857.1428571427</v>
      </c>
      <c r="D13" s="149">
        <f t="array" ref="D13">TREND('capital processing'!$B$12:$D$12,'capital processing'!$B$2:$D$2,'CCaMC-BCCpUC'!D1)</f>
        <v>1639642.8571428573</v>
      </c>
      <c r="E13" s="149">
        <f t="array" ref="E13">TREND('capital processing'!$B$12:$D$12,'capital processing'!$B$2:$D$2,'CCaMC-BCCpUC'!E1)</f>
        <v>1636428.5714285709</v>
      </c>
      <c r="F13" s="149">
        <f t="array" ref="F13">TREND('capital processing'!$B$12:$D$12,'capital processing'!$B$2:$D$2,'CCaMC-BCCpUC'!F1)</f>
        <v>1633214.2857142854</v>
      </c>
      <c r="G13" s="149">
        <f t="array" ref="G13">TREND('capital processing'!$B$12:$D$12,'capital processing'!$B$2:$D$2,'CCaMC-BCCpUC'!G1)</f>
        <v>1630000</v>
      </c>
      <c r="H13" s="149">
        <f t="array" ref="H13">TREND('capital processing'!$B$12:$D$12,'capital processing'!$B$2:$D$2,'CCaMC-BCCpUC'!H1)</f>
        <v>1626785.7142857146</v>
      </c>
      <c r="I13" s="149">
        <f t="array" ref="I13">TREND('capital processing'!$B$12:$D$12,'capital processing'!$B$2:$D$2,'CCaMC-BCCpUC'!I1)</f>
        <v>1623571.4285714282</v>
      </c>
      <c r="J13" s="149">
        <f t="array" ref="J13">TREND('capital processing'!$B$12:$D$12,'capital processing'!$B$2:$D$2,'CCaMC-BCCpUC'!J1)</f>
        <v>1620357.1428571427</v>
      </c>
      <c r="K13" s="149">
        <f t="array" ref="K13">TREND('capital processing'!$B$12:$D$12,'capital processing'!$B$2:$D$2,'CCaMC-BCCpUC'!K1)</f>
        <v>1617142.8571428573</v>
      </c>
      <c r="L13" s="149">
        <f t="array" ref="L13">TREND('capital processing'!$B$12:$D$12,'capital processing'!$B$2:$D$2,'CCaMC-BCCpUC'!L1)</f>
        <v>1613928.5714285709</v>
      </c>
      <c r="M13" s="149">
        <f t="array" ref="M13">TREND('capital processing'!$B$12:$D$12,'capital processing'!$B$2:$D$2,'CCaMC-BCCpUC'!M1)</f>
        <v>1610714.2857142854</v>
      </c>
      <c r="N13" s="149">
        <f t="array" ref="N13">TREND('capital processing'!$B$12:$D$12,'capital processing'!$B$2:$D$2,'CCaMC-BCCpUC'!N1)</f>
        <v>1607500</v>
      </c>
      <c r="O13" s="149">
        <f t="array" ref="O13">TREND('capital processing'!$B$12:$D$12,'capital processing'!$B$2:$D$2,'CCaMC-BCCpUC'!O1)</f>
        <v>1604285.7142857146</v>
      </c>
      <c r="P13" s="149">
        <f t="array" ref="P13">TREND('capital processing'!$B$12:$D$12,'capital processing'!$B$2:$D$2,'CCaMC-BCCpUC'!P1)</f>
        <v>1601071.4285714282</v>
      </c>
      <c r="Q13" s="149">
        <f t="array" ref="Q13">TREND('capital processing'!$B$12:$D$12,'capital processing'!$B$2:$D$2,'CCaMC-BCCpUC'!Q1)</f>
        <v>1597857.1428571427</v>
      </c>
      <c r="R13" s="149">
        <f t="array" ref="R13">TREND('capital processing'!$B$12:$D$12,'capital processing'!$B$2:$D$2,'CCaMC-BCCpUC'!R1)</f>
        <v>1594642.8571428573</v>
      </c>
      <c r="S13" s="149">
        <f t="array" ref="S13">TREND('capital processing'!$B$12:$D$12,'capital processing'!$B$2:$D$2,'CCaMC-BCCpUC'!S1)</f>
        <v>1591428.5714285709</v>
      </c>
      <c r="T13" s="149">
        <f t="array" ref="T13">TREND('capital processing'!$B$12:$D$12,'capital processing'!$B$2:$D$2,'CCaMC-BCCpUC'!T1)</f>
        <v>1588214.2857142854</v>
      </c>
      <c r="U13" s="149">
        <f t="array" ref="U13">TREND('capital processing'!$B$12:$D$12,'capital processing'!$B$2:$D$2,'CCaMC-BCCpUC'!U1)</f>
        <v>1585000</v>
      </c>
      <c r="V13" s="149">
        <f t="array" ref="V13">TREND('capital processing'!$B$12:$D$12,'capital processing'!$B$2:$D$2,'CCaMC-BCCpUC'!V1)</f>
        <v>1581785.7142857146</v>
      </c>
      <c r="W13" s="149">
        <f t="array" ref="W13">TREND('capital processing'!$B$12:$D$12,'capital processing'!$B$2:$D$2,'CCaMC-BCCpUC'!W1)</f>
        <v>1578571.4285714282</v>
      </c>
      <c r="X13" s="149">
        <f t="array" ref="X13">TREND('capital processing'!$B$12:$D$12,'capital processing'!$B$2:$D$2,'CCaMC-BCCpUC'!X1)</f>
        <v>1575357.1428571427</v>
      </c>
      <c r="Y13" s="149">
        <f t="array" ref="Y13">TREND('capital processing'!$B$12:$D$12,'capital processing'!$B$2:$D$2,'CCaMC-BCCpUC'!Y1)</f>
        <v>1572142.8571428573</v>
      </c>
      <c r="Z13" s="149">
        <f t="array" ref="Z13">TREND('capital processing'!$B$12:$D$12,'capital processing'!$B$2:$D$2,'CCaMC-BCCpUC'!Z1)</f>
        <v>1568928.5714285709</v>
      </c>
      <c r="AA13" s="149">
        <f t="array" ref="AA13">TREND('capital processing'!$B$12:$D$12,'capital processing'!$B$2:$D$2,'CCaMC-BCCpUC'!AA1)</f>
        <v>1565714.2857142854</v>
      </c>
      <c r="AB13" s="149">
        <f t="array" ref="AB13">TREND('capital processing'!$B$12:$D$12,'capital processing'!$B$2:$D$2,'CCaMC-BCCpUC'!AB1)</f>
        <v>1562500</v>
      </c>
      <c r="AC13" s="149">
        <f t="array" ref="AC13">TREND('capital processing'!$B$12:$D$12,'capital processing'!$B$2:$D$2,'CCaMC-BCCpUC'!AC1)</f>
        <v>1559285.7142857146</v>
      </c>
      <c r="AD13" s="149">
        <f t="array" ref="AD13">TREND('capital processing'!$B$12:$D$12,'capital processing'!$B$2:$D$2,'CCaMC-BCCpUC'!AD1)</f>
        <v>1556071.4285714282</v>
      </c>
      <c r="AE13" s="149">
        <f t="array" ref="AE13">TREND('capital processing'!$B$12:$D$12,'capital processing'!$B$2:$D$2,'CCaMC-BCCpUC'!AE1)</f>
        <v>1552857.1428571427</v>
      </c>
      <c r="AF13" s="149">
        <f t="array" ref="AF13">TREND('capital processing'!$B$12:$D$12,'capital processing'!$B$2:$D$2,'CCaMC-BCCpUC'!AF1)</f>
        <v>1549642.8571428573</v>
      </c>
      <c r="AG13" s="149">
        <f t="array" ref="AG13">TREND('capital processing'!$B$12:$D$12,'capital processing'!$B$2:$D$2,'CCaMC-BCCpUC'!AG1)</f>
        <v>1546428.5714285709</v>
      </c>
    </row>
    <row r="14" spans="1:33" ht="14.25" customHeight="1">
      <c r="A14" s="1" t="s">
        <v>1144</v>
      </c>
      <c r="B14" s="160">
        <f t="array" ref="B14">TREND('capital processing'!$B$13:$D$13,'capital processing'!$B$2:$D$2,'CCaMC-BCCpUC'!B1)</f>
        <v>3448428.5714285746</v>
      </c>
      <c r="C14" s="160">
        <f>B14</f>
        <v>3448428.5714285746</v>
      </c>
      <c r="D14" s="149">
        <v>0</v>
      </c>
      <c r="E14" s="149">
        <v>0</v>
      </c>
      <c r="F14" s="149">
        <v>0</v>
      </c>
      <c r="G14" s="149">
        <v>0</v>
      </c>
      <c r="H14" s="149">
        <v>0</v>
      </c>
      <c r="I14" s="149">
        <v>0</v>
      </c>
      <c r="J14" s="149">
        <v>0</v>
      </c>
      <c r="K14" s="149">
        <v>0</v>
      </c>
      <c r="L14" s="149">
        <v>0</v>
      </c>
      <c r="M14" s="149">
        <v>0</v>
      </c>
      <c r="N14" s="149">
        <v>0</v>
      </c>
      <c r="O14" s="149">
        <v>0</v>
      </c>
      <c r="P14" s="149">
        <v>0</v>
      </c>
      <c r="Q14" s="149">
        <v>0</v>
      </c>
      <c r="R14" s="149">
        <v>0</v>
      </c>
      <c r="S14" s="149">
        <v>0</v>
      </c>
      <c r="T14" s="149">
        <v>0</v>
      </c>
      <c r="U14" s="149">
        <v>0</v>
      </c>
      <c r="V14" s="149">
        <v>0</v>
      </c>
      <c r="W14" s="149">
        <v>0</v>
      </c>
      <c r="X14" s="149">
        <v>0</v>
      </c>
      <c r="Y14" s="149">
        <v>0</v>
      </c>
      <c r="Z14" s="149">
        <v>0</v>
      </c>
      <c r="AA14" s="149">
        <v>0</v>
      </c>
      <c r="AB14" s="149">
        <v>0</v>
      </c>
      <c r="AC14" s="149">
        <v>0</v>
      </c>
      <c r="AD14" s="149">
        <v>0</v>
      </c>
      <c r="AE14" s="149">
        <v>0</v>
      </c>
      <c r="AF14" s="149">
        <v>0</v>
      </c>
      <c r="AG14" s="149">
        <v>0</v>
      </c>
    </row>
    <row r="15" spans="1:33" ht="14.25" customHeight="1">
      <c r="A15" s="127" t="s">
        <v>1145</v>
      </c>
      <c r="B15" s="149">
        <f t="array" ref="B15">TREND('capital processing'!$B$14:$D$14,'capital processing'!$B$2:$D$2,'CCaMC-BCCpUC'!B1)</f>
        <v>803571.42857142864</v>
      </c>
      <c r="C15" s="149">
        <f t="array" ref="C15">TREND('capital processing'!$B$14:$D$14,'capital processing'!$B$2:$D$2,'CCaMC-BCCpUC'!C1)</f>
        <v>802857.14285714296</v>
      </c>
      <c r="D15" s="149">
        <f t="array" ref="D15">TREND('capital processing'!$B$14:$D$14,'capital processing'!$B$2:$D$2,'CCaMC-BCCpUC'!D1)</f>
        <v>802142.85714285728</v>
      </c>
      <c r="E15" s="149">
        <f t="array" ref="E15">TREND('capital processing'!$B$14:$D$14,'capital processing'!$B$2:$D$2,'CCaMC-BCCpUC'!E1)</f>
        <v>801428.57142857159</v>
      </c>
      <c r="F15" s="149">
        <f t="array" ref="F15">TREND('capital processing'!$B$14:$D$14,'capital processing'!$B$2:$D$2,'CCaMC-BCCpUC'!F1)</f>
        <v>800714.28571428591</v>
      </c>
      <c r="G15" s="149">
        <f t="array" ref="G15">TREND('capital processing'!$B$14:$D$14,'capital processing'!$B$2:$D$2,'CCaMC-BCCpUC'!G1)</f>
        <v>800000</v>
      </c>
      <c r="H15" s="149">
        <f t="array" ref="H15">TREND('capital processing'!$B$14:$D$14,'capital processing'!$B$2:$D$2,'CCaMC-BCCpUC'!H1)</f>
        <v>799285.71428571432</v>
      </c>
      <c r="I15" s="149">
        <f t="array" ref="I15">TREND('capital processing'!$B$14:$D$14,'capital processing'!$B$2:$D$2,'CCaMC-BCCpUC'!I1)</f>
        <v>798571.42857142864</v>
      </c>
      <c r="J15" s="149">
        <f t="array" ref="J15">TREND('capital processing'!$B$14:$D$14,'capital processing'!$B$2:$D$2,'CCaMC-BCCpUC'!J1)</f>
        <v>797857.14285714296</v>
      </c>
      <c r="K15" s="149">
        <f t="array" ref="K15">TREND('capital processing'!$B$14:$D$14,'capital processing'!$B$2:$D$2,'CCaMC-BCCpUC'!K1)</f>
        <v>797142.85714285728</v>
      </c>
      <c r="L15" s="149">
        <f t="array" ref="L15">TREND('capital processing'!$B$14:$D$14,'capital processing'!$B$2:$D$2,'CCaMC-BCCpUC'!L1)</f>
        <v>796428.57142857159</v>
      </c>
      <c r="M15" s="149">
        <f t="array" ref="M15">TREND('capital processing'!$B$14:$D$14,'capital processing'!$B$2:$D$2,'CCaMC-BCCpUC'!M1)</f>
        <v>795714.28571428591</v>
      </c>
      <c r="N15" s="149">
        <f t="array" ref="N15">TREND('capital processing'!$B$14:$D$14,'capital processing'!$B$2:$D$2,'CCaMC-BCCpUC'!N1)</f>
        <v>795000</v>
      </c>
      <c r="O15" s="149">
        <f t="array" ref="O15">TREND('capital processing'!$B$14:$D$14,'capital processing'!$B$2:$D$2,'CCaMC-BCCpUC'!O1)</f>
        <v>794285.71428571432</v>
      </c>
      <c r="P15" s="149">
        <f t="array" ref="P15">TREND('capital processing'!$B$14:$D$14,'capital processing'!$B$2:$D$2,'CCaMC-BCCpUC'!P1)</f>
        <v>793571.42857142864</v>
      </c>
      <c r="Q15" s="149">
        <f t="array" ref="Q15">TREND('capital processing'!$B$14:$D$14,'capital processing'!$B$2:$D$2,'CCaMC-BCCpUC'!Q1)</f>
        <v>792857.14285714296</v>
      </c>
      <c r="R15" s="149">
        <f t="array" ref="R15">TREND('capital processing'!$B$14:$D$14,'capital processing'!$B$2:$D$2,'CCaMC-BCCpUC'!R1)</f>
        <v>792142.85714285728</v>
      </c>
      <c r="S15" s="149">
        <f t="array" ref="S15">TREND('capital processing'!$B$14:$D$14,'capital processing'!$B$2:$D$2,'CCaMC-BCCpUC'!S1)</f>
        <v>791428.57142857159</v>
      </c>
      <c r="T15" s="149">
        <f t="array" ref="T15">TREND('capital processing'!$B$14:$D$14,'capital processing'!$B$2:$D$2,'CCaMC-BCCpUC'!T1)</f>
        <v>790714.28571428591</v>
      </c>
      <c r="U15" s="149">
        <f t="array" ref="U15">TREND('capital processing'!$B$14:$D$14,'capital processing'!$B$2:$D$2,'CCaMC-BCCpUC'!U1)</f>
        <v>790000</v>
      </c>
      <c r="V15" s="149">
        <f t="array" ref="V15">TREND('capital processing'!$B$14:$D$14,'capital processing'!$B$2:$D$2,'CCaMC-BCCpUC'!V1)</f>
        <v>789285.71428571432</v>
      </c>
      <c r="W15" s="149">
        <f t="array" ref="W15">TREND('capital processing'!$B$14:$D$14,'capital processing'!$B$2:$D$2,'CCaMC-BCCpUC'!W1)</f>
        <v>788571.42857142864</v>
      </c>
      <c r="X15" s="149">
        <f t="array" ref="X15">TREND('capital processing'!$B$14:$D$14,'capital processing'!$B$2:$D$2,'CCaMC-BCCpUC'!X1)</f>
        <v>787857.14285714296</v>
      </c>
      <c r="Y15" s="149">
        <f t="array" ref="Y15">TREND('capital processing'!$B$14:$D$14,'capital processing'!$B$2:$D$2,'CCaMC-BCCpUC'!Y1)</f>
        <v>787142.85714285728</v>
      </c>
      <c r="Z15" s="149">
        <f t="array" ref="Z15">TREND('capital processing'!$B$14:$D$14,'capital processing'!$B$2:$D$2,'CCaMC-BCCpUC'!Z1)</f>
        <v>786428.57142857159</v>
      </c>
      <c r="AA15" s="149">
        <f t="array" ref="AA15">TREND('capital processing'!$B$14:$D$14,'capital processing'!$B$2:$D$2,'CCaMC-BCCpUC'!AA1)</f>
        <v>785714.28571428591</v>
      </c>
      <c r="AB15" s="149">
        <f t="array" ref="AB15">TREND('capital processing'!$B$14:$D$14,'capital processing'!$B$2:$D$2,'CCaMC-BCCpUC'!AB1)</f>
        <v>785000</v>
      </c>
      <c r="AC15" s="149">
        <f t="array" ref="AC15">TREND('capital processing'!$B$14:$D$14,'capital processing'!$B$2:$D$2,'CCaMC-BCCpUC'!AC1)</f>
        <v>784285.71428571432</v>
      </c>
      <c r="AD15" s="149">
        <f t="array" ref="AD15">TREND('capital processing'!$B$14:$D$14,'capital processing'!$B$2:$D$2,'CCaMC-BCCpUC'!AD1)</f>
        <v>783571.42857142864</v>
      </c>
      <c r="AE15" s="149">
        <f t="array" ref="AE15">TREND('capital processing'!$B$14:$D$14,'capital processing'!$B$2:$D$2,'CCaMC-BCCpUC'!AE1)</f>
        <v>782857.14285714296</v>
      </c>
      <c r="AF15" s="149">
        <f t="array" ref="AF15">TREND('capital processing'!$B$14:$D$14,'capital processing'!$B$2:$D$2,'CCaMC-BCCpUC'!AF1)</f>
        <v>782142.85714285728</v>
      </c>
      <c r="AG15" s="149">
        <f t="array" ref="AG15">TREND('capital processing'!$B$14:$D$14,'capital processing'!$B$2:$D$2,'CCaMC-BCCpUC'!AG1)</f>
        <v>781428.57142857159</v>
      </c>
    </row>
    <row r="16" spans="1:33" ht="14.25" customHeight="1">
      <c r="A16" s="127" t="s">
        <v>1146</v>
      </c>
      <c r="B16" s="149">
        <f t="shared" ref="B16:AG16" si="0">B15</f>
        <v>803571.42857142864</v>
      </c>
      <c r="C16" s="149">
        <f t="shared" si="0"/>
        <v>802857.14285714296</v>
      </c>
      <c r="D16" s="149">
        <f t="shared" si="0"/>
        <v>802142.85714285728</v>
      </c>
      <c r="E16" s="149">
        <f t="shared" si="0"/>
        <v>801428.57142857159</v>
      </c>
      <c r="F16" s="149">
        <f t="shared" si="0"/>
        <v>800714.28571428591</v>
      </c>
      <c r="G16" s="149">
        <f t="shared" si="0"/>
        <v>800000</v>
      </c>
      <c r="H16" s="149">
        <f t="shared" si="0"/>
        <v>799285.71428571432</v>
      </c>
      <c r="I16" s="149">
        <f t="shared" si="0"/>
        <v>798571.42857142864</v>
      </c>
      <c r="J16" s="149">
        <f t="shared" si="0"/>
        <v>797857.14285714296</v>
      </c>
      <c r="K16" s="149">
        <f t="shared" si="0"/>
        <v>797142.85714285728</v>
      </c>
      <c r="L16" s="149">
        <f t="shared" si="0"/>
        <v>796428.57142857159</v>
      </c>
      <c r="M16" s="149">
        <f t="shared" si="0"/>
        <v>795714.28571428591</v>
      </c>
      <c r="N16" s="149">
        <f t="shared" si="0"/>
        <v>795000</v>
      </c>
      <c r="O16" s="149">
        <f t="shared" si="0"/>
        <v>794285.71428571432</v>
      </c>
      <c r="P16" s="149">
        <f t="shared" si="0"/>
        <v>793571.42857142864</v>
      </c>
      <c r="Q16" s="149">
        <f t="shared" si="0"/>
        <v>792857.14285714296</v>
      </c>
      <c r="R16" s="149">
        <f t="shared" si="0"/>
        <v>792142.85714285728</v>
      </c>
      <c r="S16" s="149">
        <f t="shared" si="0"/>
        <v>791428.57142857159</v>
      </c>
      <c r="T16" s="149">
        <f t="shared" si="0"/>
        <v>790714.28571428591</v>
      </c>
      <c r="U16" s="149">
        <f t="shared" si="0"/>
        <v>790000</v>
      </c>
      <c r="V16" s="149">
        <f t="shared" si="0"/>
        <v>789285.71428571432</v>
      </c>
      <c r="W16" s="149">
        <f t="shared" si="0"/>
        <v>788571.42857142864</v>
      </c>
      <c r="X16" s="149">
        <f t="shared" si="0"/>
        <v>787857.14285714296</v>
      </c>
      <c r="Y16" s="149">
        <f t="shared" si="0"/>
        <v>787142.85714285728</v>
      </c>
      <c r="Z16" s="149">
        <f t="shared" si="0"/>
        <v>786428.57142857159</v>
      </c>
      <c r="AA16" s="149">
        <f t="shared" si="0"/>
        <v>785714.28571428591</v>
      </c>
      <c r="AB16" s="149">
        <f t="shared" si="0"/>
        <v>785000</v>
      </c>
      <c r="AC16" s="149">
        <f t="shared" si="0"/>
        <v>784285.71428571432</v>
      </c>
      <c r="AD16" s="149">
        <f t="shared" si="0"/>
        <v>783571.42857142864</v>
      </c>
      <c r="AE16" s="149">
        <f t="shared" si="0"/>
        <v>782857.14285714296</v>
      </c>
      <c r="AF16" s="149">
        <f t="shared" si="0"/>
        <v>782142.85714285728</v>
      </c>
      <c r="AG16" s="149">
        <f t="shared" si="0"/>
        <v>781428.57142857159</v>
      </c>
    </row>
    <row r="17" spans="1:33" ht="14.25" customHeight="1">
      <c r="A17" s="127" t="s">
        <v>1147</v>
      </c>
      <c r="B17" s="149">
        <f t="array" ref="B17">TREND('capital processing'!$B$16:$D$16,'capital processing'!$B$2:$D$2,'CCaMC-BCCpUC'!B$1)</f>
        <v>691214.28571428545</v>
      </c>
      <c r="C17" s="149">
        <f t="array" ref="C17">TREND('capital processing'!$B$16:$D$16,'capital processing'!$B$2:$D$2,'CCaMC-BCCpUC'!C$1)</f>
        <v>688571.42857142817</v>
      </c>
      <c r="D17" s="149">
        <f t="array" ref="D17">TREND('capital processing'!$B$16:$D$16,'capital processing'!$B$2:$D$2,'CCaMC-BCCpUC'!D$1)</f>
        <v>685928.5714285709</v>
      </c>
      <c r="E17" s="149">
        <f t="array" ref="E17">TREND('capital processing'!$B$16:$D$16,'capital processing'!$B$2:$D$2,'CCaMC-BCCpUC'!E$1)</f>
        <v>683285.71428571362</v>
      </c>
      <c r="F17" s="149">
        <f t="array" ref="F17">TREND('capital processing'!$B$16:$D$16,'capital processing'!$B$2:$D$2,'CCaMC-BCCpUC'!F$1)</f>
        <v>680642.85714285634</v>
      </c>
      <c r="G17" s="149">
        <f t="array" ref="G17">TREND('capital processing'!$B$16:$D$16,'capital processing'!$B$2:$D$2,'CCaMC-BCCpUC'!G$1)</f>
        <v>678000</v>
      </c>
      <c r="H17" s="149">
        <f t="array" ref="H17">TREND('capital processing'!$B$16:$D$16,'capital processing'!$B$2:$D$2,'CCaMC-BCCpUC'!H$1)</f>
        <v>675357.14285714272</v>
      </c>
      <c r="I17" s="149">
        <f t="array" ref="I17">TREND('capital processing'!$B$16:$D$16,'capital processing'!$B$2:$D$2,'CCaMC-BCCpUC'!I$1)</f>
        <v>672714.28571428545</v>
      </c>
      <c r="J17" s="149">
        <f t="array" ref="J17">TREND('capital processing'!$B$16:$D$16,'capital processing'!$B$2:$D$2,'CCaMC-BCCpUC'!J$1)</f>
        <v>670071.42857142817</v>
      </c>
      <c r="K17" s="149">
        <f t="array" ref="K17">TREND('capital processing'!$B$16:$D$16,'capital processing'!$B$2:$D$2,'CCaMC-BCCpUC'!K$1)</f>
        <v>667428.5714285709</v>
      </c>
      <c r="L17" s="149">
        <f t="array" ref="L17">TREND('capital processing'!$B$16:$D$16,'capital processing'!$B$2:$D$2,'CCaMC-BCCpUC'!L$1)</f>
        <v>664785.71428571362</v>
      </c>
      <c r="M17" s="149">
        <f t="array" ref="M17">TREND('capital processing'!$B$16:$D$16,'capital processing'!$B$2:$D$2,'CCaMC-BCCpUC'!M$1)</f>
        <v>662142.85714285634</v>
      </c>
      <c r="N17" s="149">
        <f t="array" ref="N17">TREND('capital processing'!$B$16:$D$16,'capital processing'!$B$2:$D$2,'CCaMC-BCCpUC'!N$1)</f>
        <v>659500</v>
      </c>
      <c r="O17" s="149">
        <f t="array" ref="O17">TREND('capital processing'!$B$16:$D$16,'capital processing'!$B$2:$D$2,'CCaMC-BCCpUC'!O$1)</f>
        <v>656857.14285714272</v>
      </c>
      <c r="P17" s="149">
        <f t="array" ref="P17">TREND('capital processing'!$B$16:$D$16,'capital processing'!$B$2:$D$2,'CCaMC-BCCpUC'!P$1)</f>
        <v>654214.28571428545</v>
      </c>
      <c r="Q17" s="149">
        <f t="array" ref="Q17">TREND('capital processing'!$B$16:$D$16,'capital processing'!$B$2:$D$2,'CCaMC-BCCpUC'!Q$1)</f>
        <v>651571.42857142817</v>
      </c>
      <c r="R17" s="149">
        <f t="array" ref="R17">TREND('capital processing'!$B$16:$D$16,'capital processing'!$B$2:$D$2,'CCaMC-BCCpUC'!R$1)</f>
        <v>648928.5714285709</v>
      </c>
      <c r="S17" s="149">
        <f t="array" ref="S17">TREND('capital processing'!$B$16:$D$16,'capital processing'!$B$2:$D$2,'CCaMC-BCCpUC'!S$1)</f>
        <v>646285.71428571362</v>
      </c>
      <c r="T17" s="149">
        <f t="array" ref="T17">TREND('capital processing'!$B$16:$D$16,'capital processing'!$B$2:$D$2,'CCaMC-BCCpUC'!T$1)</f>
        <v>643642.85714285634</v>
      </c>
      <c r="U17" s="149">
        <f t="array" ref="U17">TREND('capital processing'!$B$16:$D$16,'capital processing'!$B$2:$D$2,'CCaMC-BCCpUC'!U$1)</f>
        <v>641000</v>
      </c>
      <c r="V17" s="149">
        <f t="array" ref="V17">TREND('capital processing'!$B$16:$D$16,'capital processing'!$B$2:$D$2,'CCaMC-BCCpUC'!V$1)</f>
        <v>638357.14285714272</v>
      </c>
      <c r="W17" s="149">
        <f t="array" ref="W17">TREND('capital processing'!$B$16:$D$16,'capital processing'!$B$2:$D$2,'CCaMC-BCCpUC'!W$1)</f>
        <v>635714.28571428545</v>
      </c>
      <c r="X17" s="149">
        <f t="array" ref="X17">TREND('capital processing'!$B$16:$D$16,'capital processing'!$B$2:$D$2,'CCaMC-BCCpUC'!X$1)</f>
        <v>633071.42857142817</v>
      </c>
      <c r="Y17" s="149">
        <f t="array" ref="Y17">TREND('capital processing'!$B$16:$D$16,'capital processing'!$B$2:$D$2,'CCaMC-BCCpUC'!Y$1)</f>
        <v>630428.5714285709</v>
      </c>
      <c r="Z17" s="149">
        <f t="array" ref="Z17">TREND('capital processing'!$B$16:$D$16,'capital processing'!$B$2:$D$2,'CCaMC-BCCpUC'!Z$1)</f>
        <v>627785.71428571362</v>
      </c>
      <c r="AA17" s="149">
        <f t="array" ref="AA17">TREND('capital processing'!$B$16:$D$16,'capital processing'!$B$2:$D$2,'CCaMC-BCCpUC'!AA$1)</f>
        <v>625142.85714285634</v>
      </c>
      <c r="AB17" s="149">
        <f t="array" ref="AB17">TREND('capital processing'!$B$16:$D$16,'capital processing'!$B$2:$D$2,'CCaMC-BCCpUC'!AB$1)</f>
        <v>622500</v>
      </c>
      <c r="AC17" s="149">
        <f t="array" ref="AC17">TREND('capital processing'!$B$16:$D$16,'capital processing'!$B$2:$D$2,'CCaMC-BCCpUC'!AC$1)</f>
        <v>619857.14285714272</v>
      </c>
      <c r="AD17" s="149">
        <f t="array" ref="AD17">TREND('capital processing'!$B$16:$D$16,'capital processing'!$B$2:$D$2,'CCaMC-BCCpUC'!AD$1)</f>
        <v>617214.28571428545</v>
      </c>
      <c r="AE17" s="149">
        <f t="array" ref="AE17">TREND('capital processing'!$B$16:$D$16,'capital processing'!$B$2:$D$2,'CCaMC-BCCpUC'!AE$1)</f>
        <v>614571.42857142817</v>
      </c>
      <c r="AF17" s="149">
        <f t="array" ref="AF17">TREND('capital processing'!$B$16:$D$16,'capital processing'!$B$2:$D$2,'CCaMC-BCCpUC'!AF$1)</f>
        <v>611928.5714285709</v>
      </c>
      <c r="AG17" s="149">
        <f t="array" ref="AG17">TREND('capital processing'!$B$16:$D$16,'capital processing'!$B$2:$D$2,'CCaMC-BCCpUC'!AG$1)</f>
        <v>609285.71428571362</v>
      </c>
    </row>
    <row r="18" spans="1:33" ht="14.25" customHeight="1"/>
    <row r="19" spans="1:33" ht="14.25" customHeight="1">
      <c r="A19" s="127"/>
    </row>
    <row r="20" spans="1:33" ht="14.25" customHeight="1"/>
    <row r="21" spans="1:33" ht="14.25" customHeight="1">
      <c r="D21" s="124"/>
    </row>
    <row r="22" spans="1:33" ht="14.25" customHeight="1">
      <c r="D22" s="124"/>
    </row>
    <row r="23" spans="1:33" ht="14.25" customHeight="1">
      <c r="D23" s="124"/>
    </row>
    <row r="24" spans="1:33" ht="14.25" customHeight="1">
      <c r="D24" s="124"/>
    </row>
    <row r="25" spans="1:33" ht="14.25" customHeight="1">
      <c r="D25" s="124"/>
    </row>
    <row r="26" spans="1:33" ht="14.25" customHeight="1">
      <c r="D26" s="124"/>
    </row>
    <row r="27" spans="1:33" ht="14.25" customHeight="1">
      <c r="D27" s="124"/>
    </row>
    <row r="28" spans="1:33" ht="14.25" customHeight="1">
      <c r="D28" s="124"/>
    </row>
    <row r="29" spans="1:33" ht="14.25" customHeight="1">
      <c r="D29" s="124"/>
    </row>
    <row r="30" spans="1:33" ht="14.25" customHeight="1">
      <c r="D30" s="124"/>
    </row>
    <row r="31" spans="1:33" ht="14.25" customHeight="1">
      <c r="D31" s="124"/>
    </row>
    <row r="32" spans="1:33" ht="14.25" customHeight="1">
      <c r="D32" s="124"/>
    </row>
    <row r="33" spans="4:4" ht="14.25" customHeight="1">
      <c r="D33" s="124"/>
    </row>
    <row r="34" spans="4:4" ht="14.25" customHeight="1">
      <c r="D34" s="124"/>
    </row>
    <row r="35" spans="4:4" ht="14.25" customHeight="1">
      <c r="D35" s="124"/>
    </row>
    <row r="36" spans="4:4" ht="14.25" customHeight="1">
      <c r="D36" s="124"/>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AG1000"/>
  <sheetViews>
    <sheetView workbookViewId="0">
      <selection activeCell="X25" sqref="X25"/>
    </sheetView>
  </sheetViews>
  <sheetFormatPr baseColWidth="10" defaultColWidth="14.5" defaultRowHeight="15" customHeight="1"/>
  <cols>
    <col min="1" max="1" width="35.5" customWidth="1"/>
    <col min="2" max="33" width="9.1640625" customWidth="1"/>
  </cols>
  <sheetData>
    <row r="1" spans="1:33" ht="14.25" customHeight="1">
      <c r="A1" s="139" t="s">
        <v>1134</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 t="s">
        <v>1135</v>
      </c>
      <c r="B2" s="152">
        <f>'US-CCaMC-BSCpUC'!B2</f>
        <v>0</v>
      </c>
      <c r="C2" s="152">
        <f>'US-CCaMC-BSCpUC'!C2</f>
        <v>0</v>
      </c>
      <c r="D2" s="152">
        <f>'US-CCaMC-BSCpUC'!D2</f>
        <v>0</v>
      </c>
      <c r="E2" s="152">
        <f>'US-CCaMC-BSCpUC'!E2</f>
        <v>0</v>
      </c>
      <c r="F2" s="152">
        <f>'US-CCaMC-BSCpUC'!F2</f>
        <v>0</v>
      </c>
      <c r="G2" s="152">
        <f>'US-CCaMC-BSCpUC'!G2</f>
        <v>0</v>
      </c>
      <c r="H2" s="152">
        <f>'US-CCaMC-BSCpUC'!H2</f>
        <v>0</v>
      </c>
      <c r="I2" s="152">
        <f>'US-CCaMC-BSCpUC'!I2</f>
        <v>0</v>
      </c>
      <c r="J2" s="152">
        <f>'US-CCaMC-BSCpUC'!J2</f>
        <v>0</v>
      </c>
      <c r="K2" s="152">
        <f>'US-CCaMC-BSCpUC'!K2</f>
        <v>0</v>
      </c>
      <c r="L2" s="152">
        <f>'US-CCaMC-BSCpUC'!L2</f>
        <v>0</v>
      </c>
      <c r="M2" s="152">
        <f>'US-CCaMC-BSCpUC'!M2</f>
        <v>0</v>
      </c>
      <c r="N2" s="152">
        <f>'US-CCaMC-BSCpUC'!N2</f>
        <v>0</v>
      </c>
      <c r="O2" s="152">
        <f>'US-CCaMC-BSCpUC'!O2</f>
        <v>0</v>
      </c>
      <c r="P2" s="152">
        <f>'US-CCaMC-BSCpUC'!P2</f>
        <v>0</v>
      </c>
      <c r="Q2" s="152">
        <f>'US-CCaMC-BSCpUC'!Q2</f>
        <v>0</v>
      </c>
      <c r="R2" s="152">
        <f>'US-CCaMC-BSCpUC'!R2</f>
        <v>0</v>
      </c>
      <c r="S2" s="152">
        <f>'US-CCaMC-BSCpUC'!S2</f>
        <v>0</v>
      </c>
      <c r="T2" s="152">
        <f>'US-CCaMC-BSCpUC'!T2</f>
        <v>0</v>
      </c>
      <c r="U2" s="152">
        <f>'US-CCaMC-BSCpUC'!U2</f>
        <v>0</v>
      </c>
      <c r="V2" s="152">
        <f>'US-CCaMC-BSCpUC'!V2</f>
        <v>0</v>
      </c>
      <c r="W2" s="152">
        <f>'US-CCaMC-BSCpUC'!W2</f>
        <v>0</v>
      </c>
      <c r="X2" s="152">
        <f>'US-CCaMC-BSCpUC'!X2</f>
        <v>0</v>
      </c>
      <c r="Y2" s="152">
        <f>'US-CCaMC-BSCpUC'!Y2</f>
        <v>0</v>
      </c>
      <c r="Z2" s="152">
        <f>'US-CCaMC-BSCpUC'!Z2</f>
        <v>0</v>
      </c>
      <c r="AA2" s="152">
        <f>'US-CCaMC-BSCpUC'!AA2</f>
        <v>0</v>
      </c>
      <c r="AB2" s="152">
        <f>'US-CCaMC-BSCpUC'!AB2</f>
        <v>0</v>
      </c>
      <c r="AC2" s="152">
        <f>'US-CCaMC-BSCpUC'!AC2</f>
        <v>0</v>
      </c>
      <c r="AD2" s="152">
        <f>'US-CCaMC-BSCpUC'!AD2</f>
        <v>0</v>
      </c>
      <c r="AE2" s="152">
        <f>'US-CCaMC-BSCpUC'!AE2</f>
        <v>0</v>
      </c>
      <c r="AF2" s="152">
        <f>'US-CCaMC-BSCpUC'!AF2</f>
        <v>0</v>
      </c>
      <c r="AG2" s="152">
        <f>'US-CCaMC-BSCpUC'!AG2</f>
        <v>0</v>
      </c>
    </row>
    <row r="3" spans="1:33" ht="14.25" customHeight="1">
      <c r="A3" s="1" t="s">
        <v>1136</v>
      </c>
      <c r="B3" s="152">
        <f>'US-CCaMC-BSCpUC'!B3</f>
        <v>0</v>
      </c>
      <c r="C3" s="152">
        <f>'US-CCaMC-BSCpUC'!C3</f>
        <v>0</v>
      </c>
      <c r="D3" s="152">
        <f>'US-CCaMC-BSCpUC'!D3</f>
        <v>0</v>
      </c>
      <c r="E3" s="152">
        <f>'US-CCaMC-BSCpUC'!E3</f>
        <v>0</v>
      </c>
      <c r="F3" s="152">
        <f>'US-CCaMC-BSCpUC'!F3</f>
        <v>0</v>
      </c>
      <c r="G3" s="152">
        <f>'US-CCaMC-BSCpUC'!G3</f>
        <v>0</v>
      </c>
      <c r="H3" s="152">
        <f>'US-CCaMC-BSCpUC'!H3</f>
        <v>0</v>
      </c>
      <c r="I3" s="152">
        <f>'US-CCaMC-BSCpUC'!I3</f>
        <v>0</v>
      </c>
      <c r="J3" s="152">
        <f>'US-CCaMC-BSCpUC'!J3</f>
        <v>0</v>
      </c>
      <c r="K3" s="152">
        <f>'US-CCaMC-BSCpUC'!K3</f>
        <v>0</v>
      </c>
      <c r="L3" s="152">
        <f>'US-CCaMC-BSCpUC'!L3</f>
        <v>0</v>
      </c>
      <c r="M3" s="152">
        <f>'US-CCaMC-BSCpUC'!M3</f>
        <v>0</v>
      </c>
      <c r="N3" s="152">
        <f>'US-CCaMC-BSCpUC'!N3</f>
        <v>0</v>
      </c>
      <c r="O3" s="152">
        <f>'US-CCaMC-BSCpUC'!O3</f>
        <v>0</v>
      </c>
      <c r="P3" s="152">
        <f>'US-CCaMC-BSCpUC'!P3</f>
        <v>0</v>
      </c>
      <c r="Q3" s="152">
        <f>'US-CCaMC-BSCpUC'!Q3</f>
        <v>0</v>
      </c>
      <c r="R3" s="152">
        <f>'US-CCaMC-BSCpUC'!R3</f>
        <v>0</v>
      </c>
      <c r="S3" s="152">
        <f>'US-CCaMC-BSCpUC'!S3</f>
        <v>0</v>
      </c>
      <c r="T3" s="152">
        <f>'US-CCaMC-BSCpUC'!T3</f>
        <v>0</v>
      </c>
      <c r="U3" s="152">
        <f>'US-CCaMC-BSCpUC'!U3</f>
        <v>0</v>
      </c>
      <c r="V3" s="152">
        <f>'US-CCaMC-BSCpUC'!V3</f>
        <v>0</v>
      </c>
      <c r="W3" s="152">
        <f>'US-CCaMC-BSCpUC'!W3</f>
        <v>0</v>
      </c>
      <c r="X3" s="152">
        <f>'US-CCaMC-BSCpUC'!X3</f>
        <v>0</v>
      </c>
      <c r="Y3" s="152">
        <f>'US-CCaMC-BSCpUC'!Y3</f>
        <v>0</v>
      </c>
      <c r="Z3" s="152">
        <f>'US-CCaMC-BSCpUC'!Z3</f>
        <v>0</v>
      </c>
      <c r="AA3" s="152">
        <f>'US-CCaMC-BSCpUC'!AA3</f>
        <v>0</v>
      </c>
      <c r="AB3" s="152">
        <f>'US-CCaMC-BSCpUC'!AB3</f>
        <v>0</v>
      </c>
      <c r="AC3" s="152">
        <f>'US-CCaMC-BSCpUC'!AC3</f>
        <v>0</v>
      </c>
      <c r="AD3" s="152">
        <f>'US-CCaMC-BSCpUC'!AD3</f>
        <v>0</v>
      </c>
      <c r="AE3" s="152">
        <f>'US-CCaMC-BSCpUC'!AE3</f>
        <v>0</v>
      </c>
      <c r="AF3" s="152">
        <f>'US-CCaMC-BSCpUC'!AF3</f>
        <v>0</v>
      </c>
      <c r="AG3" s="152">
        <f>'US-CCaMC-BSCpUC'!AG3</f>
        <v>0</v>
      </c>
    </row>
    <row r="4" spans="1:33" ht="14.25" customHeight="1">
      <c r="A4" s="1" t="s">
        <v>1137</v>
      </c>
      <c r="B4" s="152">
        <f>'US-CCaMC-BSCpUC'!B4</f>
        <v>0</v>
      </c>
      <c r="C4" s="152">
        <f>'US-CCaMC-BSCpUC'!C4</f>
        <v>0</v>
      </c>
      <c r="D4" s="152">
        <f>'US-CCaMC-BSCpUC'!D4</f>
        <v>0</v>
      </c>
      <c r="E4" s="152">
        <f>'US-CCaMC-BSCpUC'!E4</f>
        <v>0</v>
      </c>
      <c r="F4" s="152">
        <f>'US-CCaMC-BSCpUC'!F4</f>
        <v>0</v>
      </c>
      <c r="G4" s="152">
        <f>'US-CCaMC-BSCpUC'!G4</f>
        <v>0</v>
      </c>
      <c r="H4" s="152">
        <f>'US-CCaMC-BSCpUC'!H4</f>
        <v>0</v>
      </c>
      <c r="I4" s="152">
        <f>'US-CCaMC-BSCpUC'!I4</f>
        <v>0</v>
      </c>
      <c r="J4" s="152">
        <f>'US-CCaMC-BSCpUC'!J4</f>
        <v>0</v>
      </c>
      <c r="K4" s="152">
        <f>'US-CCaMC-BSCpUC'!K4</f>
        <v>0</v>
      </c>
      <c r="L4" s="152">
        <f>'US-CCaMC-BSCpUC'!L4</f>
        <v>0</v>
      </c>
      <c r="M4" s="152">
        <f>'US-CCaMC-BSCpUC'!M4</f>
        <v>0</v>
      </c>
      <c r="N4" s="152">
        <f>'US-CCaMC-BSCpUC'!N4</f>
        <v>0</v>
      </c>
      <c r="O4" s="152">
        <f>'US-CCaMC-BSCpUC'!O4</f>
        <v>0</v>
      </c>
      <c r="P4" s="152">
        <f>'US-CCaMC-BSCpUC'!P4</f>
        <v>0</v>
      </c>
      <c r="Q4" s="152">
        <f>'US-CCaMC-BSCpUC'!Q4</f>
        <v>0</v>
      </c>
      <c r="R4" s="152">
        <f>'US-CCaMC-BSCpUC'!R4</f>
        <v>0</v>
      </c>
      <c r="S4" s="152">
        <f>'US-CCaMC-BSCpUC'!S4</f>
        <v>0</v>
      </c>
      <c r="T4" s="152">
        <f>'US-CCaMC-BSCpUC'!T4</f>
        <v>0</v>
      </c>
      <c r="U4" s="152">
        <f>'US-CCaMC-BSCpUC'!U4</f>
        <v>0</v>
      </c>
      <c r="V4" s="152">
        <f>'US-CCaMC-BSCpUC'!V4</f>
        <v>0</v>
      </c>
      <c r="W4" s="152">
        <f>'US-CCaMC-BSCpUC'!W4</f>
        <v>0</v>
      </c>
      <c r="X4" s="152">
        <f>'US-CCaMC-BSCpUC'!X4</f>
        <v>0</v>
      </c>
      <c r="Y4" s="152">
        <f>'US-CCaMC-BSCpUC'!Y4</f>
        <v>0</v>
      </c>
      <c r="Z4" s="152">
        <f>'US-CCaMC-BSCpUC'!Z4</f>
        <v>0</v>
      </c>
      <c r="AA4" s="152">
        <f>'US-CCaMC-BSCpUC'!AA4</f>
        <v>0</v>
      </c>
      <c r="AB4" s="152">
        <f>'US-CCaMC-BSCpUC'!AB4</f>
        <v>0</v>
      </c>
      <c r="AC4" s="152">
        <f>'US-CCaMC-BSCpUC'!AC4</f>
        <v>0</v>
      </c>
      <c r="AD4" s="152">
        <f>'US-CCaMC-BSCpUC'!AD4</f>
        <v>0</v>
      </c>
      <c r="AE4" s="152">
        <f>'US-CCaMC-BSCpUC'!AE4</f>
        <v>0</v>
      </c>
      <c r="AF4" s="152">
        <f>'US-CCaMC-BSCpUC'!AF4</f>
        <v>0</v>
      </c>
      <c r="AG4" s="152">
        <f>'US-CCaMC-BSCpUC'!AG4</f>
        <v>0</v>
      </c>
    </row>
    <row r="5" spans="1:33" ht="14.25" customHeight="1">
      <c r="A5" s="1" t="s">
        <v>1138</v>
      </c>
      <c r="B5" s="152">
        <f>'US-CCaMC-BSCpUC'!B5</f>
        <v>0</v>
      </c>
      <c r="C5" s="152">
        <f>'US-CCaMC-BSCpUC'!C5</f>
        <v>0</v>
      </c>
      <c r="D5" s="152">
        <f>'US-CCaMC-BSCpUC'!D5</f>
        <v>0</v>
      </c>
      <c r="E5" s="152">
        <f>'US-CCaMC-BSCpUC'!E5</f>
        <v>0</v>
      </c>
      <c r="F5" s="152">
        <f>'US-CCaMC-BSCpUC'!F5</f>
        <v>0</v>
      </c>
      <c r="G5" s="152">
        <f>'US-CCaMC-BSCpUC'!G5</f>
        <v>0</v>
      </c>
      <c r="H5" s="152">
        <f>'US-CCaMC-BSCpUC'!H5</f>
        <v>0</v>
      </c>
      <c r="I5" s="152">
        <f>'US-CCaMC-BSCpUC'!I5</f>
        <v>0</v>
      </c>
      <c r="J5" s="152">
        <f>'US-CCaMC-BSCpUC'!J5</f>
        <v>0</v>
      </c>
      <c r="K5" s="152">
        <f>'US-CCaMC-BSCpUC'!K5</f>
        <v>0</v>
      </c>
      <c r="L5" s="152">
        <f>'US-CCaMC-BSCpUC'!L5</f>
        <v>0</v>
      </c>
      <c r="M5" s="152">
        <f>'US-CCaMC-BSCpUC'!M5</f>
        <v>0</v>
      </c>
      <c r="N5" s="152">
        <f>'US-CCaMC-BSCpUC'!N5</f>
        <v>0</v>
      </c>
      <c r="O5" s="152">
        <f>'US-CCaMC-BSCpUC'!O5</f>
        <v>0</v>
      </c>
      <c r="P5" s="152">
        <f>'US-CCaMC-BSCpUC'!P5</f>
        <v>0</v>
      </c>
      <c r="Q5" s="152">
        <f>'US-CCaMC-BSCpUC'!Q5</f>
        <v>0</v>
      </c>
      <c r="R5" s="152">
        <f>'US-CCaMC-BSCpUC'!R5</f>
        <v>0</v>
      </c>
      <c r="S5" s="152">
        <f>'US-CCaMC-BSCpUC'!S5</f>
        <v>0</v>
      </c>
      <c r="T5" s="152">
        <f>'US-CCaMC-BSCpUC'!T5</f>
        <v>0</v>
      </c>
      <c r="U5" s="152">
        <f>'US-CCaMC-BSCpUC'!U5</f>
        <v>0</v>
      </c>
      <c r="V5" s="152">
        <f>'US-CCaMC-BSCpUC'!V5</f>
        <v>0</v>
      </c>
      <c r="W5" s="152">
        <f>'US-CCaMC-BSCpUC'!W5</f>
        <v>0</v>
      </c>
      <c r="X5" s="152">
        <f>'US-CCaMC-BSCpUC'!X5</f>
        <v>0</v>
      </c>
      <c r="Y5" s="152">
        <f>'US-CCaMC-BSCpUC'!Y5</f>
        <v>0</v>
      </c>
      <c r="Z5" s="152">
        <f>'US-CCaMC-BSCpUC'!Z5</f>
        <v>0</v>
      </c>
      <c r="AA5" s="152">
        <f>'US-CCaMC-BSCpUC'!AA5</f>
        <v>0</v>
      </c>
      <c r="AB5" s="152">
        <f>'US-CCaMC-BSCpUC'!AB5</f>
        <v>0</v>
      </c>
      <c r="AC5" s="152">
        <f>'US-CCaMC-BSCpUC'!AC5</f>
        <v>0</v>
      </c>
      <c r="AD5" s="152">
        <f>'US-CCaMC-BSCpUC'!AD5</f>
        <v>0</v>
      </c>
      <c r="AE5" s="152">
        <f>'US-CCaMC-BSCpUC'!AE5</f>
        <v>0</v>
      </c>
      <c r="AF5" s="152">
        <f>'US-CCaMC-BSCpUC'!AF5</f>
        <v>0</v>
      </c>
      <c r="AG5" s="152">
        <f>'US-CCaMC-BSCpUC'!AG5</f>
        <v>0</v>
      </c>
    </row>
    <row r="6" spans="1:33" ht="14.25" customHeight="1">
      <c r="A6" s="1" t="s">
        <v>1139</v>
      </c>
      <c r="B6" s="152">
        <f>'US-CCaMC-BSCpUC'!B6</f>
        <v>259391</v>
      </c>
      <c r="C6" s="152">
        <f>'US-CCaMC-BSCpUC'!C6</f>
        <v>237775</v>
      </c>
      <c r="D6" s="152">
        <f>'US-CCaMC-BSCpUC'!D6</f>
        <v>216159</v>
      </c>
      <c r="E6" s="152">
        <f>'US-CCaMC-BSCpUC'!E6</f>
        <v>194543</v>
      </c>
      <c r="F6" s="152">
        <f>'US-CCaMC-BSCpUC'!F6</f>
        <v>172927</v>
      </c>
      <c r="G6" s="152">
        <f>'US-CCaMC-BSCpUC'!G6</f>
        <v>151312</v>
      </c>
      <c r="H6" s="152">
        <f>'US-CCaMC-BSCpUC'!H6</f>
        <v>129696</v>
      </c>
      <c r="I6" s="152">
        <f>'US-CCaMC-BSCpUC'!I6</f>
        <v>108944</v>
      </c>
      <c r="J6" s="152">
        <f>'US-CCaMC-BSCpUC'!J6</f>
        <v>88193</v>
      </c>
      <c r="K6" s="152">
        <f>'US-CCaMC-BSCpUC'!K6</f>
        <v>67442</v>
      </c>
      <c r="L6" s="152">
        <f>'US-CCaMC-BSCpUC'!L6</f>
        <v>46690</v>
      </c>
      <c r="M6" s="152">
        <f>'US-CCaMC-BSCpUC'!M6</f>
        <v>25939</v>
      </c>
      <c r="N6" s="152">
        <f>'US-CCaMC-BSCpUC'!N6</f>
        <v>24642</v>
      </c>
      <c r="O6" s="152">
        <f>'US-CCaMC-BSCpUC'!O6</f>
        <v>23345</v>
      </c>
      <c r="P6" s="152">
        <f>'US-CCaMC-BSCpUC'!P6</f>
        <v>22048</v>
      </c>
      <c r="Q6" s="152">
        <f>'US-CCaMC-BSCpUC'!Q6</f>
        <v>20751</v>
      </c>
      <c r="R6" s="152">
        <f>'US-CCaMC-BSCpUC'!R6</f>
        <v>19454</v>
      </c>
      <c r="S6" s="152">
        <f>'US-CCaMC-BSCpUC'!S6</f>
        <v>18157</v>
      </c>
      <c r="T6" s="152">
        <f>'US-CCaMC-BSCpUC'!T6</f>
        <v>16860</v>
      </c>
      <c r="U6" s="152">
        <f>'US-CCaMC-BSCpUC'!U6</f>
        <v>15563</v>
      </c>
      <c r="V6" s="152">
        <f>'US-CCaMC-BSCpUC'!V6</f>
        <v>14267</v>
      </c>
      <c r="W6" s="152">
        <f>'US-CCaMC-BSCpUC'!W6</f>
        <v>12970</v>
      </c>
      <c r="X6" s="152">
        <f>'US-CCaMC-BSCpUC'!X6</f>
        <v>11673</v>
      </c>
      <c r="Y6" s="152">
        <f>'US-CCaMC-BSCpUC'!Y6</f>
        <v>10376</v>
      </c>
      <c r="Z6" s="152">
        <f>'US-CCaMC-BSCpUC'!Z6</f>
        <v>9079</v>
      </c>
      <c r="AA6" s="152">
        <f>'US-CCaMC-BSCpUC'!AA6</f>
        <v>7782</v>
      </c>
      <c r="AB6" s="152">
        <f>'US-CCaMC-BSCpUC'!AB6</f>
        <v>6485</v>
      </c>
      <c r="AC6" s="152">
        <f>'US-CCaMC-BSCpUC'!AC6</f>
        <v>5188</v>
      </c>
      <c r="AD6" s="152">
        <f>'US-CCaMC-BSCpUC'!AD6</f>
        <v>3891</v>
      </c>
      <c r="AE6" s="152">
        <f>'US-CCaMC-BSCpUC'!AE6</f>
        <v>2594</v>
      </c>
      <c r="AF6" s="152">
        <f>'US-CCaMC-BSCpUC'!AF6</f>
        <v>1297</v>
      </c>
      <c r="AG6" s="152">
        <f>'US-CCaMC-BSCpUC'!AG6</f>
        <v>0</v>
      </c>
    </row>
    <row r="7" spans="1:33" ht="14.25" customHeight="1">
      <c r="A7" s="1" t="s">
        <v>379</v>
      </c>
      <c r="B7" s="152">
        <f>'US-CCaMC-BSCpUC'!B7</f>
        <v>331170</v>
      </c>
      <c r="C7" s="152">
        <f>'US-CCaMC-BSCpUC'!C7</f>
        <v>319343</v>
      </c>
      <c r="D7" s="152">
        <f>'US-CCaMC-BSCpUC'!D7</f>
        <v>307515</v>
      </c>
      <c r="E7" s="152">
        <f>'US-CCaMC-BSCpUC'!E7</f>
        <v>295688</v>
      </c>
      <c r="F7" s="152">
        <f>'US-CCaMC-BSCpUC'!F7</f>
        <v>275975</v>
      </c>
      <c r="G7" s="152">
        <f>'US-CCaMC-BSCpUC'!G7</f>
        <v>256263</v>
      </c>
      <c r="H7" s="152">
        <f>'US-CCaMC-BSCpUC'!H7</f>
        <v>236550</v>
      </c>
      <c r="I7" s="152">
        <f>'US-CCaMC-BSCpUC'!I7</f>
        <v>217626</v>
      </c>
      <c r="J7" s="152">
        <f>'US-CCaMC-BSCpUC'!J7</f>
        <v>198702</v>
      </c>
      <c r="K7" s="152">
        <f>'US-CCaMC-BSCpUC'!K7</f>
        <v>179778</v>
      </c>
      <c r="L7" s="152">
        <f>'US-CCaMC-BSCpUC'!L7</f>
        <v>160854</v>
      </c>
      <c r="M7" s="152">
        <f>'US-CCaMC-BSCpUC'!M7</f>
        <v>141930</v>
      </c>
      <c r="N7" s="152">
        <f>'US-CCaMC-BSCpUC'!N7</f>
        <v>141930</v>
      </c>
      <c r="O7" s="152">
        <f>'US-CCaMC-BSCpUC'!O7</f>
        <v>141930</v>
      </c>
      <c r="P7" s="152">
        <f>'US-CCaMC-BSCpUC'!P7</f>
        <v>141930</v>
      </c>
      <c r="Q7" s="152">
        <f>'US-CCaMC-BSCpUC'!Q7</f>
        <v>141930</v>
      </c>
      <c r="R7" s="152">
        <f>'US-CCaMC-BSCpUC'!R7</f>
        <v>141930</v>
      </c>
      <c r="S7" s="152">
        <f>'US-CCaMC-BSCpUC'!S7</f>
        <v>141930</v>
      </c>
      <c r="T7" s="152">
        <f>'US-CCaMC-BSCpUC'!T7</f>
        <v>141930</v>
      </c>
      <c r="U7" s="152">
        <f>'US-CCaMC-BSCpUC'!U7</f>
        <v>141930</v>
      </c>
      <c r="V7" s="152">
        <f>'US-CCaMC-BSCpUC'!V7</f>
        <v>141930</v>
      </c>
      <c r="W7" s="152">
        <f>'US-CCaMC-BSCpUC'!W7</f>
        <v>141930</v>
      </c>
      <c r="X7" s="152">
        <f>'US-CCaMC-BSCpUC'!X7</f>
        <v>141930</v>
      </c>
      <c r="Y7" s="152">
        <f>'US-CCaMC-BSCpUC'!Y7</f>
        <v>141930</v>
      </c>
      <c r="Z7" s="152">
        <f>'US-CCaMC-BSCpUC'!Z7</f>
        <v>141930</v>
      </c>
      <c r="AA7" s="152">
        <f>'US-CCaMC-BSCpUC'!AA7</f>
        <v>141930</v>
      </c>
      <c r="AB7" s="152">
        <f>'US-CCaMC-BSCpUC'!AB7</f>
        <v>141930</v>
      </c>
      <c r="AC7" s="152">
        <f>'US-CCaMC-BSCpUC'!AC7</f>
        <v>141930</v>
      </c>
      <c r="AD7" s="152">
        <f>'US-CCaMC-BSCpUC'!AD7</f>
        <v>141930</v>
      </c>
      <c r="AE7" s="152">
        <f>'US-CCaMC-BSCpUC'!AE7</f>
        <v>141930</v>
      </c>
      <c r="AF7" s="152">
        <f>'US-CCaMC-BSCpUC'!AF7</f>
        <v>141930</v>
      </c>
      <c r="AG7" s="152">
        <f>'US-CCaMC-BSCpUC'!AG7</f>
        <v>141930</v>
      </c>
    </row>
    <row r="8" spans="1:33" ht="14.25" customHeight="1">
      <c r="A8" s="1" t="s">
        <v>1140</v>
      </c>
      <c r="B8" s="152">
        <f>'US-CCaMC-BSCpUC'!B8</f>
        <v>0</v>
      </c>
      <c r="C8" s="152">
        <f>'US-CCaMC-BSCpUC'!C8</f>
        <v>0</v>
      </c>
      <c r="D8" s="152">
        <f>'US-CCaMC-BSCpUC'!D8</f>
        <v>0</v>
      </c>
      <c r="E8" s="152">
        <f>'US-CCaMC-BSCpUC'!E8</f>
        <v>0</v>
      </c>
      <c r="F8" s="152">
        <f>'US-CCaMC-BSCpUC'!F8</f>
        <v>0</v>
      </c>
      <c r="G8" s="152">
        <f>'US-CCaMC-BSCpUC'!G8</f>
        <v>0</v>
      </c>
      <c r="H8" s="152">
        <f>'US-CCaMC-BSCpUC'!H8</f>
        <v>0</v>
      </c>
      <c r="I8" s="152">
        <f>'US-CCaMC-BSCpUC'!I8</f>
        <v>0</v>
      </c>
      <c r="J8" s="152">
        <f>'US-CCaMC-BSCpUC'!J8</f>
        <v>0</v>
      </c>
      <c r="K8" s="152">
        <f>'US-CCaMC-BSCpUC'!K8</f>
        <v>0</v>
      </c>
      <c r="L8" s="152">
        <f>'US-CCaMC-BSCpUC'!L8</f>
        <v>0</v>
      </c>
      <c r="M8" s="152">
        <f>'US-CCaMC-BSCpUC'!M8</f>
        <v>0</v>
      </c>
      <c r="N8" s="152">
        <f>'US-CCaMC-BSCpUC'!N8</f>
        <v>0</v>
      </c>
      <c r="O8" s="152">
        <f>'US-CCaMC-BSCpUC'!O8</f>
        <v>0</v>
      </c>
      <c r="P8" s="152">
        <f>'US-CCaMC-BSCpUC'!P8</f>
        <v>0</v>
      </c>
      <c r="Q8" s="152">
        <f>'US-CCaMC-BSCpUC'!Q8</f>
        <v>0</v>
      </c>
      <c r="R8" s="152">
        <f>'US-CCaMC-BSCpUC'!R8</f>
        <v>0</v>
      </c>
      <c r="S8" s="152">
        <f>'US-CCaMC-BSCpUC'!S8</f>
        <v>0</v>
      </c>
      <c r="T8" s="152">
        <f>'US-CCaMC-BSCpUC'!T8</f>
        <v>0</v>
      </c>
      <c r="U8" s="152">
        <f>'US-CCaMC-BSCpUC'!U8</f>
        <v>0</v>
      </c>
      <c r="V8" s="152">
        <f>'US-CCaMC-BSCpUC'!V8</f>
        <v>0</v>
      </c>
      <c r="W8" s="152">
        <f>'US-CCaMC-BSCpUC'!W8</f>
        <v>0</v>
      </c>
      <c r="X8" s="152">
        <f>'US-CCaMC-BSCpUC'!X8</f>
        <v>0</v>
      </c>
      <c r="Y8" s="152">
        <f>'US-CCaMC-BSCpUC'!Y8</f>
        <v>0</v>
      </c>
      <c r="Z8" s="152">
        <f>'US-CCaMC-BSCpUC'!Z8</f>
        <v>0</v>
      </c>
      <c r="AA8" s="152">
        <f>'US-CCaMC-BSCpUC'!AA8</f>
        <v>0</v>
      </c>
      <c r="AB8" s="152">
        <f>'US-CCaMC-BSCpUC'!AB8</f>
        <v>0</v>
      </c>
      <c r="AC8" s="152">
        <f>'US-CCaMC-BSCpUC'!AC8</f>
        <v>0</v>
      </c>
      <c r="AD8" s="152">
        <f>'US-CCaMC-BSCpUC'!AD8</f>
        <v>0</v>
      </c>
      <c r="AE8" s="152">
        <f>'US-CCaMC-BSCpUC'!AE8</f>
        <v>0</v>
      </c>
      <c r="AF8" s="152">
        <f>'US-CCaMC-BSCpUC'!AF8</f>
        <v>0</v>
      </c>
      <c r="AG8" s="152">
        <f>'US-CCaMC-BSCpUC'!AG8</f>
        <v>0</v>
      </c>
    </row>
    <row r="9" spans="1:33" ht="14.25" customHeight="1">
      <c r="A9" s="1" t="s">
        <v>857</v>
      </c>
      <c r="B9" s="152">
        <f>'US-CCaMC-BSCpUC'!B9</f>
        <v>0</v>
      </c>
      <c r="C9" s="152">
        <f>'US-CCaMC-BSCpUC'!C9</f>
        <v>0</v>
      </c>
      <c r="D9" s="152">
        <f>'US-CCaMC-BSCpUC'!D9</f>
        <v>0</v>
      </c>
      <c r="E9" s="152">
        <f>'US-CCaMC-BSCpUC'!E9</f>
        <v>0</v>
      </c>
      <c r="F9" s="152">
        <f>'US-CCaMC-BSCpUC'!F9</f>
        <v>0</v>
      </c>
      <c r="G9" s="152">
        <f>'US-CCaMC-BSCpUC'!G9</f>
        <v>0</v>
      </c>
      <c r="H9" s="152">
        <f>'US-CCaMC-BSCpUC'!H9</f>
        <v>0</v>
      </c>
      <c r="I9" s="152">
        <f>'US-CCaMC-BSCpUC'!I9</f>
        <v>0</v>
      </c>
      <c r="J9" s="152">
        <f>'US-CCaMC-BSCpUC'!J9</f>
        <v>0</v>
      </c>
      <c r="K9" s="152">
        <f>'US-CCaMC-BSCpUC'!K9</f>
        <v>0</v>
      </c>
      <c r="L9" s="152">
        <f>'US-CCaMC-BSCpUC'!L9</f>
        <v>0</v>
      </c>
      <c r="M9" s="152">
        <f>'US-CCaMC-BSCpUC'!M9</f>
        <v>0</v>
      </c>
      <c r="N9" s="152">
        <f>'US-CCaMC-BSCpUC'!N9</f>
        <v>0</v>
      </c>
      <c r="O9" s="152">
        <f>'US-CCaMC-BSCpUC'!O9</f>
        <v>0</v>
      </c>
      <c r="P9" s="152">
        <f>'US-CCaMC-BSCpUC'!P9</f>
        <v>0</v>
      </c>
      <c r="Q9" s="152">
        <f>'US-CCaMC-BSCpUC'!Q9</f>
        <v>0</v>
      </c>
      <c r="R9" s="152">
        <f>'US-CCaMC-BSCpUC'!R9</f>
        <v>0</v>
      </c>
      <c r="S9" s="152">
        <f>'US-CCaMC-BSCpUC'!S9</f>
        <v>0</v>
      </c>
      <c r="T9" s="152">
        <f>'US-CCaMC-BSCpUC'!T9</f>
        <v>0</v>
      </c>
      <c r="U9" s="152">
        <f>'US-CCaMC-BSCpUC'!U9</f>
        <v>0</v>
      </c>
      <c r="V9" s="152">
        <f>'US-CCaMC-BSCpUC'!V9</f>
        <v>0</v>
      </c>
      <c r="W9" s="152">
        <f>'US-CCaMC-BSCpUC'!W9</f>
        <v>0</v>
      </c>
      <c r="X9" s="152">
        <f>'US-CCaMC-BSCpUC'!X9</f>
        <v>0</v>
      </c>
      <c r="Y9" s="152">
        <f>'US-CCaMC-BSCpUC'!Y9</f>
        <v>0</v>
      </c>
      <c r="Z9" s="152">
        <f>'US-CCaMC-BSCpUC'!Z9</f>
        <v>0</v>
      </c>
      <c r="AA9" s="152">
        <f>'US-CCaMC-BSCpUC'!AA9</f>
        <v>0</v>
      </c>
      <c r="AB9" s="152">
        <f>'US-CCaMC-BSCpUC'!AB9</f>
        <v>0</v>
      </c>
      <c r="AC9" s="152">
        <f>'US-CCaMC-BSCpUC'!AC9</f>
        <v>0</v>
      </c>
      <c r="AD9" s="152">
        <f>'US-CCaMC-BSCpUC'!AD9</f>
        <v>0</v>
      </c>
      <c r="AE9" s="152">
        <f>'US-CCaMC-BSCpUC'!AE9</f>
        <v>0</v>
      </c>
      <c r="AF9" s="152">
        <f>'US-CCaMC-BSCpUC'!AF9</f>
        <v>0</v>
      </c>
      <c r="AG9" s="152">
        <f>'US-CCaMC-BSCpUC'!AG9</f>
        <v>0</v>
      </c>
    </row>
    <row r="10" spans="1:33" ht="14.25" customHeight="1">
      <c r="A10" s="1" t="s">
        <v>28</v>
      </c>
      <c r="B10" s="152">
        <f>'US-CCaMC-BSCpUC'!B10</f>
        <v>0</v>
      </c>
      <c r="C10" s="152">
        <f>'US-CCaMC-BSCpUC'!C10</f>
        <v>0</v>
      </c>
      <c r="D10" s="152">
        <f>'US-CCaMC-BSCpUC'!D10</f>
        <v>0</v>
      </c>
      <c r="E10" s="152">
        <f>'US-CCaMC-BSCpUC'!E10</f>
        <v>0</v>
      </c>
      <c r="F10" s="152">
        <f>'US-CCaMC-BSCpUC'!F10</f>
        <v>0</v>
      </c>
      <c r="G10" s="152">
        <f>'US-CCaMC-BSCpUC'!G10</f>
        <v>0</v>
      </c>
      <c r="H10" s="152">
        <f>'US-CCaMC-BSCpUC'!H10</f>
        <v>0</v>
      </c>
      <c r="I10" s="152">
        <f>'US-CCaMC-BSCpUC'!I10</f>
        <v>0</v>
      </c>
      <c r="J10" s="152">
        <f>'US-CCaMC-BSCpUC'!J10</f>
        <v>0</v>
      </c>
      <c r="K10" s="152">
        <f>'US-CCaMC-BSCpUC'!K10</f>
        <v>0</v>
      </c>
      <c r="L10" s="152">
        <f>'US-CCaMC-BSCpUC'!L10</f>
        <v>0</v>
      </c>
      <c r="M10" s="152">
        <f>'US-CCaMC-BSCpUC'!M10</f>
        <v>0</v>
      </c>
      <c r="N10" s="152">
        <f>'US-CCaMC-BSCpUC'!N10</f>
        <v>0</v>
      </c>
      <c r="O10" s="152">
        <f>'US-CCaMC-BSCpUC'!O10</f>
        <v>0</v>
      </c>
      <c r="P10" s="152">
        <f>'US-CCaMC-BSCpUC'!P10</f>
        <v>0</v>
      </c>
      <c r="Q10" s="152">
        <f>'US-CCaMC-BSCpUC'!Q10</f>
        <v>0</v>
      </c>
      <c r="R10" s="152">
        <f>'US-CCaMC-BSCpUC'!R10</f>
        <v>0</v>
      </c>
      <c r="S10" s="152">
        <f>'US-CCaMC-BSCpUC'!S10</f>
        <v>0</v>
      </c>
      <c r="T10" s="152">
        <f>'US-CCaMC-BSCpUC'!T10</f>
        <v>0</v>
      </c>
      <c r="U10" s="152">
        <f>'US-CCaMC-BSCpUC'!U10</f>
        <v>0</v>
      </c>
      <c r="V10" s="152">
        <f>'US-CCaMC-BSCpUC'!V10</f>
        <v>0</v>
      </c>
      <c r="W10" s="152">
        <f>'US-CCaMC-BSCpUC'!W10</f>
        <v>0</v>
      </c>
      <c r="X10" s="152">
        <f>'US-CCaMC-BSCpUC'!X10</f>
        <v>0</v>
      </c>
      <c r="Y10" s="152">
        <f>'US-CCaMC-BSCpUC'!Y10</f>
        <v>0</v>
      </c>
      <c r="Z10" s="152">
        <f>'US-CCaMC-BSCpUC'!Z10</f>
        <v>0</v>
      </c>
      <c r="AA10" s="152">
        <f>'US-CCaMC-BSCpUC'!AA10</f>
        <v>0</v>
      </c>
      <c r="AB10" s="152">
        <f>'US-CCaMC-BSCpUC'!AB10</f>
        <v>0</v>
      </c>
      <c r="AC10" s="152">
        <f>'US-CCaMC-BSCpUC'!AC10</f>
        <v>0</v>
      </c>
      <c r="AD10" s="152">
        <f>'US-CCaMC-BSCpUC'!AD10</f>
        <v>0</v>
      </c>
      <c r="AE10" s="152">
        <f>'US-CCaMC-BSCpUC'!AE10</f>
        <v>0</v>
      </c>
      <c r="AF10" s="152">
        <f>'US-CCaMC-BSCpUC'!AF10</f>
        <v>0</v>
      </c>
      <c r="AG10" s="152">
        <f>'US-CCaMC-BSCpUC'!AG10</f>
        <v>0</v>
      </c>
    </row>
    <row r="11" spans="1:33" ht="14.25" customHeight="1">
      <c r="A11" s="1" t="s">
        <v>1141</v>
      </c>
      <c r="B11" s="152">
        <f>'US-CCaMC-BSCpUC'!B11</f>
        <v>0</v>
      </c>
      <c r="C11" s="152">
        <f>'US-CCaMC-BSCpUC'!C11</f>
        <v>0</v>
      </c>
      <c r="D11" s="152">
        <f>'US-CCaMC-BSCpUC'!D11</f>
        <v>0</v>
      </c>
      <c r="E11" s="152">
        <f>'US-CCaMC-BSCpUC'!E11</f>
        <v>0</v>
      </c>
      <c r="F11" s="152">
        <f>'US-CCaMC-BSCpUC'!F11</f>
        <v>0</v>
      </c>
      <c r="G11" s="152">
        <f>'US-CCaMC-BSCpUC'!G11</f>
        <v>0</v>
      </c>
      <c r="H11" s="152">
        <f>'US-CCaMC-BSCpUC'!H11</f>
        <v>0</v>
      </c>
      <c r="I11" s="152">
        <f>'US-CCaMC-BSCpUC'!I11</f>
        <v>0</v>
      </c>
      <c r="J11" s="152">
        <f>'US-CCaMC-BSCpUC'!J11</f>
        <v>0</v>
      </c>
      <c r="K11" s="152">
        <f>'US-CCaMC-BSCpUC'!K11</f>
        <v>0</v>
      </c>
      <c r="L11" s="152">
        <f>'US-CCaMC-BSCpUC'!L11</f>
        <v>0</v>
      </c>
      <c r="M11" s="152">
        <f>'US-CCaMC-BSCpUC'!M11</f>
        <v>0</v>
      </c>
      <c r="N11" s="152">
        <f>'US-CCaMC-BSCpUC'!N11</f>
        <v>0</v>
      </c>
      <c r="O11" s="152">
        <f>'US-CCaMC-BSCpUC'!O11</f>
        <v>0</v>
      </c>
      <c r="P11" s="152">
        <f>'US-CCaMC-BSCpUC'!P11</f>
        <v>0</v>
      </c>
      <c r="Q11" s="152">
        <f>'US-CCaMC-BSCpUC'!Q11</f>
        <v>0</v>
      </c>
      <c r="R11" s="152">
        <f>'US-CCaMC-BSCpUC'!R11</f>
        <v>0</v>
      </c>
      <c r="S11" s="152">
        <f>'US-CCaMC-BSCpUC'!S11</f>
        <v>0</v>
      </c>
      <c r="T11" s="152">
        <f>'US-CCaMC-BSCpUC'!T11</f>
        <v>0</v>
      </c>
      <c r="U11" s="152">
        <f>'US-CCaMC-BSCpUC'!U11</f>
        <v>0</v>
      </c>
      <c r="V11" s="152">
        <f>'US-CCaMC-BSCpUC'!V11</f>
        <v>0</v>
      </c>
      <c r="W11" s="152">
        <f>'US-CCaMC-BSCpUC'!W11</f>
        <v>0</v>
      </c>
      <c r="X11" s="152">
        <f>'US-CCaMC-BSCpUC'!X11</f>
        <v>0</v>
      </c>
      <c r="Y11" s="152">
        <f>'US-CCaMC-BSCpUC'!Y11</f>
        <v>0</v>
      </c>
      <c r="Z11" s="152">
        <f>'US-CCaMC-BSCpUC'!Z11</f>
        <v>0</v>
      </c>
      <c r="AA11" s="152">
        <f>'US-CCaMC-BSCpUC'!AA11</f>
        <v>0</v>
      </c>
      <c r="AB11" s="152">
        <f>'US-CCaMC-BSCpUC'!AB11</f>
        <v>0</v>
      </c>
      <c r="AC11" s="152">
        <f>'US-CCaMC-BSCpUC'!AC11</f>
        <v>0</v>
      </c>
      <c r="AD11" s="152">
        <f>'US-CCaMC-BSCpUC'!AD11</f>
        <v>0</v>
      </c>
      <c r="AE11" s="152">
        <f>'US-CCaMC-BSCpUC'!AE11</f>
        <v>0</v>
      </c>
      <c r="AF11" s="152">
        <f>'US-CCaMC-BSCpUC'!AF11</f>
        <v>0</v>
      </c>
      <c r="AG11" s="152">
        <f>'US-CCaMC-BSCpUC'!AG11</f>
        <v>0</v>
      </c>
    </row>
    <row r="12" spans="1:33" ht="14.25" customHeight="1">
      <c r="A12" s="1" t="s">
        <v>1142</v>
      </c>
      <c r="B12" s="152">
        <f>'US-CCaMC-BSCpUC'!B12</f>
        <v>0</v>
      </c>
      <c r="C12" s="152">
        <f>'US-CCaMC-BSCpUC'!C12</f>
        <v>0</v>
      </c>
      <c r="D12" s="152">
        <f>'US-CCaMC-BSCpUC'!D12</f>
        <v>0</v>
      </c>
      <c r="E12" s="152">
        <f>'US-CCaMC-BSCpUC'!E12</f>
        <v>0</v>
      </c>
      <c r="F12" s="152">
        <f>'US-CCaMC-BSCpUC'!F12</f>
        <v>0</v>
      </c>
      <c r="G12" s="152">
        <f>'US-CCaMC-BSCpUC'!G12</f>
        <v>0</v>
      </c>
      <c r="H12" s="152">
        <f>'US-CCaMC-BSCpUC'!H12</f>
        <v>0</v>
      </c>
      <c r="I12" s="152">
        <f>'US-CCaMC-BSCpUC'!I12</f>
        <v>0</v>
      </c>
      <c r="J12" s="152">
        <f>'US-CCaMC-BSCpUC'!J12</f>
        <v>0</v>
      </c>
      <c r="K12" s="152">
        <f>'US-CCaMC-BSCpUC'!K12</f>
        <v>0</v>
      </c>
      <c r="L12" s="152">
        <f>'US-CCaMC-BSCpUC'!L12</f>
        <v>0</v>
      </c>
      <c r="M12" s="152">
        <f>'US-CCaMC-BSCpUC'!M12</f>
        <v>0</v>
      </c>
      <c r="N12" s="152">
        <f>'US-CCaMC-BSCpUC'!N12</f>
        <v>0</v>
      </c>
      <c r="O12" s="152">
        <f>'US-CCaMC-BSCpUC'!O12</f>
        <v>0</v>
      </c>
      <c r="P12" s="152">
        <f>'US-CCaMC-BSCpUC'!P12</f>
        <v>0</v>
      </c>
      <c r="Q12" s="152">
        <f>'US-CCaMC-BSCpUC'!Q12</f>
        <v>0</v>
      </c>
      <c r="R12" s="152">
        <f>'US-CCaMC-BSCpUC'!R12</f>
        <v>0</v>
      </c>
      <c r="S12" s="152">
        <f>'US-CCaMC-BSCpUC'!S12</f>
        <v>0</v>
      </c>
      <c r="T12" s="152">
        <f>'US-CCaMC-BSCpUC'!T12</f>
        <v>0</v>
      </c>
      <c r="U12" s="152">
        <f>'US-CCaMC-BSCpUC'!U12</f>
        <v>0</v>
      </c>
      <c r="V12" s="152">
        <f>'US-CCaMC-BSCpUC'!V12</f>
        <v>0</v>
      </c>
      <c r="W12" s="152">
        <f>'US-CCaMC-BSCpUC'!W12</f>
        <v>0</v>
      </c>
      <c r="X12" s="152">
        <f>'US-CCaMC-BSCpUC'!X12</f>
        <v>0</v>
      </c>
      <c r="Y12" s="152">
        <f>'US-CCaMC-BSCpUC'!Y12</f>
        <v>0</v>
      </c>
      <c r="Z12" s="152">
        <f>'US-CCaMC-BSCpUC'!Z12</f>
        <v>0</v>
      </c>
      <c r="AA12" s="152">
        <f>'US-CCaMC-BSCpUC'!AA12</f>
        <v>0</v>
      </c>
      <c r="AB12" s="152">
        <f>'US-CCaMC-BSCpUC'!AB12</f>
        <v>0</v>
      </c>
      <c r="AC12" s="152">
        <f>'US-CCaMC-BSCpUC'!AC12</f>
        <v>0</v>
      </c>
      <c r="AD12" s="152">
        <f>'US-CCaMC-BSCpUC'!AD12</f>
        <v>0</v>
      </c>
      <c r="AE12" s="152">
        <f>'US-CCaMC-BSCpUC'!AE12</f>
        <v>0</v>
      </c>
      <c r="AF12" s="152">
        <f>'US-CCaMC-BSCpUC'!AF12</f>
        <v>0</v>
      </c>
      <c r="AG12" s="152">
        <f>'US-CCaMC-BSCpUC'!AG12</f>
        <v>0</v>
      </c>
    </row>
    <row r="13" spans="1:33" ht="14.25" customHeight="1">
      <c r="A13" s="1" t="s">
        <v>1143</v>
      </c>
      <c r="B13" s="152">
        <f>'US-CCaMC-BSCpUC'!B13</f>
        <v>0</v>
      </c>
      <c r="C13" s="152">
        <f>'US-CCaMC-BSCpUC'!C13</f>
        <v>0</v>
      </c>
      <c r="D13" s="152">
        <f>'US-CCaMC-BSCpUC'!D13</f>
        <v>0</v>
      </c>
      <c r="E13" s="152">
        <f>'US-CCaMC-BSCpUC'!E13</f>
        <v>0</v>
      </c>
      <c r="F13" s="152">
        <f>'US-CCaMC-BSCpUC'!F13</f>
        <v>0</v>
      </c>
      <c r="G13" s="152">
        <f>'US-CCaMC-BSCpUC'!G13</f>
        <v>0</v>
      </c>
      <c r="H13" s="152">
        <f>'US-CCaMC-BSCpUC'!H13</f>
        <v>0</v>
      </c>
      <c r="I13" s="152">
        <f>'US-CCaMC-BSCpUC'!I13</f>
        <v>0</v>
      </c>
      <c r="J13" s="152">
        <f>'US-CCaMC-BSCpUC'!J13</f>
        <v>0</v>
      </c>
      <c r="K13" s="152">
        <f>'US-CCaMC-BSCpUC'!K13</f>
        <v>0</v>
      </c>
      <c r="L13" s="152">
        <f>'US-CCaMC-BSCpUC'!L13</f>
        <v>0</v>
      </c>
      <c r="M13" s="152">
        <f>'US-CCaMC-BSCpUC'!M13</f>
        <v>0</v>
      </c>
      <c r="N13" s="152">
        <f>'US-CCaMC-BSCpUC'!N13</f>
        <v>0</v>
      </c>
      <c r="O13" s="152">
        <f>'US-CCaMC-BSCpUC'!O13</f>
        <v>0</v>
      </c>
      <c r="P13" s="152">
        <f>'US-CCaMC-BSCpUC'!P13</f>
        <v>0</v>
      </c>
      <c r="Q13" s="152">
        <f>'US-CCaMC-BSCpUC'!Q13</f>
        <v>0</v>
      </c>
      <c r="R13" s="152">
        <f>'US-CCaMC-BSCpUC'!R13</f>
        <v>0</v>
      </c>
      <c r="S13" s="152">
        <f>'US-CCaMC-BSCpUC'!S13</f>
        <v>0</v>
      </c>
      <c r="T13" s="152">
        <f>'US-CCaMC-BSCpUC'!T13</f>
        <v>0</v>
      </c>
      <c r="U13" s="152">
        <f>'US-CCaMC-BSCpUC'!U13</f>
        <v>0</v>
      </c>
      <c r="V13" s="152">
        <f>'US-CCaMC-BSCpUC'!V13</f>
        <v>0</v>
      </c>
      <c r="W13" s="152">
        <f>'US-CCaMC-BSCpUC'!W13</f>
        <v>0</v>
      </c>
      <c r="X13" s="152">
        <f>'US-CCaMC-BSCpUC'!X13</f>
        <v>0</v>
      </c>
      <c r="Y13" s="152">
        <f>'US-CCaMC-BSCpUC'!Y13</f>
        <v>0</v>
      </c>
      <c r="Z13" s="152">
        <f>'US-CCaMC-BSCpUC'!Z13</f>
        <v>0</v>
      </c>
      <c r="AA13" s="152">
        <f>'US-CCaMC-BSCpUC'!AA13</f>
        <v>0</v>
      </c>
      <c r="AB13" s="152">
        <f>'US-CCaMC-BSCpUC'!AB13</f>
        <v>0</v>
      </c>
      <c r="AC13" s="152">
        <f>'US-CCaMC-BSCpUC'!AC13</f>
        <v>0</v>
      </c>
      <c r="AD13" s="152">
        <f>'US-CCaMC-BSCpUC'!AD13</f>
        <v>0</v>
      </c>
      <c r="AE13" s="152">
        <f>'US-CCaMC-BSCpUC'!AE13</f>
        <v>0</v>
      </c>
      <c r="AF13" s="152">
        <f>'US-CCaMC-BSCpUC'!AF13</f>
        <v>0</v>
      </c>
      <c r="AG13" s="152">
        <f>'US-CCaMC-BSCpUC'!AG13</f>
        <v>0</v>
      </c>
    </row>
    <row r="14" spans="1:33" ht="14.25" customHeight="1">
      <c r="A14" s="1" t="s">
        <v>1144</v>
      </c>
      <c r="B14" s="152">
        <f>'US-CCaMC-BSCpUC'!B14</f>
        <v>790496</v>
      </c>
      <c r="C14" s="152">
        <f>'US-CCaMC-BSCpUC'!C14</f>
        <v>790496</v>
      </c>
      <c r="D14" s="152">
        <f>'US-CCaMC-BSCpUC'!D14</f>
        <v>790496</v>
      </c>
      <c r="E14" s="152">
        <f>'US-CCaMC-BSCpUC'!E14</f>
        <v>790496</v>
      </c>
      <c r="F14" s="152">
        <f>'US-CCaMC-BSCpUC'!F14</f>
        <v>790496</v>
      </c>
      <c r="G14" s="152">
        <f>'US-CCaMC-BSCpUC'!G14</f>
        <v>790496</v>
      </c>
      <c r="H14" s="152">
        <f>'US-CCaMC-BSCpUC'!H14</f>
        <v>790496</v>
      </c>
      <c r="I14" s="152">
        <f>'US-CCaMC-BSCpUC'!I14</f>
        <v>790496</v>
      </c>
      <c r="J14" s="152">
        <f>'US-CCaMC-BSCpUC'!J14</f>
        <v>790496</v>
      </c>
      <c r="K14" s="152">
        <f>'US-CCaMC-BSCpUC'!K14</f>
        <v>790496</v>
      </c>
      <c r="L14" s="152">
        <f>'US-CCaMC-BSCpUC'!L14</f>
        <v>790496</v>
      </c>
      <c r="M14" s="152">
        <f>'US-CCaMC-BSCpUC'!M14</f>
        <v>790496</v>
      </c>
      <c r="N14" s="152">
        <f>'US-CCaMC-BSCpUC'!N14</f>
        <v>790496</v>
      </c>
      <c r="O14" s="152">
        <f>'US-CCaMC-BSCpUC'!O14</f>
        <v>790496</v>
      </c>
      <c r="P14" s="152">
        <f>'US-CCaMC-BSCpUC'!P14</f>
        <v>790496</v>
      </c>
      <c r="Q14" s="152">
        <f>'US-CCaMC-BSCpUC'!Q14</f>
        <v>790496</v>
      </c>
      <c r="R14" s="152">
        <f>'US-CCaMC-BSCpUC'!R14</f>
        <v>790496</v>
      </c>
      <c r="S14" s="152">
        <f>'US-CCaMC-BSCpUC'!S14</f>
        <v>790496</v>
      </c>
      <c r="T14" s="152">
        <f>'US-CCaMC-BSCpUC'!T14</f>
        <v>790496</v>
      </c>
      <c r="U14" s="152">
        <f>'US-CCaMC-BSCpUC'!U14</f>
        <v>790496</v>
      </c>
      <c r="V14" s="152">
        <f>'US-CCaMC-BSCpUC'!V14</f>
        <v>790496</v>
      </c>
      <c r="W14" s="152">
        <f>'US-CCaMC-BSCpUC'!W14</f>
        <v>790496</v>
      </c>
      <c r="X14" s="152">
        <f>'US-CCaMC-BSCpUC'!X14</f>
        <v>790496</v>
      </c>
      <c r="Y14" s="152">
        <f>'US-CCaMC-BSCpUC'!Y14</f>
        <v>790496</v>
      </c>
      <c r="Z14" s="152">
        <f>'US-CCaMC-BSCpUC'!Z14</f>
        <v>790496</v>
      </c>
      <c r="AA14" s="152">
        <f>'US-CCaMC-BSCpUC'!AA14</f>
        <v>790496</v>
      </c>
      <c r="AB14" s="152">
        <f>'US-CCaMC-BSCpUC'!AB14</f>
        <v>790496</v>
      </c>
      <c r="AC14" s="152">
        <f>'US-CCaMC-BSCpUC'!AC14</f>
        <v>790496</v>
      </c>
      <c r="AD14" s="152">
        <f>'US-CCaMC-BSCpUC'!AD14</f>
        <v>790496</v>
      </c>
      <c r="AE14" s="152">
        <f>'US-CCaMC-BSCpUC'!AE14</f>
        <v>790496</v>
      </c>
      <c r="AF14" s="152">
        <f>'US-CCaMC-BSCpUC'!AF14</f>
        <v>790496</v>
      </c>
      <c r="AG14" s="152">
        <f>'US-CCaMC-BSCpUC'!AG14</f>
        <v>790496</v>
      </c>
    </row>
    <row r="15" spans="1:33" ht="14.25" customHeight="1">
      <c r="A15" s="127" t="s">
        <v>1145</v>
      </c>
      <c r="B15" s="152">
        <f>'US-CCaMC-BSCpUC'!B15</f>
        <v>0</v>
      </c>
      <c r="C15" s="152">
        <f>'US-CCaMC-BSCpUC'!C15</f>
        <v>0</v>
      </c>
      <c r="D15" s="152">
        <f>'US-CCaMC-BSCpUC'!D15</f>
        <v>0</v>
      </c>
      <c r="E15" s="152">
        <f>'US-CCaMC-BSCpUC'!E15</f>
        <v>0</v>
      </c>
      <c r="F15" s="152">
        <f>'US-CCaMC-BSCpUC'!F15</f>
        <v>0</v>
      </c>
      <c r="G15" s="152">
        <f>'US-CCaMC-BSCpUC'!G15</f>
        <v>0</v>
      </c>
      <c r="H15" s="152">
        <f>'US-CCaMC-BSCpUC'!H15</f>
        <v>0</v>
      </c>
      <c r="I15" s="152">
        <f>'US-CCaMC-BSCpUC'!I15</f>
        <v>0</v>
      </c>
      <c r="J15" s="152">
        <f>'US-CCaMC-BSCpUC'!J15</f>
        <v>0</v>
      </c>
      <c r="K15" s="152">
        <f>'US-CCaMC-BSCpUC'!K15</f>
        <v>0</v>
      </c>
      <c r="L15" s="152">
        <f>'US-CCaMC-BSCpUC'!L15</f>
        <v>0</v>
      </c>
      <c r="M15" s="152">
        <f>'US-CCaMC-BSCpUC'!M15</f>
        <v>0</v>
      </c>
      <c r="N15" s="152">
        <f>'US-CCaMC-BSCpUC'!N15</f>
        <v>0</v>
      </c>
      <c r="O15" s="152">
        <f>'US-CCaMC-BSCpUC'!O15</f>
        <v>0</v>
      </c>
      <c r="P15" s="152">
        <f>'US-CCaMC-BSCpUC'!P15</f>
        <v>0</v>
      </c>
      <c r="Q15" s="152">
        <f>'US-CCaMC-BSCpUC'!Q15</f>
        <v>0</v>
      </c>
      <c r="R15" s="152">
        <f>'US-CCaMC-BSCpUC'!R15</f>
        <v>0</v>
      </c>
      <c r="S15" s="152">
        <f>'US-CCaMC-BSCpUC'!S15</f>
        <v>0</v>
      </c>
      <c r="T15" s="152">
        <f>'US-CCaMC-BSCpUC'!T15</f>
        <v>0</v>
      </c>
      <c r="U15" s="152">
        <f>'US-CCaMC-BSCpUC'!U15</f>
        <v>0</v>
      </c>
      <c r="V15" s="152">
        <f>'US-CCaMC-BSCpUC'!V15</f>
        <v>0</v>
      </c>
      <c r="W15" s="152">
        <f>'US-CCaMC-BSCpUC'!W15</f>
        <v>0</v>
      </c>
      <c r="X15" s="152">
        <f>'US-CCaMC-BSCpUC'!X15</f>
        <v>0</v>
      </c>
      <c r="Y15" s="152">
        <f>'US-CCaMC-BSCpUC'!Y15</f>
        <v>0</v>
      </c>
      <c r="Z15" s="152">
        <f>'US-CCaMC-BSCpUC'!Z15</f>
        <v>0</v>
      </c>
      <c r="AA15" s="152">
        <f>'US-CCaMC-BSCpUC'!AA15</f>
        <v>0</v>
      </c>
      <c r="AB15" s="152">
        <f>'US-CCaMC-BSCpUC'!AB15</f>
        <v>0</v>
      </c>
      <c r="AC15" s="152">
        <f>'US-CCaMC-BSCpUC'!AC15</f>
        <v>0</v>
      </c>
      <c r="AD15" s="152">
        <f>'US-CCaMC-BSCpUC'!AD15</f>
        <v>0</v>
      </c>
      <c r="AE15" s="152">
        <f>'US-CCaMC-BSCpUC'!AE15</f>
        <v>0</v>
      </c>
      <c r="AF15" s="152">
        <f>'US-CCaMC-BSCpUC'!AF15</f>
        <v>0</v>
      </c>
      <c r="AG15" s="152">
        <f>'US-CCaMC-BSCpUC'!AG15</f>
        <v>0</v>
      </c>
    </row>
    <row r="16" spans="1:33" ht="14.25" customHeight="1">
      <c r="A16" s="127" t="s">
        <v>1146</v>
      </c>
      <c r="B16" s="152">
        <f>'US-CCaMC-BSCpUC'!B16</f>
        <v>0</v>
      </c>
      <c r="C16" s="152">
        <f>'US-CCaMC-BSCpUC'!C16</f>
        <v>0</v>
      </c>
      <c r="D16" s="152">
        <f>'US-CCaMC-BSCpUC'!D16</f>
        <v>0</v>
      </c>
      <c r="E16" s="152">
        <f>'US-CCaMC-BSCpUC'!E16</f>
        <v>0</v>
      </c>
      <c r="F16" s="152">
        <f>'US-CCaMC-BSCpUC'!F16</f>
        <v>0</v>
      </c>
      <c r="G16" s="152">
        <f>'US-CCaMC-BSCpUC'!G16</f>
        <v>0</v>
      </c>
      <c r="H16" s="152">
        <f>'US-CCaMC-BSCpUC'!H16</f>
        <v>0</v>
      </c>
      <c r="I16" s="152">
        <f>'US-CCaMC-BSCpUC'!I16</f>
        <v>0</v>
      </c>
      <c r="J16" s="152">
        <f>'US-CCaMC-BSCpUC'!J16</f>
        <v>0</v>
      </c>
      <c r="K16" s="152">
        <f>'US-CCaMC-BSCpUC'!K16</f>
        <v>0</v>
      </c>
      <c r="L16" s="152">
        <f>'US-CCaMC-BSCpUC'!L16</f>
        <v>0</v>
      </c>
      <c r="M16" s="152">
        <f>'US-CCaMC-BSCpUC'!M16</f>
        <v>0</v>
      </c>
      <c r="N16" s="152">
        <f>'US-CCaMC-BSCpUC'!N16</f>
        <v>0</v>
      </c>
      <c r="O16" s="152">
        <f>'US-CCaMC-BSCpUC'!O16</f>
        <v>0</v>
      </c>
      <c r="P16" s="152">
        <f>'US-CCaMC-BSCpUC'!P16</f>
        <v>0</v>
      </c>
      <c r="Q16" s="152">
        <f>'US-CCaMC-BSCpUC'!Q16</f>
        <v>0</v>
      </c>
      <c r="R16" s="152">
        <f>'US-CCaMC-BSCpUC'!R16</f>
        <v>0</v>
      </c>
      <c r="S16" s="152">
        <f>'US-CCaMC-BSCpUC'!S16</f>
        <v>0</v>
      </c>
      <c r="T16" s="152">
        <f>'US-CCaMC-BSCpUC'!T16</f>
        <v>0</v>
      </c>
      <c r="U16" s="152">
        <f>'US-CCaMC-BSCpUC'!U16</f>
        <v>0</v>
      </c>
      <c r="V16" s="152">
        <f>'US-CCaMC-BSCpUC'!V16</f>
        <v>0</v>
      </c>
      <c r="W16" s="152">
        <f>'US-CCaMC-BSCpUC'!W16</f>
        <v>0</v>
      </c>
      <c r="X16" s="152">
        <f>'US-CCaMC-BSCpUC'!X16</f>
        <v>0</v>
      </c>
      <c r="Y16" s="152">
        <f>'US-CCaMC-BSCpUC'!Y16</f>
        <v>0</v>
      </c>
      <c r="Z16" s="152">
        <f>'US-CCaMC-BSCpUC'!Z16</f>
        <v>0</v>
      </c>
      <c r="AA16" s="152">
        <f>'US-CCaMC-BSCpUC'!AA16</f>
        <v>0</v>
      </c>
      <c r="AB16" s="152">
        <f>'US-CCaMC-BSCpUC'!AB16</f>
        <v>0</v>
      </c>
      <c r="AC16" s="152">
        <f>'US-CCaMC-BSCpUC'!AC16</f>
        <v>0</v>
      </c>
      <c r="AD16" s="152">
        <f>'US-CCaMC-BSCpUC'!AD16</f>
        <v>0</v>
      </c>
      <c r="AE16" s="152">
        <f>'US-CCaMC-BSCpUC'!AE16</f>
        <v>0</v>
      </c>
      <c r="AF16" s="152">
        <f>'US-CCaMC-BSCpUC'!AF16</f>
        <v>0</v>
      </c>
      <c r="AG16" s="152">
        <f>'US-CCaMC-BSCpUC'!AG16</f>
        <v>0</v>
      </c>
    </row>
    <row r="17" spans="1:33" ht="14.25" customHeight="1">
      <c r="A17" s="127" t="s">
        <v>1147</v>
      </c>
      <c r="B17" s="152">
        <f>'US-CCaMC-BSCpUC'!B17</f>
        <v>0</v>
      </c>
      <c r="C17" s="152">
        <f>'US-CCaMC-BSCpUC'!C17</f>
        <v>0</v>
      </c>
      <c r="D17" s="152">
        <f>'US-CCaMC-BSCpUC'!D17</f>
        <v>0</v>
      </c>
      <c r="E17" s="152">
        <f>'US-CCaMC-BSCpUC'!E17</f>
        <v>0</v>
      </c>
      <c r="F17" s="152">
        <f>'US-CCaMC-BSCpUC'!F17</f>
        <v>0</v>
      </c>
      <c r="G17" s="152">
        <f>'US-CCaMC-BSCpUC'!G17</f>
        <v>0</v>
      </c>
      <c r="H17" s="152">
        <f>'US-CCaMC-BSCpUC'!H17</f>
        <v>0</v>
      </c>
      <c r="I17" s="152">
        <f>'US-CCaMC-BSCpUC'!I17</f>
        <v>0</v>
      </c>
      <c r="J17" s="152">
        <f>'US-CCaMC-BSCpUC'!J17</f>
        <v>0</v>
      </c>
      <c r="K17" s="152">
        <f>'US-CCaMC-BSCpUC'!K17</f>
        <v>0</v>
      </c>
      <c r="L17" s="152">
        <f>'US-CCaMC-BSCpUC'!L17</f>
        <v>0</v>
      </c>
      <c r="M17" s="152">
        <f>'US-CCaMC-BSCpUC'!M17</f>
        <v>0</v>
      </c>
      <c r="N17" s="152">
        <f>'US-CCaMC-BSCpUC'!N17</f>
        <v>0</v>
      </c>
      <c r="O17" s="152">
        <f>'US-CCaMC-BSCpUC'!O17</f>
        <v>0</v>
      </c>
      <c r="P17" s="152">
        <f>'US-CCaMC-BSCpUC'!P17</f>
        <v>0</v>
      </c>
      <c r="Q17" s="152">
        <f>'US-CCaMC-BSCpUC'!Q17</f>
        <v>0</v>
      </c>
      <c r="R17" s="152">
        <f>'US-CCaMC-BSCpUC'!R17</f>
        <v>0</v>
      </c>
      <c r="S17" s="152">
        <f>'US-CCaMC-BSCpUC'!S17</f>
        <v>0</v>
      </c>
      <c r="T17" s="152">
        <f>'US-CCaMC-BSCpUC'!T17</f>
        <v>0</v>
      </c>
      <c r="U17" s="152">
        <f>'US-CCaMC-BSCpUC'!U17</f>
        <v>0</v>
      </c>
      <c r="V17" s="152">
        <f>'US-CCaMC-BSCpUC'!V17</f>
        <v>0</v>
      </c>
      <c r="W17" s="152">
        <f>'US-CCaMC-BSCpUC'!W17</f>
        <v>0</v>
      </c>
      <c r="X17" s="152">
        <f>'US-CCaMC-BSCpUC'!X17</f>
        <v>0</v>
      </c>
      <c r="Y17" s="152">
        <f>'US-CCaMC-BSCpUC'!Y17</f>
        <v>0</v>
      </c>
      <c r="Z17" s="152">
        <f>'US-CCaMC-BSCpUC'!Z17</f>
        <v>0</v>
      </c>
      <c r="AA17" s="152">
        <f>'US-CCaMC-BSCpUC'!AA17</f>
        <v>0</v>
      </c>
      <c r="AB17" s="152">
        <f>'US-CCaMC-BSCpUC'!AB17</f>
        <v>0</v>
      </c>
      <c r="AC17" s="152">
        <f>'US-CCaMC-BSCpUC'!AC17</f>
        <v>0</v>
      </c>
      <c r="AD17" s="152">
        <f>'US-CCaMC-BSCpUC'!AD17</f>
        <v>0</v>
      </c>
      <c r="AE17" s="152">
        <f>'US-CCaMC-BSCpUC'!AE17</f>
        <v>0</v>
      </c>
      <c r="AF17" s="152">
        <f>'US-CCaMC-BSCpUC'!AF17</f>
        <v>0</v>
      </c>
      <c r="AG17" s="152">
        <f>'US-CCaMC-BSCpUC'!AG17</f>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About</vt:lpstr>
      <vt:lpstr>data - Indonesia</vt:lpstr>
      <vt:lpstr>solar thermal</vt:lpstr>
      <vt:lpstr>nuclear</vt:lpstr>
      <vt:lpstr>capital processing</vt:lpstr>
      <vt:lpstr>2017 TDIPS</vt:lpstr>
      <vt:lpstr>2024 TDIPS</vt:lpstr>
      <vt:lpstr>Cal</vt:lpstr>
      <vt:lpstr>US-CCaMC-BSCpUC</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2025-03-23T20:30:19Z</dcterms:modified>
</cp:coreProperties>
</file>