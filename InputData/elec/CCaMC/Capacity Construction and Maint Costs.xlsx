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6D8FE230-2C89-604D-B83D-97A445B223F3}" xr6:coauthVersionLast="47" xr6:coauthVersionMax="47" xr10:uidLastSave="{00000000-0000-0000-0000-000000000000}"/>
  <bookViews>
    <workbookView xWindow="0" yWindow="780" windowWidth="34200" windowHeight="21360" firstSheet="7" activeTab="14" xr2:uid="{00000000-000D-0000-FFFF-FFFF00000000}"/>
  </bookViews>
  <sheets>
    <sheet name="About" sheetId="1" r:id="rId1"/>
    <sheet name="capital processing" sheetId="17" r:id="rId2"/>
    <sheet name="nuclear" sheetId="18" r:id="rId3"/>
    <sheet name="solar thermal" sheetId="19" r:id="rId4"/>
    <sheet name="2017 TDIPS" sheetId="14" r:id="rId5"/>
    <sheet name="2024 TDIPS" sheetId="15" r:id="rId6"/>
    <sheet name="Cal" sheetId="16" r:id="rId7"/>
    <sheet name="CCaMC-AFOaMCpUC-pre-ret" sheetId="6" r:id="rId8"/>
    <sheet name="CCaMC-AFOaMCpUC-pre-nonret" sheetId="7" r:id="rId9"/>
    <sheet name="CCaMC-AFOaMCpUC-new" sheetId="8" r:id="rId10"/>
    <sheet name="CCaMC-VOaMCpUC-pre-ret" sheetId="9" r:id="rId11"/>
    <sheet name="CCaMC-VOaMCpUC-pre-nonret" sheetId="10" r:id="rId12"/>
    <sheet name="CCaMC-VOaMCpUC-new" sheetId="11" r:id="rId13"/>
    <sheet name="CCaMC-BCCpUC" sheetId="12" r:id="rId14"/>
    <sheet name="CCaMC-BSCpUC" sheetId="13"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AH2" i="12" l="1" a="1"/>
  <c r="AH2" i="12" s="1"/>
  <c r="AI2" i="12" a="1"/>
  <c r="AI2" i="12"/>
  <c r="AJ2" i="12" a="1"/>
  <c r="AJ2" i="12"/>
  <c r="AK2" i="12" a="1"/>
  <c r="AK2" i="12" s="1"/>
  <c r="AL2" i="12" a="1"/>
  <c r="AL2" i="12" s="1"/>
  <c r="AM2" i="12" a="1"/>
  <c r="AM2" i="12"/>
  <c r="AN2" i="12" a="1"/>
  <c r="AN2" i="12"/>
  <c r="AO2" i="12" a="1"/>
  <c r="AO2" i="12" s="1"/>
  <c r="AP2" i="12" a="1"/>
  <c r="AP2" i="12" s="1"/>
  <c r="AQ2" i="12" a="1"/>
  <c r="AQ2" i="12"/>
  <c r="AR2" i="12" a="1"/>
  <c r="AR2" i="12" s="1"/>
  <c r="AS2" i="12" a="1"/>
  <c r="AS2" i="12" s="1"/>
  <c r="AT2" i="12" a="1"/>
  <c r="AT2" i="12" s="1"/>
  <c r="AU2" i="12" a="1"/>
  <c r="AU2" i="12" s="1"/>
  <c r="AV2" i="12" a="1"/>
  <c r="AV2" i="12" s="1"/>
  <c r="AW2" i="12" a="1"/>
  <c r="AW2" i="12" s="1"/>
  <c r="AX2" i="12" a="1"/>
  <c r="AX2" i="12" s="1"/>
  <c r="AY2" i="12" a="1"/>
  <c r="AY2" i="12" s="1"/>
  <c r="AZ2" i="12" a="1"/>
  <c r="AZ2" i="12" s="1"/>
  <c r="BA2" i="12" a="1"/>
  <c r="BA2" i="12" s="1"/>
  <c r="AH3" i="12" a="1"/>
  <c r="AH3" i="12" s="1"/>
  <c r="AI3" i="12" a="1"/>
  <c r="AI3" i="12" s="1"/>
  <c r="AJ3" i="12" a="1"/>
  <c r="AJ3" i="12" s="1"/>
  <c r="AK3" i="12" a="1"/>
  <c r="AK3" i="12" s="1"/>
  <c r="AL3" i="12" a="1"/>
  <c r="AL3" i="12" s="1"/>
  <c r="AM3" i="12" a="1"/>
  <c r="AM3" i="12" s="1"/>
  <c r="AN3" i="12" a="1"/>
  <c r="AN3" i="12" s="1"/>
  <c r="AO3" i="12" a="1"/>
  <c r="AO3" i="12" s="1"/>
  <c r="AP3" i="12" a="1"/>
  <c r="AP3" i="12" s="1"/>
  <c r="AQ3" i="12" a="1"/>
  <c r="AQ3" i="12" s="1"/>
  <c r="AR3" i="12" a="1"/>
  <c r="AR3" i="12" s="1"/>
  <c r="AS3" i="12" a="1"/>
  <c r="AS3" i="12" s="1"/>
  <c r="AT3" i="12" a="1"/>
  <c r="AT3" i="12" s="1"/>
  <c r="AU3" i="12" a="1"/>
  <c r="AU3" i="12" s="1"/>
  <c r="AV3" i="12" a="1"/>
  <c r="AV3" i="12" s="1"/>
  <c r="AW3" i="12" a="1"/>
  <c r="AW3" i="12" s="1"/>
  <c r="AX3" i="12" a="1"/>
  <c r="AX3" i="12" s="1"/>
  <c r="AY3" i="12" a="1"/>
  <c r="AY3" i="12" s="1"/>
  <c r="AZ3" i="12" a="1"/>
  <c r="AZ3" i="12" s="1"/>
  <c r="BA3" i="12" a="1"/>
  <c r="BA3" i="12" s="1"/>
  <c r="AH4" i="12"/>
  <c r="AI4" i="12"/>
  <c r="AJ4" i="12"/>
  <c r="AK4" i="12"/>
  <c r="AL4" i="12"/>
  <c r="AM4" i="12"/>
  <c r="AN4" i="12"/>
  <c r="AO4" i="12"/>
  <c r="AP4" i="12"/>
  <c r="AQ4" i="12"/>
  <c r="AR4" i="12"/>
  <c r="AS4" i="12"/>
  <c r="AT4" i="12"/>
  <c r="AU4" i="12"/>
  <c r="AV4" i="12"/>
  <c r="AW4" i="12"/>
  <c r="AX4" i="12"/>
  <c r="AY4" i="12"/>
  <c r="AZ4" i="12"/>
  <c r="BA4" i="12"/>
  <c r="AH5" i="12" a="1"/>
  <c r="AH5" i="12" s="1"/>
  <c r="AI5" i="12" a="1"/>
  <c r="AI5" i="12" s="1"/>
  <c r="AJ5" i="12" a="1"/>
  <c r="AJ5" i="12" s="1"/>
  <c r="AK5" i="12" a="1"/>
  <c r="AK5" i="12" s="1"/>
  <c r="AL5" i="12" a="1"/>
  <c r="AL5" i="12" s="1"/>
  <c r="AM5" i="12" a="1"/>
  <c r="AM5" i="12" s="1"/>
  <c r="AN5" i="12" a="1"/>
  <c r="AN5" i="12" s="1"/>
  <c r="AO5" i="12" a="1"/>
  <c r="AO5" i="12" s="1"/>
  <c r="AP5" i="12" a="1"/>
  <c r="AP5" i="12" s="1"/>
  <c r="AQ5" i="12" a="1"/>
  <c r="AQ5" i="12" s="1"/>
  <c r="AR5" i="12" a="1"/>
  <c r="AR5" i="12" s="1"/>
  <c r="AS5" i="12" a="1"/>
  <c r="AS5" i="12" s="1"/>
  <c r="AT5" i="12" a="1"/>
  <c r="AT5" i="12" s="1"/>
  <c r="AU5" i="12" a="1"/>
  <c r="AU5" i="12" s="1"/>
  <c r="AV5" i="12" a="1"/>
  <c r="AV5" i="12" s="1"/>
  <c r="AW5" i="12" a="1"/>
  <c r="AW5" i="12" s="1"/>
  <c r="AX5" i="12" a="1"/>
  <c r="AX5" i="12" s="1"/>
  <c r="AY5" i="12" a="1"/>
  <c r="AY5" i="12" s="1"/>
  <c r="AZ5" i="12" a="1"/>
  <c r="AZ5" i="12" s="1"/>
  <c r="BA5" i="12" a="1"/>
  <c r="BA5" i="12" s="1"/>
  <c r="AH6" i="12" a="1"/>
  <c r="AH6" i="12" s="1"/>
  <c r="AI6" i="12" a="1"/>
  <c r="AI6" i="12" s="1"/>
  <c r="AJ6" i="12" a="1"/>
  <c r="AJ6" i="12" s="1"/>
  <c r="AK6" i="12" a="1"/>
  <c r="AK6" i="12" s="1"/>
  <c r="AL6" i="12" a="1"/>
  <c r="AL6" i="12" s="1"/>
  <c r="AM6" i="12" a="1"/>
  <c r="AM6" i="12" s="1"/>
  <c r="AN6" i="12" a="1"/>
  <c r="AN6" i="12" s="1"/>
  <c r="AO6" i="12" a="1"/>
  <c r="AO6" i="12" s="1"/>
  <c r="AP6" i="12" a="1"/>
  <c r="AP6" i="12" s="1"/>
  <c r="AQ6" i="12" a="1"/>
  <c r="AQ6" i="12" s="1"/>
  <c r="AR6" i="12" a="1"/>
  <c r="AR6" i="12" s="1"/>
  <c r="AS6" i="12" a="1"/>
  <c r="AS6" i="12" s="1"/>
  <c r="AT6" i="12" a="1"/>
  <c r="AT6" i="12" s="1"/>
  <c r="AU6" i="12" a="1"/>
  <c r="AU6" i="12" s="1"/>
  <c r="AV6" i="12" a="1"/>
  <c r="AV6" i="12" s="1"/>
  <c r="AW6" i="12" a="1"/>
  <c r="AW6" i="12" s="1"/>
  <c r="AX6" i="12" a="1"/>
  <c r="AX6" i="12" s="1"/>
  <c r="AY6" i="12" a="1"/>
  <c r="AY6" i="12" s="1"/>
  <c r="AZ6" i="12" a="1"/>
  <c r="AZ6" i="12" s="1"/>
  <c r="BA6" i="12" a="1"/>
  <c r="BA6" i="12" s="1"/>
  <c r="AH7" i="12" a="1"/>
  <c r="AH7" i="12" s="1"/>
  <c r="AI7" i="12" a="1"/>
  <c r="AI7" i="12" s="1"/>
  <c r="AJ7" i="12" a="1"/>
  <c r="AJ7" i="12" s="1"/>
  <c r="AK7" i="12" a="1"/>
  <c r="AK7" i="12" s="1"/>
  <c r="AL7" i="12" a="1"/>
  <c r="AL7" i="12" s="1"/>
  <c r="AM7" i="12" a="1"/>
  <c r="AM7" i="12" s="1"/>
  <c r="AN7" i="12" a="1"/>
  <c r="AN7" i="12" s="1"/>
  <c r="AO7" i="12" a="1"/>
  <c r="AO7" i="12" s="1"/>
  <c r="AP7" i="12" a="1"/>
  <c r="AP7" i="12" s="1"/>
  <c r="AQ7" i="12" a="1"/>
  <c r="AQ7" i="12" s="1"/>
  <c r="AR7" i="12" a="1"/>
  <c r="AR7" i="12" s="1"/>
  <c r="AS7" i="12" a="1"/>
  <c r="AS7" i="12" s="1"/>
  <c r="AT7" i="12" a="1"/>
  <c r="AT7" i="12" s="1"/>
  <c r="AU7" i="12" a="1"/>
  <c r="AU7" i="12" s="1"/>
  <c r="AV7" i="12" a="1"/>
  <c r="AV7" i="12" s="1"/>
  <c r="AW7" i="12" a="1"/>
  <c r="AW7" i="12" s="1"/>
  <c r="AX7" i="12" a="1"/>
  <c r="AX7" i="12" s="1"/>
  <c r="AY7" i="12" a="1"/>
  <c r="AY7" i="12" s="1"/>
  <c r="AZ7" i="12" a="1"/>
  <c r="AZ7" i="12" s="1"/>
  <c r="BA7" i="12" a="1"/>
  <c r="BA7" i="12" s="1"/>
  <c r="AH8" i="12"/>
  <c r="AI8" i="12"/>
  <c r="AJ8" i="12"/>
  <c r="AK8" i="12"/>
  <c r="AL8" i="12"/>
  <c r="AM8" i="12"/>
  <c r="AN8" i="12"/>
  <c r="AO8" i="12"/>
  <c r="AP8" i="12"/>
  <c r="AQ8" i="12"/>
  <c r="AR8" i="12"/>
  <c r="AS8" i="12"/>
  <c r="AT8" i="12"/>
  <c r="AU8" i="12"/>
  <c r="AV8" i="12"/>
  <c r="AW8" i="12"/>
  <c r="AX8" i="12"/>
  <c r="AY8" i="12"/>
  <c r="AZ8" i="12"/>
  <c r="BA8" i="12"/>
  <c r="AH9" i="12" a="1"/>
  <c r="AH9" i="12" s="1"/>
  <c r="AI9" i="12" a="1"/>
  <c r="AI9" i="12" s="1"/>
  <c r="AJ9" i="12" a="1"/>
  <c r="AJ9" i="12" s="1"/>
  <c r="AK9" i="12" a="1"/>
  <c r="AK9" i="12" s="1"/>
  <c r="AL9" i="12" a="1"/>
  <c r="AL9" i="12" s="1"/>
  <c r="AM9" i="12" a="1"/>
  <c r="AM9" i="12" s="1"/>
  <c r="AN9" i="12" a="1"/>
  <c r="AN9" i="12" s="1"/>
  <c r="AO9" i="12" a="1"/>
  <c r="AO9" i="12" s="1"/>
  <c r="AP9" i="12" a="1"/>
  <c r="AP9" i="12" s="1"/>
  <c r="AQ9" i="12" a="1"/>
  <c r="AQ9" i="12" s="1"/>
  <c r="AR9" i="12" a="1"/>
  <c r="AR9" i="12" s="1"/>
  <c r="AS9" i="12" a="1"/>
  <c r="AS9" i="12" s="1"/>
  <c r="AT9" i="12" a="1"/>
  <c r="AT9" i="12" s="1"/>
  <c r="AU9" i="12" a="1"/>
  <c r="AU9" i="12" s="1"/>
  <c r="AV9" i="12" a="1"/>
  <c r="AV9" i="12" s="1"/>
  <c r="AW9" i="12" a="1"/>
  <c r="AW9" i="12" s="1"/>
  <c r="AX9" i="12" a="1"/>
  <c r="AX9" i="12" s="1"/>
  <c r="AY9" i="12" a="1"/>
  <c r="AY9" i="12" s="1"/>
  <c r="AZ9" i="12" a="1"/>
  <c r="AZ9" i="12" s="1"/>
  <c r="BA9" i="12" a="1"/>
  <c r="BA9" i="12" s="1"/>
  <c r="AH10" i="12" a="1"/>
  <c r="AH10" i="12" s="1"/>
  <c r="AI10" i="12" a="1"/>
  <c r="AI10" i="12" s="1"/>
  <c r="AJ10" i="12" a="1"/>
  <c r="AJ10" i="12" s="1"/>
  <c r="AK10" i="12" a="1"/>
  <c r="AK10" i="12" s="1"/>
  <c r="AL10" i="12" a="1"/>
  <c r="AL10" i="12" s="1"/>
  <c r="AM10" i="12" a="1"/>
  <c r="AM10" i="12" s="1"/>
  <c r="AN10" i="12" a="1"/>
  <c r="AN10" i="12" s="1"/>
  <c r="AO10" i="12" a="1"/>
  <c r="AO10" i="12" s="1"/>
  <c r="AP10" i="12" a="1"/>
  <c r="AP10" i="12" s="1"/>
  <c r="AQ10" i="12" a="1"/>
  <c r="AQ10" i="12" s="1"/>
  <c r="AR10" i="12" a="1"/>
  <c r="AR10" i="12" s="1"/>
  <c r="AS10" i="12" a="1"/>
  <c r="AS10" i="12" s="1"/>
  <c r="AT10" i="12" a="1"/>
  <c r="AT10" i="12" s="1"/>
  <c r="AU10" i="12" a="1"/>
  <c r="AU10" i="12" s="1"/>
  <c r="AV10" i="12" a="1"/>
  <c r="AV10" i="12" s="1"/>
  <c r="AW10" i="12" a="1"/>
  <c r="AW10" i="12" s="1"/>
  <c r="AX10" i="12" a="1"/>
  <c r="AX10" i="12" s="1"/>
  <c r="AY10" i="12" a="1"/>
  <c r="AY10" i="12" s="1"/>
  <c r="AZ10" i="12" a="1"/>
  <c r="AZ10" i="12" s="1"/>
  <c r="BA10" i="12" a="1"/>
  <c r="BA10" i="12" s="1"/>
  <c r="AH11" i="12" a="1"/>
  <c r="AH11" i="12" s="1"/>
  <c r="AI11" i="12" a="1"/>
  <c r="AI11" i="12" s="1"/>
  <c r="AJ11" i="12" a="1"/>
  <c r="AJ11" i="12" s="1"/>
  <c r="AK11" i="12" a="1"/>
  <c r="AK11" i="12" s="1"/>
  <c r="AL11" i="12" a="1"/>
  <c r="AL11" i="12" s="1"/>
  <c r="AM11" i="12" a="1"/>
  <c r="AM11" i="12" s="1"/>
  <c r="AN11" i="12" a="1"/>
  <c r="AN11" i="12" s="1"/>
  <c r="AO11" i="12" a="1"/>
  <c r="AO11" i="12" s="1"/>
  <c r="AP11" i="12" a="1"/>
  <c r="AP11" i="12" s="1"/>
  <c r="AQ11" i="12" a="1"/>
  <c r="AQ11" i="12" s="1"/>
  <c r="AR11" i="12" a="1"/>
  <c r="AR11" i="12" s="1"/>
  <c r="AS11" i="12" a="1"/>
  <c r="AS11" i="12" s="1"/>
  <c r="AT11" i="12" a="1"/>
  <c r="AT11" i="12" s="1"/>
  <c r="AU11" i="12" a="1"/>
  <c r="AU11" i="12" s="1"/>
  <c r="AV11" i="12" a="1"/>
  <c r="AV11" i="12" s="1"/>
  <c r="AW11" i="12" a="1"/>
  <c r="AW11" i="12" s="1"/>
  <c r="AX11" i="12" a="1"/>
  <c r="AX11" i="12" s="1"/>
  <c r="AY11" i="12" a="1"/>
  <c r="AY11" i="12" s="1"/>
  <c r="AZ11" i="12" a="1"/>
  <c r="AZ11" i="12" s="1"/>
  <c r="BA11" i="12" a="1"/>
  <c r="BA11" i="12" s="1"/>
  <c r="AH12" i="12" a="1"/>
  <c r="AH12" i="12" s="1"/>
  <c r="AI12" i="12" a="1"/>
  <c r="AI12" i="12" s="1"/>
  <c r="AJ12" i="12" a="1"/>
  <c r="AJ12" i="12" s="1"/>
  <c r="AK12" i="12" a="1"/>
  <c r="AK12" i="12" s="1"/>
  <c r="AL12" i="12" a="1"/>
  <c r="AL12" i="12" s="1"/>
  <c r="AM12" i="12" a="1"/>
  <c r="AM12" i="12" s="1"/>
  <c r="AN12" i="12" a="1"/>
  <c r="AN12" i="12" s="1"/>
  <c r="AO12" i="12" a="1"/>
  <c r="AO12" i="12" s="1"/>
  <c r="AP12" i="12" a="1"/>
  <c r="AP12" i="12" s="1"/>
  <c r="AQ12" i="12" a="1"/>
  <c r="AQ12" i="12" s="1"/>
  <c r="AR12" i="12" a="1"/>
  <c r="AR12" i="12" s="1"/>
  <c r="AS12" i="12" a="1"/>
  <c r="AS12" i="12" s="1"/>
  <c r="AT12" i="12" a="1"/>
  <c r="AT12" i="12" s="1"/>
  <c r="AU12" i="12" a="1"/>
  <c r="AU12" i="12" s="1"/>
  <c r="AV12" i="12" a="1"/>
  <c r="AV12" i="12" s="1"/>
  <c r="AW12" i="12" a="1"/>
  <c r="AW12" i="12" s="1"/>
  <c r="AX12" i="12" a="1"/>
  <c r="AX12" i="12" s="1"/>
  <c r="AY12" i="12" a="1"/>
  <c r="AY12" i="12" s="1"/>
  <c r="AZ12" i="12" a="1"/>
  <c r="AZ12" i="12" s="1"/>
  <c r="BA12" i="12" a="1"/>
  <c r="BA12" i="12" s="1"/>
  <c r="AH13" i="12" a="1"/>
  <c r="AH13" i="12" s="1"/>
  <c r="AI13" i="12" a="1"/>
  <c r="AI13" i="12" s="1"/>
  <c r="AJ13" i="12" a="1"/>
  <c r="AJ13" i="12" s="1"/>
  <c r="AK13" i="12" a="1"/>
  <c r="AK13" i="12" s="1"/>
  <c r="AL13" i="12" a="1"/>
  <c r="AL13" i="12" s="1"/>
  <c r="AM13" i="12" a="1"/>
  <c r="AM13" i="12" s="1"/>
  <c r="AN13" i="12" a="1"/>
  <c r="AN13" i="12" s="1"/>
  <c r="AO13" i="12" a="1"/>
  <c r="AO13" i="12" s="1"/>
  <c r="AP13" i="12" a="1"/>
  <c r="AP13" i="12" s="1"/>
  <c r="AQ13" i="12" a="1"/>
  <c r="AQ13" i="12" s="1"/>
  <c r="AR13" i="12" a="1"/>
  <c r="AR13" i="12" s="1"/>
  <c r="AS13" i="12" a="1"/>
  <c r="AS13" i="12" s="1"/>
  <c r="AT13" i="12" a="1"/>
  <c r="AT13" i="12" s="1"/>
  <c r="AU13" i="12" a="1"/>
  <c r="AU13" i="12" s="1"/>
  <c r="AV13" i="12" a="1"/>
  <c r="AV13" i="12" s="1"/>
  <c r="AW13" i="12" a="1"/>
  <c r="AW13" i="12" s="1"/>
  <c r="AX13" i="12" a="1"/>
  <c r="AX13" i="12" s="1"/>
  <c r="AY13" i="12" a="1"/>
  <c r="AY13" i="12" s="1"/>
  <c r="AZ13" i="12" a="1"/>
  <c r="AZ13" i="12" s="1"/>
  <c r="BA13" i="12" a="1"/>
  <c r="BA13" i="12" s="1"/>
  <c r="AH14" i="12" a="1"/>
  <c r="AH14" i="12" s="1"/>
  <c r="AI14" i="12" a="1"/>
  <c r="AI14" i="12" s="1"/>
  <c r="AJ14" i="12" a="1"/>
  <c r="AJ14" i="12" s="1"/>
  <c r="AK14" i="12" a="1"/>
  <c r="AK14" i="12" s="1"/>
  <c r="AL14" i="12" a="1"/>
  <c r="AL14" i="12" s="1"/>
  <c r="AM14" i="12" a="1"/>
  <c r="AM14" i="12" s="1"/>
  <c r="AN14" i="12" a="1"/>
  <c r="AN14" i="12" s="1"/>
  <c r="AO14" i="12" a="1"/>
  <c r="AO14" i="12" s="1"/>
  <c r="AP14" i="12" a="1"/>
  <c r="AP14" i="12" s="1"/>
  <c r="AQ14" i="12" a="1"/>
  <c r="AQ14" i="12" s="1"/>
  <c r="AR14" i="12" a="1"/>
  <c r="AR14" i="12" s="1"/>
  <c r="AS14" i="12" a="1"/>
  <c r="AS14" i="12" s="1"/>
  <c r="AT14" i="12" a="1"/>
  <c r="AT14" i="12" s="1"/>
  <c r="AU14" i="12" a="1"/>
  <c r="AU14" i="12" s="1"/>
  <c r="AV14" i="12" a="1"/>
  <c r="AV14" i="12" s="1"/>
  <c r="AW14" i="12" a="1"/>
  <c r="AW14" i="12" s="1"/>
  <c r="AX14" i="12" a="1"/>
  <c r="AX14" i="12" s="1"/>
  <c r="AY14" i="12" a="1"/>
  <c r="AY14" i="12" s="1"/>
  <c r="AZ14" i="12" a="1"/>
  <c r="AZ14" i="12" s="1"/>
  <c r="BA14" i="12" a="1"/>
  <c r="BA14" i="12" s="1"/>
  <c r="AH15" i="12" a="1"/>
  <c r="AH15" i="12" s="1"/>
  <c r="AH16" i="12" s="1"/>
  <c r="AI15" i="12" a="1"/>
  <c r="AI15" i="12" s="1"/>
  <c r="AI16" i="12" s="1"/>
  <c r="AJ15" i="12" a="1"/>
  <c r="AJ15" i="12" s="1"/>
  <c r="AJ16" i="12" s="1"/>
  <c r="AK15" i="12" a="1"/>
  <c r="AK15" i="12" s="1"/>
  <c r="AK16" i="12" s="1"/>
  <c r="AL15" i="12" a="1"/>
  <c r="AL15" i="12" s="1"/>
  <c r="AL16" i="12" s="1"/>
  <c r="AM15" i="12" a="1"/>
  <c r="AM15" i="12" s="1"/>
  <c r="AM16" i="12" s="1"/>
  <c r="AN15" i="12" a="1"/>
  <c r="AN15" i="12" s="1"/>
  <c r="AN16" i="12" s="1"/>
  <c r="AO15" i="12" a="1"/>
  <c r="AO15" i="12" s="1"/>
  <c r="AO16" i="12" s="1"/>
  <c r="AP15" i="12" a="1"/>
  <c r="AP15" i="12" s="1"/>
  <c r="AP16" i="12" s="1"/>
  <c r="AQ15" i="12" a="1"/>
  <c r="AQ15" i="12" s="1"/>
  <c r="AQ16" i="12" s="1"/>
  <c r="AR15" i="12" a="1"/>
  <c r="AR15" i="12" s="1"/>
  <c r="AR16" i="12" s="1"/>
  <c r="AS15" i="12" a="1"/>
  <c r="AS15" i="12" s="1"/>
  <c r="AS16" i="12" s="1"/>
  <c r="AT15" i="12" a="1"/>
  <c r="AT15" i="12" s="1"/>
  <c r="AT16" i="12" s="1"/>
  <c r="AU15" i="12" a="1"/>
  <c r="AU15" i="12" s="1"/>
  <c r="AU16" i="12" s="1"/>
  <c r="AV15" i="12" a="1"/>
  <c r="AV15" i="12" s="1"/>
  <c r="AV16" i="12" s="1"/>
  <c r="AW15" i="12" a="1"/>
  <c r="AW15" i="12" s="1"/>
  <c r="AW16" i="12" s="1"/>
  <c r="AX15" i="12" a="1"/>
  <c r="AX15" i="12" s="1"/>
  <c r="AX16" i="12" s="1"/>
  <c r="AY15" i="12" a="1"/>
  <c r="AY15" i="12" s="1"/>
  <c r="AY16" i="12" s="1"/>
  <c r="AZ15" i="12" a="1"/>
  <c r="AZ15" i="12" s="1"/>
  <c r="AZ16" i="12" s="1"/>
  <c r="BA15" i="12" a="1"/>
  <c r="BA15" i="12" s="1"/>
  <c r="BA16" i="12" s="1"/>
  <c r="AH17" i="12" a="1"/>
  <c r="AH17" i="12" s="1"/>
  <c r="AI17" i="12" a="1"/>
  <c r="AI17" i="12" s="1"/>
  <c r="AJ17" i="12" a="1"/>
  <c r="AJ17" i="12" s="1"/>
  <c r="AK17" i="12" a="1"/>
  <c r="AK17" i="12" s="1"/>
  <c r="AL17" i="12" a="1"/>
  <c r="AL17" i="12" s="1"/>
  <c r="AM17" i="12" a="1"/>
  <c r="AM17" i="12" s="1"/>
  <c r="AN17" i="12" a="1"/>
  <c r="AN17" i="12" s="1"/>
  <c r="AO17" i="12" a="1"/>
  <c r="AO17" i="12" s="1"/>
  <c r="AP17" i="12" a="1"/>
  <c r="AP17" i="12" s="1"/>
  <c r="AQ17" i="12" a="1"/>
  <c r="AQ17" i="12" s="1"/>
  <c r="AR17" i="12" a="1"/>
  <c r="AR17" i="12" s="1"/>
  <c r="AS17" i="12" a="1"/>
  <c r="AS17" i="12" s="1"/>
  <c r="AT17" i="12" a="1"/>
  <c r="AT17" i="12" s="1"/>
  <c r="AU17" i="12" a="1"/>
  <c r="AU17" i="12" s="1"/>
  <c r="AV17" i="12" a="1"/>
  <c r="AV17" i="12" s="1"/>
  <c r="AW17" i="12" a="1"/>
  <c r="AW17" i="12" s="1"/>
  <c r="AX17" i="12" a="1"/>
  <c r="AX17" i="12" s="1"/>
  <c r="AY17" i="12" a="1"/>
  <c r="AY17" i="12" s="1"/>
  <c r="AZ17" i="12" a="1"/>
  <c r="AZ17" i="12" s="1"/>
  <c r="BA17" i="12" a="1"/>
  <c r="BA17" i="12" s="1"/>
  <c r="AG2" i="11"/>
  <c r="AH2" i="11"/>
  <c r="AI2" i="11"/>
  <c r="AJ2" i="11"/>
  <c r="AK2" i="11"/>
  <c r="AL2" i="11"/>
  <c r="AM2" i="11"/>
  <c r="AN2" i="11"/>
  <c r="AO2" i="11"/>
  <c r="AP2" i="11"/>
  <c r="AQ2" i="11"/>
  <c r="AR2" i="11"/>
  <c r="AS2" i="11"/>
  <c r="AT2" i="11"/>
  <c r="AU2" i="11"/>
  <c r="AV2" i="11"/>
  <c r="AW2" i="11"/>
  <c r="AX2" i="11"/>
  <c r="AY2" i="11"/>
  <c r="AZ2" i="11"/>
  <c r="AG3" i="11"/>
  <c r="AH3" i="11"/>
  <c r="AI3" i="11"/>
  <c r="AJ3" i="11"/>
  <c r="AK3" i="11"/>
  <c r="AL3" i="11"/>
  <c r="AM3" i="11"/>
  <c r="AN3" i="11"/>
  <c r="AO3" i="11"/>
  <c r="AP3" i="11"/>
  <c r="AQ3" i="11"/>
  <c r="AR3" i="11"/>
  <c r="AS3" i="11"/>
  <c r="AT3" i="11"/>
  <c r="AU3" i="11"/>
  <c r="AV3" i="11"/>
  <c r="AW3" i="11"/>
  <c r="AX3" i="11"/>
  <c r="AY3" i="11"/>
  <c r="AZ3" i="11"/>
  <c r="AG4" i="11"/>
  <c r="AH4" i="11"/>
  <c r="AI4" i="11"/>
  <c r="AJ4" i="11"/>
  <c r="AK4" i="11"/>
  <c r="AL4" i="11"/>
  <c r="AM4" i="11"/>
  <c r="AN4" i="11"/>
  <c r="AO4" i="11"/>
  <c r="AP4" i="11"/>
  <c r="AQ4" i="11"/>
  <c r="AR4" i="11"/>
  <c r="AS4" i="11"/>
  <c r="AT4" i="11"/>
  <c r="AU4" i="11"/>
  <c r="AV4" i="11"/>
  <c r="AW4" i="11"/>
  <c r="AX4" i="11"/>
  <c r="AY4" i="11"/>
  <c r="AZ4" i="11"/>
  <c r="AG5" i="11"/>
  <c r="AH5" i="11"/>
  <c r="AI5" i="11"/>
  <c r="AJ5" i="11"/>
  <c r="AK5" i="11"/>
  <c r="AL5" i="11"/>
  <c r="AM5" i="11"/>
  <c r="AN5" i="11"/>
  <c r="AO5" i="11"/>
  <c r="AP5" i="11"/>
  <c r="AQ5" i="11"/>
  <c r="AR5" i="11"/>
  <c r="AS5" i="11"/>
  <c r="AT5" i="11"/>
  <c r="AU5" i="11"/>
  <c r="AV5" i="11"/>
  <c r="AW5" i="11"/>
  <c r="AX5" i="11"/>
  <c r="AY5" i="11"/>
  <c r="AZ5" i="11"/>
  <c r="AG6" i="11"/>
  <c r="AH6" i="11"/>
  <c r="AI6" i="11"/>
  <c r="AJ6" i="11"/>
  <c r="AK6" i="11"/>
  <c r="AL6" i="11"/>
  <c r="AM6" i="11"/>
  <c r="AN6" i="11"/>
  <c r="AO6" i="11"/>
  <c r="AP6" i="11"/>
  <c r="AQ6" i="11"/>
  <c r="AR6" i="11"/>
  <c r="AS6" i="11"/>
  <c r="AT6" i="11"/>
  <c r="AU6" i="11"/>
  <c r="AV6" i="11"/>
  <c r="AW6" i="11"/>
  <c r="AX6" i="11"/>
  <c r="AY6" i="11"/>
  <c r="AZ6" i="11"/>
  <c r="AG7" i="11"/>
  <c r="AH7" i="11"/>
  <c r="AI7" i="11"/>
  <c r="AJ7" i="11"/>
  <c r="AK7" i="11"/>
  <c r="AL7" i="11"/>
  <c r="AM7" i="11"/>
  <c r="AN7" i="11"/>
  <c r="AO7" i="11"/>
  <c r="AP7" i="11"/>
  <c r="AQ7" i="11"/>
  <c r="AR7" i="11"/>
  <c r="AS7" i="11"/>
  <c r="AT7" i="11"/>
  <c r="AU7" i="11"/>
  <c r="AV7" i="11"/>
  <c r="AW7" i="11"/>
  <c r="AX7" i="11"/>
  <c r="AY7" i="11"/>
  <c r="AZ7" i="11"/>
  <c r="AG8" i="11"/>
  <c r="AH8" i="11"/>
  <c r="AI8" i="11"/>
  <c r="AJ8" i="11"/>
  <c r="AK8" i="11"/>
  <c r="AL8" i="11"/>
  <c r="AM8" i="11"/>
  <c r="AN8" i="11"/>
  <c r="AO8" i="11"/>
  <c r="AP8" i="11"/>
  <c r="AQ8" i="11"/>
  <c r="AR8" i="11"/>
  <c r="AS8" i="11"/>
  <c r="AT8" i="11"/>
  <c r="AU8" i="11"/>
  <c r="AV8" i="11"/>
  <c r="AW8" i="11"/>
  <c r="AX8" i="11"/>
  <c r="AY8" i="11"/>
  <c r="AZ8" i="11"/>
  <c r="AG9" i="11"/>
  <c r="AH9" i="11"/>
  <c r="AI9" i="11"/>
  <c r="AJ9" i="11"/>
  <c r="AK9" i="11"/>
  <c r="AL9" i="11"/>
  <c r="AM9" i="11"/>
  <c r="AN9" i="11"/>
  <c r="AO9" i="11"/>
  <c r="AP9" i="11"/>
  <c r="AQ9" i="11"/>
  <c r="AR9" i="11"/>
  <c r="AS9" i="11"/>
  <c r="AT9" i="11"/>
  <c r="AU9" i="11"/>
  <c r="AV9" i="11"/>
  <c r="AW9" i="11"/>
  <c r="AX9" i="11"/>
  <c r="AY9" i="11"/>
  <c r="AZ9" i="11"/>
  <c r="AG10" i="11"/>
  <c r="AH10" i="11"/>
  <c r="AI10" i="11"/>
  <c r="AJ10" i="11"/>
  <c r="AK10" i="11"/>
  <c r="AL10" i="11"/>
  <c r="AM10" i="11"/>
  <c r="AN10" i="11"/>
  <c r="AO10" i="11"/>
  <c r="AP10" i="11"/>
  <c r="AQ10" i="11"/>
  <c r="AR10" i="11"/>
  <c r="AS10" i="11"/>
  <c r="AT10" i="11"/>
  <c r="AU10" i="11"/>
  <c r="AV10" i="11"/>
  <c r="AW10" i="11"/>
  <c r="AX10" i="11"/>
  <c r="AY10" i="11"/>
  <c r="AZ10" i="11"/>
  <c r="AG11" i="11"/>
  <c r="AH11" i="11"/>
  <c r="AI11" i="11"/>
  <c r="AJ11" i="11"/>
  <c r="AK11" i="11"/>
  <c r="AL11" i="11"/>
  <c r="AM11" i="11"/>
  <c r="AN11" i="11"/>
  <c r="AO11" i="11"/>
  <c r="AP11" i="11"/>
  <c r="AQ11" i="11"/>
  <c r="AR11" i="11"/>
  <c r="AS11" i="11"/>
  <c r="AT11" i="11"/>
  <c r="AU11" i="11"/>
  <c r="AV11" i="11"/>
  <c r="AW11" i="11"/>
  <c r="AX11" i="11"/>
  <c r="AY11" i="11"/>
  <c r="AZ11" i="11"/>
  <c r="AG12" i="11"/>
  <c r="AH12" i="11"/>
  <c r="AI12" i="11"/>
  <c r="AJ12" i="11"/>
  <c r="AK12" i="11"/>
  <c r="AL12" i="11"/>
  <c r="AM12" i="11"/>
  <c r="AN12" i="11"/>
  <c r="AO12" i="11"/>
  <c r="AP12" i="11"/>
  <c r="AQ12" i="11"/>
  <c r="AR12" i="11"/>
  <c r="AS12" i="11"/>
  <c r="AT12" i="11"/>
  <c r="AU12" i="11"/>
  <c r="AV12" i="11"/>
  <c r="AW12" i="11"/>
  <c r="AX12" i="11"/>
  <c r="AY12" i="11"/>
  <c r="AZ12" i="11"/>
  <c r="AG13" i="11"/>
  <c r="AH13" i="11"/>
  <c r="AI13" i="11"/>
  <c r="AJ13" i="11"/>
  <c r="AK13" i="11"/>
  <c r="AL13" i="11"/>
  <c r="AM13" i="11"/>
  <c r="AN13" i="11"/>
  <c r="AO13" i="11"/>
  <c r="AP13" i="11"/>
  <c r="AQ13" i="11"/>
  <c r="AR13" i="11"/>
  <c r="AS13" i="11"/>
  <c r="AT13" i="11"/>
  <c r="AU13" i="11"/>
  <c r="AV13" i="11"/>
  <c r="AW13" i="11"/>
  <c r="AX13" i="11"/>
  <c r="AY13" i="11"/>
  <c r="AZ13" i="11"/>
  <c r="AG14" i="11"/>
  <c r="AH14" i="11"/>
  <c r="AI14" i="11"/>
  <c r="AJ14" i="11"/>
  <c r="AK14" i="11"/>
  <c r="AL14" i="11"/>
  <c r="AM14" i="11"/>
  <c r="AN14" i="11"/>
  <c r="AO14" i="11"/>
  <c r="AP14" i="11"/>
  <c r="AQ14" i="11"/>
  <c r="AR14" i="11"/>
  <c r="AS14" i="11"/>
  <c r="AT14" i="11"/>
  <c r="AU14" i="11"/>
  <c r="AV14" i="11"/>
  <c r="AW14" i="11"/>
  <c r="AX14" i="11"/>
  <c r="AY14" i="11"/>
  <c r="AZ14" i="11"/>
  <c r="AG15" i="11"/>
  <c r="AH15" i="11"/>
  <c r="AI15" i="11"/>
  <c r="AJ15" i="11"/>
  <c r="AK15" i="11"/>
  <c r="AL15" i="11"/>
  <c r="AM15" i="11"/>
  <c r="AN15" i="11"/>
  <c r="AO15" i="11"/>
  <c r="AP15" i="11"/>
  <c r="AQ15" i="11"/>
  <c r="AR15" i="11"/>
  <c r="AS15" i="11"/>
  <c r="AT15" i="11"/>
  <c r="AU15" i="11"/>
  <c r="AV15" i="11"/>
  <c r="AW15" i="11"/>
  <c r="AX15" i="11"/>
  <c r="AY15" i="11"/>
  <c r="AZ15" i="11"/>
  <c r="AG16" i="11"/>
  <c r="AH16" i="11"/>
  <c r="AI16" i="11"/>
  <c r="AJ16" i="11"/>
  <c r="AK16" i="11"/>
  <c r="AL16" i="11"/>
  <c r="AM16" i="11"/>
  <c r="AN16" i="11"/>
  <c r="AO16" i="11"/>
  <c r="AP16" i="11"/>
  <c r="AQ16" i="11"/>
  <c r="AR16" i="11"/>
  <c r="AS16" i="11"/>
  <c r="AT16" i="11"/>
  <c r="AU16" i="11"/>
  <c r="AV16" i="11"/>
  <c r="AW16" i="11"/>
  <c r="AX16" i="11"/>
  <c r="AY16" i="11"/>
  <c r="AZ16" i="11"/>
  <c r="AG17" i="11"/>
  <c r="AH17" i="11"/>
  <c r="AI17" i="11"/>
  <c r="AJ17" i="11"/>
  <c r="AK17" i="11"/>
  <c r="AL17" i="11"/>
  <c r="AM17" i="11"/>
  <c r="AN17" i="11"/>
  <c r="AO17" i="11"/>
  <c r="AP17" i="11"/>
  <c r="AQ17" i="11"/>
  <c r="AR17" i="11"/>
  <c r="AS17" i="11"/>
  <c r="AT17" i="11"/>
  <c r="AU17" i="11"/>
  <c r="AV17" i="11"/>
  <c r="AW17" i="11"/>
  <c r="AX17" i="11"/>
  <c r="AY17" i="11"/>
  <c r="AZ17" i="11"/>
  <c r="AG2" i="10"/>
  <c r="AH2" i="10"/>
  <c r="AI2" i="10"/>
  <c r="AJ2" i="10"/>
  <c r="AK2" i="10"/>
  <c r="AL2" i="10"/>
  <c r="AM2" i="10"/>
  <c r="AN2" i="10"/>
  <c r="AO2" i="10"/>
  <c r="AP2" i="10"/>
  <c r="AQ2" i="10"/>
  <c r="AR2" i="10"/>
  <c r="AS2" i="10"/>
  <c r="AT2" i="10"/>
  <c r="AU2" i="10"/>
  <c r="AV2" i="10"/>
  <c r="AW2" i="10"/>
  <c r="AX2" i="10"/>
  <c r="AY2" i="10"/>
  <c r="AZ2" i="10"/>
  <c r="AG3" i="10"/>
  <c r="AH3" i="10"/>
  <c r="AI3" i="10"/>
  <c r="AJ3" i="10"/>
  <c r="AK3" i="10"/>
  <c r="AL3" i="10"/>
  <c r="AM3" i="10"/>
  <c r="AN3" i="10"/>
  <c r="AO3" i="10"/>
  <c r="AP3" i="10"/>
  <c r="AQ3" i="10"/>
  <c r="AR3" i="10"/>
  <c r="AS3" i="10"/>
  <c r="AT3" i="10"/>
  <c r="AU3" i="10"/>
  <c r="AV3" i="10"/>
  <c r="AW3" i="10"/>
  <c r="AX3" i="10"/>
  <c r="AY3" i="10"/>
  <c r="AZ3" i="10"/>
  <c r="AG4" i="10"/>
  <c r="AH4" i="10"/>
  <c r="AI4" i="10"/>
  <c r="AJ4" i="10"/>
  <c r="AK4" i="10"/>
  <c r="AL4" i="10"/>
  <c r="AM4" i="10"/>
  <c r="AN4" i="10"/>
  <c r="AO4" i="10"/>
  <c r="AP4" i="10"/>
  <c r="AQ4" i="10"/>
  <c r="AR4" i="10"/>
  <c r="AS4" i="10"/>
  <c r="AT4" i="10"/>
  <c r="AU4" i="10"/>
  <c r="AV4" i="10"/>
  <c r="AW4" i="10"/>
  <c r="AX4" i="10"/>
  <c r="AY4" i="10"/>
  <c r="AZ4" i="10"/>
  <c r="AG5" i="10"/>
  <c r="AH5" i="10"/>
  <c r="AI5" i="10"/>
  <c r="AJ5" i="10"/>
  <c r="AK5" i="10"/>
  <c r="AL5" i="10"/>
  <c r="AM5" i="10"/>
  <c r="AN5" i="10"/>
  <c r="AO5" i="10"/>
  <c r="AP5" i="10"/>
  <c r="AQ5" i="10"/>
  <c r="AR5" i="10"/>
  <c r="AS5" i="10"/>
  <c r="AT5" i="10"/>
  <c r="AU5" i="10"/>
  <c r="AV5" i="10"/>
  <c r="AW5" i="10"/>
  <c r="AX5" i="10"/>
  <c r="AY5" i="10"/>
  <c r="AZ5" i="10"/>
  <c r="AG6" i="10"/>
  <c r="AH6" i="10"/>
  <c r="AI6" i="10"/>
  <c r="AJ6" i="10"/>
  <c r="AK6" i="10"/>
  <c r="AL6" i="10"/>
  <c r="AM6" i="10"/>
  <c r="AN6" i="10"/>
  <c r="AO6" i="10"/>
  <c r="AP6" i="10"/>
  <c r="AQ6" i="10"/>
  <c r="AR6" i="10"/>
  <c r="AS6" i="10"/>
  <c r="AT6" i="10"/>
  <c r="AU6" i="10"/>
  <c r="AV6" i="10"/>
  <c r="AW6" i="10"/>
  <c r="AX6" i="10"/>
  <c r="AY6" i="10"/>
  <c r="AZ6" i="10"/>
  <c r="AG7" i="10"/>
  <c r="AH7" i="10"/>
  <c r="AI7" i="10"/>
  <c r="AJ7" i="10"/>
  <c r="AK7" i="10"/>
  <c r="AL7" i="10"/>
  <c r="AM7" i="10"/>
  <c r="AN7" i="10"/>
  <c r="AO7" i="10"/>
  <c r="AP7" i="10"/>
  <c r="AQ7" i="10"/>
  <c r="AR7" i="10"/>
  <c r="AS7" i="10"/>
  <c r="AT7" i="10"/>
  <c r="AU7" i="10"/>
  <c r="AV7" i="10"/>
  <c r="AW7" i="10"/>
  <c r="AX7" i="10"/>
  <c r="AY7" i="10"/>
  <c r="AZ7" i="10"/>
  <c r="AG8" i="10"/>
  <c r="AH8" i="10"/>
  <c r="AI8" i="10"/>
  <c r="AJ8" i="10"/>
  <c r="AK8" i="10"/>
  <c r="AL8" i="10"/>
  <c r="AM8" i="10"/>
  <c r="AN8" i="10"/>
  <c r="AO8" i="10"/>
  <c r="AP8" i="10"/>
  <c r="AQ8" i="10"/>
  <c r="AR8" i="10"/>
  <c r="AS8" i="10"/>
  <c r="AT8" i="10"/>
  <c r="AU8" i="10"/>
  <c r="AV8" i="10"/>
  <c r="AW8" i="10"/>
  <c r="AX8" i="10"/>
  <c r="AY8" i="10"/>
  <c r="AZ8" i="10"/>
  <c r="AG9" i="10"/>
  <c r="AH9" i="10"/>
  <c r="AI9" i="10"/>
  <c r="AJ9" i="10"/>
  <c r="AK9" i="10"/>
  <c r="AL9" i="10"/>
  <c r="AM9" i="10"/>
  <c r="AN9" i="10"/>
  <c r="AO9" i="10"/>
  <c r="AP9" i="10"/>
  <c r="AQ9" i="10"/>
  <c r="AR9" i="10"/>
  <c r="AS9" i="10"/>
  <c r="AT9" i="10"/>
  <c r="AU9" i="10"/>
  <c r="AV9" i="10"/>
  <c r="AW9" i="10"/>
  <c r="AX9" i="10"/>
  <c r="AY9" i="10"/>
  <c r="AZ9" i="10"/>
  <c r="AG10" i="10"/>
  <c r="AH10" i="10"/>
  <c r="AI10" i="10"/>
  <c r="AJ10" i="10"/>
  <c r="AK10" i="10"/>
  <c r="AL10" i="10"/>
  <c r="AM10" i="10"/>
  <c r="AN10" i="10"/>
  <c r="AO10" i="10"/>
  <c r="AP10" i="10"/>
  <c r="AQ10" i="10"/>
  <c r="AR10" i="10"/>
  <c r="AS10" i="10"/>
  <c r="AT10" i="10"/>
  <c r="AU10" i="10"/>
  <c r="AV10" i="10"/>
  <c r="AW10" i="10"/>
  <c r="AX10" i="10"/>
  <c r="AY10" i="10"/>
  <c r="AZ10" i="10"/>
  <c r="AG11" i="10"/>
  <c r="AH11" i="10"/>
  <c r="AI11" i="10"/>
  <c r="AJ11" i="10"/>
  <c r="AK11" i="10"/>
  <c r="AL11" i="10"/>
  <c r="AM11" i="10"/>
  <c r="AN11" i="10"/>
  <c r="AO11" i="10"/>
  <c r="AP11" i="10"/>
  <c r="AQ11" i="10"/>
  <c r="AR11" i="10"/>
  <c r="AS11" i="10"/>
  <c r="AT11" i="10"/>
  <c r="AU11" i="10"/>
  <c r="AV11" i="10"/>
  <c r="AW11" i="10"/>
  <c r="AX11" i="10"/>
  <c r="AY11" i="10"/>
  <c r="AZ11" i="10"/>
  <c r="AG12" i="10"/>
  <c r="AH12" i="10"/>
  <c r="AI12" i="10"/>
  <c r="AJ12" i="10"/>
  <c r="AK12" i="10"/>
  <c r="AL12" i="10"/>
  <c r="AM12" i="10"/>
  <c r="AN12" i="10"/>
  <c r="AO12" i="10"/>
  <c r="AP12" i="10"/>
  <c r="AQ12" i="10"/>
  <c r="AR12" i="10"/>
  <c r="AS12" i="10"/>
  <c r="AT12" i="10"/>
  <c r="AU12" i="10"/>
  <c r="AV12" i="10"/>
  <c r="AW12" i="10"/>
  <c r="AX12" i="10"/>
  <c r="AY12" i="10"/>
  <c r="AZ12" i="10"/>
  <c r="AG13" i="10"/>
  <c r="AH13" i="10"/>
  <c r="AI13" i="10"/>
  <c r="AJ13" i="10"/>
  <c r="AK13" i="10"/>
  <c r="AL13" i="10"/>
  <c r="AM13" i="10"/>
  <c r="AN13" i="10"/>
  <c r="AO13" i="10"/>
  <c r="AP13" i="10"/>
  <c r="AQ13" i="10"/>
  <c r="AR13" i="10"/>
  <c r="AS13" i="10"/>
  <c r="AT13" i="10"/>
  <c r="AU13" i="10"/>
  <c r="AV13" i="10"/>
  <c r="AW13" i="10"/>
  <c r="AX13" i="10"/>
  <c r="AY13" i="10"/>
  <c r="AZ13" i="10"/>
  <c r="AG14" i="10"/>
  <c r="AH14" i="10"/>
  <c r="AI14" i="10"/>
  <c r="AJ14" i="10"/>
  <c r="AK14" i="10"/>
  <c r="AL14" i="10"/>
  <c r="AM14" i="10"/>
  <c r="AN14" i="10"/>
  <c r="AO14" i="10"/>
  <c r="AP14" i="10"/>
  <c r="AQ14" i="10"/>
  <c r="AR14" i="10"/>
  <c r="AS14" i="10"/>
  <c r="AT14" i="10"/>
  <c r="AU14" i="10"/>
  <c r="AV14" i="10"/>
  <c r="AW14" i="10"/>
  <c r="AX14" i="10"/>
  <c r="AY14" i="10"/>
  <c r="AZ14" i="10"/>
  <c r="AG15" i="10"/>
  <c r="AH15" i="10"/>
  <c r="AI15" i="10"/>
  <c r="AJ15" i="10"/>
  <c r="AK15" i="10"/>
  <c r="AL15" i="10"/>
  <c r="AM15" i="10"/>
  <c r="AN15" i="10"/>
  <c r="AO15" i="10"/>
  <c r="AP15" i="10"/>
  <c r="AQ15" i="10"/>
  <c r="AR15" i="10"/>
  <c r="AS15" i="10"/>
  <c r="AT15" i="10"/>
  <c r="AU15" i="10"/>
  <c r="AV15" i="10"/>
  <c r="AW15" i="10"/>
  <c r="AX15" i="10"/>
  <c r="AY15" i="10"/>
  <c r="AZ15" i="10"/>
  <c r="AG16" i="10"/>
  <c r="AH16" i="10"/>
  <c r="AI16" i="10"/>
  <c r="AJ16" i="10"/>
  <c r="AK16" i="10"/>
  <c r="AL16" i="10"/>
  <c r="AM16" i="10"/>
  <c r="AN16" i="10"/>
  <c r="AO16" i="10"/>
  <c r="AP16" i="10"/>
  <c r="AQ16" i="10"/>
  <c r="AR16" i="10"/>
  <c r="AS16" i="10"/>
  <c r="AT16" i="10"/>
  <c r="AU16" i="10"/>
  <c r="AV16" i="10"/>
  <c r="AW16" i="10"/>
  <c r="AX16" i="10"/>
  <c r="AY16" i="10"/>
  <c r="AZ16" i="10"/>
  <c r="AG17" i="10"/>
  <c r="AH17" i="10"/>
  <c r="AI17" i="10"/>
  <c r="AJ17" i="10"/>
  <c r="AK17" i="10"/>
  <c r="AL17" i="10"/>
  <c r="AM17" i="10"/>
  <c r="AN17" i="10"/>
  <c r="AO17" i="10"/>
  <c r="AP17" i="10"/>
  <c r="AQ17" i="10"/>
  <c r="AR17" i="10"/>
  <c r="AS17" i="10"/>
  <c r="AT17" i="10"/>
  <c r="AU17" i="10"/>
  <c r="AV17" i="10"/>
  <c r="AW17" i="10"/>
  <c r="AX17" i="10"/>
  <c r="AY17" i="10"/>
  <c r="AZ17" i="10"/>
  <c r="AH2" i="9"/>
  <c r="AI2" i="9" s="1"/>
  <c r="AJ2" i="9" s="1"/>
  <c r="AK2" i="9" s="1"/>
  <c r="AL2" i="9" s="1"/>
  <c r="AM2" i="9" s="1"/>
  <c r="AN2" i="9" s="1"/>
  <c r="AO2" i="9" s="1"/>
  <c r="AP2" i="9" s="1"/>
  <c r="AQ2" i="9" s="1"/>
  <c r="AR2" i="9" s="1"/>
  <c r="AS2" i="9" s="1"/>
  <c r="AT2" i="9" s="1"/>
  <c r="AU2" i="9" s="1"/>
  <c r="AV2" i="9" s="1"/>
  <c r="AW2" i="9" s="1"/>
  <c r="AX2" i="9" s="1"/>
  <c r="AY2" i="9" s="1"/>
  <c r="AZ2" i="9" s="1"/>
  <c r="AH3" i="9"/>
  <c r="AI3" i="9"/>
  <c r="AJ3" i="9" s="1"/>
  <c r="AK3" i="9" s="1"/>
  <c r="AL3" i="9" s="1"/>
  <c r="AM3" i="9" s="1"/>
  <c r="AN3" i="9" s="1"/>
  <c r="AO3" i="9" s="1"/>
  <c r="AP3" i="9" s="1"/>
  <c r="AQ3" i="9" s="1"/>
  <c r="AR3" i="9" s="1"/>
  <c r="AS3" i="9" s="1"/>
  <c r="AT3" i="9" s="1"/>
  <c r="AU3" i="9" s="1"/>
  <c r="AV3" i="9" s="1"/>
  <c r="AW3" i="9" s="1"/>
  <c r="AX3" i="9" s="1"/>
  <c r="AY3" i="9" s="1"/>
  <c r="AZ3" i="9" s="1"/>
  <c r="AH4" i="9"/>
  <c r="AI4" i="9" s="1"/>
  <c r="AJ4" i="9" s="1"/>
  <c r="AK4" i="9" s="1"/>
  <c r="AL4" i="9" s="1"/>
  <c r="AM4" i="9" s="1"/>
  <c r="AN4" i="9" s="1"/>
  <c r="AO4" i="9" s="1"/>
  <c r="AP4" i="9" s="1"/>
  <c r="AQ4" i="9" s="1"/>
  <c r="AR4" i="9" s="1"/>
  <c r="AS4" i="9" s="1"/>
  <c r="AT4" i="9" s="1"/>
  <c r="AU4" i="9" s="1"/>
  <c r="AV4" i="9" s="1"/>
  <c r="AW4" i="9" s="1"/>
  <c r="AX4" i="9" s="1"/>
  <c r="AY4" i="9" s="1"/>
  <c r="AZ4" i="9" s="1"/>
  <c r="AH5" i="9"/>
  <c r="AI5" i="9" s="1"/>
  <c r="AJ5" i="9" s="1"/>
  <c r="AK5" i="9" s="1"/>
  <c r="AL5" i="9" s="1"/>
  <c r="AM5" i="9" s="1"/>
  <c r="AN5" i="9" s="1"/>
  <c r="AO5" i="9" s="1"/>
  <c r="AP5" i="9" s="1"/>
  <c r="AQ5" i="9" s="1"/>
  <c r="AR5" i="9" s="1"/>
  <c r="AS5" i="9" s="1"/>
  <c r="AT5" i="9" s="1"/>
  <c r="AU5" i="9" s="1"/>
  <c r="AV5" i="9" s="1"/>
  <c r="AW5" i="9" s="1"/>
  <c r="AX5" i="9" s="1"/>
  <c r="AY5" i="9" s="1"/>
  <c r="AZ5" i="9" s="1"/>
  <c r="AH6" i="9"/>
  <c r="AI6" i="9" s="1"/>
  <c r="AJ6" i="9" s="1"/>
  <c r="AK6" i="9" s="1"/>
  <c r="AL6" i="9" s="1"/>
  <c r="AM6" i="9" s="1"/>
  <c r="AN6" i="9" s="1"/>
  <c r="AO6" i="9" s="1"/>
  <c r="AP6" i="9" s="1"/>
  <c r="AQ6" i="9" s="1"/>
  <c r="AR6" i="9" s="1"/>
  <c r="AS6" i="9" s="1"/>
  <c r="AT6" i="9" s="1"/>
  <c r="AU6" i="9" s="1"/>
  <c r="AV6" i="9" s="1"/>
  <c r="AW6" i="9" s="1"/>
  <c r="AX6" i="9" s="1"/>
  <c r="AY6" i="9" s="1"/>
  <c r="AZ6" i="9" s="1"/>
  <c r="AH7" i="9"/>
  <c r="AI7" i="9" s="1"/>
  <c r="AJ7" i="9" s="1"/>
  <c r="AK7" i="9" s="1"/>
  <c r="AL7" i="9" s="1"/>
  <c r="AM7" i="9" s="1"/>
  <c r="AN7" i="9" s="1"/>
  <c r="AO7" i="9" s="1"/>
  <c r="AP7" i="9" s="1"/>
  <c r="AQ7" i="9" s="1"/>
  <c r="AR7" i="9" s="1"/>
  <c r="AS7" i="9" s="1"/>
  <c r="AT7" i="9" s="1"/>
  <c r="AU7" i="9" s="1"/>
  <c r="AV7" i="9" s="1"/>
  <c r="AW7" i="9" s="1"/>
  <c r="AX7" i="9" s="1"/>
  <c r="AY7" i="9" s="1"/>
  <c r="AZ7" i="9" s="1"/>
  <c r="AH8" i="9"/>
  <c r="AI8" i="9"/>
  <c r="AJ8" i="9"/>
  <c r="AK8" i="9" s="1"/>
  <c r="AL8" i="9" s="1"/>
  <c r="AM8" i="9" s="1"/>
  <c r="AN8" i="9" s="1"/>
  <c r="AO8" i="9" s="1"/>
  <c r="AP8" i="9" s="1"/>
  <c r="AQ8" i="9" s="1"/>
  <c r="AR8" i="9" s="1"/>
  <c r="AS8" i="9" s="1"/>
  <c r="AT8" i="9" s="1"/>
  <c r="AU8" i="9" s="1"/>
  <c r="AV8" i="9" s="1"/>
  <c r="AW8" i="9" s="1"/>
  <c r="AX8" i="9" s="1"/>
  <c r="AY8" i="9" s="1"/>
  <c r="AZ8" i="9" s="1"/>
  <c r="AH9" i="9"/>
  <c r="AI9" i="9"/>
  <c r="AJ9" i="9" s="1"/>
  <c r="AK9" i="9" s="1"/>
  <c r="AL9" i="9" s="1"/>
  <c r="AM9" i="9" s="1"/>
  <c r="AN9" i="9" s="1"/>
  <c r="AO9" i="9" s="1"/>
  <c r="AP9" i="9" s="1"/>
  <c r="AQ9" i="9" s="1"/>
  <c r="AR9" i="9" s="1"/>
  <c r="AS9" i="9" s="1"/>
  <c r="AT9" i="9" s="1"/>
  <c r="AU9" i="9" s="1"/>
  <c r="AV9" i="9" s="1"/>
  <c r="AW9" i="9" s="1"/>
  <c r="AX9" i="9" s="1"/>
  <c r="AY9" i="9" s="1"/>
  <c r="AZ9" i="9" s="1"/>
  <c r="AH10" i="9"/>
  <c r="AI10" i="9"/>
  <c r="AJ10" i="9"/>
  <c r="AK10" i="9"/>
  <c r="AL10" i="9"/>
  <c r="AM10" i="9" s="1"/>
  <c r="AN10" i="9" s="1"/>
  <c r="AO10" i="9" s="1"/>
  <c r="AP10" i="9" s="1"/>
  <c r="AQ10" i="9" s="1"/>
  <c r="AR10" i="9" s="1"/>
  <c r="AS10" i="9" s="1"/>
  <c r="AT10" i="9" s="1"/>
  <c r="AU10" i="9" s="1"/>
  <c r="AV10" i="9" s="1"/>
  <c r="AW10" i="9" s="1"/>
  <c r="AX10" i="9" s="1"/>
  <c r="AY10" i="9" s="1"/>
  <c r="AZ10" i="9" s="1"/>
  <c r="AH11" i="9"/>
  <c r="AI11" i="9"/>
  <c r="AJ11" i="9" s="1"/>
  <c r="AK11" i="9" s="1"/>
  <c r="AL11" i="9" s="1"/>
  <c r="AM11" i="9" s="1"/>
  <c r="AN11" i="9" s="1"/>
  <c r="AO11" i="9" s="1"/>
  <c r="AP11" i="9" s="1"/>
  <c r="AQ11" i="9" s="1"/>
  <c r="AR11" i="9" s="1"/>
  <c r="AS11" i="9" s="1"/>
  <c r="AT11" i="9" s="1"/>
  <c r="AU11" i="9" s="1"/>
  <c r="AV11" i="9" s="1"/>
  <c r="AW11" i="9" s="1"/>
  <c r="AX11" i="9" s="1"/>
  <c r="AY11" i="9" s="1"/>
  <c r="AZ11" i="9" s="1"/>
  <c r="AH12" i="9"/>
  <c r="AI12" i="9" s="1"/>
  <c r="AJ12" i="9" s="1"/>
  <c r="AK12" i="9" s="1"/>
  <c r="AL12" i="9" s="1"/>
  <c r="AM12" i="9" s="1"/>
  <c r="AN12" i="9" s="1"/>
  <c r="AO12" i="9" s="1"/>
  <c r="AP12" i="9" s="1"/>
  <c r="AQ12" i="9" s="1"/>
  <c r="AR12" i="9" s="1"/>
  <c r="AS12" i="9" s="1"/>
  <c r="AT12" i="9" s="1"/>
  <c r="AU12" i="9" s="1"/>
  <c r="AV12" i="9" s="1"/>
  <c r="AW12" i="9" s="1"/>
  <c r="AX12" i="9" s="1"/>
  <c r="AY12" i="9" s="1"/>
  <c r="AZ12" i="9" s="1"/>
  <c r="AH13" i="9"/>
  <c r="AI13" i="9" s="1"/>
  <c r="AJ13" i="9" s="1"/>
  <c r="AK13" i="9" s="1"/>
  <c r="AL13" i="9" s="1"/>
  <c r="AM13" i="9" s="1"/>
  <c r="AN13" i="9" s="1"/>
  <c r="AO13" i="9" s="1"/>
  <c r="AP13" i="9" s="1"/>
  <c r="AQ13" i="9" s="1"/>
  <c r="AR13" i="9" s="1"/>
  <c r="AS13" i="9" s="1"/>
  <c r="AT13" i="9" s="1"/>
  <c r="AU13" i="9" s="1"/>
  <c r="AV13" i="9" s="1"/>
  <c r="AW13" i="9" s="1"/>
  <c r="AX13" i="9" s="1"/>
  <c r="AY13" i="9" s="1"/>
  <c r="AZ13" i="9" s="1"/>
  <c r="AH14" i="9"/>
  <c r="AI14" i="9" s="1"/>
  <c r="AJ14" i="9" s="1"/>
  <c r="AK14" i="9" s="1"/>
  <c r="AL14" i="9" s="1"/>
  <c r="AM14" i="9" s="1"/>
  <c r="AN14" i="9" s="1"/>
  <c r="AO14" i="9" s="1"/>
  <c r="AP14" i="9" s="1"/>
  <c r="AQ14" i="9" s="1"/>
  <c r="AR14" i="9" s="1"/>
  <c r="AS14" i="9" s="1"/>
  <c r="AT14" i="9" s="1"/>
  <c r="AU14" i="9" s="1"/>
  <c r="AV14" i="9" s="1"/>
  <c r="AW14" i="9" s="1"/>
  <c r="AX14" i="9" s="1"/>
  <c r="AY14" i="9" s="1"/>
  <c r="AZ14" i="9" s="1"/>
  <c r="AH15" i="9"/>
  <c r="AI15" i="9" s="1"/>
  <c r="AJ15" i="9" s="1"/>
  <c r="AK15" i="9" s="1"/>
  <c r="AL15" i="9" s="1"/>
  <c r="AM15" i="9" s="1"/>
  <c r="AN15" i="9" s="1"/>
  <c r="AO15" i="9" s="1"/>
  <c r="AP15" i="9" s="1"/>
  <c r="AQ15" i="9" s="1"/>
  <c r="AR15" i="9" s="1"/>
  <c r="AS15" i="9" s="1"/>
  <c r="AT15" i="9" s="1"/>
  <c r="AU15" i="9" s="1"/>
  <c r="AV15" i="9" s="1"/>
  <c r="AW15" i="9" s="1"/>
  <c r="AX15" i="9" s="1"/>
  <c r="AY15" i="9" s="1"/>
  <c r="AZ15" i="9" s="1"/>
  <c r="AH16" i="9"/>
  <c r="AI16" i="9"/>
  <c r="AJ16" i="9"/>
  <c r="AK16" i="9" s="1"/>
  <c r="AL16" i="9" s="1"/>
  <c r="AM16" i="9" s="1"/>
  <c r="AN16" i="9" s="1"/>
  <c r="AO16" i="9" s="1"/>
  <c r="AP16" i="9" s="1"/>
  <c r="AQ16" i="9" s="1"/>
  <c r="AR16" i="9" s="1"/>
  <c r="AS16" i="9" s="1"/>
  <c r="AT16" i="9" s="1"/>
  <c r="AU16" i="9" s="1"/>
  <c r="AV16" i="9" s="1"/>
  <c r="AW16" i="9" s="1"/>
  <c r="AX16" i="9" s="1"/>
  <c r="AY16" i="9" s="1"/>
  <c r="AZ16" i="9" s="1"/>
  <c r="AH17" i="9"/>
  <c r="AI17" i="9"/>
  <c r="AJ17" i="9" s="1"/>
  <c r="AK17" i="9" s="1"/>
  <c r="AL17" i="9" s="1"/>
  <c r="AM17" i="9" s="1"/>
  <c r="AN17" i="9" s="1"/>
  <c r="AO17" i="9" s="1"/>
  <c r="AP17" i="9" s="1"/>
  <c r="AQ17" i="9" s="1"/>
  <c r="AR17" i="9" s="1"/>
  <c r="AS17" i="9" s="1"/>
  <c r="AT17" i="9" s="1"/>
  <c r="AU17" i="9" s="1"/>
  <c r="AV17" i="9" s="1"/>
  <c r="AW17" i="9" s="1"/>
  <c r="AX17" i="9" s="1"/>
  <c r="AY17" i="9" s="1"/>
  <c r="AZ17" i="9" s="1"/>
  <c r="AG3" i="9"/>
  <c r="AG4" i="9"/>
  <c r="AG5" i="9"/>
  <c r="AG6" i="9"/>
  <c r="AG7" i="9"/>
  <c r="AG8" i="9"/>
  <c r="AG9" i="9"/>
  <c r="AG10" i="9"/>
  <c r="AG11" i="9"/>
  <c r="AG12" i="9"/>
  <c r="AG13" i="9"/>
  <c r="AG14" i="9"/>
  <c r="AG15" i="9"/>
  <c r="AG16" i="9"/>
  <c r="AG17" i="9"/>
  <c r="AG2" i="9"/>
  <c r="AG2" i="8"/>
  <c r="AH2" i="8"/>
  <c r="AI2" i="8"/>
  <c r="AJ2" i="8"/>
  <c r="AK2" i="8"/>
  <c r="AL2" i="8"/>
  <c r="AM2" i="8"/>
  <c r="AN2" i="8"/>
  <c r="AO2" i="8"/>
  <c r="AP2" i="8"/>
  <c r="AQ2" i="8"/>
  <c r="AR2" i="8"/>
  <c r="AS2" i="8"/>
  <c r="AT2" i="8"/>
  <c r="AU2" i="8"/>
  <c r="AV2" i="8"/>
  <c r="AW2" i="8"/>
  <c r="AX2" i="8"/>
  <c r="AY2" i="8"/>
  <c r="AZ2" i="8"/>
  <c r="AG3" i="8"/>
  <c r="AH3" i="8"/>
  <c r="AI3" i="8"/>
  <c r="AJ3" i="8"/>
  <c r="AK3" i="8"/>
  <c r="AL3" i="8"/>
  <c r="AM3" i="8"/>
  <c r="AN3" i="8"/>
  <c r="AO3" i="8"/>
  <c r="AP3" i="8"/>
  <c r="AQ3" i="8"/>
  <c r="AR3" i="8"/>
  <c r="AS3" i="8"/>
  <c r="AT3" i="8"/>
  <c r="AU3" i="8"/>
  <c r="AV3" i="8"/>
  <c r="AW3" i="8"/>
  <c r="AX3" i="8"/>
  <c r="AY3" i="8"/>
  <c r="AZ3" i="8"/>
  <c r="AG4" i="8"/>
  <c r="AH4" i="8"/>
  <c r="AI4" i="8"/>
  <c r="AJ4" i="8"/>
  <c r="AK4" i="8"/>
  <c r="AL4" i="8"/>
  <c r="AM4" i="8"/>
  <c r="AN4" i="8"/>
  <c r="AO4" i="8"/>
  <c r="AP4" i="8"/>
  <c r="AQ4" i="8"/>
  <c r="AR4" i="8"/>
  <c r="AS4" i="8"/>
  <c r="AT4" i="8"/>
  <c r="AU4" i="8"/>
  <c r="AV4" i="8"/>
  <c r="AW4" i="8"/>
  <c r="AX4" i="8"/>
  <c r="AY4" i="8"/>
  <c r="AZ4" i="8"/>
  <c r="AG5" i="8"/>
  <c r="AH5" i="8"/>
  <c r="AI5" i="8"/>
  <c r="AJ5" i="8"/>
  <c r="AK5" i="8"/>
  <c r="AL5" i="8"/>
  <c r="AM5" i="8"/>
  <c r="AN5" i="8"/>
  <c r="AO5" i="8"/>
  <c r="AP5" i="8"/>
  <c r="AQ5" i="8"/>
  <c r="AR5" i="8"/>
  <c r="AS5" i="8"/>
  <c r="AT5" i="8"/>
  <c r="AU5" i="8"/>
  <c r="AV5" i="8"/>
  <c r="AW5" i="8"/>
  <c r="AX5" i="8"/>
  <c r="AY5" i="8"/>
  <c r="AZ5" i="8"/>
  <c r="AG6" i="8"/>
  <c r="AH6" i="8"/>
  <c r="AI6" i="8"/>
  <c r="AJ6" i="8"/>
  <c r="AK6" i="8"/>
  <c r="AL6" i="8"/>
  <c r="AM6" i="8"/>
  <c r="AN6" i="8"/>
  <c r="AO6" i="8"/>
  <c r="AP6" i="8"/>
  <c r="AQ6" i="8"/>
  <c r="AR6" i="8"/>
  <c r="AS6" i="8"/>
  <c r="AT6" i="8"/>
  <c r="AU6" i="8"/>
  <c r="AV6" i="8"/>
  <c r="AW6" i="8"/>
  <c r="AX6" i="8"/>
  <c r="AY6" i="8"/>
  <c r="AZ6" i="8"/>
  <c r="AG7" i="8"/>
  <c r="AH7" i="8"/>
  <c r="AI7" i="8"/>
  <c r="AJ7" i="8"/>
  <c r="AK7" i="8"/>
  <c r="AL7" i="8"/>
  <c r="AM7" i="8"/>
  <c r="AN7" i="8"/>
  <c r="AO7" i="8"/>
  <c r="AP7" i="8"/>
  <c r="AQ7" i="8"/>
  <c r="AR7" i="8"/>
  <c r="AS7" i="8"/>
  <c r="AT7" i="8"/>
  <c r="AU7" i="8"/>
  <c r="AV7" i="8"/>
  <c r="AW7" i="8"/>
  <c r="AX7" i="8"/>
  <c r="AY7" i="8"/>
  <c r="AZ7" i="8"/>
  <c r="AG8" i="8"/>
  <c r="AH8" i="8"/>
  <c r="AI8" i="8"/>
  <c r="AJ8" i="8"/>
  <c r="AK8" i="8"/>
  <c r="AL8" i="8"/>
  <c r="AM8" i="8"/>
  <c r="AN8" i="8"/>
  <c r="AO8" i="8"/>
  <c r="AP8" i="8"/>
  <c r="AQ8" i="8"/>
  <c r="AR8" i="8"/>
  <c r="AS8" i="8"/>
  <c r="AT8" i="8"/>
  <c r="AU8" i="8"/>
  <c r="AV8" i="8"/>
  <c r="AW8" i="8"/>
  <c r="AX8" i="8"/>
  <c r="AY8" i="8"/>
  <c r="AZ8" i="8"/>
  <c r="AG9" i="8"/>
  <c r="AH9" i="8"/>
  <c r="AI9" i="8"/>
  <c r="AJ9" i="8"/>
  <c r="AK9" i="8"/>
  <c r="AL9" i="8"/>
  <c r="AM9" i="8"/>
  <c r="AN9" i="8"/>
  <c r="AO9" i="8"/>
  <c r="AP9" i="8"/>
  <c r="AQ9" i="8"/>
  <c r="AR9" i="8"/>
  <c r="AS9" i="8"/>
  <c r="AT9" i="8"/>
  <c r="AU9" i="8"/>
  <c r="AV9" i="8"/>
  <c r="AW9" i="8"/>
  <c r="AX9" i="8"/>
  <c r="AY9" i="8"/>
  <c r="AZ9" i="8"/>
  <c r="AG10" i="8"/>
  <c r="AH10" i="8"/>
  <c r="AI10" i="8"/>
  <c r="AJ10" i="8"/>
  <c r="AK10" i="8"/>
  <c r="AL10" i="8"/>
  <c r="AM10" i="8"/>
  <c r="AN10" i="8"/>
  <c r="AO10" i="8"/>
  <c r="AP10" i="8"/>
  <c r="AQ10" i="8"/>
  <c r="AR10" i="8"/>
  <c r="AS10" i="8"/>
  <c r="AT10" i="8"/>
  <c r="AU10" i="8"/>
  <c r="AV10" i="8"/>
  <c r="AW10" i="8"/>
  <c r="AX10" i="8"/>
  <c r="AY10" i="8"/>
  <c r="AZ10" i="8"/>
  <c r="AG11" i="8"/>
  <c r="AH11" i="8"/>
  <c r="AI11" i="8"/>
  <c r="AJ11" i="8"/>
  <c r="AK11" i="8"/>
  <c r="AL11" i="8"/>
  <c r="AM11" i="8"/>
  <c r="AN11" i="8"/>
  <c r="AO11" i="8"/>
  <c r="AP11" i="8"/>
  <c r="AQ11" i="8"/>
  <c r="AR11" i="8"/>
  <c r="AS11" i="8"/>
  <c r="AT11" i="8"/>
  <c r="AU11" i="8"/>
  <c r="AV11" i="8"/>
  <c r="AW11" i="8"/>
  <c r="AX11" i="8"/>
  <c r="AY11" i="8"/>
  <c r="AZ11" i="8"/>
  <c r="AG12" i="8"/>
  <c r="AH12" i="8"/>
  <c r="AI12" i="8"/>
  <c r="AJ12" i="8"/>
  <c r="AK12" i="8"/>
  <c r="AL12" i="8"/>
  <c r="AM12" i="8"/>
  <c r="AN12" i="8"/>
  <c r="AO12" i="8"/>
  <c r="AP12" i="8"/>
  <c r="AQ12" i="8"/>
  <c r="AR12" i="8"/>
  <c r="AS12" i="8"/>
  <c r="AT12" i="8"/>
  <c r="AU12" i="8"/>
  <c r="AV12" i="8"/>
  <c r="AW12" i="8"/>
  <c r="AX12" i="8"/>
  <c r="AY12" i="8"/>
  <c r="AZ12" i="8"/>
  <c r="AG13" i="8"/>
  <c r="AH13" i="8"/>
  <c r="AI13" i="8"/>
  <c r="AJ13" i="8"/>
  <c r="AK13" i="8"/>
  <c r="AL13" i="8"/>
  <c r="AM13" i="8"/>
  <c r="AN13" i="8"/>
  <c r="AO13" i="8"/>
  <c r="AP13" i="8"/>
  <c r="AQ13" i="8"/>
  <c r="AR13" i="8"/>
  <c r="AS13" i="8"/>
  <c r="AT13" i="8"/>
  <c r="AU13" i="8"/>
  <c r="AV13" i="8"/>
  <c r="AW13" i="8"/>
  <c r="AX13" i="8"/>
  <c r="AY13" i="8"/>
  <c r="AZ13" i="8"/>
  <c r="AG14" i="8"/>
  <c r="AH14" i="8"/>
  <c r="AI14" i="8"/>
  <c r="AJ14" i="8"/>
  <c r="AK14" i="8"/>
  <c r="AL14" i="8"/>
  <c r="AM14" i="8"/>
  <c r="AN14" i="8"/>
  <c r="AO14" i="8"/>
  <c r="AP14" i="8"/>
  <c r="AQ14" i="8"/>
  <c r="AR14" i="8"/>
  <c r="AS14" i="8"/>
  <c r="AT14" i="8"/>
  <c r="AU14" i="8"/>
  <c r="AV14" i="8"/>
  <c r="AW14" i="8"/>
  <c r="AX14" i="8"/>
  <c r="AY14" i="8"/>
  <c r="AZ14" i="8"/>
  <c r="AG15" i="8"/>
  <c r="AH15" i="8"/>
  <c r="AI15" i="8"/>
  <c r="AJ15" i="8"/>
  <c r="AK15" i="8"/>
  <c r="AL15" i="8"/>
  <c r="AM15" i="8"/>
  <c r="AN15" i="8"/>
  <c r="AO15" i="8"/>
  <c r="AP15" i="8"/>
  <c r="AQ15" i="8"/>
  <c r="AR15" i="8"/>
  <c r="AS15" i="8"/>
  <c r="AT15" i="8"/>
  <c r="AU15" i="8"/>
  <c r="AV15" i="8"/>
  <c r="AW15" i="8"/>
  <c r="AX15" i="8"/>
  <c r="AY15" i="8"/>
  <c r="AZ15" i="8"/>
  <c r="AG16" i="8"/>
  <c r="AH16" i="8"/>
  <c r="AI16" i="8"/>
  <c r="AJ16" i="8"/>
  <c r="AK16" i="8"/>
  <c r="AL16" i="8"/>
  <c r="AM16" i="8"/>
  <c r="AN16" i="8"/>
  <c r="AO16" i="8"/>
  <c r="AP16" i="8"/>
  <c r="AQ16" i="8"/>
  <c r="AR16" i="8"/>
  <c r="AS16" i="8"/>
  <c r="AT16" i="8"/>
  <c r="AU16" i="8"/>
  <c r="AV16" i="8"/>
  <c r="AW16" i="8"/>
  <c r="AX16" i="8"/>
  <c r="AY16" i="8"/>
  <c r="AZ16" i="8"/>
  <c r="AG17" i="8"/>
  <c r="AH17" i="8"/>
  <c r="AI17" i="8"/>
  <c r="AJ17" i="8"/>
  <c r="AK17" i="8"/>
  <c r="AL17" i="8"/>
  <c r="AM17" i="8"/>
  <c r="AN17" i="8"/>
  <c r="AO17" i="8"/>
  <c r="AP17" i="8"/>
  <c r="AQ17" i="8"/>
  <c r="AR17" i="8"/>
  <c r="AS17" i="8"/>
  <c r="AT17" i="8"/>
  <c r="AU17" i="8"/>
  <c r="AV17" i="8"/>
  <c r="AW17" i="8"/>
  <c r="AX17" i="8"/>
  <c r="AY17" i="8"/>
  <c r="AZ17" i="8"/>
  <c r="AG2" i="7"/>
  <c r="AH2" i="7"/>
  <c r="AI2" i="7"/>
  <c r="AJ2" i="7"/>
  <c r="AK2" i="7"/>
  <c r="AL2" i="7"/>
  <c r="AM2" i="7"/>
  <c r="AN2" i="7"/>
  <c r="AO2" i="7"/>
  <c r="AP2" i="7"/>
  <c r="AQ2" i="7"/>
  <c r="AR2" i="7"/>
  <c r="AS2" i="7"/>
  <c r="AT2" i="7"/>
  <c r="AU2" i="7"/>
  <c r="AV2" i="7"/>
  <c r="AW2" i="7"/>
  <c r="AX2" i="7"/>
  <c r="AY2" i="7"/>
  <c r="AZ2" i="7"/>
  <c r="AG3" i="7"/>
  <c r="AH3" i="7"/>
  <c r="AI3" i="7"/>
  <c r="AJ3" i="7"/>
  <c r="AK3" i="7"/>
  <c r="AL3" i="7"/>
  <c r="AM3" i="7"/>
  <c r="AN3" i="7"/>
  <c r="AO3" i="7"/>
  <c r="AP3" i="7"/>
  <c r="AQ3" i="7"/>
  <c r="AR3" i="7"/>
  <c r="AS3" i="7"/>
  <c r="AT3" i="7"/>
  <c r="AU3" i="7"/>
  <c r="AV3" i="7"/>
  <c r="AW3" i="7"/>
  <c r="AX3" i="7"/>
  <c r="AY3" i="7"/>
  <c r="AZ3" i="7"/>
  <c r="AG4" i="7"/>
  <c r="AH4" i="7"/>
  <c r="AI4" i="7"/>
  <c r="AJ4" i="7"/>
  <c r="AK4" i="7"/>
  <c r="AL4" i="7"/>
  <c r="AM4" i="7"/>
  <c r="AN4" i="7"/>
  <c r="AO4" i="7"/>
  <c r="AP4" i="7"/>
  <c r="AQ4" i="7"/>
  <c r="AR4" i="7"/>
  <c r="AS4" i="7"/>
  <c r="AT4" i="7"/>
  <c r="AU4" i="7"/>
  <c r="AV4" i="7"/>
  <c r="AW4" i="7"/>
  <c r="AX4" i="7"/>
  <c r="AY4" i="7"/>
  <c r="AZ4" i="7"/>
  <c r="AG5" i="7"/>
  <c r="AH5" i="7"/>
  <c r="AI5" i="7"/>
  <c r="AJ5" i="7"/>
  <c r="AK5" i="7"/>
  <c r="AL5" i="7"/>
  <c r="AM5" i="7"/>
  <c r="AN5" i="7"/>
  <c r="AO5" i="7"/>
  <c r="AP5" i="7"/>
  <c r="AQ5" i="7"/>
  <c r="AR5" i="7"/>
  <c r="AS5" i="7"/>
  <c r="AT5" i="7"/>
  <c r="AU5" i="7"/>
  <c r="AV5" i="7"/>
  <c r="AW5" i="7"/>
  <c r="AX5" i="7"/>
  <c r="AY5" i="7"/>
  <c r="AZ5" i="7"/>
  <c r="AG6" i="7"/>
  <c r="AH6" i="7"/>
  <c r="AI6" i="7"/>
  <c r="AJ6" i="7"/>
  <c r="AK6" i="7"/>
  <c r="AL6" i="7"/>
  <c r="AM6" i="7"/>
  <c r="AN6" i="7"/>
  <c r="AO6" i="7"/>
  <c r="AP6" i="7"/>
  <c r="AQ6" i="7"/>
  <c r="AR6" i="7"/>
  <c r="AS6" i="7"/>
  <c r="AT6" i="7"/>
  <c r="AU6" i="7"/>
  <c r="AV6" i="7"/>
  <c r="AW6" i="7"/>
  <c r="AX6" i="7"/>
  <c r="AY6" i="7"/>
  <c r="AZ6" i="7"/>
  <c r="AG7" i="7"/>
  <c r="AH7" i="7"/>
  <c r="AI7" i="7"/>
  <c r="AJ7" i="7"/>
  <c r="AK7" i="7"/>
  <c r="AL7" i="7"/>
  <c r="AM7" i="7"/>
  <c r="AN7" i="7"/>
  <c r="AO7" i="7"/>
  <c r="AP7" i="7"/>
  <c r="AQ7" i="7"/>
  <c r="AR7" i="7"/>
  <c r="AS7" i="7"/>
  <c r="AT7" i="7"/>
  <c r="AU7" i="7"/>
  <c r="AV7" i="7"/>
  <c r="AW7" i="7"/>
  <c r="AX7" i="7"/>
  <c r="AY7" i="7"/>
  <c r="AZ7" i="7"/>
  <c r="AG8" i="7"/>
  <c r="AH8" i="7"/>
  <c r="AI8" i="7"/>
  <c r="AJ8" i="7"/>
  <c r="AK8" i="7"/>
  <c r="AL8" i="7"/>
  <c r="AM8" i="7"/>
  <c r="AN8" i="7"/>
  <c r="AO8" i="7"/>
  <c r="AP8" i="7"/>
  <c r="AQ8" i="7"/>
  <c r="AR8" i="7"/>
  <c r="AS8" i="7"/>
  <c r="AT8" i="7"/>
  <c r="AU8" i="7"/>
  <c r="AV8" i="7"/>
  <c r="AW8" i="7"/>
  <c r="AX8" i="7"/>
  <c r="AY8" i="7"/>
  <c r="AZ8" i="7"/>
  <c r="AG9" i="7"/>
  <c r="AH9" i="7"/>
  <c r="AI9" i="7"/>
  <c r="AJ9" i="7"/>
  <c r="AK9" i="7"/>
  <c r="AL9" i="7"/>
  <c r="AM9" i="7"/>
  <c r="AN9" i="7"/>
  <c r="AO9" i="7"/>
  <c r="AP9" i="7"/>
  <c r="AQ9" i="7"/>
  <c r="AR9" i="7"/>
  <c r="AS9" i="7"/>
  <c r="AT9" i="7"/>
  <c r="AU9" i="7"/>
  <c r="AV9" i="7"/>
  <c r="AW9" i="7"/>
  <c r="AX9" i="7"/>
  <c r="AY9" i="7"/>
  <c r="AZ9" i="7"/>
  <c r="AG10" i="7"/>
  <c r="AH10" i="7"/>
  <c r="AI10" i="7"/>
  <c r="AJ10" i="7"/>
  <c r="AK10" i="7"/>
  <c r="AL10" i="7"/>
  <c r="AM10" i="7"/>
  <c r="AN10" i="7"/>
  <c r="AO10" i="7"/>
  <c r="AP10" i="7"/>
  <c r="AQ10" i="7"/>
  <c r="AR10" i="7"/>
  <c r="AS10" i="7"/>
  <c r="AT10" i="7"/>
  <c r="AU10" i="7"/>
  <c r="AV10" i="7"/>
  <c r="AW10" i="7"/>
  <c r="AX10" i="7"/>
  <c r="AY10" i="7"/>
  <c r="AZ10" i="7"/>
  <c r="AG11" i="7"/>
  <c r="AH11" i="7"/>
  <c r="AI11" i="7"/>
  <c r="AJ11" i="7"/>
  <c r="AK11" i="7"/>
  <c r="AL11" i="7"/>
  <c r="AM11" i="7"/>
  <c r="AN11" i="7"/>
  <c r="AO11" i="7"/>
  <c r="AP11" i="7"/>
  <c r="AQ11" i="7"/>
  <c r="AR11" i="7"/>
  <c r="AS11" i="7"/>
  <c r="AT11" i="7"/>
  <c r="AU11" i="7"/>
  <c r="AV11" i="7"/>
  <c r="AW11" i="7"/>
  <c r="AX11" i="7"/>
  <c r="AY11" i="7"/>
  <c r="AZ11" i="7"/>
  <c r="AG12" i="7"/>
  <c r="AH12" i="7"/>
  <c r="AI12" i="7"/>
  <c r="AJ12" i="7"/>
  <c r="AK12" i="7"/>
  <c r="AL12" i="7"/>
  <c r="AM12" i="7"/>
  <c r="AN12" i="7"/>
  <c r="AO12" i="7"/>
  <c r="AP12" i="7"/>
  <c r="AQ12" i="7"/>
  <c r="AR12" i="7"/>
  <c r="AS12" i="7"/>
  <c r="AT12" i="7"/>
  <c r="AU12" i="7"/>
  <c r="AV12" i="7"/>
  <c r="AW12" i="7"/>
  <c r="AX12" i="7"/>
  <c r="AY12" i="7"/>
  <c r="AZ12" i="7"/>
  <c r="AG13" i="7"/>
  <c r="AH13" i="7"/>
  <c r="AI13" i="7"/>
  <c r="AJ13" i="7"/>
  <c r="AK13" i="7"/>
  <c r="AL13" i="7"/>
  <c r="AM13" i="7"/>
  <c r="AN13" i="7"/>
  <c r="AO13" i="7"/>
  <c r="AP13" i="7"/>
  <c r="AQ13" i="7"/>
  <c r="AR13" i="7"/>
  <c r="AS13" i="7"/>
  <c r="AT13" i="7"/>
  <c r="AU13" i="7"/>
  <c r="AV13" i="7"/>
  <c r="AW13" i="7"/>
  <c r="AX13" i="7"/>
  <c r="AY13" i="7"/>
  <c r="AZ13" i="7"/>
  <c r="AG14" i="7"/>
  <c r="AH14" i="7"/>
  <c r="AI14" i="7"/>
  <c r="AJ14" i="7"/>
  <c r="AK14" i="7"/>
  <c r="AL14" i="7"/>
  <c r="AM14" i="7"/>
  <c r="AN14" i="7"/>
  <c r="AO14" i="7"/>
  <c r="AP14" i="7"/>
  <c r="AQ14" i="7"/>
  <c r="AR14" i="7"/>
  <c r="AS14" i="7"/>
  <c r="AT14" i="7"/>
  <c r="AU14" i="7"/>
  <c r="AV14" i="7"/>
  <c r="AW14" i="7"/>
  <c r="AX14" i="7"/>
  <c r="AY14" i="7"/>
  <c r="AZ14" i="7"/>
  <c r="AG15" i="7"/>
  <c r="AH15" i="7"/>
  <c r="AI15" i="7"/>
  <c r="AJ15" i="7"/>
  <c r="AK15" i="7"/>
  <c r="AL15" i="7"/>
  <c r="AM15" i="7"/>
  <c r="AN15" i="7"/>
  <c r="AO15" i="7"/>
  <c r="AP15" i="7"/>
  <c r="AQ15" i="7"/>
  <c r="AR15" i="7"/>
  <c r="AS15" i="7"/>
  <c r="AT15" i="7"/>
  <c r="AU15" i="7"/>
  <c r="AV15" i="7"/>
  <c r="AW15" i="7"/>
  <c r="AX15" i="7"/>
  <c r="AY15" i="7"/>
  <c r="AZ15" i="7"/>
  <c r="AG16" i="7"/>
  <c r="AH16" i="7"/>
  <c r="AI16" i="7"/>
  <c r="AJ16" i="7"/>
  <c r="AK16" i="7"/>
  <c r="AL16" i="7"/>
  <c r="AM16" i="7"/>
  <c r="AN16" i="7"/>
  <c r="AO16" i="7"/>
  <c r="AP16" i="7"/>
  <c r="AQ16" i="7"/>
  <c r="AR16" i="7"/>
  <c r="AS16" i="7"/>
  <c r="AT16" i="7"/>
  <c r="AU16" i="7"/>
  <c r="AV16" i="7"/>
  <c r="AW16" i="7"/>
  <c r="AX16" i="7"/>
  <c r="AY16" i="7"/>
  <c r="AZ16" i="7"/>
  <c r="AG17" i="7"/>
  <c r="AH17" i="7"/>
  <c r="AI17" i="7"/>
  <c r="AJ17" i="7"/>
  <c r="AK17" i="7"/>
  <c r="AL17" i="7"/>
  <c r="AM17" i="7"/>
  <c r="AN17" i="7"/>
  <c r="AO17" i="7"/>
  <c r="AP17" i="7"/>
  <c r="AQ17" i="7"/>
  <c r="AR17" i="7"/>
  <c r="AS17" i="7"/>
  <c r="AT17" i="7"/>
  <c r="AU17" i="7"/>
  <c r="AV17" i="7"/>
  <c r="AW17" i="7"/>
  <c r="AX17" i="7"/>
  <c r="AY17" i="7"/>
  <c r="AZ17" i="7"/>
  <c r="AH2" i="6"/>
  <c r="AI2" i="6" s="1"/>
  <c r="AJ2" i="6" s="1"/>
  <c r="AK2" i="6" s="1"/>
  <c r="AL2" i="6" s="1"/>
  <c r="AM2" i="6" s="1"/>
  <c r="AN2" i="6" s="1"/>
  <c r="AO2" i="6" s="1"/>
  <c r="AP2" i="6" s="1"/>
  <c r="AQ2" i="6" s="1"/>
  <c r="AR2" i="6" s="1"/>
  <c r="AS2" i="6" s="1"/>
  <c r="AT2" i="6" s="1"/>
  <c r="AU2" i="6" s="1"/>
  <c r="AV2" i="6" s="1"/>
  <c r="AW2" i="6" s="1"/>
  <c r="AX2" i="6" s="1"/>
  <c r="AY2" i="6" s="1"/>
  <c r="AZ2" i="6" s="1"/>
  <c r="AH3" i="6"/>
  <c r="AI3" i="6"/>
  <c r="AJ3" i="6" s="1"/>
  <c r="AK3" i="6" s="1"/>
  <c r="AL3" i="6" s="1"/>
  <c r="AM3" i="6" s="1"/>
  <c r="AN3" i="6" s="1"/>
  <c r="AO3" i="6" s="1"/>
  <c r="AP3" i="6" s="1"/>
  <c r="AQ3" i="6" s="1"/>
  <c r="AR3" i="6" s="1"/>
  <c r="AS3" i="6" s="1"/>
  <c r="AT3" i="6" s="1"/>
  <c r="AU3" i="6" s="1"/>
  <c r="AV3" i="6" s="1"/>
  <c r="AW3" i="6" s="1"/>
  <c r="AX3" i="6" s="1"/>
  <c r="AY3" i="6" s="1"/>
  <c r="AZ3" i="6" s="1"/>
  <c r="AH4" i="6"/>
  <c r="AI4" i="6"/>
  <c r="AJ4" i="6" s="1"/>
  <c r="AK4" i="6" s="1"/>
  <c r="AL4" i="6" s="1"/>
  <c r="AM4" i="6" s="1"/>
  <c r="AN4" i="6" s="1"/>
  <c r="AO4" i="6" s="1"/>
  <c r="AP4" i="6" s="1"/>
  <c r="AQ4" i="6" s="1"/>
  <c r="AR4" i="6" s="1"/>
  <c r="AS4" i="6" s="1"/>
  <c r="AT4" i="6" s="1"/>
  <c r="AU4" i="6" s="1"/>
  <c r="AV4" i="6" s="1"/>
  <c r="AW4" i="6" s="1"/>
  <c r="AX4" i="6" s="1"/>
  <c r="AY4" i="6" s="1"/>
  <c r="AZ4" i="6" s="1"/>
  <c r="AH5" i="6"/>
  <c r="AI5" i="6"/>
  <c r="AJ5" i="6"/>
  <c r="AK5" i="6"/>
  <c r="AL5" i="6" s="1"/>
  <c r="AM5" i="6" s="1"/>
  <c r="AN5" i="6" s="1"/>
  <c r="AO5" i="6" s="1"/>
  <c r="AP5" i="6" s="1"/>
  <c r="AQ5" i="6" s="1"/>
  <c r="AR5" i="6" s="1"/>
  <c r="AS5" i="6" s="1"/>
  <c r="AT5" i="6" s="1"/>
  <c r="AU5" i="6" s="1"/>
  <c r="AV5" i="6" s="1"/>
  <c r="AW5" i="6" s="1"/>
  <c r="AX5" i="6" s="1"/>
  <c r="AY5" i="6" s="1"/>
  <c r="AZ5" i="6" s="1"/>
  <c r="AH6" i="6"/>
  <c r="AI6" i="6" s="1"/>
  <c r="AJ6" i="6" s="1"/>
  <c r="AK6" i="6" s="1"/>
  <c r="AL6" i="6" s="1"/>
  <c r="AM6" i="6" s="1"/>
  <c r="AN6" i="6" s="1"/>
  <c r="AO6" i="6" s="1"/>
  <c r="AP6" i="6" s="1"/>
  <c r="AQ6" i="6" s="1"/>
  <c r="AR6" i="6" s="1"/>
  <c r="AS6" i="6" s="1"/>
  <c r="AT6" i="6" s="1"/>
  <c r="AU6" i="6" s="1"/>
  <c r="AV6" i="6" s="1"/>
  <c r="AW6" i="6" s="1"/>
  <c r="AX6" i="6" s="1"/>
  <c r="AY6" i="6" s="1"/>
  <c r="AZ6" i="6" s="1"/>
  <c r="AH7" i="6"/>
  <c r="AI7" i="6" s="1"/>
  <c r="AJ7" i="6" s="1"/>
  <c r="AK7" i="6" s="1"/>
  <c r="AL7" i="6" s="1"/>
  <c r="AM7" i="6" s="1"/>
  <c r="AN7" i="6" s="1"/>
  <c r="AO7" i="6" s="1"/>
  <c r="AP7" i="6" s="1"/>
  <c r="AQ7" i="6" s="1"/>
  <c r="AR7" i="6" s="1"/>
  <c r="AS7" i="6" s="1"/>
  <c r="AT7" i="6" s="1"/>
  <c r="AU7" i="6" s="1"/>
  <c r="AV7" i="6" s="1"/>
  <c r="AW7" i="6" s="1"/>
  <c r="AX7" i="6" s="1"/>
  <c r="AY7" i="6" s="1"/>
  <c r="AZ7" i="6" s="1"/>
  <c r="AH8" i="6"/>
  <c r="AI8" i="6"/>
  <c r="AJ8" i="6"/>
  <c r="AK8" i="6" s="1"/>
  <c r="AL8" i="6" s="1"/>
  <c r="AM8" i="6" s="1"/>
  <c r="AN8" i="6" s="1"/>
  <c r="AO8" i="6" s="1"/>
  <c r="AP8" i="6" s="1"/>
  <c r="AQ8" i="6" s="1"/>
  <c r="AR8" i="6" s="1"/>
  <c r="AS8" i="6" s="1"/>
  <c r="AT8" i="6" s="1"/>
  <c r="AU8" i="6" s="1"/>
  <c r="AV8" i="6" s="1"/>
  <c r="AW8" i="6" s="1"/>
  <c r="AX8" i="6" s="1"/>
  <c r="AY8" i="6" s="1"/>
  <c r="AZ8" i="6" s="1"/>
  <c r="AH9" i="6"/>
  <c r="AI9" i="6"/>
  <c r="AJ9" i="6"/>
  <c r="AK9" i="6" s="1"/>
  <c r="AL9" i="6" s="1"/>
  <c r="AM9" i="6" s="1"/>
  <c r="AN9" i="6" s="1"/>
  <c r="AO9" i="6" s="1"/>
  <c r="AP9" i="6" s="1"/>
  <c r="AQ9" i="6" s="1"/>
  <c r="AR9" i="6" s="1"/>
  <c r="AS9" i="6" s="1"/>
  <c r="AT9" i="6" s="1"/>
  <c r="AU9" i="6" s="1"/>
  <c r="AV9" i="6" s="1"/>
  <c r="AW9" i="6" s="1"/>
  <c r="AX9" i="6" s="1"/>
  <c r="AY9" i="6" s="1"/>
  <c r="AZ9" i="6" s="1"/>
  <c r="AH10" i="6"/>
  <c r="AI10" i="6"/>
  <c r="AJ10" i="6"/>
  <c r="AK10" i="6"/>
  <c r="AL10" i="6"/>
  <c r="AM10" i="6" s="1"/>
  <c r="AN10" i="6" s="1"/>
  <c r="AO10" i="6" s="1"/>
  <c r="AP10" i="6" s="1"/>
  <c r="AQ10" i="6" s="1"/>
  <c r="AR10" i="6" s="1"/>
  <c r="AS10" i="6" s="1"/>
  <c r="AT10" i="6" s="1"/>
  <c r="AU10" i="6" s="1"/>
  <c r="AV10" i="6" s="1"/>
  <c r="AW10" i="6" s="1"/>
  <c r="AX10" i="6" s="1"/>
  <c r="AY10" i="6" s="1"/>
  <c r="AZ10" i="6" s="1"/>
  <c r="AH11" i="6"/>
  <c r="AI11" i="6"/>
  <c r="AJ11" i="6" s="1"/>
  <c r="AK11" i="6" s="1"/>
  <c r="AL11" i="6"/>
  <c r="AM11" i="6" s="1"/>
  <c r="AN11" i="6" s="1"/>
  <c r="AO11" i="6" s="1"/>
  <c r="AP11" i="6" s="1"/>
  <c r="AQ11" i="6" s="1"/>
  <c r="AR11" i="6" s="1"/>
  <c r="AS11" i="6" s="1"/>
  <c r="AT11" i="6"/>
  <c r="AU11" i="6" s="1"/>
  <c r="AV11" i="6" s="1"/>
  <c r="AW11" i="6" s="1"/>
  <c r="AX11" i="6" s="1"/>
  <c r="AY11" i="6" s="1"/>
  <c r="AZ11" i="6" s="1"/>
  <c r="AH12" i="6"/>
  <c r="AI12" i="6"/>
  <c r="AJ12" i="6" s="1"/>
  <c r="AK12" i="6" s="1"/>
  <c r="AL12" i="6" s="1"/>
  <c r="AM12" i="6" s="1"/>
  <c r="AN12" i="6" s="1"/>
  <c r="AO12" i="6" s="1"/>
  <c r="AP12" i="6" s="1"/>
  <c r="AQ12" i="6" s="1"/>
  <c r="AR12" i="6" s="1"/>
  <c r="AS12" i="6" s="1"/>
  <c r="AT12" i="6" s="1"/>
  <c r="AU12" i="6" s="1"/>
  <c r="AV12" i="6" s="1"/>
  <c r="AW12" i="6" s="1"/>
  <c r="AX12" i="6" s="1"/>
  <c r="AY12" i="6" s="1"/>
  <c r="AZ12" i="6" s="1"/>
  <c r="AH13" i="6"/>
  <c r="AI13" i="6"/>
  <c r="AJ13" i="6"/>
  <c r="AK13" i="6"/>
  <c r="AL13" i="6" s="1"/>
  <c r="AM13" i="6" s="1"/>
  <c r="AN13" i="6" s="1"/>
  <c r="AO13" i="6" s="1"/>
  <c r="AP13" i="6" s="1"/>
  <c r="AQ13" i="6" s="1"/>
  <c r="AR13" i="6" s="1"/>
  <c r="AS13" i="6" s="1"/>
  <c r="AT13" i="6" s="1"/>
  <c r="AU13" i="6" s="1"/>
  <c r="AV13" i="6" s="1"/>
  <c r="AW13" i="6" s="1"/>
  <c r="AX13" i="6" s="1"/>
  <c r="AY13" i="6" s="1"/>
  <c r="AZ13" i="6" s="1"/>
  <c r="AH14" i="6"/>
  <c r="AI14" i="6" s="1"/>
  <c r="AJ14" i="6" s="1"/>
  <c r="AK14" i="6" s="1"/>
  <c r="AL14" i="6" s="1"/>
  <c r="AM14" i="6" s="1"/>
  <c r="AN14" i="6" s="1"/>
  <c r="AO14" i="6" s="1"/>
  <c r="AP14" i="6" s="1"/>
  <c r="AQ14" i="6" s="1"/>
  <c r="AR14" i="6" s="1"/>
  <c r="AS14" i="6" s="1"/>
  <c r="AT14" i="6" s="1"/>
  <c r="AU14" i="6" s="1"/>
  <c r="AV14" i="6" s="1"/>
  <c r="AW14" i="6" s="1"/>
  <c r="AX14" i="6" s="1"/>
  <c r="AY14" i="6" s="1"/>
  <c r="AZ14" i="6" s="1"/>
  <c r="AH15" i="6"/>
  <c r="AI15" i="6" s="1"/>
  <c r="AJ15" i="6" s="1"/>
  <c r="AK15" i="6" s="1"/>
  <c r="AL15" i="6" s="1"/>
  <c r="AM15" i="6" s="1"/>
  <c r="AN15" i="6" s="1"/>
  <c r="AO15" i="6" s="1"/>
  <c r="AP15" i="6"/>
  <c r="AQ15" i="6" s="1"/>
  <c r="AR15" i="6" s="1"/>
  <c r="AS15" i="6" s="1"/>
  <c r="AT15" i="6" s="1"/>
  <c r="AU15" i="6" s="1"/>
  <c r="AV15" i="6" s="1"/>
  <c r="AW15" i="6" s="1"/>
  <c r="AX15" i="6"/>
  <c r="AY15" i="6" s="1"/>
  <c r="AZ15" i="6" s="1"/>
  <c r="AH16" i="6"/>
  <c r="AI16" i="6"/>
  <c r="AJ16" i="6"/>
  <c r="AK16" i="6" s="1"/>
  <c r="AL16" i="6" s="1"/>
  <c r="AM16" i="6" s="1"/>
  <c r="AN16" i="6" s="1"/>
  <c r="AO16" i="6" s="1"/>
  <c r="AP16" i="6" s="1"/>
  <c r="AQ16" i="6" s="1"/>
  <c r="AR16" i="6" s="1"/>
  <c r="AS16" i="6" s="1"/>
  <c r="AT16" i="6" s="1"/>
  <c r="AU16" i="6" s="1"/>
  <c r="AV16" i="6" s="1"/>
  <c r="AW16" i="6" s="1"/>
  <c r="AX16" i="6" s="1"/>
  <c r="AY16" i="6" s="1"/>
  <c r="AZ16" i="6" s="1"/>
  <c r="AH17" i="6"/>
  <c r="AI17" i="6"/>
  <c r="AJ17" i="6"/>
  <c r="AK17" i="6" s="1"/>
  <c r="AL17" i="6" s="1"/>
  <c r="AM17" i="6" s="1"/>
  <c r="AN17" i="6" s="1"/>
  <c r="AO17" i="6" s="1"/>
  <c r="AP17" i="6" s="1"/>
  <c r="AQ17" i="6" s="1"/>
  <c r="AR17" i="6" s="1"/>
  <c r="AS17" i="6" s="1"/>
  <c r="AT17" i="6" s="1"/>
  <c r="AU17" i="6" s="1"/>
  <c r="AV17" i="6" s="1"/>
  <c r="AW17" i="6" s="1"/>
  <c r="AX17" i="6" s="1"/>
  <c r="AY17" i="6" s="1"/>
  <c r="AZ17" i="6" s="1"/>
  <c r="AG3" i="6"/>
  <c r="AG4" i="6"/>
  <c r="AG5" i="6"/>
  <c r="AG6" i="6"/>
  <c r="AG7" i="6"/>
  <c r="AG8" i="6"/>
  <c r="AG9" i="6"/>
  <c r="AG10" i="6"/>
  <c r="AG11" i="6"/>
  <c r="AG12" i="6"/>
  <c r="AG13" i="6"/>
  <c r="AG14" i="6"/>
  <c r="AG15" i="6"/>
  <c r="AG16" i="6"/>
  <c r="AG17" i="6"/>
  <c r="AG2" i="6"/>
  <c r="C2" i="12" a="1"/>
  <c r="C2" i="12" s="1"/>
  <c r="D2" i="12" a="1"/>
  <c r="D2" i="12"/>
  <c r="E2" i="12" a="1"/>
  <c r="E2" i="12" s="1"/>
  <c r="F2" i="12" a="1"/>
  <c r="F2" i="12" s="1"/>
  <c r="G2" i="12" a="1"/>
  <c r="G2" i="12" s="1"/>
  <c r="H2" i="12" a="1"/>
  <c r="H2" i="12"/>
  <c r="I2" i="12" a="1"/>
  <c r="I2" i="12" s="1"/>
  <c r="J2" i="12" a="1"/>
  <c r="J2" i="12" s="1"/>
  <c r="K2" i="12" a="1"/>
  <c r="K2" i="12" s="1"/>
  <c r="L2" i="12" a="1"/>
  <c r="L2" i="12"/>
  <c r="M2" i="12" a="1"/>
  <c r="M2" i="12" s="1"/>
  <c r="N2" i="12" a="1"/>
  <c r="N2" i="12" s="1"/>
  <c r="O2" i="12" a="1"/>
  <c r="O2" i="12" s="1"/>
  <c r="P2" i="12" a="1"/>
  <c r="P2" i="12"/>
  <c r="Q2" i="12" a="1"/>
  <c r="Q2" i="12" s="1"/>
  <c r="R2" i="12" a="1"/>
  <c r="R2" i="12" s="1"/>
  <c r="S2" i="12" a="1"/>
  <c r="S2" i="12" s="1"/>
  <c r="T2" i="12" a="1"/>
  <c r="T2" i="12"/>
  <c r="U2" i="12" a="1"/>
  <c r="U2" i="12" s="1"/>
  <c r="V2" i="12" a="1"/>
  <c r="V2" i="12" s="1"/>
  <c r="W2" i="12" a="1"/>
  <c r="W2" i="12" s="1"/>
  <c r="X2" i="12" a="1"/>
  <c r="X2" i="12"/>
  <c r="Y2" i="12" a="1"/>
  <c r="Y2" i="12" s="1"/>
  <c r="Z2" i="12" a="1"/>
  <c r="Z2" i="12" s="1"/>
  <c r="AA2" i="12" a="1"/>
  <c r="AA2" i="12" s="1"/>
  <c r="AB2" i="12" a="1"/>
  <c r="AB2" i="12"/>
  <c r="AC2" i="12" a="1"/>
  <c r="AC2" i="12" s="1"/>
  <c r="AD2" i="12" a="1"/>
  <c r="AD2" i="12" s="1"/>
  <c r="AE2" i="12" a="1"/>
  <c r="AE2" i="12" s="1"/>
  <c r="AF2" i="12" a="1"/>
  <c r="AF2" i="12" s="1"/>
  <c r="AG2" i="12" a="1"/>
  <c r="AG2" i="12" s="1"/>
  <c r="C3" i="12" a="1"/>
  <c r="C3" i="12" s="1"/>
  <c r="D3" i="12" a="1"/>
  <c r="D3" i="12" s="1"/>
  <c r="E3" i="12" a="1"/>
  <c r="E3" i="12" s="1"/>
  <c r="F3" i="12" a="1"/>
  <c r="F3" i="12" s="1"/>
  <c r="G3" i="12" a="1"/>
  <c r="G3" i="12" s="1"/>
  <c r="H3" i="12" a="1"/>
  <c r="H3" i="12" s="1"/>
  <c r="I3" i="12" a="1"/>
  <c r="I3" i="12" s="1"/>
  <c r="J3" i="12" a="1"/>
  <c r="J3" i="12" s="1"/>
  <c r="K3" i="12" a="1"/>
  <c r="K3" i="12" s="1"/>
  <c r="L3" i="12" a="1"/>
  <c r="L3" i="12" s="1"/>
  <c r="M3" i="12" a="1"/>
  <c r="M3" i="12" s="1"/>
  <c r="N3" i="12" a="1"/>
  <c r="N3" i="12" s="1"/>
  <c r="O3" i="12" a="1"/>
  <c r="O3" i="12" s="1"/>
  <c r="P3" i="12" a="1"/>
  <c r="P3" i="12" s="1"/>
  <c r="Q3" i="12" a="1"/>
  <c r="Q3" i="12" s="1"/>
  <c r="R3" i="12" a="1"/>
  <c r="R3" i="12" s="1"/>
  <c r="S3" i="12" a="1"/>
  <c r="S3" i="12" s="1"/>
  <c r="T3" i="12" a="1"/>
  <c r="T3" i="12" s="1"/>
  <c r="U3" i="12" a="1"/>
  <c r="U3" i="12" s="1"/>
  <c r="V3" i="12" a="1"/>
  <c r="V3" i="12" s="1"/>
  <c r="W3" i="12" a="1"/>
  <c r="W3" i="12" s="1"/>
  <c r="X3" i="12" a="1"/>
  <c r="X3" i="12" s="1"/>
  <c r="Y3" i="12" a="1"/>
  <c r="Y3" i="12" s="1"/>
  <c r="Z3" i="12" a="1"/>
  <c r="Z3" i="12" s="1"/>
  <c r="AA3" i="12" a="1"/>
  <c r="AA3" i="12" s="1"/>
  <c r="AB3" i="12" a="1"/>
  <c r="AB3" i="12" s="1"/>
  <c r="AC3" i="12" a="1"/>
  <c r="AC3" i="12" s="1"/>
  <c r="AD3" i="12" a="1"/>
  <c r="AD3" i="12" s="1"/>
  <c r="AE3" i="12" a="1"/>
  <c r="AE3" i="12" s="1"/>
  <c r="AF3" i="12" a="1"/>
  <c r="AF3" i="12" s="1"/>
  <c r="AG3" i="12" a="1"/>
  <c r="AG3" i="12" s="1"/>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C5" i="12" a="1"/>
  <c r="C5" i="12"/>
  <c r="D5" i="12" a="1"/>
  <c r="D5" i="12"/>
  <c r="E5" i="12" a="1"/>
  <c r="E5" i="12" s="1"/>
  <c r="F5" i="12" a="1"/>
  <c r="F5" i="12"/>
  <c r="G5" i="12" a="1"/>
  <c r="G5" i="12"/>
  <c r="H5" i="12" a="1"/>
  <c r="H5" i="12"/>
  <c r="I5" i="12" a="1"/>
  <c r="I5" i="12" s="1"/>
  <c r="J5" i="12" a="1"/>
  <c r="J5" i="12"/>
  <c r="K5" i="12" a="1"/>
  <c r="K5" i="12"/>
  <c r="L5" i="12" a="1"/>
  <c r="L5" i="12"/>
  <c r="M5" i="12" a="1"/>
  <c r="M5" i="12" s="1"/>
  <c r="N5" i="12" a="1"/>
  <c r="N5" i="12"/>
  <c r="O5" i="12" a="1"/>
  <c r="O5" i="12"/>
  <c r="P5" i="12" a="1"/>
  <c r="P5" i="12"/>
  <c r="Q5" i="12" a="1"/>
  <c r="Q5" i="12" s="1"/>
  <c r="R5" i="12" a="1"/>
  <c r="R5" i="12"/>
  <c r="S5" i="12" a="1"/>
  <c r="S5" i="12"/>
  <c r="T5" i="12" a="1"/>
  <c r="T5" i="12"/>
  <c r="U5" i="12" a="1"/>
  <c r="U5" i="12" s="1"/>
  <c r="V5" i="12" a="1"/>
  <c r="V5" i="12"/>
  <c r="W5" i="12" a="1"/>
  <c r="W5" i="12"/>
  <c r="X5" i="12" a="1"/>
  <c r="X5" i="12"/>
  <c r="Y5" i="12" a="1"/>
  <c r="Y5" i="12" s="1"/>
  <c r="Z5" i="12" a="1"/>
  <c r="Z5" i="12"/>
  <c r="AA5" i="12" a="1"/>
  <c r="AA5" i="12"/>
  <c r="AB5" i="12" a="1"/>
  <c r="AB5" i="12"/>
  <c r="AC5" i="12" a="1"/>
  <c r="AC5" i="12" s="1"/>
  <c r="AD5" i="12" a="1"/>
  <c r="AD5" i="12"/>
  <c r="AE5" i="12" a="1"/>
  <c r="AE5" i="12"/>
  <c r="AF5" i="12" a="1"/>
  <c r="AF5" i="12"/>
  <c r="AG5" i="12" a="1"/>
  <c r="AG5" i="12" s="1"/>
  <c r="C6" i="12" a="1"/>
  <c r="C6" i="12"/>
  <c r="D6" i="12" a="1"/>
  <c r="D6" i="12"/>
  <c r="E6" i="12" a="1"/>
  <c r="E6" i="12"/>
  <c r="F6" i="12" a="1"/>
  <c r="F6" i="12" s="1"/>
  <c r="G6" i="12" a="1"/>
  <c r="G6" i="12"/>
  <c r="H6" i="12" a="1"/>
  <c r="H6" i="12"/>
  <c r="I6" i="12" a="1"/>
  <c r="I6" i="12"/>
  <c r="J6" i="12" a="1"/>
  <c r="J6" i="12" s="1"/>
  <c r="K6" i="12" a="1"/>
  <c r="K6" i="12"/>
  <c r="L6" i="12" a="1"/>
  <c r="L6" i="12"/>
  <c r="M6" i="12" a="1"/>
  <c r="M6" i="12"/>
  <c r="N6" i="12" a="1"/>
  <c r="N6" i="12" s="1"/>
  <c r="O6" i="12" a="1"/>
  <c r="O6" i="12"/>
  <c r="P6" i="12" a="1"/>
  <c r="P6" i="12"/>
  <c r="Q6" i="12" a="1"/>
  <c r="Q6" i="12"/>
  <c r="R6" i="12" a="1"/>
  <c r="R6" i="12" s="1"/>
  <c r="S6" i="12" a="1"/>
  <c r="S6" i="12"/>
  <c r="T6" i="12" a="1"/>
  <c r="T6" i="12"/>
  <c r="U6" i="12" a="1"/>
  <c r="U6" i="12" s="1"/>
  <c r="V6" i="12" a="1"/>
  <c r="V6" i="12" s="1"/>
  <c r="W6" i="12" a="1"/>
  <c r="W6" i="12"/>
  <c r="X6" i="12" a="1"/>
  <c r="X6" i="12"/>
  <c r="Y6" i="12" a="1"/>
  <c r="Y6" i="12" s="1"/>
  <c r="Z6" i="12" a="1"/>
  <c r="Z6" i="12" s="1"/>
  <c r="AA6" i="12" a="1"/>
  <c r="AA6" i="12"/>
  <c r="AB6" i="12" a="1"/>
  <c r="AB6" i="12"/>
  <c r="AC6" i="12" a="1"/>
  <c r="AC6" i="12" s="1"/>
  <c r="AD6" i="12" a="1"/>
  <c r="AD6" i="12" s="1"/>
  <c r="AE6" i="12" a="1"/>
  <c r="AE6" i="12"/>
  <c r="AF6" i="12" a="1"/>
  <c r="AF6" i="12"/>
  <c r="AG6" i="12" a="1"/>
  <c r="AG6" i="12" s="1"/>
  <c r="C7" i="12" a="1"/>
  <c r="C7" i="12" s="1"/>
  <c r="D7" i="12" a="1"/>
  <c r="D7" i="12"/>
  <c r="E7" i="12" a="1"/>
  <c r="E7" i="12"/>
  <c r="F7" i="12" a="1"/>
  <c r="F7" i="12" s="1"/>
  <c r="G7" i="12" a="1"/>
  <c r="G7" i="12" s="1"/>
  <c r="H7" i="12" a="1"/>
  <c r="H7" i="12"/>
  <c r="I7" i="12" a="1"/>
  <c r="I7" i="12"/>
  <c r="J7" i="12" a="1"/>
  <c r="J7" i="12" s="1"/>
  <c r="K7" i="12" a="1"/>
  <c r="K7" i="12" s="1"/>
  <c r="L7" i="12" a="1"/>
  <c r="L7" i="12" s="1"/>
  <c r="M7" i="12" a="1"/>
  <c r="M7" i="12"/>
  <c r="N7" i="12" a="1"/>
  <c r="N7" i="12" s="1"/>
  <c r="O7" i="12" a="1"/>
  <c r="O7" i="12" s="1"/>
  <c r="P7" i="12" a="1"/>
  <c r="P7" i="12" s="1"/>
  <c r="Q7" i="12" a="1"/>
  <c r="Q7" i="12"/>
  <c r="R7" i="12" a="1"/>
  <c r="R7" i="12" s="1"/>
  <c r="S7" i="12" a="1"/>
  <c r="S7" i="12" s="1"/>
  <c r="T7" i="12" a="1"/>
  <c r="T7" i="12" s="1"/>
  <c r="U7" i="12" a="1"/>
  <c r="U7" i="12"/>
  <c r="V7" i="12" a="1"/>
  <c r="V7" i="12" s="1"/>
  <c r="W7" i="12" a="1"/>
  <c r="W7" i="12" s="1"/>
  <c r="X7" i="12" a="1"/>
  <c r="X7" i="12" s="1"/>
  <c r="Y7" i="12" a="1"/>
  <c r="Y7" i="12"/>
  <c r="Z7" i="12" a="1"/>
  <c r="Z7" i="12" s="1"/>
  <c r="AA7" i="12" a="1"/>
  <c r="AA7" i="12" s="1"/>
  <c r="AB7" i="12" a="1"/>
  <c r="AB7" i="12" s="1"/>
  <c r="AC7" i="12" a="1"/>
  <c r="AC7" i="12"/>
  <c r="AD7" i="12" a="1"/>
  <c r="AD7" i="12" s="1"/>
  <c r="AE7" i="12" a="1"/>
  <c r="AE7" i="12" s="1"/>
  <c r="AF7" i="12" a="1"/>
  <c r="AF7" i="12" s="1"/>
  <c r="AG7" i="12" a="1"/>
  <c r="AG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AD8" i="12"/>
  <c r="AE8" i="12"/>
  <c r="AF8" i="12"/>
  <c r="AG8" i="12"/>
  <c r="C9" i="12" a="1"/>
  <c r="C9" i="12"/>
  <c r="D9" i="12" a="1"/>
  <c r="D9" i="12"/>
  <c r="E9" i="12" a="1"/>
  <c r="E9" i="12"/>
  <c r="F9" i="12" a="1"/>
  <c r="F9" i="12"/>
  <c r="G9" i="12" a="1"/>
  <c r="G9" i="12"/>
  <c r="H9" i="12" a="1"/>
  <c r="H9" i="12"/>
  <c r="I9" i="12" a="1"/>
  <c r="I9" i="12"/>
  <c r="J9" i="12" a="1"/>
  <c r="J9" i="12"/>
  <c r="K9" i="12" a="1"/>
  <c r="K9" i="12"/>
  <c r="L9" i="12" a="1"/>
  <c r="L9" i="12"/>
  <c r="M9" i="12" a="1"/>
  <c r="M9" i="12"/>
  <c r="N9" i="12" a="1"/>
  <c r="N9" i="12"/>
  <c r="O9" i="12" a="1"/>
  <c r="O9" i="12"/>
  <c r="P9" i="12" a="1"/>
  <c r="P9" i="12"/>
  <c r="Q9" i="12" a="1"/>
  <c r="Q9" i="12"/>
  <c r="R9" i="12" a="1"/>
  <c r="R9" i="12"/>
  <c r="S9" i="12" a="1"/>
  <c r="S9" i="12"/>
  <c r="T9" i="12" a="1"/>
  <c r="T9" i="12"/>
  <c r="U9" i="12" a="1"/>
  <c r="U9" i="12" s="1"/>
  <c r="V9" i="12" a="1"/>
  <c r="V9" i="12"/>
  <c r="W9" i="12" a="1"/>
  <c r="W9" i="12"/>
  <c r="X9" i="12" a="1"/>
  <c r="X9" i="12"/>
  <c r="Y9" i="12" a="1"/>
  <c r="Y9" i="12" s="1"/>
  <c r="Z9" i="12" a="1"/>
  <c r="Z9" i="12"/>
  <c r="AA9" i="12" a="1"/>
  <c r="AA9" i="12"/>
  <c r="AB9" i="12" a="1"/>
  <c r="AB9" i="12"/>
  <c r="AC9" i="12" a="1"/>
  <c r="AC9" i="12" s="1"/>
  <c r="AD9" i="12" a="1"/>
  <c r="AD9" i="12"/>
  <c r="AE9" i="12" a="1"/>
  <c r="AE9" i="12" s="1"/>
  <c r="AF9" i="12" a="1"/>
  <c r="AF9" i="12" s="1"/>
  <c r="AG9" i="12" a="1"/>
  <c r="AG9" i="12" s="1"/>
  <c r="C10" i="12" a="1"/>
  <c r="C10" i="12"/>
  <c r="D10" i="12" a="1"/>
  <c r="D10" i="12" s="1"/>
  <c r="E10" i="12" a="1"/>
  <c r="E10" i="12" s="1"/>
  <c r="F10" i="12" a="1"/>
  <c r="F10" i="12" s="1"/>
  <c r="G10" i="12" a="1"/>
  <c r="G10" i="12"/>
  <c r="H10" i="12" a="1"/>
  <c r="H10" i="12" s="1"/>
  <c r="I10" i="12" a="1"/>
  <c r="I10" i="12" s="1"/>
  <c r="J10" i="12" a="1"/>
  <c r="J10" i="12" s="1"/>
  <c r="K10" i="12" a="1"/>
  <c r="K10" i="12"/>
  <c r="L10" i="12" a="1"/>
  <c r="L10" i="12" s="1"/>
  <c r="M10" i="12" a="1"/>
  <c r="M10" i="12" s="1"/>
  <c r="N10" i="12" a="1"/>
  <c r="N10" i="12" s="1"/>
  <c r="O10" i="12" a="1"/>
  <c r="O10" i="12"/>
  <c r="P10" i="12" a="1"/>
  <c r="P10" i="12" s="1"/>
  <c r="Q10" i="12" a="1"/>
  <c r="Q10" i="12" s="1"/>
  <c r="R10" i="12" a="1"/>
  <c r="R10" i="12" s="1"/>
  <c r="S10" i="12" a="1"/>
  <c r="S10" i="12"/>
  <c r="T10" i="12" a="1"/>
  <c r="T10" i="12" s="1"/>
  <c r="U10" i="12" a="1"/>
  <c r="U10" i="12" s="1"/>
  <c r="V10" i="12" a="1"/>
  <c r="V10" i="12" s="1"/>
  <c r="W10" i="12" a="1"/>
  <c r="W10" i="12"/>
  <c r="X10" i="12" a="1"/>
  <c r="X10" i="12" s="1"/>
  <c r="Y10" i="12" a="1"/>
  <c r="Y10" i="12" s="1"/>
  <c r="Z10" i="12" a="1"/>
  <c r="Z10" i="12" s="1"/>
  <c r="AA10" i="12" a="1"/>
  <c r="AA10" i="12"/>
  <c r="AB10" i="12" a="1"/>
  <c r="AB10" i="12" s="1"/>
  <c r="AC10" i="12" a="1"/>
  <c r="AC10" i="12" s="1"/>
  <c r="AD10" i="12" a="1"/>
  <c r="AD10" i="12" s="1"/>
  <c r="AE10" i="12" a="1"/>
  <c r="AE10" i="12"/>
  <c r="AF10" i="12" a="1"/>
  <c r="AF10" i="12" s="1"/>
  <c r="AG10" i="12" a="1"/>
  <c r="AG10" i="12" s="1"/>
  <c r="C11" i="12" a="1"/>
  <c r="C11" i="12" s="1"/>
  <c r="D11" i="12" a="1"/>
  <c r="D11" i="12"/>
  <c r="E11" i="12" a="1"/>
  <c r="E11" i="12" s="1"/>
  <c r="F11" i="12" a="1"/>
  <c r="F11" i="12" s="1"/>
  <c r="G11" i="12" a="1"/>
  <c r="G11" i="12" s="1"/>
  <c r="H11" i="12" a="1"/>
  <c r="H11" i="12"/>
  <c r="I11" i="12" a="1"/>
  <c r="I11" i="12" s="1"/>
  <c r="J11" i="12" a="1"/>
  <c r="J11" i="12" s="1"/>
  <c r="K11" i="12" a="1"/>
  <c r="K11" i="12" s="1"/>
  <c r="L11" i="12" a="1"/>
  <c r="L11" i="12" s="1"/>
  <c r="M11" i="12" a="1"/>
  <c r="M11" i="12" s="1"/>
  <c r="N11" i="12" a="1"/>
  <c r="N11" i="12" s="1"/>
  <c r="O11" i="12" a="1"/>
  <c r="O11" i="12" s="1"/>
  <c r="P11" i="12" a="1"/>
  <c r="P11" i="12" s="1"/>
  <c r="Q11" i="12" a="1"/>
  <c r="Q11" i="12" s="1"/>
  <c r="R11" i="12" a="1"/>
  <c r="R11" i="12" s="1"/>
  <c r="S11" i="12" a="1"/>
  <c r="S11" i="12" s="1"/>
  <c r="T11" i="12" a="1"/>
  <c r="T11" i="12" s="1"/>
  <c r="U11" i="12" a="1"/>
  <c r="U11" i="12" s="1"/>
  <c r="V11" i="12" a="1"/>
  <c r="V11" i="12" s="1"/>
  <c r="W11" i="12" a="1"/>
  <c r="W11" i="12" s="1"/>
  <c r="X11" i="12" a="1"/>
  <c r="X11" i="12" s="1"/>
  <c r="Y11" i="12" a="1"/>
  <c r="Y11" i="12" s="1"/>
  <c r="Z11" i="12" a="1"/>
  <c r="Z11" i="12" s="1"/>
  <c r="AA11" i="12" a="1"/>
  <c r="AA11" i="12" s="1"/>
  <c r="AB11" i="12" a="1"/>
  <c r="AB11" i="12" s="1"/>
  <c r="AC11" i="12" a="1"/>
  <c r="AC11" i="12" s="1"/>
  <c r="AD11" i="12" a="1"/>
  <c r="AD11" i="12" s="1"/>
  <c r="AE11" i="12" a="1"/>
  <c r="AE11" i="12" s="1"/>
  <c r="AF11" i="12" a="1"/>
  <c r="AF11" i="12" s="1"/>
  <c r="AG11" i="12" a="1"/>
  <c r="AG11" i="12" s="1"/>
  <c r="C12" i="12" a="1"/>
  <c r="C12" i="12" s="1"/>
  <c r="D12" i="12" a="1"/>
  <c r="D12" i="12" s="1"/>
  <c r="E12" i="12" a="1"/>
  <c r="E12" i="12" s="1"/>
  <c r="F12" i="12" a="1"/>
  <c r="F12" i="12" s="1"/>
  <c r="G12" i="12" a="1"/>
  <c r="G12" i="12" s="1"/>
  <c r="H12" i="12" a="1"/>
  <c r="H12" i="12" s="1"/>
  <c r="I12" i="12" a="1"/>
  <c r="I12" i="12" s="1"/>
  <c r="J12" i="12" a="1"/>
  <c r="J12" i="12" s="1"/>
  <c r="K12" i="12" a="1"/>
  <c r="K12" i="12" s="1"/>
  <c r="L12" i="12" a="1"/>
  <c r="L12" i="12" s="1"/>
  <c r="M12" i="12" a="1"/>
  <c r="M12" i="12" s="1"/>
  <c r="N12" i="12" a="1"/>
  <c r="N12" i="12" s="1"/>
  <c r="O12" i="12" a="1"/>
  <c r="O12" i="12" s="1"/>
  <c r="P12" i="12" a="1"/>
  <c r="P12" i="12" s="1"/>
  <c r="Q12" i="12" a="1"/>
  <c r="Q12" i="12" s="1"/>
  <c r="R12" i="12" a="1"/>
  <c r="R12" i="12" s="1"/>
  <c r="S12" i="12" a="1"/>
  <c r="S12" i="12" s="1"/>
  <c r="T12" i="12" a="1"/>
  <c r="T12" i="12" s="1"/>
  <c r="U12" i="12" a="1"/>
  <c r="U12" i="12" s="1"/>
  <c r="V12" i="12" a="1"/>
  <c r="V12" i="12" s="1"/>
  <c r="W12" i="12" a="1"/>
  <c r="W12" i="12" s="1"/>
  <c r="X12" i="12" a="1"/>
  <c r="X12" i="12" s="1"/>
  <c r="Y12" i="12" a="1"/>
  <c r="Y12" i="12" s="1"/>
  <c r="Z12" i="12" a="1"/>
  <c r="Z12" i="12" s="1"/>
  <c r="AA12" i="12" a="1"/>
  <c r="AA12" i="12" s="1"/>
  <c r="AB12" i="12" a="1"/>
  <c r="AB12" i="12" s="1"/>
  <c r="AC12" i="12" a="1"/>
  <c r="AC12" i="12" s="1"/>
  <c r="AD12" i="12" a="1"/>
  <c r="AD12" i="12" s="1"/>
  <c r="AE12" i="12" a="1"/>
  <c r="AE12" i="12" s="1"/>
  <c r="AF12" i="12" a="1"/>
  <c r="AF12" i="12" s="1"/>
  <c r="AG12" i="12" a="1"/>
  <c r="AG12" i="12" s="1"/>
  <c r="C13" i="12" a="1"/>
  <c r="C13" i="12" s="1"/>
  <c r="D13" i="12" a="1"/>
  <c r="D13" i="12" s="1"/>
  <c r="E13" i="12" a="1"/>
  <c r="E13" i="12" s="1"/>
  <c r="F13" i="12" a="1"/>
  <c r="F13" i="12" s="1"/>
  <c r="G13" i="12" a="1"/>
  <c r="G13" i="12" s="1"/>
  <c r="H13" i="12" a="1"/>
  <c r="H13" i="12" s="1"/>
  <c r="I13" i="12" a="1"/>
  <c r="I13" i="12" s="1"/>
  <c r="J13" i="12" a="1"/>
  <c r="J13" i="12" s="1"/>
  <c r="K13" i="12" a="1"/>
  <c r="K13" i="12" s="1"/>
  <c r="L13" i="12" a="1"/>
  <c r="L13" i="12" s="1"/>
  <c r="M13" i="12" a="1"/>
  <c r="M13" i="12" s="1"/>
  <c r="N13" i="12" a="1"/>
  <c r="N13" i="12" s="1"/>
  <c r="O13" i="12" a="1"/>
  <c r="O13" i="12" s="1"/>
  <c r="P13" i="12" a="1"/>
  <c r="P13" i="12" s="1"/>
  <c r="Q13" i="12" a="1"/>
  <c r="Q13" i="12" s="1"/>
  <c r="R13" i="12" a="1"/>
  <c r="R13" i="12" s="1"/>
  <c r="S13" i="12" a="1"/>
  <c r="S13" i="12" s="1"/>
  <c r="T13" i="12" a="1"/>
  <c r="T13" i="12" s="1"/>
  <c r="U13" i="12" a="1"/>
  <c r="U13" i="12" s="1"/>
  <c r="V13" i="12" a="1"/>
  <c r="V13" i="12" s="1"/>
  <c r="W13" i="12" a="1"/>
  <c r="W13" i="12" s="1"/>
  <c r="X13" i="12" a="1"/>
  <c r="X13" i="12" s="1"/>
  <c r="Y13" i="12" a="1"/>
  <c r="Y13" i="12" s="1"/>
  <c r="Z13" i="12" a="1"/>
  <c r="Z13" i="12" s="1"/>
  <c r="AA13" i="12" a="1"/>
  <c r="AA13" i="12" s="1"/>
  <c r="AB13" i="12" a="1"/>
  <c r="AB13" i="12" s="1"/>
  <c r="AC13" i="12" a="1"/>
  <c r="AC13" i="12" s="1"/>
  <c r="AD13" i="12" a="1"/>
  <c r="AD13" i="12" s="1"/>
  <c r="AE13" i="12" a="1"/>
  <c r="AE13" i="12" s="1"/>
  <c r="AF13" i="12" a="1"/>
  <c r="AF13" i="12" s="1"/>
  <c r="AG13" i="12" a="1"/>
  <c r="AG13" i="12" s="1"/>
  <c r="C14" i="12" a="1"/>
  <c r="C14" i="12" s="1"/>
  <c r="D14" i="12" a="1"/>
  <c r="D14" i="12" s="1"/>
  <c r="E14" i="12" a="1"/>
  <c r="E14" i="12" s="1"/>
  <c r="F14" i="12" a="1"/>
  <c r="F14" i="12" s="1"/>
  <c r="G14" i="12" a="1"/>
  <c r="G14" i="12" s="1"/>
  <c r="H14" i="12" a="1"/>
  <c r="H14" i="12" s="1"/>
  <c r="I14" i="12" a="1"/>
  <c r="I14" i="12" s="1"/>
  <c r="J14" i="12" a="1"/>
  <c r="J14" i="12" s="1"/>
  <c r="K14" i="12" a="1"/>
  <c r="K14" i="12" s="1"/>
  <c r="L14" i="12" a="1"/>
  <c r="L14" i="12" s="1"/>
  <c r="M14" i="12" a="1"/>
  <c r="M14" i="12" s="1"/>
  <c r="N14" i="12" a="1"/>
  <c r="N14" i="12" s="1"/>
  <c r="O14" i="12" a="1"/>
  <c r="O14" i="12" s="1"/>
  <c r="P14" i="12" a="1"/>
  <c r="P14" i="12" s="1"/>
  <c r="Q14" i="12" a="1"/>
  <c r="Q14" i="12" s="1"/>
  <c r="R14" i="12" a="1"/>
  <c r="R14" i="12" s="1"/>
  <c r="S14" i="12" a="1"/>
  <c r="S14" i="12" s="1"/>
  <c r="T14" i="12" a="1"/>
  <c r="T14" i="12" s="1"/>
  <c r="U14" i="12" a="1"/>
  <c r="U14" i="12" s="1"/>
  <c r="V14" i="12" a="1"/>
  <c r="V14" i="12" s="1"/>
  <c r="W14" i="12" a="1"/>
  <c r="W14" i="12" s="1"/>
  <c r="X14" i="12" a="1"/>
  <c r="X14" i="12" s="1"/>
  <c r="Y14" i="12" a="1"/>
  <c r="Y14" i="12" s="1"/>
  <c r="Z14" i="12" a="1"/>
  <c r="Z14" i="12" s="1"/>
  <c r="AA14" i="12" a="1"/>
  <c r="AA14" i="12" s="1"/>
  <c r="AB14" i="12" a="1"/>
  <c r="AB14" i="12" s="1"/>
  <c r="AC14" i="12" a="1"/>
  <c r="AC14" i="12" s="1"/>
  <c r="AD14" i="12" a="1"/>
  <c r="AD14" i="12" s="1"/>
  <c r="AE14" i="12" a="1"/>
  <c r="AE14" i="12" s="1"/>
  <c r="AF14" i="12" a="1"/>
  <c r="AF14" i="12" s="1"/>
  <c r="AG14" i="12" a="1"/>
  <c r="AG14" i="12" s="1"/>
  <c r="C15" i="12" a="1"/>
  <c r="C15" i="12" s="1"/>
  <c r="C16" i="12" s="1"/>
  <c r="D15" i="12" a="1"/>
  <c r="D15" i="12" s="1"/>
  <c r="D16" i="12" s="1"/>
  <c r="E15" i="12" a="1"/>
  <c r="E15" i="12" s="1"/>
  <c r="E16" i="12" s="1"/>
  <c r="F15" i="12" a="1"/>
  <c r="F15" i="12" s="1"/>
  <c r="F16" i="12" s="1"/>
  <c r="G15" i="12" a="1"/>
  <c r="G15" i="12" s="1"/>
  <c r="G16" i="12" s="1"/>
  <c r="H15" i="12" a="1"/>
  <c r="H15" i="12" s="1"/>
  <c r="H16" i="12" s="1"/>
  <c r="I15" i="12" a="1"/>
  <c r="I15" i="12" s="1"/>
  <c r="I16" i="12" s="1"/>
  <c r="J15" i="12" a="1"/>
  <c r="J15" i="12" s="1"/>
  <c r="J16" i="12" s="1"/>
  <c r="K15" i="12" a="1"/>
  <c r="K15" i="12" s="1"/>
  <c r="K16" i="12" s="1"/>
  <c r="L15" i="12" a="1"/>
  <c r="L15" i="12" s="1"/>
  <c r="L16" i="12" s="1"/>
  <c r="M15" i="12" a="1"/>
  <c r="M15" i="12" s="1"/>
  <c r="M16" i="12" s="1"/>
  <c r="N15" i="12" a="1"/>
  <c r="N15" i="12" s="1"/>
  <c r="N16" i="12" s="1"/>
  <c r="O15" i="12" a="1"/>
  <c r="O15" i="12" s="1"/>
  <c r="O16" i="12" s="1"/>
  <c r="P15" i="12" a="1"/>
  <c r="P15" i="12" s="1"/>
  <c r="P16" i="12" s="1"/>
  <c r="Q15" i="12" a="1"/>
  <c r="Q15" i="12" s="1"/>
  <c r="Q16" i="12" s="1"/>
  <c r="R15" i="12" a="1"/>
  <c r="R15" i="12" s="1"/>
  <c r="R16" i="12" s="1"/>
  <c r="S15" i="12" a="1"/>
  <c r="S15" i="12" s="1"/>
  <c r="S16" i="12" s="1"/>
  <c r="T15" i="12" a="1"/>
  <c r="T15" i="12" s="1"/>
  <c r="T16" i="12" s="1"/>
  <c r="U15" i="12" a="1"/>
  <c r="U15" i="12" s="1"/>
  <c r="U16" i="12" s="1"/>
  <c r="V15" i="12" a="1"/>
  <c r="V15" i="12" s="1"/>
  <c r="V16" i="12" s="1"/>
  <c r="W15" i="12" a="1"/>
  <c r="W15" i="12" s="1"/>
  <c r="W16" i="12" s="1"/>
  <c r="X15" i="12" a="1"/>
  <c r="X15" i="12" s="1"/>
  <c r="X16" i="12" s="1"/>
  <c r="Y15" i="12" a="1"/>
  <c r="Y15" i="12" s="1"/>
  <c r="Y16" i="12" s="1"/>
  <c r="Z15" i="12" a="1"/>
  <c r="Z15" i="12" s="1"/>
  <c r="Z16" i="12" s="1"/>
  <c r="AA15" i="12" a="1"/>
  <c r="AA15" i="12" s="1"/>
  <c r="AA16" i="12" s="1"/>
  <c r="AB15" i="12" a="1"/>
  <c r="AB15" i="12" s="1"/>
  <c r="AB16" i="12" s="1"/>
  <c r="AC15" i="12" a="1"/>
  <c r="AC15" i="12" s="1"/>
  <c r="AC16" i="12" s="1"/>
  <c r="AD15" i="12" a="1"/>
  <c r="AD15" i="12" s="1"/>
  <c r="AD16" i="12" s="1"/>
  <c r="AE15" i="12" a="1"/>
  <c r="AE15" i="12" s="1"/>
  <c r="AE16" i="12" s="1"/>
  <c r="AF15" i="12" a="1"/>
  <c r="AF15" i="12" s="1"/>
  <c r="AF16" i="12" s="1"/>
  <c r="AG15" i="12" a="1"/>
  <c r="AG15" i="12" s="1"/>
  <c r="AG16" i="12" s="1"/>
  <c r="C17" i="12" a="1"/>
  <c r="C17" i="12"/>
  <c r="D17" i="12" a="1"/>
  <c r="D17" i="12"/>
  <c r="E17" i="12" a="1"/>
  <c r="E17" i="12"/>
  <c r="F17" i="12" a="1"/>
  <c r="F17" i="12"/>
  <c r="G17" i="12" a="1"/>
  <c r="G17" i="12"/>
  <c r="H17" i="12" a="1"/>
  <c r="H17" i="12"/>
  <c r="I17" i="12" a="1"/>
  <c r="I17" i="12"/>
  <c r="J17" i="12" a="1"/>
  <c r="J17" i="12"/>
  <c r="K17" i="12" a="1"/>
  <c r="K17" i="12"/>
  <c r="L17" i="12" a="1"/>
  <c r="L17" i="12"/>
  <c r="M17" i="12" a="1"/>
  <c r="M17" i="12"/>
  <c r="N17" i="12" a="1"/>
  <c r="N17" i="12"/>
  <c r="O17" i="12" a="1"/>
  <c r="O17" i="12"/>
  <c r="P17" i="12" a="1"/>
  <c r="P17" i="12"/>
  <c r="Q17" i="12" a="1"/>
  <c r="Q17" i="12"/>
  <c r="R17" i="12" a="1"/>
  <c r="R17" i="12"/>
  <c r="S17" i="12" a="1"/>
  <c r="S17" i="12"/>
  <c r="T17" i="12" a="1"/>
  <c r="T17" i="12"/>
  <c r="U17" i="12" a="1"/>
  <c r="U17" i="12"/>
  <c r="V17" i="12" a="1"/>
  <c r="V17" i="12"/>
  <c r="W17" i="12" a="1"/>
  <c r="W17" i="12"/>
  <c r="X17" i="12" a="1"/>
  <c r="X17" i="12"/>
  <c r="Y17" i="12" a="1"/>
  <c r="Y17" i="12"/>
  <c r="Z17" i="12" a="1"/>
  <c r="Z17" i="12"/>
  <c r="AA17" i="12" a="1"/>
  <c r="AA17" i="12"/>
  <c r="AB17" i="12" a="1"/>
  <c r="AB17" i="12"/>
  <c r="AC17" i="12" a="1"/>
  <c r="AC17" i="12"/>
  <c r="AD17" i="12" a="1"/>
  <c r="AD17" i="12"/>
  <c r="AE17" i="12" a="1"/>
  <c r="AE17" i="12"/>
  <c r="AF17" i="12" a="1"/>
  <c r="AF17" i="12"/>
  <c r="AG17" i="12" a="1"/>
  <c r="AG17" i="12"/>
  <c r="B17" i="12" a="1"/>
  <c r="B17" i="12" s="1"/>
  <c r="B15" i="12" a="1"/>
  <c r="B15" i="12" s="1"/>
  <c r="B16" i="12" s="1"/>
  <c r="B14" i="12" a="1"/>
  <c r="B14" i="12" s="1"/>
  <c r="B13" i="12" a="1"/>
  <c r="B13" i="12" s="1"/>
  <c r="B12" i="12" a="1"/>
  <c r="B12" i="12" s="1"/>
  <c r="B11" i="12" a="1"/>
  <c r="B11" i="12" s="1"/>
  <c r="B10" i="12" a="1"/>
  <c r="B10" i="12" s="1"/>
  <c r="B9" i="12" a="1"/>
  <c r="B9" i="12" s="1"/>
  <c r="B8" i="12"/>
  <c r="B7" i="12" a="1"/>
  <c r="B7" i="12" s="1"/>
  <c r="B6" i="12" a="1"/>
  <c r="B6" i="12" s="1"/>
  <c r="B5" i="12" a="1"/>
  <c r="B5" i="12" s="1"/>
  <c r="B4" i="12"/>
  <c r="B3" i="12" a="1"/>
  <c r="B3" i="12" s="1"/>
  <c r="B2" i="12" a="1"/>
  <c r="B2" i="12" s="1"/>
  <c r="C15" i="17"/>
  <c r="B15" i="17"/>
  <c r="C14" i="17"/>
  <c r="B13" i="17"/>
  <c r="D12" i="17"/>
  <c r="D11" i="17"/>
  <c r="C10" i="17"/>
  <c r="B10" i="17"/>
  <c r="B14" i="17" s="1"/>
  <c r="D9" i="17"/>
  <c r="C9" i="17"/>
  <c r="B9" i="17"/>
  <c r="D8" i="17"/>
  <c r="C8" i="17"/>
  <c r="B8" i="17"/>
  <c r="D7" i="17"/>
  <c r="C7" i="17"/>
  <c r="B7" i="17"/>
  <c r="D6" i="17"/>
  <c r="C6" i="17"/>
  <c r="B6" i="17"/>
  <c r="D5" i="17"/>
  <c r="C5" i="17"/>
  <c r="B5" i="17"/>
  <c r="D4" i="17"/>
  <c r="C4" i="17"/>
  <c r="B4" i="17"/>
  <c r="D3" i="17"/>
  <c r="F1" i="17"/>
  <c r="D16" i="17" s="1"/>
  <c r="D10" i="17" l="1"/>
  <c r="C13" i="17"/>
  <c r="B16" i="17"/>
  <c r="B3" i="17"/>
  <c r="B12" i="17" s="1"/>
  <c r="B11" i="17"/>
  <c r="D13" i="17"/>
  <c r="C16" i="17"/>
  <c r="C3" i="17"/>
  <c r="C12" i="17" s="1"/>
  <c r="C11" i="17"/>
  <c r="D15" i="17" l="1"/>
  <c r="D14" i="17"/>
  <c r="C8" i="16" l="1"/>
  <c r="D8" i="16"/>
  <c r="E8" i="16"/>
  <c r="B8" i="16"/>
  <c r="E2" i="16"/>
  <c r="D2" i="16"/>
  <c r="C2" i="16"/>
  <c r="B2" i="16"/>
  <c r="C24" i="16"/>
  <c r="D24" i="16"/>
  <c r="E24" i="16"/>
  <c r="B24" i="16"/>
  <c r="C4" i="16"/>
  <c r="D4" i="16"/>
  <c r="E4" i="16"/>
  <c r="B4" i="16"/>
  <c r="C2" i="11"/>
  <c r="D2" i="11"/>
  <c r="E2" i="11"/>
  <c r="F2" i="11"/>
  <c r="G2" i="11"/>
  <c r="H2" i="11"/>
  <c r="I2" i="11"/>
  <c r="J2" i="11"/>
  <c r="K2" i="11"/>
  <c r="L2" i="11"/>
  <c r="M2" i="11"/>
  <c r="N2" i="11"/>
  <c r="O2" i="11"/>
  <c r="P2" i="11"/>
  <c r="Q2" i="11"/>
  <c r="R2" i="11"/>
  <c r="S2" i="11"/>
  <c r="T2" i="11"/>
  <c r="U2" i="11"/>
  <c r="V2" i="11"/>
  <c r="W2" i="11"/>
  <c r="X2" i="11"/>
  <c r="Y2" i="11"/>
  <c r="Z2" i="11"/>
  <c r="AA2" i="11"/>
  <c r="AB2" i="11"/>
  <c r="AC2" i="11"/>
  <c r="AD2" i="11"/>
  <c r="AE2" i="11"/>
  <c r="AF2" i="11"/>
  <c r="C3" i="11"/>
  <c r="D3" i="11"/>
  <c r="E3" i="11"/>
  <c r="F3" i="11"/>
  <c r="G3" i="11"/>
  <c r="H3" i="11"/>
  <c r="I3" i="11"/>
  <c r="J3" i="11"/>
  <c r="K3" i="11"/>
  <c r="L3" i="11"/>
  <c r="M3" i="11"/>
  <c r="N3" i="11"/>
  <c r="O3" i="11"/>
  <c r="P3" i="11"/>
  <c r="Q3" i="11"/>
  <c r="R3" i="11"/>
  <c r="S3" i="11"/>
  <c r="T3" i="11"/>
  <c r="U3" i="11"/>
  <c r="V3" i="11"/>
  <c r="W3" i="11"/>
  <c r="X3" i="11"/>
  <c r="Y3" i="11"/>
  <c r="Z3" i="11"/>
  <c r="AA3" i="11"/>
  <c r="AB3" i="11"/>
  <c r="AC3" i="11"/>
  <c r="AD3" i="11"/>
  <c r="AE3" i="11"/>
  <c r="AF3" i="11"/>
  <c r="C5" i="1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AD6" i="11"/>
  <c r="AE6" i="11"/>
  <c r="AF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AC10" i="11"/>
  <c r="AD10" i="11"/>
  <c r="AE10" i="11"/>
  <c r="AF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AC11" i="11"/>
  <c r="AD11" i="11"/>
  <c r="AE11" i="11"/>
  <c r="AF11" i="11"/>
  <c r="C12" i="11"/>
  <c r="D12" i="11"/>
  <c r="E12" i="11"/>
  <c r="F12" i="11"/>
  <c r="G12" i="11"/>
  <c r="H12" i="11"/>
  <c r="I12" i="11"/>
  <c r="J12" i="11"/>
  <c r="K12" i="11"/>
  <c r="L12" i="11"/>
  <c r="M12" i="11"/>
  <c r="N12" i="11"/>
  <c r="O12" i="11"/>
  <c r="P12" i="11"/>
  <c r="Q12" i="11"/>
  <c r="R12" i="11"/>
  <c r="S12" i="11"/>
  <c r="T12" i="11"/>
  <c r="U12" i="11"/>
  <c r="V12" i="11"/>
  <c r="W12" i="11"/>
  <c r="X12" i="11"/>
  <c r="Y12" i="11"/>
  <c r="Z12" i="11"/>
  <c r="AA12" i="11"/>
  <c r="AB12" i="11"/>
  <c r="AC12" i="11"/>
  <c r="AD12" i="11"/>
  <c r="AE12" i="11"/>
  <c r="AF12" i="11"/>
  <c r="C13" i="11"/>
  <c r="D13" i="11"/>
  <c r="E13" i="11"/>
  <c r="F13" i="11"/>
  <c r="G13" i="11"/>
  <c r="H13" i="11"/>
  <c r="I13" i="11"/>
  <c r="J13" i="11"/>
  <c r="K13" i="11"/>
  <c r="L13" i="11"/>
  <c r="M13" i="11"/>
  <c r="N13" i="11"/>
  <c r="O13" i="11"/>
  <c r="P13" i="11"/>
  <c r="Q13" i="11"/>
  <c r="R13" i="11"/>
  <c r="S13" i="11"/>
  <c r="T13" i="11"/>
  <c r="U13" i="11"/>
  <c r="V13" i="11"/>
  <c r="W13" i="11"/>
  <c r="X13" i="11"/>
  <c r="Y13" i="11"/>
  <c r="Z13" i="11"/>
  <c r="AA13" i="11"/>
  <c r="AB13" i="11"/>
  <c r="AC13" i="11"/>
  <c r="AD13" i="11"/>
  <c r="AE13" i="11"/>
  <c r="AF13" i="11"/>
  <c r="C14" i="11"/>
  <c r="D14" i="11"/>
  <c r="E14" i="11"/>
  <c r="F14" i="11"/>
  <c r="G14" i="11"/>
  <c r="H14" i="11"/>
  <c r="I14" i="11"/>
  <c r="J14" i="11"/>
  <c r="K14" i="11"/>
  <c r="L14" i="11"/>
  <c r="M14" i="11"/>
  <c r="N14" i="11"/>
  <c r="O14" i="11"/>
  <c r="P14" i="11"/>
  <c r="Q14" i="11"/>
  <c r="R14" i="11"/>
  <c r="S14" i="11"/>
  <c r="T14" i="11"/>
  <c r="U14" i="11"/>
  <c r="V14" i="11"/>
  <c r="W14" i="11"/>
  <c r="X14" i="11"/>
  <c r="Y14" i="11"/>
  <c r="Z14" i="11"/>
  <c r="AA14" i="11"/>
  <c r="AB14" i="11"/>
  <c r="AC14" i="11"/>
  <c r="AD14" i="11"/>
  <c r="AE14" i="11"/>
  <c r="AF14" i="11"/>
  <c r="C15" i="11"/>
  <c r="D15" i="11"/>
  <c r="E15" i="11"/>
  <c r="F15" i="11"/>
  <c r="G15" i="11"/>
  <c r="H15" i="11"/>
  <c r="I15" i="11"/>
  <c r="J15" i="11"/>
  <c r="K15" i="11"/>
  <c r="L15" i="11"/>
  <c r="M15" i="11"/>
  <c r="N15" i="11"/>
  <c r="O15" i="11"/>
  <c r="P15" i="11"/>
  <c r="Q15" i="11"/>
  <c r="R15" i="11"/>
  <c r="S15" i="11"/>
  <c r="T15" i="11"/>
  <c r="U15" i="11"/>
  <c r="V15" i="11"/>
  <c r="W15" i="11"/>
  <c r="X15" i="11"/>
  <c r="Y15" i="11"/>
  <c r="Z15" i="11"/>
  <c r="AA15" i="11"/>
  <c r="AB15" i="11"/>
  <c r="AC15" i="11"/>
  <c r="AD15" i="11"/>
  <c r="AE15" i="11"/>
  <c r="AF15" i="11"/>
  <c r="C16" i="11"/>
  <c r="D16" i="11"/>
  <c r="E16" i="11"/>
  <c r="F16" i="11"/>
  <c r="G16" i="11"/>
  <c r="H16" i="11"/>
  <c r="I16" i="11"/>
  <c r="J16" i="11"/>
  <c r="K16" i="11"/>
  <c r="L16" i="11"/>
  <c r="M16" i="11"/>
  <c r="N16" i="11"/>
  <c r="O16" i="11"/>
  <c r="P16" i="11"/>
  <c r="Q16" i="11"/>
  <c r="R16" i="11"/>
  <c r="S16" i="11"/>
  <c r="T16" i="11"/>
  <c r="U16" i="11"/>
  <c r="V16" i="11"/>
  <c r="W16" i="11"/>
  <c r="X16" i="11"/>
  <c r="Y16" i="11"/>
  <c r="Z16" i="11"/>
  <c r="AA16" i="11"/>
  <c r="AB16" i="11"/>
  <c r="AC16" i="11"/>
  <c r="AD16" i="11"/>
  <c r="AE16" i="11"/>
  <c r="AF16"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B3" i="11"/>
  <c r="B5" i="11"/>
  <c r="B6" i="11"/>
  <c r="B7" i="11"/>
  <c r="B8" i="11"/>
  <c r="B9" i="11"/>
  <c r="B10" i="11"/>
  <c r="B11" i="11"/>
  <c r="B12" i="11"/>
  <c r="B13" i="11"/>
  <c r="B14" i="11"/>
  <c r="B15" i="11"/>
  <c r="B16" i="11"/>
  <c r="B17" i="11"/>
  <c r="B2" i="11"/>
  <c r="E2" i="8"/>
  <c r="AF2" i="8"/>
  <c r="I4" i="8"/>
  <c r="AF4" i="8"/>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C6" i="8"/>
  <c r="D6" i="8"/>
  <c r="E6" i="8"/>
  <c r="F6" i="8"/>
  <c r="G6" i="8"/>
  <c r="H6" i="8"/>
  <c r="I6" i="8"/>
  <c r="J6" i="8"/>
  <c r="K6" i="8"/>
  <c r="L6" i="8"/>
  <c r="M6" i="8"/>
  <c r="N6" i="8"/>
  <c r="O6" i="8"/>
  <c r="P6" i="8"/>
  <c r="Q6" i="8"/>
  <c r="R6" i="8"/>
  <c r="S6" i="8"/>
  <c r="T6" i="8"/>
  <c r="U6" i="8"/>
  <c r="V6" i="8"/>
  <c r="W6" i="8"/>
  <c r="X6" i="8"/>
  <c r="Y6" i="8"/>
  <c r="Z6" i="8"/>
  <c r="AA6" i="8"/>
  <c r="AB6" i="8"/>
  <c r="AC6" i="8"/>
  <c r="AD6" i="8"/>
  <c r="AE6" i="8"/>
  <c r="AF6" i="8"/>
  <c r="C7" i="8"/>
  <c r="D7" i="8"/>
  <c r="E7" i="8"/>
  <c r="F7" i="8"/>
  <c r="G7" i="8"/>
  <c r="H7" i="8"/>
  <c r="I7" i="8"/>
  <c r="J7" i="8"/>
  <c r="K7" i="8"/>
  <c r="L7" i="8"/>
  <c r="M7" i="8"/>
  <c r="N7" i="8"/>
  <c r="O7" i="8"/>
  <c r="P7" i="8"/>
  <c r="Q7" i="8"/>
  <c r="R7" i="8"/>
  <c r="S7" i="8"/>
  <c r="T7" i="8"/>
  <c r="U7" i="8"/>
  <c r="V7" i="8"/>
  <c r="W7" i="8"/>
  <c r="X7" i="8"/>
  <c r="Y7" i="8"/>
  <c r="Z7" i="8"/>
  <c r="AA7" i="8"/>
  <c r="AB7" i="8"/>
  <c r="AC7" i="8"/>
  <c r="AD7" i="8"/>
  <c r="AE7" i="8"/>
  <c r="AF7" i="8"/>
  <c r="C9" i="8"/>
  <c r="D9" i="8"/>
  <c r="E9" i="8"/>
  <c r="F9" i="8"/>
  <c r="G9" i="8"/>
  <c r="H9" i="8"/>
  <c r="I9" i="8"/>
  <c r="J9" i="8"/>
  <c r="K9" i="8"/>
  <c r="L9" i="8"/>
  <c r="M9" i="8"/>
  <c r="N9" i="8"/>
  <c r="O9" i="8"/>
  <c r="P9" i="8"/>
  <c r="Q9" i="8"/>
  <c r="R9" i="8"/>
  <c r="S9" i="8"/>
  <c r="T9" i="8"/>
  <c r="U9" i="8"/>
  <c r="V9" i="8"/>
  <c r="W9" i="8"/>
  <c r="X9" i="8"/>
  <c r="Y9" i="8"/>
  <c r="Z9" i="8"/>
  <c r="AA9" i="8"/>
  <c r="AB9" i="8"/>
  <c r="AC9" i="8"/>
  <c r="AD9" i="8"/>
  <c r="AE9" i="8"/>
  <c r="AF9" i="8"/>
  <c r="C10" i="8"/>
  <c r="D10" i="8"/>
  <c r="E10" i="8"/>
  <c r="F10" i="8"/>
  <c r="G10" i="8"/>
  <c r="H10" i="8"/>
  <c r="I10" i="8"/>
  <c r="J10" i="8"/>
  <c r="K10" i="8"/>
  <c r="L10" i="8"/>
  <c r="M10" i="8"/>
  <c r="N10" i="8"/>
  <c r="O10" i="8"/>
  <c r="P10" i="8"/>
  <c r="Q10" i="8"/>
  <c r="R10" i="8"/>
  <c r="S10" i="8"/>
  <c r="T10" i="8"/>
  <c r="U10" i="8"/>
  <c r="V10" i="8"/>
  <c r="W10" i="8"/>
  <c r="X10" i="8"/>
  <c r="Y10" i="8"/>
  <c r="Z10" i="8"/>
  <c r="AA10" i="8"/>
  <c r="AB10" i="8"/>
  <c r="AC10" i="8"/>
  <c r="AD10" i="8"/>
  <c r="AE10" i="8"/>
  <c r="AF10" i="8"/>
  <c r="C11" i="8"/>
  <c r="D11" i="8"/>
  <c r="E11" i="8"/>
  <c r="F11" i="8"/>
  <c r="G11" i="8"/>
  <c r="H11" i="8"/>
  <c r="I11" i="8"/>
  <c r="J11" i="8"/>
  <c r="K11" i="8"/>
  <c r="L11" i="8"/>
  <c r="M11" i="8"/>
  <c r="N11" i="8"/>
  <c r="O11" i="8"/>
  <c r="P11" i="8"/>
  <c r="Q11" i="8"/>
  <c r="R11" i="8"/>
  <c r="S11" i="8"/>
  <c r="T11" i="8"/>
  <c r="U11" i="8"/>
  <c r="V11" i="8"/>
  <c r="W11" i="8"/>
  <c r="X11" i="8"/>
  <c r="Y11" i="8"/>
  <c r="Z11" i="8"/>
  <c r="AA11" i="8"/>
  <c r="AB11" i="8"/>
  <c r="AC11" i="8"/>
  <c r="AD11" i="8"/>
  <c r="AE11" i="8"/>
  <c r="AF11" i="8"/>
  <c r="E13" i="8"/>
  <c r="C14" i="8"/>
  <c r="D14" i="8"/>
  <c r="E14" i="8"/>
  <c r="F14" i="8"/>
  <c r="G14" i="8"/>
  <c r="H14" i="8"/>
  <c r="I14" i="8"/>
  <c r="J14" i="8"/>
  <c r="K14" i="8"/>
  <c r="L14" i="8"/>
  <c r="M14" i="8"/>
  <c r="N14" i="8"/>
  <c r="O14" i="8"/>
  <c r="P14" i="8"/>
  <c r="Q14" i="8"/>
  <c r="R14" i="8"/>
  <c r="S14" i="8"/>
  <c r="T14" i="8"/>
  <c r="U14" i="8"/>
  <c r="V14" i="8"/>
  <c r="W14" i="8"/>
  <c r="X14" i="8"/>
  <c r="Y14" i="8"/>
  <c r="Z14" i="8"/>
  <c r="AA14" i="8"/>
  <c r="AB14" i="8"/>
  <c r="AC14" i="8"/>
  <c r="AD14" i="8"/>
  <c r="AE14" i="8"/>
  <c r="AF14" i="8"/>
  <c r="C15" i="8"/>
  <c r="D15" i="8"/>
  <c r="E15" i="8"/>
  <c r="F15" i="8"/>
  <c r="G15" i="8"/>
  <c r="H15" i="8"/>
  <c r="I15" i="8"/>
  <c r="J15" i="8"/>
  <c r="K15" i="8"/>
  <c r="L15" i="8"/>
  <c r="M15" i="8"/>
  <c r="N15" i="8"/>
  <c r="O15" i="8"/>
  <c r="P15" i="8"/>
  <c r="Q15" i="8"/>
  <c r="R15" i="8"/>
  <c r="S15" i="8"/>
  <c r="T15" i="8"/>
  <c r="U15" i="8"/>
  <c r="V15" i="8"/>
  <c r="W15" i="8"/>
  <c r="X15" i="8"/>
  <c r="Y15" i="8"/>
  <c r="Z15" i="8"/>
  <c r="AA15" i="8"/>
  <c r="AB15" i="8"/>
  <c r="AC15" i="8"/>
  <c r="AD15" i="8"/>
  <c r="AE15" i="8"/>
  <c r="AF15" i="8"/>
  <c r="C16" i="8"/>
  <c r="D16" i="8"/>
  <c r="E16" i="8"/>
  <c r="F16" i="8"/>
  <c r="G16" i="8"/>
  <c r="H16" i="8"/>
  <c r="I16" i="8"/>
  <c r="J16" i="8"/>
  <c r="K16" i="8"/>
  <c r="L16" i="8"/>
  <c r="M16" i="8"/>
  <c r="N16" i="8"/>
  <c r="O16" i="8"/>
  <c r="P16" i="8"/>
  <c r="Q16" i="8"/>
  <c r="R16" i="8"/>
  <c r="S16" i="8"/>
  <c r="T16" i="8"/>
  <c r="U16" i="8"/>
  <c r="V16" i="8"/>
  <c r="W16" i="8"/>
  <c r="X16" i="8"/>
  <c r="Y16" i="8"/>
  <c r="Z16" i="8"/>
  <c r="AA16" i="8"/>
  <c r="AB16" i="8"/>
  <c r="AC16" i="8"/>
  <c r="AD16" i="8"/>
  <c r="AE16" i="8"/>
  <c r="AF16" i="8"/>
  <c r="C17" i="8"/>
  <c r="D17" i="8"/>
  <c r="E17" i="8"/>
  <c r="F17" i="8"/>
  <c r="G17" i="8"/>
  <c r="H17" i="8"/>
  <c r="I17" i="8"/>
  <c r="J17" i="8"/>
  <c r="K17" i="8"/>
  <c r="L17" i="8"/>
  <c r="M17" i="8"/>
  <c r="N17" i="8"/>
  <c r="O17" i="8"/>
  <c r="P17" i="8"/>
  <c r="Q17" i="8"/>
  <c r="R17" i="8"/>
  <c r="S17" i="8"/>
  <c r="T17" i="8"/>
  <c r="U17" i="8"/>
  <c r="V17" i="8"/>
  <c r="W17" i="8"/>
  <c r="X17" i="8"/>
  <c r="Y17" i="8"/>
  <c r="Z17" i="8"/>
  <c r="AA17" i="8"/>
  <c r="AB17" i="8"/>
  <c r="AC17" i="8"/>
  <c r="AD17" i="8"/>
  <c r="AE17" i="8"/>
  <c r="AF17" i="8"/>
  <c r="AE17" i="9"/>
  <c r="AD17" i="9"/>
  <c r="AC17" i="9"/>
  <c r="AB17" i="9"/>
  <c r="AA17" i="9"/>
  <c r="Z17" i="9"/>
  <c r="Y17" i="9"/>
  <c r="X17" i="9"/>
  <c r="W17" i="9"/>
  <c r="V17" i="9"/>
  <c r="U17" i="9"/>
  <c r="T17" i="9"/>
  <c r="S17" i="9"/>
  <c r="R17" i="9"/>
  <c r="Q17" i="9"/>
  <c r="P17" i="9"/>
  <c r="O17" i="9"/>
  <c r="N17" i="9"/>
  <c r="M17" i="9"/>
  <c r="AE16" i="9"/>
  <c r="AD16" i="9"/>
  <c r="AC16" i="9"/>
  <c r="AB16" i="9"/>
  <c r="AA16" i="9"/>
  <c r="Z16" i="9"/>
  <c r="Y16" i="9"/>
  <c r="X16" i="9"/>
  <c r="W16" i="9"/>
  <c r="V16" i="9"/>
  <c r="U16" i="9"/>
  <c r="T16" i="9"/>
  <c r="S16" i="9"/>
  <c r="R16" i="9"/>
  <c r="Q16" i="9"/>
  <c r="P16" i="9"/>
  <c r="O16" i="9"/>
  <c r="N16" i="9"/>
  <c r="M16" i="9"/>
  <c r="AE15" i="9"/>
  <c r="AD15" i="9"/>
  <c r="AC15" i="9"/>
  <c r="AB15" i="9"/>
  <c r="AA15" i="9"/>
  <c r="Z15" i="9"/>
  <c r="Y15" i="9"/>
  <c r="X15" i="9"/>
  <c r="W15" i="9"/>
  <c r="V15" i="9"/>
  <c r="U15" i="9"/>
  <c r="T15" i="9"/>
  <c r="S15" i="9"/>
  <c r="R15" i="9"/>
  <c r="Q15" i="9"/>
  <c r="P15" i="9"/>
  <c r="O15" i="9"/>
  <c r="N15" i="9"/>
  <c r="M15" i="9"/>
  <c r="AE14" i="9"/>
  <c r="AD14" i="9"/>
  <c r="AC14" i="9"/>
  <c r="AB14" i="9"/>
  <c r="AA14" i="9"/>
  <c r="Z14" i="9"/>
  <c r="Y14" i="9"/>
  <c r="X14" i="9"/>
  <c r="W14" i="9"/>
  <c r="V14" i="9"/>
  <c r="U14" i="9"/>
  <c r="T14" i="9"/>
  <c r="S14" i="9"/>
  <c r="R14" i="9"/>
  <c r="Q14" i="9"/>
  <c r="P14" i="9"/>
  <c r="O14" i="9"/>
  <c r="N14" i="9"/>
  <c r="M14" i="9"/>
  <c r="AE13" i="9"/>
  <c r="AD13" i="9"/>
  <c r="AC13" i="9"/>
  <c r="AB13" i="9"/>
  <c r="AA13" i="9"/>
  <c r="Z13" i="9"/>
  <c r="Y13" i="9"/>
  <c r="X13" i="9"/>
  <c r="W13" i="9"/>
  <c r="V13" i="9"/>
  <c r="U13" i="9"/>
  <c r="T13" i="9"/>
  <c r="S13" i="9"/>
  <c r="R13" i="9"/>
  <c r="Q13" i="9"/>
  <c r="P13" i="9"/>
  <c r="O13" i="9"/>
  <c r="N13" i="9"/>
  <c r="M13" i="9"/>
  <c r="AE12" i="9"/>
  <c r="AD12" i="9"/>
  <c r="AC12" i="9"/>
  <c r="AB12" i="9"/>
  <c r="AA12" i="9"/>
  <c r="Z12" i="9"/>
  <c r="Y12" i="9"/>
  <c r="X12" i="9"/>
  <c r="W12" i="9"/>
  <c r="V12" i="9"/>
  <c r="U12" i="9"/>
  <c r="T12" i="9"/>
  <c r="S12" i="9"/>
  <c r="R12" i="9"/>
  <c r="Q12" i="9"/>
  <c r="P12" i="9"/>
  <c r="O12" i="9"/>
  <c r="N12" i="9"/>
  <c r="M12" i="9"/>
  <c r="AE11" i="9"/>
  <c r="AD11" i="9"/>
  <c r="AC11" i="9"/>
  <c r="AB11" i="9"/>
  <c r="AA11" i="9"/>
  <c r="Z11" i="9"/>
  <c r="Y11" i="9"/>
  <c r="X11" i="9"/>
  <c r="W11" i="9"/>
  <c r="V11" i="9"/>
  <c r="U11" i="9"/>
  <c r="T11" i="9"/>
  <c r="S11" i="9"/>
  <c r="R11" i="9"/>
  <c r="Q11" i="9"/>
  <c r="P11" i="9"/>
  <c r="O11" i="9"/>
  <c r="N11" i="9"/>
  <c r="M11" i="9"/>
  <c r="AE10" i="9"/>
  <c r="AD10" i="9"/>
  <c r="AC10" i="9"/>
  <c r="AB10" i="9"/>
  <c r="AA10" i="9"/>
  <c r="Z10" i="9"/>
  <c r="Y10" i="9"/>
  <c r="X10" i="9"/>
  <c r="W10" i="9"/>
  <c r="V10" i="9"/>
  <c r="U10" i="9"/>
  <c r="T10" i="9"/>
  <c r="S10" i="9"/>
  <c r="R10" i="9"/>
  <c r="Q10" i="9"/>
  <c r="P10" i="9"/>
  <c r="O10" i="9"/>
  <c r="N10" i="9"/>
  <c r="M10" i="9"/>
  <c r="AE9" i="9"/>
  <c r="AD9" i="9"/>
  <c r="AC9" i="9"/>
  <c r="AB9" i="9"/>
  <c r="AA9" i="9"/>
  <c r="Z9" i="9"/>
  <c r="Y9" i="9"/>
  <c r="X9" i="9"/>
  <c r="W9" i="9"/>
  <c r="V9" i="9"/>
  <c r="U9" i="9"/>
  <c r="T9" i="9"/>
  <c r="S9" i="9"/>
  <c r="R9" i="9"/>
  <c r="Q9" i="9"/>
  <c r="P9" i="9"/>
  <c r="O9" i="9"/>
  <c r="N9" i="9"/>
  <c r="M9" i="9"/>
  <c r="AE8" i="9"/>
  <c r="AD8" i="9"/>
  <c r="AC8" i="9"/>
  <c r="AB8" i="9"/>
  <c r="AA8" i="9"/>
  <c r="Z8" i="9"/>
  <c r="Y8" i="9"/>
  <c r="X8" i="9"/>
  <c r="W8" i="9"/>
  <c r="V8" i="9"/>
  <c r="U8" i="9"/>
  <c r="T8" i="9"/>
  <c r="S8" i="9"/>
  <c r="R8" i="9"/>
  <c r="Q8" i="9"/>
  <c r="P8" i="9"/>
  <c r="O8" i="9"/>
  <c r="N8" i="9"/>
  <c r="M8" i="9"/>
  <c r="AE7" i="9"/>
  <c r="AD7" i="9"/>
  <c r="AC7" i="9"/>
  <c r="AB7" i="9"/>
  <c r="AA7" i="9"/>
  <c r="Z7" i="9"/>
  <c r="Y7" i="9"/>
  <c r="X7" i="9"/>
  <c r="W7" i="9"/>
  <c r="V7" i="9"/>
  <c r="U7" i="9"/>
  <c r="T7" i="9"/>
  <c r="S7" i="9"/>
  <c r="R7" i="9"/>
  <c r="Q7" i="9"/>
  <c r="P7" i="9"/>
  <c r="O7" i="9"/>
  <c r="N7" i="9"/>
  <c r="M7" i="9"/>
  <c r="AE6" i="9"/>
  <c r="AD6" i="9"/>
  <c r="AC6" i="9"/>
  <c r="AB6" i="9"/>
  <c r="AA6" i="9"/>
  <c r="Z6" i="9"/>
  <c r="Y6" i="9"/>
  <c r="X6" i="9"/>
  <c r="W6" i="9"/>
  <c r="V6" i="9"/>
  <c r="U6" i="9"/>
  <c r="T6" i="9"/>
  <c r="S6" i="9"/>
  <c r="R6" i="9"/>
  <c r="Q6" i="9"/>
  <c r="P6" i="9"/>
  <c r="O6" i="9"/>
  <c r="N6" i="9"/>
  <c r="M6" i="9"/>
  <c r="AE5" i="9"/>
  <c r="AD5" i="9"/>
  <c r="AC5" i="9"/>
  <c r="AB5" i="9"/>
  <c r="AA5" i="9"/>
  <c r="Z5" i="9"/>
  <c r="Y5" i="9"/>
  <c r="X5" i="9"/>
  <c r="W5" i="9"/>
  <c r="V5" i="9"/>
  <c r="U5" i="9"/>
  <c r="T5" i="9"/>
  <c r="S5" i="9"/>
  <c r="R5" i="9"/>
  <c r="Q5" i="9"/>
  <c r="P5" i="9"/>
  <c r="O5" i="9"/>
  <c r="N5" i="9"/>
  <c r="M5" i="9"/>
  <c r="AE3" i="9"/>
  <c r="AD3" i="9"/>
  <c r="AC3" i="9"/>
  <c r="AB3" i="9"/>
  <c r="AA3" i="9"/>
  <c r="Z3" i="9"/>
  <c r="Y3" i="9"/>
  <c r="X3" i="9"/>
  <c r="W3" i="9"/>
  <c r="V3" i="9"/>
  <c r="U3" i="9"/>
  <c r="T3" i="9"/>
  <c r="S3" i="9"/>
  <c r="R3" i="9"/>
  <c r="Q3" i="9"/>
  <c r="P3" i="9"/>
  <c r="O3" i="9"/>
  <c r="N3" i="9"/>
  <c r="M3" i="9"/>
  <c r="AE2" i="9"/>
  <c r="AD2" i="9"/>
  <c r="AC2" i="9"/>
  <c r="AB2" i="9"/>
  <c r="AA2" i="9"/>
  <c r="Z2" i="9"/>
  <c r="Y2" i="9"/>
  <c r="X2" i="9"/>
  <c r="W2" i="9"/>
  <c r="V2" i="9"/>
  <c r="U2" i="9"/>
  <c r="T2" i="9"/>
  <c r="S2" i="9"/>
  <c r="R2" i="9"/>
  <c r="Q2" i="9"/>
  <c r="P2" i="9"/>
  <c r="O2" i="9"/>
  <c r="N2" i="9"/>
  <c r="M2" i="9"/>
  <c r="K17" i="9"/>
  <c r="J17" i="9"/>
  <c r="I17" i="9"/>
  <c r="H17" i="9"/>
  <c r="G17" i="9"/>
  <c r="F17" i="9"/>
  <c r="K16" i="9"/>
  <c r="J16" i="9"/>
  <c r="I16" i="9"/>
  <c r="H16" i="9"/>
  <c r="G16" i="9"/>
  <c r="F16" i="9"/>
  <c r="K15" i="9"/>
  <c r="J15" i="9"/>
  <c r="I15" i="9"/>
  <c r="H15" i="9"/>
  <c r="G15" i="9"/>
  <c r="F15" i="9"/>
  <c r="K14" i="9"/>
  <c r="J14" i="9"/>
  <c r="I14" i="9"/>
  <c r="H14" i="9"/>
  <c r="G14" i="9"/>
  <c r="F14" i="9"/>
  <c r="K13" i="9"/>
  <c r="J13" i="9"/>
  <c r="I13" i="9"/>
  <c r="H13" i="9"/>
  <c r="G13" i="9"/>
  <c r="F13" i="9"/>
  <c r="K12" i="9"/>
  <c r="J12" i="9"/>
  <c r="I12" i="9"/>
  <c r="H12" i="9"/>
  <c r="G12" i="9"/>
  <c r="F12" i="9"/>
  <c r="K11" i="9"/>
  <c r="J11" i="9"/>
  <c r="I11" i="9"/>
  <c r="H11" i="9"/>
  <c r="G11" i="9"/>
  <c r="F11" i="9"/>
  <c r="K10" i="9"/>
  <c r="J10" i="9"/>
  <c r="I10" i="9"/>
  <c r="H10" i="9"/>
  <c r="G10" i="9"/>
  <c r="F10" i="9"/>
  <c r="K9" i="9"/>
  <c r="J9" i="9"/>
  <c r="I9" i="9"/>
  <c r="H9" i="9"/>
  <c r="G9" i="9"/>
  <c r="F9" i="9"/>
  <c r="K8" i="9"/>
  <c r="J8" i="9"/>
  <c r="I8" i="9"/>
  <c r="H8" i="9"/>
  <c r="G8" i="9"/>
  <c r="F8" i="9"/>
  <c r="K7" i="9"/>
  <c r="J7" i="9"/>
  <c r="I7" i="9"/>
  <c r="H7" i="9"/>
  <c r="G7" i="9"/>
  <c r="F7" i="9"/>
  <c r="K6" i="9"/>
  <c r="J6" i="9"/>
  <c r="I6" i="9"/>
  <c r="H6" i="9"/>
  <c r="G6" i="9"/>
  <c r="F6" i="9"/>
  <c r="K5" i="9"/>
  <c r="J5" i="9"/>
  <c r="I5" i="9"/>
  <c r="H5" i="9"/>
  <c r="G5" i="9"/>
  <c r="F5" i="9"/>
  <c r="K3" i="9"/>
  <c r="J3" i="9"/>
  <c r="I3" i="9"/>
  <c r="H3" i="9"/>
  <c r="G3" i="9"/>
  <c r="F3" i="9"/>
  <c r="K2" i="9"/>
  <c r="J2" i="9"/>
  <c r="I2" i="9"/>
  <c r="H2" i="9"/>
  <c r="G2" i="9"/>
  <c r="F2" i="9"/>
  <c r="D17" i="9"/>
  <c r="C17" i="9"/>
  <c r="D16" i="9"/>
  <c r="C16" i="9"/>
  <c r="D15" i="9"/>
  <c r="C15" i="9"/>
  <c r="D14" i="9"/>
  <c r="C14" i="9"/>
  <c r="D13" i="9"/>
  <c r="C13" i="9"/>
  <c r="D12" i="9"/>
  <c r="C12" i="9"/>
  <c r="D11" i="9"/>
  <c r="C11" i="9"/>
  <c r="D10" i="9"/>
  <c r="C10" i="9"/>
  <c r="D9" i="9"/>
  <c r="C9" i="9"/>
  <c r="D8" i="9"/>
  <c r="C8" i="9"/>
  <c r="D7" i="9"/>
  <c r="C7" i="9"/>
  <c r="D6" i="9"/>
  <c r="C6" i="9"/>
  <c r="D5" i="9"/>
  <c r="C5" i="9"/>
  <c r="D3" i="9"/>
  <c r="C3" i="9"/>
  <c r="D2" i="9"/>
  <c r="C2" i="9"/>
  <c r="N4" i="6"/>
  <c r="N4" i="8" s="1"/>
  <c r="R4" i="6"/>
  <c r="R4" i="8" s="1"/>
  <c r="S4" i="6"/>
  <c r="S4" i="8" s="1"/>
  <c r="T4" i="6"/>
  <c r="T4" i="8" s="1"/>
  <c r="U4" i="6"/>
  <c r="U4" i="8" s="1"/>
  <c r="V4" i="6"/>
  <c r="V4" i="8" s="1"/>
  <c r="Z4" i="6"/>
  <c r="Z4" i="8" s="1"/>
  <c r="AA4" i="6"/>
  <c r="AA4" i="8" s="1"/>
  <c r="AB4" i="6"/>
  <c r="AB4" i="8" s="1"/>
  <c r="AC4" i="6"/>
  <c r="AC4" i="8" s="1"/>
  <c r="AD4" i="6"/>
  <c r="AD4" i="8" s="1"/>
  <c r="N5" i="6"/>
  <c r="O5" i="6"/>
  <c r="P5" i="6"/>
  <c r="Q5" i="6"/>
  <c r="R5" i="6"/>
  <c r="S5" i="6"/>
  <c r="T5" i="6"/>
  <c r="U5" i="6"/>
  <c r="V5" i="6"/>
  <c r="W5" i="6"/>
  <c r="X5" i="6"/>
  <c r="Y5" i="6"/>
  <c r="Z5" i="6"/>
  <c r="AA5" i="6"/>
  <c r="AB5" i="6"/>
  <c r="AC5" i="6"/>
  <c r="AD5" i="6"/>
  <c r="AE5" i="6"/>
  <c r="N6" i="6"/>
  <c r="O6" i="6"/>
  <c r="P6" i="6"/>
  <c r="Q6" i="6"/>
  <c r="R6" i="6"/>
  <c r="S6" i="6"/>
  <c r="T6" i="6"/>
  <c r="U6" i="6"/>
  <c r="V6" i="6"/>
  <c r="W6" i="6"/>
  <c r="X6" i="6"/>
  <c r="Y6" i="6"/>
  <c r="Z6" i="6"/>
  <c r="AA6" i="6"/>
  <c r="AB6" i="6"/>
  <c r="AC6" i="6"/>
  <c r="AD6" i="6"/>
  <c r="AE6" i="6"/>
  <c r="N7" i="6"/>
  <c r="O7" i="6"/>
  <c r="P7" i="6"/>
  <c r="Q7" i="6"/>
  <c r="R7" i="6"/>
  <c r="S7" i="6"/>
  <c r="T7" i="6"/>
  <c r="U7" i="6"/>
  <c r="V7" i="6"/>
  <c r="W7" i="6"/>
  <c r="X7" i="6"/>
  <c r="Y7" i="6"/>
  <c r="Z7" i="6"/>
  <c r="AA7" i="6"/>
  <c r="AB7" i="6"/>
  <c r="AC7" i="6"/>
  <c r="AD7" i="6"/>
  <c r="AE7" i="6"/>
  <c r="N9" i="6"/>
  <c r="O9" i="6"/>
  <c r="P9" i="6"/>
  <c r="Q9" i="6"/>
  <c r="R9" i="6"/>
  <c r="S9" i="6"/>
  <c r="T9" i="6"/>
  <c r="U9" i="6"/>
  <c r="V9" i="6"/>
  <c r="W9" i="6"/>
  <c r="X9" i="6"/>
  <c r="Y9" i="6"/>
  <c r="Z9" i="6"/>
  <c r="AA9" i="6"/>
  <c r="AB9" i="6"/>
  <c r="AC9" i="6"/>
  <c r="AD9" i="6"/>
  <c r="AE9" i="6"/>
  <c r="N10" i="6"/>
  <c r="O10" i="6"/>
  <c r="P10" i="6"/>
  <c r="Q10" i="6"/>
  <c r="R10" i="6"/>
  <c r="S10" i="6"/>
  <c r="T10" i="6"/>
  <c r="U10" i="6"/>
  <c r="V10" i="6"/>
  <c r="W10" i="6"/>
  <c r="X10" i="6"/>
  <c r="Y10" i="6"/>
  <c r="Z10" i="6"/>
  <c r="AA10" i="6"/>
  <c r="AB10" i="6"/>
  <c r="AC10" i="6"/>
  <c r="AD10" i="6"/>
  <c r="AE10" i="6"/>
  <c r="N11" i="6"/>
  <c r="O11" i="6"/>
  <c r="P11" i="6"/>
  <c r="Q11" i="6"/>
  <c r="R11" i="6"/>
  <c r="S11" i="6"/>
  <c r="T11" i="6"/>
  <c r="U11" i="6"/>
  <c r="V11" i="6"/>
  <c r="W11" i="6"/>
  <c r="X11" i="6"/>
  <c r="Y11" i="6"/>
  <c r="Z11" i="6"/>
  <c r="AA11" i="6"/>
  <c r="AB11" i="6"/>
  <c r="AC11" i="6"/>
  <c r="AD11" i="6"/>
  <c r="AE11" i="6"/>
  <c r="N14" i="6"/>
  <c r="O14" i="6"/>
  <c r="P14" i="6"/>
  <c r="Q14" i="6"/>
  <c r="R14" i="6"/>
  <c r="S14" i="6"/>
  <c r="T14" i="6"/>
  <c r="U14" i="6"/>
  <c r="V14" i="6"/>
  <c r="W14" i="6"/>
  <c r="X14" i="6"/>
  <c r="Y14" i="6"/>
  <c r="Z14" i="6"/>
  <c r="AA14" i="6"/>
  <c r="AB14" i="6"/>
  <c r="AC14" i="6"/>
  <c r="AD14" i="6"/>
  <c r="AE14" i="6"/>
  <c r="N15" i="6"/>
  <c r="O15" i="6"/>
  <c r="P15" i="6"/>
  <c r="Q15" i="6"/>
  <c r="R15" i="6"/>
  <c r="S15" i="6"/>
  <c r="T15" i="6"/>
  <c r="U15" i="6"/>
  <c r="V15" i="6"/>
  <c r="W15" i="6"/>
  <c r="X15" i="6"/>
  <c r="Y15" i="6"/>
  <c r="Z15" i="6"/>
  <c r="AA15" i="6"/>
  <c r="AB15" i="6"/>
  <c r="AC15" i="6"/>
  <c r="AD15" i="6"/>
  <c r="AE15" i="6"/>
  <c r="N16" i="6"/>
  <c r="O16" i="6"/>
  <c r="P16" i="6"/>
  <c r="Q16" i="6"/>
  <c r="R16" i="6"/>
  <c r="S16" i="6"/>
  <c r="T16" i="6"/>
  <c r="U16" i="6"/>
  <c r="V16" i="6"/>
  <c r="W16" i="6"/>
  <c r="X16" i="6"/>
  <c r="Y16" i="6"/>
  <c r="Z16" i="6"/>
  <c r="AA16" i="6"/>
  <c r="AB16" i="6"/>
  <c r="AC16" i="6"/>
  <c r="AD16" i="6"/>
  <c r="AE16" i="6"/>
  <c r="N17" i="6"/>
  <c r="O17" i="6"/>
  <c r="P17" i="6"/>
  <c r="Q17" i="6"/>
  <c r="R17" i="6"/>
  <c r="S17" i="6"/>
  <c r="T17" i="6"/>
  <c r="U17" i="6"/>
  <c r="V17" i="6"/>
  <c r="W17" i="6"/>
  <c r="X17" i="6"/>
  <c r="Y17" i="6"/>
  <c r="Z17" i="6"/>
  <c r="AA17" i="6"/>
  <c r="AB17" i="6"/>
  <c r="AC17" i="6"/>
  <c r="AD17" i="6"/>
  <c r="AE17" i="6"/>
  <c r="M4" i="6"/>
  <c r="M4" i="8" s="1"/>
  <c r="M5" i="6"/>
  <c r="M6" i="6"/>
  <c r="M7" i="6"/>
  <c r="M9" i="6"/>
  <c r="M10" i="6"/>
  <c r="M11" i="6"/>
  <c r="M14" i="6"/>
  <c r="M15" i="6"/>
  <c r="M16" i="6"/>
  <c r="M17" i="6"/>
  <c r="M2" i="6"/>
  <c r="M2" i="8" s="1"/>
  <c r="G4" i="6"/>
  <c r="G4" i="8" s="1"/>
  <c r="H4" i="6"/>
  <c r="H4" i="8" s="1"/>
  <c r="I4" i="6"/>
  <c r="G5" i="6"/>
  <c r="H5" i="6"/>
  <c r="I5" i="6"/>
  <c r="J5" i="6"/>
  <c r="K5" i="6"/>
  <c r="G6" i="6"/>
  <c r="H6" i="6"/>
  <c r="I6" i="6"/>
  <c r="J6" i="6"/>
  <c r="K6" i="6"/>
  <c r="G7" i="6"/>
  <c r="H7" i="6"/>
  <c r="I7" i="6"/>
  <c r="J7" i="6"/>
  <c r="K7" i="6"/>
  <c r="G9" i="6"/>
  <c r="H9" i="6"/>
  <c r="I9" i="6"/>
  <c r="J9" i="6"/>
  <c r="K9" i="6"/>
  <c r="G10" i="6"/>
  <c r="H10" i="6"/>
  <c r="I10" i="6"/>
  <c r="J10" i="6"/>
  <c r="K10" i="6"/>
  <c r="G11" i="6"/>
  <c r="H11" i="6"/>
  <c r="I11" i="6"/>
  <c r="J11" i="6"/>
  <c r="K11" i="6"/>
  <c r="G14" i="6"/>
  <c r="H14" i="6"/>
  <c r="I14" i="6"/>
  <c r="J14" i="6"/>
  <c r="K14" i="6"/>
  <c r="G15" i="6"/>
  <c r="H15" i="6"/>
  <c r="I15" i="6"/>
  <c r="J15" i="6"/>
  <c r="K15" i="6"/>
  <c r="G16" i="6"/>
  <c r="H16" i="6"/>
  <c r="I16" i="6"/>
  <c r="J16" i="6"/>
  <c r="K16" i="6"/>
  <c r="G17" i="6"/>
  <c r="H17" i="6"/>
  <c r="I17" i="6"/>
  <c r="J17" i="6"/>
  <c r="K17" i="6"/>
  <c r="F4" i="6"/>
  <c r="F4" i="8" s="1"/>
  <c r="F5" i="6"/>
  <c r="F6" i="6"/>
  <c r="F7" i="6"/>
  <c r="F9" i="6"/>
  <c r="F10" i="6"/>
  <c r="F11" i="6"/>
  <c r="F14" i="6"/>
  <c r="F15" i="6"/>
  <c r="F16" i="6"/>
  <c r="F17" i="6"/>
  <c r="D5" i="6"/>
  <c r="D6" i="6"/>
  <c r="D7" i="6"/>
  <c r="D9" i="6"/>
  <c r="D10" i="6"/>
  <c r="D11" i="6"/>
  <c r="D14" i="6"/>
  <c r="D15" i="6"/>
  <c r="D16" i="6"/>
  <c r="D17" i="6"/>
  <c r="C5" i="6"/>
  <c r="C6" i="6"/>
  <c r="C7" i="6"/>
  <c r="C9" i="6"/>
  <c r="C10" i="6"/>
  <c r="C11" i="6"/>
  <c r="C14" i="6"/>
  <c r="C15" i="6"/>
  <c r="C16" i="6"/>
  <c r="C17" i="6"/>
  <c r="C4" i="6"/>
  <c r="C4" i="8" s="1"/>
  <c r="D2" i="6"/>
  <c r="D2" i="8" s="1"/>
  <c r="AF3" i="9"/>
  <c r="AF5" i="9"/>
  <c r="AF6" i="9"/>
  <c r="AF7" i="9"/>
  <c r="AF8" i="9"/>
  <c r="AF9" i="9"/>
  <c r="AF10" i="9"/>
  <c r="AF11" i="9"/>
  <c r="AF12" i="9"/>
  <c r="AF13" i="9"/>
  <c r="AF14" i="9"/>
  <c r="AF15" i="9"/>
  <c r="AF16" i="9"/>
  <c r="AF17" i="9"/>
  <c r="L17" i="9"/>
  <c r="L3" i="9"/>
  <c r="L5" i="9"/>
  <c r="L6" i="9"/>
  <c r="L7" i="9"/>
  <c r="L8" i="9"/>
  <c r="L9" i="9"/>
  <c r="L10" i="9"/>
  <c r="L11" i="9"/>
  <c r="L12" i="9"/>
  <c r="L13" i="9"/>
  <c r="L14" i="9"/>
  <c r="L15" i="9"/>
  <c r="L16" i="9"/>
  <c r="E3" i="9"/>
  <c r="E5" i="9"/>
  <c r="E6" i="9"/>
  <c r="E7" i="9"/>
  <c r="E8" i="9"/>
  <c r="E9" i="9"/>
  <c r="E10" i="9"/>
  <c r="E11" i="9"/>
  <c r="E12" i="9"/>
  <c r="E13" i="9"/>
  <c r="E14" i="9"/>
  <c r="E15" i="9"/>
  <c r="E16" i="9"/>
  <c r="E17" i="9"/>
  <c r="AF2" i="9"/>
  <c r="L2" i="9"/>
  <c r="E2" i="9"/>
  <c r="B3" i="9"/>
  <c r="B4" i="9"/>
  <c r="B4" i="11" s="1"/>
  <c r="B5" i="9"/>
  <c r="B6" i="9"/>
  <c r="B7" i="9"/>
  <c r="B8" i="9"/>
  <c r="B9" i="9"/>
  <c r="B10" i="9"/>
  <c r="B11" i="9"/>
  <c r="B12" i="9"/>
  <c r="B13" i="9"/>
  <c r="B14" i="9"/>
  <c r="B15" i="9"/>
  <c r="B16" i="9"/>
  <c r="B17" i="9"/>
  <c r="B2" i="9"/>
  <c r="B3" i="8"/>
  <c r="B5" i="8"/>
  <c r="B6" i="8"/>
  <c r="B7" i="8"/>
  <c r="B9" i="8"/>
  <c r="B10" i="8"/>
  <c r="B11" i="8"/>
  <c r="B13" i="8"/>
  <c r="B14" i="8"/>
  <c r="B15" i="8"/>
  <c r="B16" i="8"/>
  <c r="B17" i="8"/>
  <c r="AF3" i="6"/>
  <c r="AF3" i="8" s="1"/>
  <c r="AF4" i="6"/>
  <c r="AF5" i="6"/>
  <c r="AF6" i="6"/>
  <c r="AF7" i="6"/>
  <c r="AF8" i="6"/>
  <c r="AF8" i="8" s="1"/>
  <c r="AF9" i="6"/>
  <c r="AF10" i="6"/>
  <c r="AF11" i="6"/>
  <c r="AF13" i="6"/>
  <c r="AF13" i="8" s="1"/>
  <c r="AF14" i="6"/>
  <c r="AF15" i="6"/>
  <c r="AF16" i="6"/>
  <c r="AF17" i="6"/>
  <c r="L4" i="6"/>
  <c r="L4" i="8" s="1"/>
  <c r="L5" i="6"/>
  <c r="L6" i="6"/>
  <c r="L7" i="6"/>
  <c r="L8" i="6"/>
  <c r="N8" i="6" s="1"/>
  <c r="N8" i="8" s="1"/>
  <c r="L9" i="6"/>
  <c r="L10" i="6"/>
  <c r="L11" i="6"/>
  <c r="L12" i="6"/>
  <c r="L13" i="6"/>
  <c r="L14" i="6"/>
  <c r="L15" i="6"/>
  <c r="L16" i="6"/>
  <c r="L17" i="6"/>
  <c r="E4" i="6"/>
  <c r="J4" i="6" s="1"/>
  <c r="J4" i="8" s="1"/>
  <c r="E5" i="6"/>
  <c r="E6" i="6"/>
  <c r="E7" i="6"/>
  <c r="E8" i="6"/>
  <c r="E9" i="6"/>
  <c r="E10" i="6"/>
  <c r="E11" i="6"/>
  <c r="E13" i="6"/>
  <c r="E14" i="6"/>
  <c r="E15" i="6"/>
  <c r="E16" i="6"/>
  <c r="E17" i="6"/>
  <c r="AF2" i="6"/>
  <c r="L2" i="6"/>
  <c r="O2" i="6" s="1"/>
  <c r="O2" i="8" s="1"/>
  <c r="E2" i="6"/>
  <c r="B3" i="6"/>
  <c r="B4" i="6"/>
  <c r="B5" i="6"/>
  <c r="B6" i="6"/>
  <c r="B7" i="6"/>
  <c r="B9" i="6"/>
  <c r="B10" i="6"/>
  <c r="B11" i="6"/>
  <c r="B13" i="6"/>
  <c r="B14" i="6"/>
  <c r="B15" i="6"/>
  <c r="B16" i="6"/>
  <c r="B17" i="6"/>
  <c r="B2" i="6"/>
  <c r="C2" i="6" s="1"/>
  <c r="C2" i="8" s="1"/>
  <c r="B8" i="6"/>
  <c r="AF4" i="9"/>
  <c r="AF4" i="11" s="1"/>
  <c r="E37" i="16"/>
  <c r="D37" i="16"/>
  <c r="C37" i="16"/>
  <c r="B37" i="16"/>
  <c r="E30" i="16"/>
  <c r="D30" i="16"/>
  <c r="C30" i="16"/>
  <c r="B30" i="16"/>
  <c r="E29" i="16"/>
  <c r="D29" i="16"/>
  <c r="C29" i="16"/>
  <c r="B29" i="16"/>
  <c r="E25" i="16"/>
  <c r="D25" i="16"/>
  <c r="C25" i="16"/>
  <c r="B25" i="16"/>
  <c r="E31" i="16"/>
  <c r="E35" i="16" s="1"/>
  <c r="D31" i="16"/>
  <c r="D35" i="16" s="1"/>
  <c r="C31" i="16"/>
  <c r="C35" i="16" s="1"/>
  <c r="B31" i="16"/>
  <c r="B36" i="16" s="1"/>
  <c r="E32" i="16"/>
  <c r="D32" i="16"/>
  <c r="C32" i="16"/>
  <c r="B32" i="16"/>
  <c r="E23" i="16"/>
  <c r="C23" i="16"/>
  <c r="D23" i="16"/>
  <c r="B23" i="16"/>
  <c r="E22" i="16"/>
  <c r="E33" i="16" s="1"/>
  <c r="D22" i="16"/>
  <c r="D33" i="16" s="1"/>
  <c r="C22" i="16"/>
  <c r="C33" i="16" s="1"/>
  <c r="B22" i="16"/>
  <c r="B33" i="16" s="1"/>
  <c r="E13" i="16"/>
  <c r="D13" i="16"/>
  <c r="C13" i="16"/>
  <c r="B13" i="16"/>
  <c r="E17" i="16"/>
  <c r="D17" i="16"/>
  <c r="C17" i="16"/>
  <c r="B17" i="16"/>
  <c r="B16" i="16"/>
  <c r="E14" i="16"/>
  <c r="D14" i="16"/>
  <c r="C14" i="16"/>
  <c r="B14" i="16"/>
  <c r="E5" i="16"/>
  <c r="D5" i="16"/>
  <c r="C5" i="16"/>
  <c r="B5" i="16"/>
  <c r="E11" i="16"/>
  <c r="E16" i="16" s="1"/>
  <c r="D11" i="16"/>
  <c r="D16" i="16" s="1"/>
  <c r="C11" i="16"/>
  <c r="C16" i="16" s="1"/>
  <c r="B11" i="16"/>
  <c r="B15" i="16" s="1"/>
  <c r="E10" i="16"/>
  <c r="D10" i="16"/>
  <c r="C10" i="16"/>
  <c r="B10" i="16"/>
  <c r="E9" i="16"/>
  <c r="D9" i="16"/>
  <c r="C9" i="16"/>
  <c r="B9" i="16"/>
  <c r="E7" i="16"/>
  <c r="D7" i="16"/>
  <c r="C7" i="16"/>
  <c r="B7" i="16"/>
  <c r="E12" i="16"/>
  <c r="AF12" i="6" s="1"/>
  <c r="C12" i="16"/>
  <c r="E12" i="6" s="1"/>
  <c r="D12" i="16"/>
  <c r="B12" i="16"/>
  <c r="B12" i="6" s="1"/>
  <c r="E3" i="16"/>
  <c r="D3" i="16"/>
  <c r="L3" i="6" s="1"/>
  <c r="C3" i="16"/>
  <c r="E3" i="6" s="1"/>
  <c r="B3" i="16"/>
  <c r="E6" i="16"/>
  <c r="D6" i="16"/>
  <c r="C6" i="16"/>
  <c r="B6" i="16"/>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C18" i="7"/>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O12" i="6" l="1"/>
  <c r="O12" i="8" s="1"/>
  <c r="S12" i="6"/>
  <c r="S12" i="8" s="1"/>
  <c r="AF12" i="8"/>
  <c r="W12" i="6"/>
  <c r="W12" i="8" s="1"/>
  <c r="AE12" i="6"/>
  <c r="AE12" i="8" s="1"/>
  <c r="M12" i="6"/>
  <c r="M12" i="8" s="1"/>
  <c r="P12" i="6"/>
  <c r="P12" i="8" s="1"/>
  <c r="V12" i="6"/>
  <c r="V12" i="8" s="1"/>
  <c r="AC12" i="6"/>
  <c r="AC12" i="8" s="1"/>
  <c r="U12" i="6"/>
  <c r="U12" i="8" s="1"/>
  <c r="AD12" i="6"/>
  <c r="AD12" i="8" s="1"/>
  <c r="N12" i="6"/>
  <c r="N12" i="8" s="1"/>
  <c r="AB12" i="6"/>
  <c r="AB12" i="8" s="1"/>
  <c r="T12" i="6"/>
  <c r="T12" i="8" s="1"/>
  <c r="L12" i="8"/>
  <c r="Z12" i="6"/>
  <c r="Z12" i="8" s="1"/>
  <c r="R12" i="6"/>
  <c r="R12" i="8" s="1"/>
  <c r="Y12" i="6"/>
  <c r="Y12" i="8" s="1"/>
  <c r="Q12" i="6"/>
  <c r="Q12" i="8" s="1"/>
  <c r="AA12" i="6"/>
  <c r="AA12" i="8" s="1"/>
  <c r="X12" i="6"/>
  <c r="X12" i="8" s="1"/>
  <c r="H12" i="6"/>
  <c r="H12" i="8" s="1"/>
  <c r="K12" i="6"/>
  <c r="K12" i="8" s="1"/>
  <c r="I12" i="6"/>
  <c r="I12" i="8" s="1"/>
  <c r="J12" i="6"/>
  <c r="J12" i="8" s="1"/>
  <c r="E12" i="8"/>
  <c r="G12" i="6"/>
  <c r="G12" i="8" s="1"/>
  <c r="F12" i="6"/>
  <c r="F12" i="8" s="1"/>
  <c r="L3" i="8"/>
  <c r="Q3" i="6"/>
  <c r="Q3" i="8" s="1"/>
  <c r="Y3" i="6"/>
  <c r="Y3" i="8" s="1"/>
  <c r="M3" i="6"/>
  <c r="M3" i="8" s="1"/>
  <c r="Z3" i="6"/>
  <c r="Z3" i="8" s="1"/>
  <c r="R3" i="6"/>
  <c r="R3" i="8" s="1"/>
  <c r="S3" i="6"/>
  <c r="S3" i="8" s="1"/>
  <c r="AA3" i="6"/>
  <c r="AA3" i="8" s="1"/>
  <c r="AB3" i="6"/>
  <c r="AB3" i="8" s="1"/>
  <c r="AC3" i="6"/>
  <c r="AC3" i="8" s="1"/>
  <c r="T3" i="6"/>
  <c r="T3" i="8" s="1"/>
  <c r="U3" i="6"/>
  <c r="U3" i="8" s="1"/>
  <c r="N3" i="6"/>
  <c r="N3" i="8" s="1"/>
  <c r="V3" i="6"/>
  <c r="V3" i="8" s="1"/>
  <c r="AD3" i="6"/>
  <c r="AD3" i="8" s="1"/>
  <c r="O3" i="6"/>
  <c r="O3" i="8" s="1"/>
  <c r="W3" i="6"/>
  <c r="W3" i="8" s="1"/>
  <c r="AE3" i="6"/>
  <c r="AE3" i="8" s="1"/>
  <c r="P3" i="6"/>
  <c r="P3" i="8" s="1"/>
  <c r="X3" i="6"/>
  <c r="X3" i="8" s="1"/>
  <c r="E3" i="8"/>
  <c r="J3" i="6"/>
  <c r="J3" i="8" s="1"/>
  <c r="F3" i="6"/>
  <c r="F3" i="8" s="1"/>
  <c r="K3" i="6"/>
  <c r="K3" i="8" s="1"/>
  <c r="G3" i="6"/>
  <c r="G3" i="8" s="1"/>
  <c r="H3" i="6"/>
  <c r="H3" i="8" s="1"/>
  <c r="D3" i="6"/>
  <c r="D3" i="8" s="1"/>
  <c r="I3" i="6"/>
  <c r="I3" i="8" s="1"/>
  <c r="C3" i="6"/>
  <c r="C3" i="8" s="1"/>
  <c r="D12" i="6"/>
  <c r="D12" i="8" s="1"/>
  <c r="B12" i="8"/>
  <c r="C12" i="6"/>
  <c r="C12" i="8" s="1"/>
  <c r="G8" i="6"/>
  <c r="G8" i="8" s="1"/>
  <c r="B8" i="8"/>
  <c r="C8" i="6"/>
  <c r="C8" i="8" s="1"/>
  <c r="D8" i="6"/>
  <c r="D8" i="8" s="1"/>
  <c r="AB8" i="6"/>
  <c r="AB8" i="8" s="1"/>
  <c r="T8" i="6"/>
  <c r="T8" i="8" s="1"/>
  <c r="AA8" i="6"/>
  <c r="AA8" i="8" s="1"/>
  <c r="K8" i="6"/>
  <c r="K8" i="8" s="1"/>
  <c r="R8" i="6"/>
  <c r="R8" i="8" s="1"/>
  <c r="M8" i="6"/>
  <c r="M8" i="8" s="1"/>
  <c r="AC8" i="6"/>
  <c r="AC8" i="8" s="1"/>
  <c r="U8" i="6"/>
  <c r="U8" i="8" s="1"/>
  <c r="J8" i="6"/>
  <c r="J8" i="8" s="1"/>
  <c r="Y8" i="6"/>
  <c r="Y8" i="8" s="1"/>
  <c r="Q8" i="6"/>
  <c r="Q8" i="8" s="1"/>
  <c r="E8" i="8"/>
  <c r="F8" i="6"/>
  <c r="F8" i="8" s="1"/>
  <c r="I8" i="6"/>
  <c r="I8" i="8" s="1"/>
  <c r="X8" i="6"/>
  <c r="X8" i="8" s="1"/>
  <c r="P8" i="6"/>
  <c r="P8" i="8" s="1"/>
  <c r="L8" i="8"/>
  <c r="H8" i="6"/>
  <c r="H8" i="8" s="1"/>
  <c r="AE8" i="6"/>
  <c r="AE8" i="8" s="1"/>
  <c r="W8" i="6"/>
  <c r="W8" i="8" s="1"/>
  <c r="O8" i="6"/>
  <c r="O8" i="8" s="1"/>
  <c r="S8" i="6"/>
  <c r="S8" i="8" s="1"/>
  <c r="Z8" i="6"/>
  <c r="Z8" i="8" s="1"/>
  <c r="AD8" i="6"/>
  <c r="AD8" i="8" s="1"/>
  <c r="V8" i="6"/>
  <c r="V8" i="8" s="1"/>
  <c r="P13" i="6"/>
  <c r="P13" i="8" s="1"/>
  <c r="AE13" i="6"/>
  <c r="AE13" i="8" s="1"/>
  <c r="W13" i="6"/>
  <c r="W13" i="8" s="1"/>
  <c r="O13" i="6"/>
  <c r="O13" i="8" s="1"/>
  <c r="AD2" i="6"/>
  <c r="AD2" i="8" s="1"/>
  <c r="V2" i="6"/>
  <c r="V2" i="8" s="1"/>
  <c r="N2" i="6"/>
  <c r="N2" i="8" s="1"/>
  <c r="L2" i="8"/>
  <c r="I13" i="6"/>
  <c r="I13" i="8" s="1"/>
  <c r="F2" i="6"/>
  <c r="F2" i="8" s="1"/>
  <c r="AD13" i="6"/>
  <c r="AD13" i="8" s="1"/>
  <c r="V13" i="6"/>
  <c r="V13" i="8" s="1"/>
  <c r="N13" i="6"/>
  <c r="N13" i="8" s="1"/>
  <c r="AC2" i="6"/>
  <c r="AC2" i="8" s="1"/>
  <c r="U2" i="6"/>
  <c r="U2" i="8" s="1"/>
  <c r="J2" i="6"/>
  <c r="J2" i="8" s="1"/>
  <c r="AC13" i="6"/>
  <c r="AC13" i="8" s="1"/>
  <c r="U13" i="6"/>
  <c r="U13" i="8" s="1"/>
  <c r="AB2" i="6"/>
  <c r="AB2" i="8" s="1"/>
  <c r="T2" i="6"/>
  <c r="T2" i="8" s="1"/>
  <c r="L13" i="8"/>
  <c r="AB13" i="6"/>
  <c r="AB13" i="8" s="1"/>
  <c r="AA2" i="6"/>
  <c r="AA2" i="8" s="1"/>
  <c r="S13" i="6"/>
  <c r="S13" i="8" s="1"/>
  <c r="R2" i="6"/>
  <c r="R2" i="8" s="1"/>
  <c r="I2" i="6"/>
  <c r="I2" i="8" s="1"/>
  <c r="M13" i="6"/>
  <c r="M13" i="8" s="1"/>
  <c r="Z13" i="6"/>
  <c r="Z13" i="8" s="1"/>
  <c r="R13" i="6"/>
  <c r="R13" i="8" s="1"/>
  <c r="Y2" i="6"/>
  <c r="Y2" i="8" s="1"/>
  <c r="Q2" i="6"/>
  <c r="Q2" i="8" s="1"/>
  <c r="T13" i="6"/>
  <c r="T13" i="8" s="1"/>
  <c r="S2" i="6"/>
  <c r="S2" i="8" s="1"/>
  <c r="H13" i="6"/>
  <c r="H13" i="8" s="1"/>
  <c r="AA13" i="6"/>
  <c r="AA13" i="8" s="1"/>
  <c r="Z2" i="6"/>
  <c r="Z2" i="8" s="1"/>
  <c r="H2" i="6"/>
  <c r="H2" i="8" s="1"/>
  <c r="Y13" i="6"/>
  <c r="Y13" i="8" s="1"/>
  <c r="Q13" i="6"/>
  <c r="Q13" i="8" s="1"/>
  <c r="X2" i="6"/>
  <c r="X2" i="8" s="1"/>
  <c r="P2" i="6"/>
  <c r="P2" i="8" s="1"/>
  <c r="G2" i="6"/>
  <c r="G2" i="8" s="1"/>
  <c r="X13" i="6"/>
  <c r="X13" i="8" s="1"/>
  <c r="AE2" i="6"/>
  <c r="AE2" i="8" s="1"/>
  <c r="W2" i="6"/>
  <c r="W2" i="8" s="1"/>
  <c r="G13" i="6"/>
  <c r="G13" i="8" s="1"/>
  <c r="K2" i="6"/>
  <c r="K2" i="8" s="1"/>
  <c r="K13" i="6"/>
  <c r="K13" i="8" s="1"/>
  <c r="F13" i="6"/>
  <c r="F13" i="8" s="1"/>
  <c r="J13" i="6"/>
  <c r="J13" i="8" s="1"/>
  <c r="D13" i="6"/>
  <c r="D13" i="8" s="1"/>
  <c r="C13" i="6"/>
  <c r="C13" i="8" s="1"/>
  <c r="B2" i="8"/>
  <c r="L4" i="9"/>
  <c r="E4" i="9"/>
  <c r="D4" i="6"/>
  <c r="D4" i="8" s="1"/>
  <c r="Y4" i="6"/>
  <c r="Y4" i="8" s="1"/>
  <c r="Q4" i="6"/>
  <c r="Q4" i="8" s="1"/>
  <c r="K4" i="6"/>
  <c r="K4" i="8" s="1"/>
  <c r="X4" i="6"/>
  <c r="X4" i="8" s="1"/>
  <c r="P4" i="6"/>
  <c r="P4" i="8" s="1"/>
  <c r="E4" i="8"/>
  <c r="AE4" i="6"/>
  <c r="AE4" i="8" s="1"/>
  <c r="W4" i="6"/>
  <c r="W4" i="8" s="1"/>
  <c r="O4" i="6"/>
  <c r="O4" i="8" s="1"/>
  <c r="B4" i="8"/>
  <c r="E15" i="16"/>
  <c r="E36" i="16"/>
  <c r="B35" i="16"/>
  <c r="D15" i="16"/>
  <c r="D36" i="16"/>
  <c r="C15" i="16"/>
  <c r="C36" i="16"/>
  <c r="I4" i="9" l="1"/>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<sst xmlns="http://schemas.openxmlformats.org/spreadsheetml/2006/main" count="297" uniqueCount="134">
  <si>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</si>
  <si>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</si>
  <si>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</si>
  <si>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</si>
  <si>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</si>
  <si>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</si>
  <si>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</si>
  <si>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</si>
  <si>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</si>
  <si>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</si>
  <si>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</si>
  <si>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</si>
  <si>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</si>
  <si>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</si>
  <si>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</si>
  <si>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</si>
  <si>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</si>
  <si>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</si>
  <si>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</si>
  <si>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</si>
  <si>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</si>
  <si>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</si>
  <si>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</si>
  <si>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</si>
  <si>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</si>
  <si>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</si>
  <si>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</si>
  <si>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</si>
  <si>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</si>
  <si>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Solar PV</t>
  </si>
  <si>
    <t>Wind - offshore</t>
  </si>
  <si>
    <t>Biomass</t>
  </si>
  <si>
    <t>nuclear</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</si>
  <si>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</si>
  <si>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</si>
  <si>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</si>
  <si>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</si>
  <si>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</si>
  <si>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</si>
  <si>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</si>
  <si>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</si>
  <si>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</si>
  <si>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</si>
  <si>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</si>
  <si>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</si>
  <si>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</si>
  <si>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</si>
  <si>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</si>
  <si>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</si>
  <si>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</si>
  <si>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</si>
  <si>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</si>
  <si>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</si>
  <si>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</si>
  <si>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</si>
  <si>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</si>
  <si>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</si>
  <si>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</si>
  <si>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</si>
  <si>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</si>
  <si>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</si>
  <si>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</si>
  <si>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</si>
  <si>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</si>
  <si>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</si>
  <si>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</si>
  <si>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</si>
  <si>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</si>
  <si>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</si>
  <si>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</si>
  <si>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</si>
  <si>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</si>
  <si>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</si>
  <si>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</si>
  <si>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</si>
  <si>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</si>
  <si>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</si>
  <si>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</si>
  <si>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</si>
  <si>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</si>
  <si>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</si>
  <si>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</si>
  <si>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</si>
  <si>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</si>
  <si>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</si>
  <si>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</si>
  <si>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</si>
  <si>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</si>
  <si>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</si>
  <si>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</si>
  <si>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</si>
  <si>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</si>
  <si>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</si>
  <si>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</si>
  <si>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</si>
  <si>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</si>
  <si>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</si>
  <si>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</si>
  <si>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</si>
  <si>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</si>
  <si>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</si>
  <si>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</si>
  <si>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</si>
  <si>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</si>
  <si>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</si>
  <si>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</si>
  <si>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</si>
  <si>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</si>
  <si>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</si>
  <si>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</si>
  <si>
    <t>Available capital cost data (2019 $/MW)</t>
  </si>
  <si>
    <t>M$ to $</t>
  </si>
  <si>
    <t>NREL CAPEX ($/kW)</t>
  </si>
  <si>
    <t>Model Electricity Source</t>
  </si>
  <si>
    <t>NREL Electricity Source</t>
  </si>
  <si>
    <t>Nuclear - Moderate</t>
  </si>
  <si>
    <t>NREL O&amp;M Cost</t>
  </si>
  <si>
    <t>Model Subscript</t>
  </si>
  <si>
    <t>EIA Technology Name</t>
  </si>
  <si>
    <t>Variable O&amp;M ($/MWh)</t>
  </si>
  <si>
    <t>Fixed O&amp;M ($/kW-yr)</t>
  </si>
  <si>
    <t>Currency Year</t>
  </si>
  <si>
    <t>Source</t>
  </si>
  <si>
    <t>NREL ATB</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</si>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</sst>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9" x14ac:knownFonts="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b/>
      <sz val="11"/>
      <color rgb="FF000000"/>
      <name val="Calibri"/>
      <family val="2"/>
      <scheme val="minor"/>
    </font>
    <font>
      <sz val="11"/>
      <color rgb="FF000000"/>
      <name val="Calibri"/>
      <family val="2"/>
      <scheme val="minor"/>
    </font>
  </fonts>
  <fills count="4">
    <fill>
      <patternFill patternType="none"/>
    </fill>
    <fill>
      <patternFill patternType="gray125"/>
    </fill>
    <fill>
      <patternFill patternType="solid">
        <fgColor rgb="FFBFBFBF"/>
        <bgColor rgb="FFBFBFBF"/>
      </patternFill>
    </fill>
    <fill>
      <patternFill patternType="solid">
        <fgColor rgb="FFFFFF00"/>
        <bgColor rgb="FFFFFF00"/>
      </patternFill>
    </fill>
  </fills>
  <borders count="2">
    <border>
      <left/>
      <right/>
      <top/>
      <bottom/>
      <diagonal/>
    </border>
    <border>
      <left/>
      <right/>
      <top/>
      <bottom/>
      <diagonal/>
    </border>
  </borders>
  <cellStyleXfs count="1">
    <xf numFmtId="0" fontId="0" fillId="0" borderId="0"/>
  </cellStyleXfs>
  <cellXfs count="46">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2" borderId="1" xfId="0" applyFont="1" applyFill="1" applyBorder="1"/>
    <xf numFmtId="9" fontId="2" fillId="0" borderId="0" xfId="0" applyNumberFormat="1" applyFont="1"/>
    <xf numFmtId="0" fontId="2" fillId="0" borderId="0" xfId="0" applyFont="1"/>
    <xf numFmtId="0" fontId="1" fillId="0" borderId="0" xfId="0" applyFont="1" applyAlignment="1">
      <alignment wrapText="1"/>
    </xf>
    <xf numFmtId="2" fontId="2" fillId="0" borderId="0" xfId="0" applyNumberFormat="1" applyFont="1"/>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5" fillId="0" borderId="0" xfId="0" applyFont="1"/>
    <xf numFmtId="1" fontId="2" fillId="2" borderId="1" xfId="0" applyNumberFormat="1" applyFont="1" applyFill="1" applyBorder="1"/>
    <xf numFmtId="0" fontId="6" fillId="0" borderId="0" xfId="0" applyFont="1"/>
    <xf numFmtId="3" fontId="3" fillId="0" borderId="0" xfId="0" applyNumberFormat="1" applyFont="1"/>
    <xf numFmtId="0" fontId="6"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2" fillId="0" borderId="0" xfId="0" applyNumberFormat="1" applyFont="1"/>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0" fontId="2" fillId="0" borderId="0" xfId="0" applyFont="1" applyAlignment="1">
      <alignment horizontal="center"/>
    </xf>
    <xf numFmtId="0" fontId="7" fillId="3" borderId="1" xfId="0" applyFont="1" applyFill="1" applyBorder="1"/>
    <xf numFmtId="0" fontId="8" fillId="0" borderId="0" xfId="0" applyFont="1"/>
    <xf numFmtId="0" fontId="8" fillId="0" borderId="1" xfId="0" applyFont="1" applyBorder="1"/>
    <xf numFmtId="0" fontId="7" fillId="2" borderId="1" xfId="0" applyFont="1" applyFill="1" applyBorder="1"/>
    <xf numFmtId="9" fontId="8" fillId="0" borderId="1" xfId="0" applyNumberFormat="1" applyFont="1" applyBorder="1"/>
    <xf numFmtId="0" fontId="7" fillId="0" borderId="1" xfId="0" applyFont="1" applyBorder="1"/>
    <xf numFmtId="164" fontId="8" fillId="0" borderId="1" xfId="0" applyNumberFormat="1" applyFont="1" applyBorder="1"/>
    <xf numFmtId="0" fontId="8" fillId="0" borderId="0" xfId="0" applyFont="1" applyAlignment="1">
      <alignment wrapText="1"/>
    </xf>
    <xf numFmtId="0" fontId="8" fillId="0" borderId="0" xfId="0" applyFont="1"/>
    <xf numFmtId="0" fontId="6" fillId="0" borderId="0" xfId="0" applyFont="1" applyAlignment="1">
      <alignment horizontal="left" vertical="top"/>
    </xf>
    <xf numFmtId="0" fontId="0" fillId="0" borderId="0" xfId="0" applyNumberFormat="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9" sqref="B9"/>
    </sheetView>
  </sheetViews>
  <sheetFormatPr baseColWidth="10" defaultColWidth="14.5" defaultRowHeight="15" customHeight="1" x14ac:dyDescent="0.2"/>
  <cols>
    <col min="1" max="1" width="8.6640625" customWidth="1"/>
    <col min="2" max="2" width="58.1640625" customWidth="1"/>
    <col min="3" max="26" width="8.6640625" customWidth="1"/>
  </cols>
  <sheetData>
    <row r="1" spans="1:2" ht="14.25" customHeight="1" x14ac:dyDescent="0.2">
      <c r="A1" s="1" t="s">
        <v>0</v>
      </c>
      <c r="B1" s="2"/>
    </row>
    <row r="2" spans="1:2" ht="14.25" customHeight="1" x14ac:dyDescent="0.2">
      <c r="A2" s="1" t="s">
        <v>1</v>
      </c>
      <c r="B2" s="2"/>
    </row>
    <row r="3" spans="1:2" ht="14.25" customHeight="1" x14ac:dyDescent="0.2">
      <c r="A3" s="1" t="s">
        <v>2</v>
      </c>
      <c r="B3" s="2"/>
    </row>
    <row r="4" spans="1:2" ht="14.25" customHeight="1" x14ac:dyDescent="0.2">
      <c r="A4" s="1" t="s">
        <v>3</v>
      </c>
      <c r="B4" s="2"/>
    </row>
    <row r="5" spans="1:2" ht="14.25" customHeight="1" x14ac:dyDescent="0.2">
      <c r="A5" s="2"/>
      <c r="B5" s="2"/>
    </row>
    <row r="6" spans="1:2" ht="14.25" customHeight="1" x14ac:dyDescent="0.2">
      <c r="A6" s="3" t="s">
        <v>4</v>
      </c>
      <c r="B6" s="4" t="s">
        <v>5</v>
      </c>
    </row>
    <row r="7" spans="1:2" ht="14.25" customHeight="1" x14ac:dyDescent="0.2">
      <c r="A7" s="2"/>
      <c r="B7" s="5" t="s">
        <v>6</v>
      </c>
    </row>
    <row r="8" spans="1:2" ht="14.25" customHeight="1" x14ac:dyDescent="0.2">
      <c r="A8" s="2"/>
      <c r="B8" s="2" t="s">
        <v>109</v>
      </c>
    </row>
    <row r="9" spans="1:2" ht="14.25" customHeight="1" x14ac:dyDescent="0.2">
      <c r="A9" s="2"/>
      <c r="B9" s="5" t="s">
        <v>7</v>
      </c>
    </row>
    <row r="10" spans="1:2" ht="14.25" customHeight="1" x14ac:dyDescent="0.2">
      <c r="A10" s="2"/>
      <c r="B10" s="6" t="s">
        <v>8</v>
      </c>
    </row>
    <row r="11" spans="1:2" ht="14.25" customHeight="1" x14ac:dyDescent="0.2">
      <c r="A11" s="2"/>
    </row>
    <row r="12" spans="1:2" ht="14.25" customHeight="1" x14ac:dyDescent="0.2">
      <c r="A12" s="2"/>
      <c r="B12" s="7" t="s">
        <v>9</v>
      </c>
    </row>
    <row r="13" spans="1:2" ht="14.25" customHeight="1" x14ac:dyDescent="0.2">
      <c r="A13" s="2"/>
      <c r="B13" s="5" t="s">
        <v>10</v>
      </c>
    </row>
    <row r="14" spans="1:2" ht="14.25" customHeight="1" x14ac:dyDescent="0.2">
      <c r="A14" s="2"/>
      <c r="B14" s="2">
        <v>2020</v>
      </c>
    </row>
    <row r="15" spans="1:2" ht="14.25" customHeight="1" x14ac:dyDescent="0.2">
      <c r="A15" s="2"/>
      <c r="B15" s="2" t="s">
        <v>10</v>
      </c>
    </row>
    <row r="16" spans="1:2" ht="14.25" customHeight="1" x14ac:dyDescent="0.2">
      <c r="A16" s="2"/>
      <c r="B16" s="6" t="s">
        <v>11</v>
      </c>
    </row>
    <row r="17" spans="1:2" ht="14.25" customHeight="1" x14ac:dyDescent="0.2">
      <c r="A17" s="2"/>
      <c r="B17" s="5" t="s">
        <v>12</v>
      </c>
    </row>
    <row r="18" spans="1:2" ht="14.25" customHeight="1" x14ac:dyDescent="0.2">
      <c r="A18" s="2"/>
    </row>
    <row r="19" spans="1:2" ht="14.25" customHeight="1" x14ac:dyDescent="0.2">
      <c r="B19" s="7" t="s">
        <v>13</v>
      </c>
    </row>
    <row r="20" spans="1:2" ht="14.25" customHeight="1" x14ac:dyDescent="0.2">
      <c r="B20" s="5" t="s">
        <v>14</v>
      </c>
    </row>
    <row r="21" spans="1:2" ht="14.25" customHeight="1" x14ac:dyDescent="0.2">
      <c r="B21" s="2">
        <v>2020</v>
      </c>
    </row>
    <row r="22" spans="1:2" ht="14.25" customHeight="1" x14ac:dyDescent="0.2">
      <c r="B22" s="5" t="s">
        <v>15</v>
      </c>
    </row>
    <row r="23" spans="1:2" ht="14.25" customHeight="1" x14ac:dyDescent="0.2">
      <c r="B23" s="6" t="s">
        <v>16</v>
      </c>
    </row>
    <row r="24" spans="1:2" ht="14.25" customHeight="1" x14ac:dyDescent="0.2">
      <c r="B24" s="5" t="s">
        <v>17</v>
      </c>
    </row>
    <row r="25" spans="1:2" ht="14.25" customHeight="1" x14ac:dyDescent="0.2"/>
    <row r="26" spans="1:2" ht="14.25" customHeight="1" x14ac:dyDescent="0.2">
      <c r="A26" s="3" t="s">
        <v>18</v>
      </c>
      <c r="B26" s="5" t="s">
        <v>19</v>
      </c>
    </row>
    <row r="27" spans="1:2" ht="14.25" customHeight="1" x14ac:dyDescent="0.2">
      <c r="B27" s="8" t="s">
        <v>20</v>
      </c>
    </row>
    <row r="28" spans="1:2" ht="14.25" customHeight="1" x14ac:dyDescent="0.2">
      <c r="B28" s="8" t="s">
        <v>21</v>
      </c>
    </row>
    <row r="29" spans="1:2" ht="14.25" customHeight="1" x14ac:dyDescent="0.2">
      <c r="B29" s="8" t="s">
        <v>22</v>
      </c>
    </row>
    <row r="30" spans="1:2" ht="14.25" customHeight="1" x14ac:dyDescent="0.2">
      <c r="B30" s="8" t="s">
        <v>23</v>
      </c>
    </row>
    <row r="31" spans="1:2" ht="14.25" customHeight="1" x14ac:dyDescent="0.2">
      <c r="B31" s="8" t="s">
        <v>24</v>
      </c>
    </row>
    <row r="32" spans="1:2" ht="14.25" customHeight="1" x14ac:dyDescent="0.2"/>
    <row r="33" spans="1:2" ht="14.25" customHeight="1" x14ac:dyDescent="0.2">
      <c r="A33" s="1" t="s">
        <v>25</v>
      </c>
    </row>
    <row r="34" spans="1:2" ht="14.25" customHeight="1" x14ac:dyDescent="0.2">
      <c r="A34" s="5">
        <v>1.02</v>
      </c>
      <c r="B34" s="8" t="s">
        <v>26</v>
      </c>
    </row>
    <row r="35" spans="1:2" ht="14.25" customHeight="1" x14ac:dyDescent="0.2">
      <c r="A35" s="5">
        <v>0.99</v>
      </c>
      <c r="B35" s="8" t="s">
        <v>27</v>
      </c>
    </row>
    <row r="36" spans="1:2" ht="14.25" customHeight="1" x14ac:dyDescent="0.2"/>
    <row r="37" spans="1:2" ht="14.25" customHeight="1" x14ac:dyDescent="0.2"/>
    <row r="38" spans="1:2" ht="14.25" customHeight="1" x14ac:dyDescent="0.2"/>
    <row r="39" spans="1:2" ht="14.25" customHeight="1" x14ac:dyDescent="0.2"/>
    <row r="40" spans="1:2" ht="14.25" customHeight="1" x14ac:dyDescent="0.2"/>
    <row r="41" spans="1:2" ht="14.25" customHeight="1" x14ac:dyDescent="0.2"/>
    <row r="42" spans="1:2" ht="14.25" customHeight="1" x14ac:dyDescent="0.2"/>
    <row r="43" spans="1:2" ht="14.25" customHeight="1" x14ac:dyDescent="0.2"/>
    <row r="44" spans="1:2" ht="14.25" customHeight="1" x14ac:dyDescent="0.2"/>
    <row r="45" spans="1:2" ht="14.25" customHeight="1" x14ac:dyDescent="0.2"/>
    <row r="46" spans="1:2" ht="14.25" customHeight="1" x14ac:dyDescent="0.2"/>
    <row r="47" spans="1:2" ht="14.25" customHeight="1" x14ac:dyDescent="0.2"/>
    <row r="48" spans="1:2"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692CB-8043-6645-A43F-ECD53557F2E0}">
  <dimension ref="A1:F16"/>
  <sheetViews>
    <sheetView workbookViewId="0">
      <selection activeCell="I14" sqref="I14"/>
    </sheetView>
  </sheetViews>
  <sheetFormatPr baseColWidth="10" defaultRowHeight="15" x14ac:dyDescent="0.2"/>
  <sheetData>
    <row r="1" spans="1:6" x14ac:dyDescent="0.2">
      <c r="A1" s="9" t="s">
        <v>110</v>
      </c>
      <c r="B1" s="9"/>
      <c r="C1" s="9"/>
      <c r="E1" s="5" t="s">
        <v>111</v>
      </c>
      <c r="F1" s="5">
        <f>10^6</f>
        <v>1000000</v>
      </c>
    </row>
    <row r="2" spans="1:6" x14ac:dyDescent="0.2">
      <c r="B2" s="1">
        <v>2020</v>
      </c>
      <c r="C2" s="1">
        <v>2030</v>
      </c>
      <c r="D2" s="1">
        <v>2050</v>
      </c>
    </row>
    <row r="3" spans="1:6" x14ac:dyDescent="0.2">
      <c r="A3" s="11" t="s">
        <v>33</v>
      </c>
      <c r="B3" s="14">
        <f>#REF!*$F$1</f>
        <v>1650000</v>
      </c>
      <c r="C3" s="14">
        <f>#REF!*$F$1</f>
        <v>1600000</v>
      </c>
      <c r="D3" s="14">
        <f>#REF!*$F$1</f>
        <v>1550000</v>
      </c>
    </row>
    <row r="4" spans="1:6" x14ac:dyDescent="0.2">
      <c r="A4" s="11" t="s">
        <v>34</v>
      </c>
      <c r="B4" s="5">
        <f>#REF!*$F$1</f>
        <v>770000</v>
      </c>
      <c r="C4" s="5">
        <f>#REF!*$F$1</f>
        <v>730000</v>
      </c>
      <c r="D4" s="5">
        <f>#REF!*$F$1</f>
        <v>680000</v>
      </c>
    </row>
    <row r="5" spans="1:6" x14ac:dyDescent="0.2">
      <c r="A5" s="11" t="s">
        <v>35</v>
      </c>
      <c r="B5" s="5">
        <f>#REF!*'capital processing'!$F$1</f>
        <v>2080000</v>
      </c>
      <c r="C5" s="5">
        <f>#REF!*'capital processing'!$F$1</f>
        <v>2000000</v>
      </c>
      <c r="D5" s="5">
        <f>#REF!*'capital processing'!$F$1</f>
        <v>1850000</v>
      </c>
    </row>
    <row r="6" spans="1:6" x14ac:dyDescent="0.2">
      <c r="A6" s="11" t="s">
        <v>36</v>
      </c>
      <c r="B6" s="5">
        <f>#REF!*'capital processing'!$F$1</f>
        <v>1500000</v>
      </c>
      <c r="C6" s="5">
        <f>#REF!*'capital processing'!$F$1</f>
        <v>1280000</v>
      </c>
      <c r="D6" s="5">
        <f>#REF!*'capital processing'!$F$1</f>
        <v>1080000</v>
      </c>
    </row>
    <row r="7" spans="1:6" x14ac:dyDescent="0.2">
      <c r="A7" s="11" t="s">
        <v>37</v>
      </c>
      <c r="B7" s="5">
        <f>#REF!*'capital processing'!$F$1</f>
        <v>790000</v>
      </c>
      <c r="C7" s="5">
        <f>#REF!*'capital processing'!$F$1</f>
        <v>560000</v>
      </c>
      <c r="D7" s="5">
        <f>#REF!*'capital processing'!$F$1</f>
        <v>410000</v>
      </c>
    </row>
    <row r="8" spans="1:6" x14ac:dyDescent="0.2">
      <c r="A8" s="11" t="s">
        <v>38</v>
      </c>
      <c r="B8" s="5">
        <f>#REF!*'capital processing'!$F$1</f>
        <v>2000000</v>
      </c>
      <c r="C8" s="5">
        <f>#REF!*'capital processing'!$F$1</f>
        <v>1820000</v>
      </c>
      <c r="D8" s="5">
        <f>#REF!*'capital processing'!$F$1</f>
        <v>1600000</v>
      </c>
    </row>
    <row r="9" spans="1:6" x14ac:dyDescent="0.2">
      <c r="A9" s="11" t="s">
        <v>39</v>
      </c>
      <c r="B9" s="5">
        <f>#REF!*$F$1</f>
        <v>4000000</v>
      </c>
      <c r="C9" s="5">
        <f>#REF!*$F$1</f>
        <v>3440000</v>
      </c>
      <c r="D9" s="5">
        <f>#REF!*$F$1</f>
        <v>2840000</v>
      </c>
    </row>
    <row r="10" spans="1:6" x14ac:dyDescent="0.2">
      <c r="A10" s="11" t="s">
        <v>40</v>
      </c>
      <c r="B10" s="14">
        <f>#REF!*$F$1</f>
        <v>800000</v>
      </c>
      <c r="C10" s="14">
        <f>#REF!*$F$1</f>
        <v>800000</v>
      </c>
      <c r="D10" s="14">
        <f>#REF!*$F$1</f>
        <v>780000</v>
      </c>
    </row>
    <row r="11" spans="1:6" x14ac:dyDescent="0.2">
      <c r="A11" s="11" t="s">
        <v>41</v>
      </c>
      <c r="B11" s="5">
        <f>#REF!*$F$1</f>
        <v>690000</v>
      </c>
      <c r="C11" s="5">
        <f>#REF!*$F$1</f>
        <v>660000</v>
      </c>
      <c r="D11" s="5">
        <f>#REF!*$F$1</f>
        <v>610000</v>
      </c>
    </row>
    <row r="12" spans="1:6" x14ac:dyDescent="0.2">
      <c r="A12" s="11" t="s">
        <v>42</v>
      </c>
      <c r="B12" s="14">
        <f>B3</f>
        <v>1650000</v>
      </c>
      <c r="C12" s="14">
        <f>C3</f>
        <v>1600000</v>
      </c>
      <c r="D12" s="14">
        <f>D3</f>
        <v>1550000</v>
      </c>
    </row>
    <row r="13" spans="1:6" x14ac:dyDescent="0.2">
      <c r="A13" s="11" t="s">
        <v>43</v>
      </c>
      <c r="B13" s="5">
        <f>#REF!*$F$1</f>
        <v>3500000</v>
      </c>
      <c r="C13" s="5">
        <f>#REF!*$F$1</f>
        <v>2980000</v>
      </c>
      <c r="D13" s="5">
        <f>#REF!*$F$1</f>
        <v>2520000</v>
      </c>
    </row>
    <row r="14" spans="1:6" x14ac:dyDescent="0.2">
      <c r="A14" s="11" t="s">
        <v>44</v>
      </c>
      <c r="B14" s="14">
        <f t="shared" ref="B14:D14" si="0">B10</f>
        <v>800000</v>
      </c>
      <c r="C14" s="14">
        <f t="shared" si="0"/>
        <v>800000</v>
      </c>
      <c r="D14" s="14">
        <f t="shared" si="0"/>
        <v>780000</v>
      </c>
    </row>
    <row r="15" spans="1:6" x14ac:dyDescent="0.2">
      <c r="A15" s="11" t="s">
        <v>45</v>
      </c>
      <c r="B15" s="14">
        <f t="shared" ref="B15:D15" si="1">B10</f>
        <v>800000</v>
      </c>
      <c r="C15" s="14">
        <f t="shared" si="1"/>
        <v>800000</v>
      </c>
      <c r="D15" s="14">
        <f t="shared" si="1"/>
        <v>780000</v>
      </c>
    </row>
    <row r="16" spans="1:6" x14ac:dyDescent="0.2">
      <c r="A16" s="11" t="s">
        <v>46</v>
      </c>
      <c r="B16" s="5">
        <f>#REF!*$F$1</f>
        <v>690000</v>
      </c>
      <c r="C16" s="5">
        <f>#REF!*$F$1</f>
        <v>660000</v>
      </c>
      <c r="D16" s="5">
        <f>#REF!*$F$1</f>
        <v>610000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B9E15-9528-604A-89CE-684A72990B63}">
  <dimension ref="A1:AI6"/>
  <sheetViews>
    <sheetView workbookViewId="0">
      <selection sqref="A1:AI6"/>
    </sheetView>
  </sheetViews>
  <sheetFormatPr baseColWidth="10" defaultRowHeight="15" x14ac:dyDescent="0.2"/>
  <sheetData>
    <row r="1" spans="1:35" x14ac:dyDescent="0.2">
      <c r="A1" s="9" t="s">
        <v>112</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48" x14ac:dyDescent="0.2">
      <c r="A2" s="12" t="s">
        <v>113</v>
      </c>
      <c r="B2" s="12" t="s">
        <v>114</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x14ac:dyDescent="0.2">
      <c r="A3" s="5" t="s">
        <v>32</v>
      </c>
      <c r="B3" s="5" t="s">
        <v>115</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x14ac:dyDescent="0.2">
      <c r="A4" s="9" t="s">
        <v>116</v>
      </c>
      <c r="B4" s="30"/>
      <c r="C4" s="30"/>
      <c r="D4" s="30"/>
      <c r="E4" s="30"/>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row>
    <row r="5" spans="1:35" ht="48" x14ac:dyDescent="0.2">
      <c r="A5" s="12" t="s">
        <v>117</v>
      </c>
      <c r="B5" s="12" t="s">
        <v>118</v>
      </c>
      <c r="C5" s="31" t="s">
        <v>119</v>
      </c>
      <c r="D5" s="31" t="s">
        <v>120</v>
      </c>
      <c r="E5" s="32" t="s">
        <v>121</v>
      </c>
      <c r="F5" s="12" t="s">
        <v>122</v>
      </c>
    </row>
    <row r="6" spans="1:35" x14ac:dyDescent="0.2">
      <c r="A6" s="5" t="s">
        <v>32</v>
      </c>
      <c r="B6" s="5" t="s">
        <v>115</v>
      </c>
      <c r="C6" s="13">
        <v>2.3182711198428287</v>
      </c>
      <c r="D6" s="13">
        <v>118.98821218074656</v>
      </c>
      <c r="E6" s="33">
        <v>2018</v>
      </c>
      <c r="F6" s="5" t="s">
        <v>123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D41F2-0F7F-E24D-91AE-DC34166C5A22}">
  <dimension ref="A1:AG13"/>
  <sheetViews>
    <sheetView workbookViewId="0">
      <selection activeCell="E23" sqref="E23"/>
    </sheetView>
  </sheetViews>
  <sheetFormatPr baseColWidth="10" defaultRowHeight="15" x14ac:dyDescent="0.2"/>
  <sheetData>
    <row r="1" spans="1:33" x14ac:dyDescent="0.2">
      <c r="A1" s="34" t="s">
        <v>124</v>
      </c>
      <c r="B1" s="35" t="s">
        <v>125</v>
      </c>
      <c r="C1" s="35"/>
      <c r="D1" s="35"/>
      <c r="E1" s="35"/>
      <c r="F1" s="35"/>
      <c r="G1" s="35"/>
      <c r="H1" s="36"/>
      <c r="I1" s="36"/>
      <c r="J1" s="36"/>
      <c r="K1" s="36"/>
      <c r="L1" s="36"/>
      <c r="M1" s="36"/>
      <c r="N1" s="36"/>
      <c r="O1" s="36"/>
      <c r="P1" s="36"/>
      <c r="Q1" s="36"/>
      <c r="R1" s="36"/>
      <c r="S1" s="36"/>
      <c r="T1" s="36"/>
      <c r="U1" s="36"/>
      <c r="V1" s="36"/>
      <c r="W1" s="36"/>
      <c r="X1" s="36"/>
      <c r="Y1" s="36"/>
      <c r="Z1" s="36"/>
      <c r="AA1" s="36"/>
      <c r="AB1" s="36"/>
      <c r="AC1" s="36"/>
      <c r="AD1" s="36"/>
      <c r="AE1" s="36"/>
      <c r="AF1" s="36"/>
      <c r="AG1" s="36"/>
    </row>
    <row r="2" spans="1:33" x14ac:dyDescent="0.2">
      <c r="A2" s="37" t="s">
        <v>126</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row>
    <row r="3" spans="1:33" ht="30" customHeight="1" x14ac:dyDescent="0.2">
      <c r="A3" s="36" t="s">
        <v>127</v>
      </c>
      <c r="B3" s="36">
        <v>5154</v>
      </c>
      <c r="C3" s="36"/>
      <c r="D3" s="41" t="s">
        <v>128</v>
      </c>
      <c r="E3" s="41"/>
      <c r="F3" s="38">
        <v>0.1</v>
      </c>
      <c r="G3" s="36"/>
      <c r="H3" s="36"/>
      <c r="I3" s="36"/>
      <c r="J3" s="36"/>
      <c r="K3" s="36"/>
      <c r="L3" s="36"/>
      <c r="M3" s="36"/>
      <c r="N3" s="36"/>
      <c r="O3" s="36"/>
      <c r="P3" s="36"/>
      <c r="Q3" s="36"/>
      <c r="R3" s="36"/>
      <c r="S3" s="36"/>
      <c r="T3" s="36"/>
      <c r="U3" s="36"/>
      <c r="V3" s="36"/>
      <c r="W3" s="36"/>
      <c r="X3" s="36"/>
      <c r="Y3" s="36"/>
      <c r="Z3" s="36"/>
      <c r="AA3" s="36"/>
      <c r="AB3" s="36"/>
      <c r="AC3" s="36"/>
      <c r="AD3" s="36"/>
      <c r="AE3" s="36"/>
      <c r="AF3" s="36"/>
      <c r="AG3" s="36"/>
    </row>
    <row r="4" spans="1:33" x14ac:dyDescent="0.2">
      <c r="A4" s="36" t="s">
        <v>129</v>
      </c>
      <c r="B4" s="36">
        <v>2.1000000000000001E-2</v>
      </c>
      <c r="C4" s="36"/>
      <c r="D4" s="42" t="s">
        <v>130</v>
      </c>
      <c r="E4" s="42"/>
      <c r="F4" s="38">
        <v>0.41</v>
      </c>
      <c r="G4" s="36"/>
      <c r="H4" s="36"/>
      <c r="I4" s="36"/>
      <c r="J4" s="36"/>
      <c r="K4" s="36"/>
      <c r="L4" s="36"/>
      <c r="M4" s="36"/>
      <c r="N4" s="36"/>
      <c r="O4" s="36"/>
      <c r="P4" s="36"/>
      <c r="Q4" s="36"/>
      <c r="R4" s="36"/>
      <c r="S4" s="36"/>
      <c r="T4" s="36"/>
      <c r="U4" s="36"/>
      <c r="V4" s="36"/>
      <c r="W4" s="36"/>
      <c r="X4" s="36"/>
      <c r="Y4" s="36"/>
      <c r="Z4" s="36"/>
      <c r="AA4" s="36"/>
      <c r="AB4" s="36"/>
      <c r="AC4" s="36"/>
      <c r="AD4" s="36"/>
      <c r="AE4" s="36"/>
      <c r="AF4" s="36"/>
      <c r="AG4" s="36"/>
    </row>
    <row r="5" spans="1:33" x14ac:dyDescent="0.2">
      <c r="A5" s="36"/>
      <c r="B5" s="36"/>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36"/>
      <c r="AE5" s="36"/>
      <c r="AF5" s="36"/>
      <c r="AG5" s="36"/>
    </row>
    <row r="6" spans="1:33" x14ac:dyDescent="0.2">
      <c r="A6" s="36"/>
      <c r="B6" s="39">
        <v>2020</v>
      </c>
      <c r="C6" s="39">
        <v>2030</v>
      </c>
      <c r="D6" s="39">
        <v>2040</v>
      </c>
      <c r="E6" s="39">
        <v>2050</v>
      </c>
      <c r="F6" s="36"/>
      <c r="G6" s="36"/>
      <c r="H6" s="36"/>
      <c r="I6" s="36"/>
      <c r="J6" s="36"/>
      <c r="K6" s="36"/>
      <c r="L6" s="36"/>
      <c r="M6" s="36"/>
      <c r="N6" s="36"/>
      <c r="O6" s="36"/>
      <c r="P6" s="36"/>
      <c r="Q6" s="36"/>
      <c r="R6" s="36"/>
      <c r="S6" s="36"/>
      <c r="T6" s="36"/>
      <c r="U6" s="36"/>
      <c r="V6" s="36"/>
      <c r="W6" s="36"/>
      <c r="X6" s="36"/>
      <c r="Y6" s="36"/>
      <c r="Z6" s="36"/>
      <c r="AA6" s="36"/>
      <c r="AB6" s="36"/>
      <c r="AC6" s="36"/>
      <c r="AD6" s="36"/>
      <c r="AE6" s="36"/>
      <c r="AF6" s="36"/>
      <c r="AG6" s="36"/>
    </row>
    <row r="7" spans="1:33" x14ac:dyDescent="0.2">
      <c r="A7" s="39" t="s">
        <v>131</v>
      </c>
      <c r="B7" s="36">
        <v>5154000</v>
      </c>
      <c r="C7" s="36">
        <v>4685455</v>
      </c>
      <c r="D7" s="36">
        <v>4259504</v>
      </c>
      <c r="E7" s="36">
        <v>3872276</v>
      </c>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row>
    <row r="8" spans="1:33" x14ac:dyDescent="0.2">
      <c r="A8" s="39" t="s">
        <v>132</v>
      </c>
      <c r="B8" s="38">
        <v>0.41</v>
      </c>
      <c r="C8" s="40">
        <v>0.45100000000000001</v>
      </c>
      <c r="D8" s="40">
        <v>0.49609999999999999</v>
      </c>
      <c r="E8" s="40">
        <v>0.54571000000000003</v>
      </c>
      <c r="F8" s="36"/>
      <c r="G8" s="36"/>
      <c r="H8" s="36"/>
      <c r="I8" s="36"/>
      <c r="J8" s="36"/>
      <c r="K8" s="36"/>
      <c r="L8" s="36"/>
      <c r="M8" s="36"/>
      <c r="N8" s="36"/>
      <c r="O8" s="36"/>
      <c r="P8" s="36"/>
      <c r="Q8" s="36"/>
      <c r="R8" s="36"/>
      <c r="S8" s="36"/>
      <c r="T8" s="36"/>
      <c r="U8" s="36"/>
      <c r="V8" s="36"/>
      <c r="W8" s="36"/>
      <c r="X8" s="36"/>
      <c r="Y8" s="36"/>
      <c r="Z8" s="36"/>
      <c r="AA8" s="36"/>
      <c r="AB8" s="36"/>
      <c r="AC8" s="36"/>
      <c r="AD8" s="36"/>
      <c r="AE8" s="36"/>
      <c r="AF8" s="36"/>
      <c r="AG8" s="36"/>
    </row>
    <row r="9" spans="1:33" x14ac:dyDescent="0.2">
      <c r="A9" s="36"/>
      <c r="B9" s="36"/>
      <c r="C9" s="36"/>
      <c r="D9" s="36"/>
      <c r="E9" s="36"/>
      <c r="F9" s="36"/>
      <c r="G9" s="36"/>
      <c r="H9" s="36"/>
      <c r="I9" s="36"/>
      <c r="J9" s="36"/>
      <c r="K9" s="36"/>
      <c r="L9" s="36"/>
      <c r="M9" s="36"/>
      <c r="N9" s="36"/>
      <c r="O9" s="36"/>
      <c r="P9" s="36"/>
      <c r="Q9" s="36"/>
      <c r="R9" s="36"/>
      <c r="S9" s="36"/>
      <c r="T9" s="36"/>
      <c r="U9" s="36"/>
      <c r="V9" s="36"/>
      <c r="W9" s="36"/>
      <c r="X9" s="36"/>
      <c r="Y9" s="36"/>
      <c r="Z9" s="36"/>
      <c r="AA9" s="36"/>
      <c r="AB9" s="36"/>
      <c r="AC9" s="36"/>
      <c r="AD9" s="36"/>
      <c r="AE9" s="36"/>
      <c r="AF9" s="36"/>
      <c r="AG9" s="36"/>
    </row>
    <row r="10" spans="1:33" x14ac:dyDescent="0.2">
      <c r="A10" s="37" t="s">
        <v>133</v>
      </c>
      <c r="B10" s="39">
        <v>2019</v>
      </c>
      <c r="C10" s="39">
        <v>2020</v>
      </c>
      <c r="D10" s="39">
        <v>2021</v>
      </c>
      <c r="E10" s="39">
        <v>2022</v>
      </c>
      <c r="F10" s="39">
        <v>2023</v>
      </c>
      <c r="G10" s="39">
        <v>2024</v>
      </c>
      <c r="H10" s="39">
        <v>2025</v>
      </c>
      <c r="I10" s="39">
        <v>2026</v>
      </c>
      <c r="J10" s="39">
        <v>2027</v>
      </c>
      <c r="K10" s="39">
        <v>2028</v>
      </c>
      <c r="L10" s="39">
        <v>2029</v>
      </c>
      <c r="M10" s="39">
        <v>2030</v>
      </c>
      <c r="N10" s="39">
        <v>2031</v>
      </c>
      <c r="O10" s="39">
        <v>2032</v>
      </c>
      <c r="P10" s="39">
        <v>2033</v>
      </c>
      <c r="Q10" s="39">
        <v>2034</v>
      </c>
      <c r="R10" s="39">
        <v>2035</v>
      </c>
      <c r="S10" s="39">
        <v>2036</v>
      </c>
      <c r="T10" s="39">
        <v>2037</v>
      </c>
      <c r="U10" s="39">
        <v>2038</v>
      </c>
      <c r="V10" s="39">
        <v>2039</v>
      </c>
      <c r="W10" s="39">
        <v>2040</v>
      </c>
      <c r="X10" s="39">
        <v>2041</v>
      </c>
      <c r="Y10" s="39">
        <v>2042</v>
      </c>
      <c r="Z10" s="39">
        <v>2043</v>
      </c>
      <c r="AA10" s="39">
        <v>2044</v>
      </c>
      <c r="AB10" s="39">
        <v>2045</v>
      </c>
      <c r="AC10" s="39">
        <v>2046</v>
      </c>
      <c r="AD10" s="39">
        <v>2047</v>
      </c>
      <c r="AE10" s="39">
        <v>2048</v>
      </c>
      <c r="AF10" s="39">
        <v>2049</v>
      </c>
      <c r="AG10" s="39">
        <v>2050</v>
      </c>
    </row>
    <row r="11" spans="1:33" x14ac:dyDescent="0.2">
      <c r="A11" s="39" t="s">
        <v>131</v>
      </c>
      <c r="B11" s="36">
        <v>5176188</v>
      </c>
      <c r="C11" s="36">
        <v>5133477</v>
      </c>
      <c r="D11" s="36">
        <v>5090766</v>
      </c>
      <c r="E11" s="36">
        <v>5048055</v>
      </c>
      <c r="F11" s="36">
        <v>5005343</v>
      </c>
      <c r="G11" s="36">
        <v>4962632</v>
      </c>
      <c r="H11" s="36">
        <v>4919921</v>
      </c>
      <c r="I11" s="36">
        <v>4877210</v>
      </c>
      <c r="J11" s="36">
        <v>4834498</v>
      </c>
      <c r="K11" s="36">
        <v>4791787</v>
      </c>
      <c r="L11" s="36">
        <v>4749076</v>
      </c>
      <c r="M11" s="36">
        <v>4706365</v>
      </c>
      <c r="N11" s="36">
        <v>4663654</v>
      </c>
      <c r="O11" s="36">
        <v>4620942</v>
      </c>
      <c r="P11" s="36">
        <v>4578231</v>
      </c>
      <c r="Q11" s="36">
        <v>4535520</v>
      </c>
      <c r="R11" s="36">
        <v>4492809</v>
      </c>
      <c r="S11" s="36">
        <v>4450098</v>
      </c>
      <c r="T11" s="36">
        <v>4407386</v>
      </c>
      <c r="U11" s="36">
        <v>4364675</v>
      </c>
      <c r="V11" s="36">
        <v>4321964</v>
      </c>
      <c r="W11" s="36">
        <v>4279253</v>
      </c>
      <c r="X11" s="36">
        <v>4236542</v>
      </c>
      <c r="Y11" s="36">
        <v>4193830</v>
      </c>
      <c r="Z11" s="36">
        <v>4151119</v>
      </c>
      <c r="AA11" s="36">
        <v>4108408</v>
      </c>
      <c r="AB11" s="36">
        <v>4065697</v>
      </c>
      <c r="AC11" s="36">
        <v>4022985</v>
      </c>
      <c r="AD11" s="36">
        <v>3980274</v>
      </c>
      <c r="AE11" s="36">
        <v>3937563</v>
      </c>
      <c r="AF11" s="36">
        <v>3894852</v>
      </c>
      <c r="AG11" s="36">
        <v>3852141</v>
      </c>
    </row>
    <row r="12" spans="1:33" x14ac:dyDescent="0.2">
      <c r="A12" s="36"/>
      <c r="B12" s="36"/>
      <c r="C12" s="36"/>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36"/>
      <c r="AD12" s="36"/>
      <c r="AE12" s="36"/>
      <c r="AF12" s="36"/>
      <c r="AG12" s="36"/>
    </row>
    <row r="13" spans="1:33" x14ac:dyDescent="0.2">
      <c r="A13" s="36"/>
      <c r="B13" s="36"/>
      <c r="C13" s="36"/>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6"/>
      <c r="AG13" s="36"/>
    </row>
  </sheetData>
  <mergeCells count="2">
    <mergeCell ref="D3:E3"/>
    <mergeCell ref="D4:E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58"/>
  <sheetViews>
    <sheetView workbookViewId="0">
      <selection activeCell="G36" sqref="G36"/>
    </sheetView>
  </sheetViews>
  <sheetFormatPr baseColWidth="10" defaultRowHeight="15" x14ac:dyDescent="0.2"/>
  <cols>
    <col min="1" max="1" width="21.6640625" customWidth="1"/>
    <col min="3" max="3" width="22.1640625" customWidth="1"/>
    <col min="4" max="4" width="21.6640625" customWidth="1"/>
  </cols>
  <sheetData>
    <row r="1" spans="1:9" x14ac:dyDescent="0.2">
      <c r="A1" s="22" t="s">
        <v>83</v>
      </c>
      <c r="B1" s="22" t="s">
        <v>84</v>
      </c>
      <c r="C1" s="22" t="s">
        <v>85</v>
      </c>
      <c r="D1" s="22" t="s">
        <v>86</v>
      </c>
      <c r="I1" s="5" t="s">
        <v>88</v>
      </c>
    </row>
    <row r="2" spans="1:9" x14ac:dyDescent="0.2">
      <c r="A2" s="43" t="s">
        <v>87</v>
      </c>
      <c r="B2" s="25">
        <v>2020</v>
      </c>
      <c r="C2" s="26">
        <v>20000</v>
      </c>
      <c r="D2" s="25">
        <v>0.37</v>
      </c>
      <c r="I2" s="5" t="s">
        <v>88</v>
      </c>
    </row>
    <row r="3" spans="1:9" x14ac:dyDescent="0.2">
      <c r="A3" s="43"/>
      <c r="B3" s="25">
        <v>2030</v>
      </c>
      <c r="C3" s="26">
        <v>18500</v>
      </c>
      <c r="D3" s="25">
        <v>0.34</v>
      </c>
      <c r="I3" s="5" t="s">
        <v>88</v>
      </c>
    </row>
    <row r="4" spans="1:9" x14ac:dyDescent="0.2">
      <c r="A4" s="43"/>
      <c r="B4" s="25">
        <v>2050</v>
      </c>
      <c r="C4" s="26">
        <v>16900</v>
      </c>
      <c r="D4" s="25">
        <v>0.31</v>
      </c>
      <c r="I4" s="5" t="s">
        <v>88</v>
      </c>
    </row>
    <row r="5" spans="1:9" x14ac:dyDescent="0.2">
      <c r="A5" s="43" t="s">
        <v>89</v>
      </c>
      <c r="B5" s="25">
        <v>2020</v>
      </c>
      <c r="C5" s="26">
        <v>18000</v>
      </c>
      <c r="D5" s="25">
        <v>0.25</v>
      </c>
      <c r="I5" s="5" t="s">
        <v>88</v>
      </c>
    </row>
    <row r="6" spans="1:9" x14ac:dyDescent="0.2">
      <c r="A6" s="43"/>
      <c r="B6" s="25">
        <v>2030</v>
      </c>
      <c r="C6" s="26">
        <v>16700</v>
      </c>
      <c r="D6" s="25">
        <v>0.23</v>
      </c>
      <c r="I6" s="5" t="s">
        <v>88</v>
      </c>
    </row>
    <row r="7" spans="1:9" x14ac:dyDescent="0.2">
      <c r="A7" s="43"/>
      <c r="B7" s="25">
        <v>2050</v>
      </c>
      <c r="C7" s="26">
        <v>15200</v>
      </c>
      <c r="D7" s="25">
        <v>0.21</v>
      </c>
      <c r="I7" s="5" t="s">
        <v>88</v>
      </c>
    </row>
    <row r="8" spans="1:9" x14ac:dyDescent="0.2">
      <c r="A8" s="43" t="s">
        <v>90</v>
      </c>
      <c r="B8" s="25">
        <v>2020</v>
      </c>
      <c r="C8" s="26">
        <v>53000</v>
      </c>
      <c r="D8" s="25">
        <v>0.5</v>
      </c>
      <c r="I8" s="5" t="s">
        <v>88</v>
      </c>
    </row>
    <row r="9" spans="1:9" x14ac:dyDescent="0.2">
      <c r="A9" s="43"/>
      <c r="B9" s="25">
        <v>2030</v>
      </c>
      <c r="C9" s="26">
        <v>50400</v>
      </c>
      <c r="D9" s="25">
        <v>0.48</v>
      </c>
      <c r="I9" s="5" t="s">
        <v>88</v>
      </c>
    </row>
    <row r="10" spans="1:9" x14ac:dyDescent="0.2">
      <c r="A10" s="43"/>
      <c r="B10" s="25">
        <v>2050</v>
      </c>
      <c r="C10" s="26">
        <v>47200</v>
      </c>
      <c r="D10" s="25">
        <v>0.45</v>
      </c>
      <c r="E10" s="5"/>
      <c r="F10" s="5"/>
    </row>
    <row r="11" spans="1:9" x14ac:dyDescent="0.2">
      <c r="A11" s="43" t="s">
        <v>91</v>
      </c>
      <c r="B11" s="25">
        <v>2020</v>
      </c>
      <c r="C11" s="26">
        <v>41900</v>
      </c>
      <c r="D11" s="25">
        <v>0.5</v>
      </c>
      <c r="E11" s="5"/>
      <c r="F11" s="5"/>
    </row>
    <row r="12" spans="1:9" x14ac:dyDescent="0.2">
      <c r="A12" s="43"/>
      <c r="B12" s="25">
        <v>2030</v>
      </c>
      <c r="C12" s="26">
        <v>39800</v>
      </c>
      <c r="D12" s="25">
        <v>0.48</v>
      </c>
      <c r="E12" s="5"/>
      <c r="F12" s="5"/>
    </row>
    <row r="13" spans="1:9" x14ac:dyDescent="0.2">
      <c r="A13" s="43"/>
      <c r="B13" s="25">
        <v>2050</v>
      </c>
      <c r="C13" s="26">
        <v>37300</v>
      </c>
      <c r="D13" s="25">
        <v>0.45</v>
      </c>
      <c r="E13" s="5"/>
      <c r="F13" s="5"/>
    </row>
    <row r="14" spans="1:9" x14ac:dyDescent="0.2">
      <c r="A14" s="43" t="s">
        <v>92</v>
      </c>
      <c r="B14" s="25">
        <v>2020</v>
      </c>
      <c r="C14" s="26">
        <v>37700</v>
      </c>
      <c r="D14" s="25">
        <v>0.65</v>
      </c>
      <c r="E14" s="5"/>
      <c r="F14" s="5"/>
    </row>
    <row r="15" spans="1:9" x14ac:dyDescent="0.2">
      <c r="A15" s="43"/>
      <c r="B15" s="25">
        <v>2030</v>
      </c>
      <c r="C15" s="26">
        <v>35800</v>
      </c>
      <c r="D15" s="25">
        <v>0.62</v>
      </c>
      <c r="E15" s="5"/>
      <c r="F15" s="5"/>
    </row>
    <row r="16" spans="1:9" x14ac:dyDescent="0.2">
      <c r="A16" s="43"/>
      <c r="B16" s="25">
        <v>2050</v>
      </c>
      <c r="C16" s="26">
        <v>33600</v>
      </c>
      <c r="D16" s="25">
        <v>0.57999999999999996</v>
      </c>
      <c r="E16" s="5"/>
      <c r="F16" s="5"/>
    </row>
    <row r="17" spans="1:6" x14ac:dyDescent="0.2">
      <c r="A17" s="43" t="s">
        <v>93</v>
      </c>
      <c r="B17" s="25">
        <v>2020</v>
      </c>
      <c r="C17" s="26">
        <v>15000</v>
      </c>
      <c r="D17" s="25">
        <v>0</v>
      </c>
      <c r="E17" s="5"/>
      <c r="F17" s="5"/>
    </row>
    <row r="18" spans="1:6" x14ac:dyDescent="0.2">
      <c r="A18" s="43"/>
      <c r="B18" s="25">
        <v>2030</v>
      </c>
      <c r="C18" s="26">
        <v>12500</v>
      </c>
      <c r="D18" s="25">
        <v>0</v>
      </c>
      <c r="E18" s="5"/>
      <c r="F18" s="5"/>
    </row>
    <row r="19" spans="1:6" x14ac:dyDescent="0.2">
      <c r="A19" s="43"/>
      <c r="B19" s="25">
        <v>2050</v>
      </c>
      <c r="C19" s="26">
        <v>10500</v>
      </c>
      <c r="D19" s="25">
        <v>0</v>
      </c>
      <c r="E19" s="5"/>
      <c r="F19" s="5"/>
    </row>
    <row r="20" spans="1:6" x14ac:dyDescent="0.2">
      <c r="A20" s="43" t="s">
        <v>94</v>
      </c>
      <c r="B20" s="25">
        <v>2020</v>
      </c>
      <c r="C20" s="26">
        <v>73200</v>
      </c>
      <c r="D20" s="25">
        <v>0</v>
      </c>
      <c r="E20" s="5"/>
      <c r="F20" s="5"/>
    </row>
    <row r="21" spans="1:6" x14ac:dyDescent="0.2">
      <c r="A21" s="43"/>
      <c r="B21" s="25">
        <v>2030</v>
      </c>
      <c r="C21" s="26">
        <v>63700</v>
      </c>
      <c r="D21" s="25">
        <v>0</v>
      </c>
      <c r="E21" s="5"/>
      <c r="F21" s="5"/>
    </row>
    <row r="22" spans="1:6" x14ac:dyDescent="0.2">
      <c r="A22" s="43"/>
      <c r="B22" s="25">
        <v>2050</v>
      </c>
      <c r="C22" s="26">
        <v>54200</v>
      </c>
      <c r="D22" s="25">
        <v>0</v>
      </c>
      <c r="E22" s="5"/>
      <c r="F22" s="5"/>
    </row>
    <row r="23" spans="1:6" x14ac:dyDescent="0.2">
      <c r="A23" s="43" t="s">
        <v>95</v>
      </c>
      <c r="B23" s="25">
        <v>2020</v>
      </c>
      <c r="C23" s="26">
        <v>60000</v>
      </c>
      <c r="D23" s="25">
        <v>0</v>
      </c>
      <c r="E23" s="5"/>
      <c r="F23" s="5"/>
    </row>
    <row r="24" spans="1:6" x14ac:dyDescent="0.2">
      <c r="A24" s="43"/>
      <c r="B24" s="25">
        <v>2030</v>
      </c>
      <c r="C24" s="26">
        <v>55200</v>
      </c>
      <c r="D24" s="25">
        <v>0</v>
      </c>
      <c r="E24" s="5"/>
      <c r="F24" s="5"/>
    </row>
    <row r="25" spans="1:6" x14ac:dyDescent="0.2">
      <c r="A25" s="43"/>
      <c r="B25" s="25">
        <v>2050</v>
      </c>
      <c r="C25" s="26">
        <v>44400</v>
      </c>
      <c r="D25" s="25">
        <v>0</v>
      </c>
      <c r="E25" s="5"/>
      <c r="F25" s="5"/>
    </row>
    <row r="26" spans="1:6" x14ac:dyDescent="0.2">
      <c r="A26" s="43" t="s">
        <v>30</v>
      </c>
      <c r="B26" s="25">
        <v>2020</v>
      </c>
      <c r="C26" s="26">
        <v>72600</v>
      </c>
      <c r="D26" s="25">
        <v>0</v>
      </c>
      <c r="E26" s="5"/>
      <c r="F26" s="5"/>
    </row>
    <row r="27" spans="1:6" x14ac:dyDescent="0.2">
      <c r="A27" s="43"/>
      <c r="B27" s="25">
        <v>2030</v>
      </c>
      <c r="C27" s="26">
        <v>64700</v>
      </c>
      <c r="D27" s="25">
        <v>0</v>
      </c>
      <c r="E27" s="5"/>
      <c r="F27" s="5"/>
    </row>
    <row r="28" spans="1:6" x14ac:dyDescent="0.2">
      <c r="A28" s="43"/>
      <c r="B28" s="25">
        <v>2050</v>
      </c>
      <c r="C28" s="26">
        <v>55000</v>
      </c>
      <c r="D28" s="25">
        <v>0</v>
      </c>
      <c r="E28" s="5"/>
      <c r="F28" s="5"/>
    </row>
    <row r="29" spans="1:6" x14ac:dyDescent="0.2">
      <c r="A29" s="43" t="s">
        <v>96</v>
      </c>
      <c r="B29" s="25">
        <v>2020</v>
      </c>
      <c r="C29" s="26">
        <v>45250</v>
      </c>
      <c r="D29" s="25">
        <v>0.13</v>
      </c>
      <c r="E29" s="5"/>
      <c r="F29" s="5"/>
    </row>
    <row r="30" spans="1:6" x14ac:dyDescent="0.2">
      <c r="A30" s="43"/>
      <c r="B30" s="25">
        <v>2030</v>
      </c>
      <c r="C30" s="26">
        <v>43900</v>
      </c>
      <c r="D30" s="25">
        <v>0.12</v>
      </c>
      <c r="E30" s="5"/>
      <c r="F30" s="5"/>
    </row>
    <row r="31" spans="1:6" x14ac:dyDescent="0.2">
      <c r="A31" s="43"/>
      <c r="B31" s="25">
        <v>2050</v>
      </c>
      <c r="C31" s="26">
        <v>42500</v>
      </c>
      <c r="D31" s="25">
        <v>0.12</v>
      </c>
      <c r="E31" s="5"/>
      <c r="F31" s="5"/>
    </row>
    <row r="32" spans="1:6" x14ac:dyDescent="0.2">
      <c r="A32" s="43" t="s">
        <v>97</v>
      </c>
      <c r="B32" s="25">
        <v>2020</v>
      </c>
      <c r="C32" s="26">
        <v>41200</v>
      </c>
      <c r="D32" s="25">
        <v>0.12</v>
      </c>
      <c r="E32" s="5"/>
      <c r="F32" s="5"/>
    </row>
    <row r="33" spans="1:6" x14ac:dyDescent="0.2">
      <c r="A33" s="43"/>
      <c r="B33" s="25">
        <v>2030</v>
      </c>
      <c r="C33" s="26">
        <v>39900</v>
      </c>
      <c r="D33" s="25">
        <v>0.12</v>
      </c>
      <c r="E33" s="5"/>
      <c r="F33" s="5"/>
    </row>
    <row r="34" spans="1:6" x14ac:dyDescent="0.2">
      <c r="A34" s="43"/>
      <c r="B34" s="25">
        <v>2050</v>
      </c>
      <c r="C34" s="26">
        <v>38700</v>
      </c>
      <c r="D34" s="25">
        <v>0.11</v>
      </c>
      <c r="E34" s="5"/>
      <c r="F34" s="5"/>
    </row>
    <row r="35" spans="1:6" x14ac:dyDescent="0.2">
      <c r="A35" s="43" t="s">
        <v>98</v>
      </c>
      <c r="B35" s="25">
        <v>2020</v>
      </c>
      <c r="C35" s="26">
        <v>56600</v>
      </c>
      <c r="D35" s="25">
        <v>0.11</v>
      </c>
      <c r="E35" s="5"/>
      <c r="F35" s="5"/>
    </row>
    <row r="36" spans="1:6" x14ac:dyDescent="0.2">
      <c r="A36" s="43"/>
      <c r="B36" s="25">
        <v>2030</v>
      </c>
      <c r="C36" s="26">
        <v>54900</v>
      </c>
      <c r="D36" s="25">
        <v>0.11</v>
      </c>
      <c r="E36" s="5"/>
      <c r="F36" s="5"/>
    </row>
    <row r="37" spans="1:6" x14ac:dyDescent="0.2">
      <c r="A37" s="43"/>
      <c r="B37" s="25">
        <v>2050</v>
      </c>
      <c r="C37" s="26">
        <v>53200</v>
      </c>
      <c r="D37" s="25">
        <v>0.1</v>
      </c>
      <c r="E37" s="5"/>
      <c r="F37" s="5"/>
    </row>
    <row r="38" spans="1:6" x14ac:dyDescent="0.2">
      <c r="A38" s="43" t="s">
        <v>99</v>
      </c>
      <c r="B38" s="25">
        <v>2020</v>
      </c>
      <c r="C38" s="26">
        <v>47600</v>
      </c>
      <c r="D38" s="25">
        <v>3</v>
      </c>
      <c r="E38" s="5"/>
      <c r="F38" s="5"/>
    </row>
    <row r="39" spans="1:6" x14ac:dyDescent="0.2">
      <c r="A39" s="43"/>
      <c r="B39" s="25">
        <v>2030</v>
      </c>
      <c r="C39" s="26">
        <v>43800</v>
      </c>
      <c r="D39" s="25">
        <v>2.8</v>
      </c>
      <c r="E39" s="5"/>
      <c r="F39" s="5"/>
    </row>
    <row r="40" spans="1:6" x14ac:dyDescent="0.2">
      <c r="A40" s="43"/>
      <c r="B40" s="25">
        <v>2050</v>
      </c>
      <c r="C40" s="26">
        <v>37100</v>
      </c>
      <c r="D40" s="25">
        <v>2.4</v>
      </c>
      <c r="E40" s="5"/>
      <c r="F40" s="5"/>
    </row>
    <row r="41" spans="1:6" x14ac:dyDescent="0.2">
      <c r="A41" s="43" t="s">
        <v>100</v>
      </c>
      <c r="B41" s="25">
        <v>2020</v>
      </c>
      <c r="C41" s="26">
        <v>243700</v>
      </c>
      <c r="D41" s="25">
        <v>24.1</v>
      </c>
      <c r="E41" s="5"/>
      <c r="F41" s="5"/>
    </row>
    <row r="42" spans="1:6" x14ac:dyDescent="0.2">
      <c r="A42" s="43"/>
      <c r="B42" s="25">
        <v>2030</v>
      </c>
      <c r="C42" s="26">
        <v>224800</v>
      </c>
      <c r="D42" s="25">
        <v>23.4</v>
      </c>
      <c r="E42" s="5"/>
      <c r="F42" s="5"/>
    </row>
    <row r="43" spans="1:6" x14ac:dyDescent="0.2">
      <c r="A43" s="43"/>
      <c r="B43" s="25">
        <v>2050</v>
      </c>
      <c r="C43" s="26">
        <v>193500</v>
      </c>
      <c r="D43" s="25">
        <v>22.6</v>
      </c>
      <c r="E43" s="5"/>
      <c r="F43" s="5"/>
    </row>
    <row r="44" spans="1:6" x14ac:dyDescent="0.2">
      <c r="A44" s="43" t="s">
        <v>101</v>
      </c>
      <c r="B44" s="25">
        <v>2020</v>
      </c>
      <c r="C44" s="26">
        <v>125000</v>
      </c>
      <c r="D44" s="25">
        <v>3</v>
      </c>
      <c r="E44" s="5"/>
      <c r="F44" s="5"/>
    </row>
    <row r="45" spans="1:6" x14ac:dyDescent="0.2">
      <c r="A45" s="43"/>
      <c r="B45" s="25">
        <v>2030</v>
      </c>
      <c r="C45" s="26">
        <v>125000</v>
      </c>
      <c r="D45" s="25">
        <v>3</v>
      </c>
      <c r="E45" s="5"/>
      <c r="F45" s="5"/>
    </row>
    <row r="46" spans="1:6" x14ac:dyDescent="0.2">
      <c r="A46" s="43"/>
      <c r="B46" s="25">
        <v>2050</v>
      </c>
      <c r="C46" s="26">
        <v>125000</v>
      </c>
      <c r="D46" s="25">
        <v>3</v>
      </c>
      <c r="E46" s="5"/>
      <c r="F46" s="5"/>
    </row>
    <row r="47" spans="1:6" x14ac:dyDescent="0.2">
      <c r="A47" s="43" t="s">
        <v>102</v>
      </c>
      <c r="B47" s="25">
        <v>2020</v>
      </c>
      <c r="C47" s="26">
        <v>97000</v>
      </c>
      <c r="D47" s="25">
        <v>0.11</v>
      </c>
      <c r="E47" s="5"/>
      <c r="F47" s="5"/>
    </row>
    <row r="48" spans="1:6" x14ac:dyDescent="0.2">
      <c r="A48" s="43"/>
      <c r="B48" s="25">
        <v>2030</v>
      </c>
      <c r="C48" s="26">
        <v>89200</v>
      </c>
      <c r="D48" s="25">
        <v>0.1</v>
      </c>
      <c r="E48" s="5"/>
      <c r="F48" s="5"/>
    </row>
    <row r="49" spans="1:6" x14ac:dyDescent="0.2">
      <c r="A49" s="43"/>
      <c r="B49" s="25">
        <v>2050</v>
      </c>
      <c r="C49" s="26">
        <v>77600</v>
      </c>
      <c r="D49" s="25">
        <v>0.1</v>
      </c>
      <c r="E49" s="5"/>
      <c r="F49" s="5"/>
    </row>
    <row r="50" spans="1:6" x14ac:dyDescent="0.2">
      <c r="A50" s="43" t="s">
        <v>103</v>
      </c>
      <c r="B50" s="25">
        <v>2020</v>
      </c>
      <c r="C50" s="26">
        <v>41100</v>
      </c>
      <c r="D50" s="25">
        <v>0.11</v>
      </c>
    </row>
    <row r="51" spans="1:6" x14ac:dyDescent="0.2">
      <c r="A51" s="43"/>
      <c r="B51" s="25">
        <v>2030</v>
      </c>
      <c r="C51" s="26">
        <v>42500</v>
      </c>
      <c r="D51" s="25">
        <v>0.1</v>
      </c>
    </row>
    <row r="52" spans="1:6" x14ac:dyDescent="0.2">
      <c r="A52" s="43"/>
      <c r="B52" s="25">
        <v>2050</v>
      </c>
      <c r="C52" s="26">
        <v>41800</v>
      </c>
      <c r="D52" s="25">
        <v>0.1</v>
      </c>
    </row>
    <row r="53" spans="1:6" x14ac:dyDescent="0.2">
      <c r="A53" s="43" t="s">
        <v>104</v>
      </c>
      <c r="B53" s="25">
        <v>2020</v>
      </c>
      <c r="C53" s="26">
        <v>43200</v>
      </c>
      <c r="D53" s="25">
        <v>0.13</v>
      </c>
    </row>
    <row r="54" spans="1:6" x14ac:dyDescent="0.2">
      <c r="A54" s="43"/>
      <c r="B54" s="25">
        <v>2030</v>
      </c>
      <c r="C54" s="26">
        <v>42500</v>
      </c>
      <c r="D54" s="25">
        <v>0.13</v>
      </c>
    </row>
    <row r="55" spans="1:6" x14ac:dyDescent="0.2">
      <c r="A55" s="43"/>
      <c r="B55" s="25">
        <v>2050</v>
      </c>
      <c r="C55" s="26">
        <v>41800</v>
      </c>
      <c r="D55" s="25">
        <v>0.12</v>
      </c>
    </row>
    <row r="56" spans="1:6" x14ac:dyDescent="0.2">
      <c r="A56" s="43" t="s">
        <v>105</v>
      </c>
      <c r="B56" s="25">
        <v>2020</v>
      </c>
      <c r="C56" s="26">
        <v>8000</v>
      </c>
      <c r="D56" s="25">
        <v>6.4</v>
      </c>
    </row>
    <row r="57" spans="1:6" x14ac:dyDescent="0.2">
      <c r="A57" s="43"/>
      <c r="B57" s="25">
        <v>2030</v>
      </c>
      <c r="C57" s="26">
        <v>8000</v>
      </c>
      <c r="D57" s="25">
        <v>6</v>
      </c>
    </row>
    <row r="58" spans="1:6" x14ac:dyDescent="0.2">
      <c r="A58" s="43"/>
      <c r="B58" s="25">
        <v>2050</v>
      </c>
      <c r="C58" s="26">
        <v>7800</v>
      </c>
      <c r="D58" s="25">
        <v>5.8</v>
      </c>
    </row>
  </sheetData>
  <mergeCells count="19">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58"/>
  <sheetViews>
    <sheetView topLeftCell="A26" zoomScale="110" zoomScaleNormal="110" workbookViewId="0">
      <selection activeCell="H53" sqref="H53"/>
    </sheetView>
  </sheetViews>
  <sheetFormatPr baseColWidth="10" defaultRowHeight="15" x14ac:dyDescent="0.2"/>
  <cols>
    <col min="1" max="1" width="21" customWidth="1"/>
    <col min="3" max="3" width="21.83203125" customWidth="1"/>
    <col min="4" max="4" width="16.83203125" customWidth="1"/>
  </cols>
  <sheetData>
    <row r="1" spans="1:7" x14ac:dyDescent="0.2">
      <c r="A1" s="22" t="s">
        <v>83</v>
      </c>
      <c r="B1" s="22" t="s">
        <v>84</v>
      </c>
      <c r="C1" s="22" t="s">
        <v>85</v>
      </c>
      <c r="D1" s="22" t="s">
        <v>86</v>
      </c>
    </row>
    <row r="2" spans="1:7" x14ac:dyDescent="0.2">
      <c r="A2" s="43" t="s">
        <v>87</v>
      </c>
      <c r="B2" s="25">
        <v>2023</v>
      </c>
      <c r="C2" s="5">
        <v>145000</v>
      </c>
      <c r="D2">
        <v>0.39</v>
      </c>
    </row>
    <row r="3" spans="1:7" x14ac:dyDescent="0.2">
      <c r="A3" s="43"/>
      <c r="B3" s="25">
        <v>2030</v>
      </c>
      <c r="C3" s="5">
        <v>145000</v>
      </c>
      <c r="D3">
        <v>0.39</v>
      </c>
      <c r="G3" s="23"/>
    </row>
    <row r="4" spans="1:7" x14ac:dyDescent="0.2">
      <c r="A4" s="43"/>
      <c r="B4" s="25">
        <v>2050</v>
      </c>
      <c r="C4" s="5">
        <v>145000</v>
      </c>
      <c r="D4">
        <v>0.35</v>
      </c>
      <c r="G4" s="23"/>
    </row>
    <row r="5" spans="1:7" x14ac:dyDescent="0.2">
      <c r="A5" s="43" t="s">
        <v>89</v>
      </c>
      <c r="B5" s="25">
        <v>2023</v>
      </c>
      <c r="C5" s="23">
        <v>110000</v>
      </c>
      <c r="D5">
        <v>0.27</v>
      </c>
      <c r="G5" s="23"/>
    </row>
    <row r="6" spans="1:7" x14ac:dyDescent="0.2">
      <c r="A6" s="43"/>
      <c r="B6" s="25">
        <v>2030</v>
      </c>
      <c r="C6" s="23">
        <v>110000</v>
      </c>
      <c r="D6">
        <v>0.27</v>
      </c>
    </row>
    <row r="7" spans="1:7" x14ac:dyDescent="0.2">
      <c r="A7" s="43"/>
      <c r="B7" s="25">
        <v>2050</v>
      </c>
      <c r="C7" s="23">
        <v>99000</v>
      </c>
      <c r="D7">
        <v>0.24</v>
      </c>
    </row>
    <row r="8" spans="1:7" x14ac:dyDescent="0.2">
      <c r="A8" s="43" t="s">
        <v>90</v>
      </c>
      <c r="B8" s="25">
        <v>2023</v>
      </c>
      <c r="C8" s="23">
        <v>60400</v>
      </c>
      <c r="D8">
        <v>0.56999999999999995</v>
      </c>
    </row>
    <row r="9" spans="1:7" x14ac:dyDescent="0.2">
      <c r="A9" s="43"/>
      <c r="B9" s="25">
        <v>2030</v>
      </c>
      <c r="C9" s="23">
        <v>58000</v>
      </c>
      <c r="D9">
        <v>0.55000000000000004</v>
      </c>
    </row>
    <row r="10" spans="1:7" x14ac:dyDescent="0.2">
      <c r="A10" s="43"/>
      <c r="B10" s="25">
        <v>2050</v>
      </c>
      <c r="C10" s="23">
        <v>54000</v>
      </c>
      <c r="D10">
        <v>0.51</v>
      </c>
    </row>
    <row r="11" spans="1:7" x14ac:dyDescent="0.2">
      <c r="A11" s="43" t="s">
        <v>91</v>
      </c>
      <c r="B11" s="25">
        <v>2023</v>
      </c>
      <c r="C11">
        <v>47800</v>
      </c>
      <c r="D11">
        <v>0.56999999999999995</v>
      </c>
    </row>
    <row r="12" spans="1:7" x14ac:dyDescent="0.2">
      <c r="A12" s="43"/>
      <c r="B12" s="25">
        <v>2030</v>
      </c>
      <c r="C12">
        <v>45800</v>
      </c>
      <c r="D12">
        <v>0.55000000000000004</v>
      </c>
    </row>
    <row r="13" spans="1:7" x14ac:dyDescent="0.2">
      <c r="A13" s="43"/>
      <c r="B13" s="25">
        <v>2050</v>
      </c>
      <c r="C13">
        <v>42500</v>
      </c>
      <c r="D13">
        <v>0.51</v>
      </c>
    </row>
    <row r="14" spans="1:7" x14ac:dyDescent="0.2">
      <c r="A14" s="43" t="s">
        <v>92</v>
      </c>
      <c r="B14" s="25">
        <v>2023</v>
      </c>
      <c r="C14" s="23">
        <v>43000</v>
      </c>
      <c r="D14">
        <v>0.74</v>
      </c>
    </row>
    <row r="15" spans="1:7" x14ac:dyDescent="0.2">
      <c r="A15" s="43"/>
      <c r="B15" s="25">
        <v>2030</v>
      </c>
      <c r="C15" s="23">
        <v>41000</v>
      </c>
      <c r="D15">
        <v>0.71</v>
      </c>
    </row>
    <row r="16" spans="1:7" x14ac:dyDescent="0.2">
      <c r="A16" s="43"/>
      <c r="B16" s="25">
        <v>2050</v>
      </c>
      <c r="C16" s="23">
        <v>38000</v>
      </c>
      <c r="D16">
        <v>0.66</v>
      </c>
    </row>
    <row r="17" spans="1:4" x14ac:dyDescent="0.2">
      <c r="A17" s="43" t="s">
        <v>93</v>
      </c>
      <c r="B17" s="25">
        <v>2023</v>
      </c>
      <c r="C17" s="23">
        <v>7500</v>
      </c>
      <c r="D17">
        <v>0</v>
      </c>
    </row>
    <row r="18" spans="1:4" x14ac:dyDescent="0.2">
      <c r="A18" s="43"/>
      <c r="B18" s="25">
        <v>2030</v>
      </c>
      <c r="C18" s="23">
        <v>6800</v>
      </c>
      <c r="D18">
        <v>0</v>
      </c>
    </row>
    <row r="19" spans="1:4" x14ac:dyDescent="0.2">
      <c r="A19" s="43"/>
      <c r="B19" s="25">
        <v>2050</v>
      </c>
      <c r="C19" s="23">
        <v>6100</v>
      </c>
      <c r="D19">
        <v>0</v>
      </c>
    </row>
    <row r="20" spans="1:4" x14ac:dyDescent="0.2">
      <c r="A20" s="43" t="s">
        <v>94</v>
      </c>
      <c r="B20" s="25">
        <v>2023</v>
      </c>
      <c r="C20" s="23">
        <v>83448</v>
      </c>
      <c r="D20">
        <v>0</v>
      </c>
    </row>
    <row r="21" spans="1:4" x14ac:dyDescent="0.2">
      <c r="A21" s="43"/>
      <c r="B21" s="25">
        <v>2030</v>
      </c>
      <c r="C21" s="23">
        <v>70900</v>
      </c>
      <c r="D21">
        <v>0</v>
      </c>
    </row>
    <row r="22" spans="1:4" x14ac:dyDescent="0.2">
      <c r="A22" s="43"/>
      <c r="B22" s="25">
        <v>2050</v>
      </c>
      <c r="C22" s="23">
        <v>60100</v>
      </c>
      <c r="D22">
        <v>0</v>
      </c>
    </row>
    <row r="23" spans="1:4" x14ac:dyDescent="0.2">
      <c r="A23" s="43" t="s">
        <v>95</v>
      </c>
      <c r="B23" s="25">
        <v>2023</v>
      </c>
      <c r="C23" s="23">
        <v>40000</v>
      </c>
      <c r="D23">
        <v>0</v>
      </c>
    </row>
    <row r="24" spans="1:4" x14ac:dyDescent="0.2">
      <c r="A24" s="43"/>
      <c r="B24" s="25">
        <v>2030</v>
      </c>
      <c r="C24" s="23">
        <v>36000</v>
      </c>
      <c r="D24">
        <v>0</v>
      </c>
    </row>
    <row r="25" spans="1:4" x14ac:dyDescent="0.2">
      <c r="A25" s="43"/>
      <c r="B25" s="25">
        <v>2050</v>
      </c>
      <c r="C25" s="23">
        <v>30000</v>
      </c>
      <c r="D25">
        <v>0</v>
      </c>
    </row>
    <row r="26" spans="1:4" x14ac:dyDescent="0.2">
      <c r="A26" s="43" t="s">
        <v>30</v>
      </c>
      <c r="B26" s="25">
        <v>2023</v>
      </c>
      <c r="C26" s="23">
        <v>118768</v>
      </c>
      <c r="D26">
        <v>5.5</v>
      </c>
    </row>
    <row r="27" spans="1:4" x14ac:dyDescent="0.2">
      <c r="A27" s="43"/>
      <c r="B27" s="25">
        <v>2030</v>
      </c>
      <c r="C27" s="23">
        <v>99791</v>
      </c>
      <c r="D27">
        <v>4.8</v>
      </c>
    </row>
    <row r="28" spans="1:4" x14ac:dyDescent="0.2">
      <c r="A28" s="43"/>
      <c r="B28" s="25">
        <v>2050</v>
      </c>
      <c r="C28" s="23">
        <v>81290</v>
      </c>
      <c r="D28">
        <v>3.9</v>
      </c>
    </row>
    <row r="29" spans="1:4" x14ac:dyDescent="0.2">
      <c r="A29" s="43" t="s">
        <v>96</v>
      </c>
      <c r="B29" s="25">
        <v>2023</v>
      </c>
      <c r="C29" s="23">
        <v>51600</v>
      </c>
      <c r="D29">
        <v>1.5</v>
      </c>
    </row>
    <row r="30" spans="1:4" x14ac:dyDescent="0.2">
      <c r="A30" s="43"/>
      <c r="B30" s="25">
        <v>2030</v>
      </c>
      <c r="C30" s="23">
        <v>50000</v>
      </c>
      <c r="D30">
        <v>1.45</v>
      </c>
    </row>
    <row r="31" spans="1:4" x14ac:dyDescent="0.2">
      <c r="A31" s="43"/>
      <c r="B31" s="25">
        <v>2050</v>
      </c>
      <c r="C31" s="23">
        <v>48550</v>
      </c>
      <c r="D31">
        <v>1.4</v>
      </c>
    </row>
    <row r="32" spans="1:4" x14ac:dyDescent="0.2">
      <c r="A32" s="43" t="s">
        <v>97</v>
      </c>
      <c r="B32" s="25">
        <v>2023</v>
      </c>
      <c r="C32" s="23">
        <v>47000</v>
      </c>
      <c r="D32">
        <v>1.4</v>
      </c>
    </row>
    <row r="33" spans="1:4" x14ac:dyDescent="0.2">
      <c r="A33" s="43"/>
      <c r="B33" s="25">
        <v>2030</v>
      </c>
      <c r="C33" s="23">
        <v>45600</v>
      </c>
      <c r="D33">
        <v>1.35</v>
      </c>
    </row>
    <row r="34" spans="1:4" x14ac:dyDescent="0.2">
      <c r="A34" s="43"/>
      <c r="B34" s="25">
        <v>2050</v>
      </c>
      <c r="C34" s="23">
        <v>44100</v>
      </c>
      <c r="D34">
        <v>1.3</v>
      </c>
    </row>
    <row r="35" spans="1:4" x14ac:dyDescent="0.2">
      <c r="A35" s="43" t="s">
        <v>98</v>
      </c>
      <c r="B35" s="25">
        <v>2023</v>
      </c>
      <c r="C35" s="23">
        <v>64500</v>
      </c>
      <c r="D35">
        <v>1.25</v>
      </c>
    </row>
    <row r="36" spans="1:4" x14ac:dyDescent="0.2">
      <c r="A36" s="43"/>
      <c r="B36" s="25">
        <v>2030</v>
      </c>
      <c r="C36" s="23">
        <v>62500</v>
      </c>
      <c r="D36">
        <v>1.2</v>
      </c>
    </row>
    <row r="37" spans="1:4" x14ac:dyDescent="0.2">
      <c r="A37" s="43"/>
      <c r="B37" s="25">
        <v>2050</v>
      </c>
      <c r="C37" s="23">
        <v>60600</v>
      </c>
      <c r="D37">
        <v>1.1499999999999999</v>
      </c>
    </row>
    <row r="38" spans="1:4" x14ac:dyDescent="0.2">
      <c r="A38" s="43" t="s">
        <v>99</v>
      </c>
      <c r="B38" s="25">
        <v>2023</v>
      </c>
      <c r="C38" s="23">
        <v>54000</v>
      </c>
      <c r="D38">
        <v>3.4</v>
      </c>
    </row>
    <row r="39" spans="1:4" x14ac:dyDescent="0.2">
      <c r="A39" s="43"/>
      <c r="B39" s="25">
        <v>2030</v>
      </c>
      <c r="C39" s="23">
        <v>49700</v>
      </c>
      <c r="D39">
        <v>3.13</v>
      </c>
    </row>
    <row r="40" spans="1:4" x14ac:dyDescent="0.2">
      <c r="A40" s="43"/>
      <c r="B40" s="25">
        <v>2050</v>
      </c>
      <c r="C40" s="23">
        <v>43200</v>
      </c>
      <c r="D40">
        <v>2.72</v>
      </c>
    </row>
    <row r="41" spans="1:4" x14ac:dyDescent="0.2">
      <c r="A41" s="43" t="s">
        <v>100</v>
      </c>
      <c r="B41" s="25">
        <v>2023</v>
      </c>
      <c r="C41" s="23">
        <v>277818</v>
      </c>
      <c r="D41">
        <v>27.5</v>
      </c>
    </row>
    <row r="42" spans="1:4" x14ac:dyDescent="0.2">
      <c r="A42" s="43"/>
      <c r="B42" s="25">
        <v>2030</v>
      </c>
      <c r="C42" s="23">
        <v>238288</v>
      </c>
      <c r="D42">
        <v>24.8</v>
      </c>
    </row>
    <row r="43" spans="1:4" x14ac:dyDescent="0.2">
      <c r="A43" s="43"/>
      <c r="B43" s="25">
        <v>2050</v>
      </c>
      <c r="C43" s="23">
        <v>205110</v>
      </c>
      <c r="D43">
        <v>23.9</v>
      </c>
    </row>
    <row r="44" spans="1:4" x14ac:dyDescent="0.2">
      <c r="A44" s="43" t="s">
        <v>101</v>
      </c>
      <c r="B44" s="25">
        <v>2023</v>
      </c>
      <c r="C44" s="23">
        <v>142500</v>
      </c>
      <c r="D44">
        <v>15.4</v>
      </c>
    </row>
    <row r="45" spans="1:4" x14ac:dyDescent="0.2">
      <c r="A45" s="43"/>
      <c r="B45" s="25">
        <v>2030</v>
      </c>
      <c r="C45" s="23">
        <v>142500</v>
      </c>
      <c r="D45">
        <v>15.4</v>
      </c>
    </row>
    <row r="46" spans="1:4" x14ac:dyDescent="0.2">
      <c r="A46" s="43"/>
      <c r="B46" s="25">
        <v>2050</v>
      </c>
      <c r="C46" s="23">
        <v>142500</v>
      </c>
      <c r="D46">
        <v>15.4</v>
      </c>
    </row>
    <row r="47" spans="1:4" x14ac:dyDescent="0.2">
      <c r="A47" s="43" t="s">
        <v>102</v>
      </c>
      <c r="B47" s="25">
        <v>2023</v>
      </c>
      <c r="C47" s="23">
        <v>110580</v>
      </c>
      <c r="D47">
        <v>0.13</v>
      </c>
    </row>
    <row r="48" spans="1:4" x14ac:dyDescent="0.2">
      <c r="A48" s="43"/>
      <c r="B48" s="25">
        <v>2030</v>
      </c>
      <c r="C48" s="23">
        <v>101700</v>
      </c>
      <c r="D48">
        <v>0.12</v>
      </c>
    </row>
    <row r="49" spans="1:4" x14ac:dyDescent="0.2">
      <c r="A49" s="43"/>
      <c r="B49" s="25">
        <v>2050</v>
      </c>
      <c r="C49" s="23">
        <v>88500</v>
      </c>
      <c r="D49">
        <v>0.1</v>
      </c>
    </row>
    <row r="50" spans="1:4" x14ac:dyDescent="0.2">
      <c r="A50" s="43" t="s">
        <v>103</v>
      </c>
      <c r="B50" s="25">
        <v>2023</v>
      </c>
      <c r="C50">
        <v>42750</v>
      </c>
      <c r="D50">
        <v>3.6</v>
      </c>
    </row>
    <row r="51" spans="1:4" x14ac:dyDescent="0.2">
      <c r="A51" s="43"/>
      <c r="B51" s="25">
        <v>2030</v>
      </c>
      <c r="C51">
        <v>37950</v>
      </c>
      <c r="D51">
        <v>3.5</v>
      </c>
    </row>
    <row r="52" spans="1:4" x14ac:dyDescent="0.2">
      <c r="A52" s="43"/>
      <c r="B52" s="25">
        <v>2050</v>
      </c>
      <c r="C52">
        <v>31350</v>
      </c>
      <c r="D52">
        <v>3.4</v>
      </c>
    </row>
    <row r="53" spans="1:4" x14ac:dyDescent="0.2">
      <c r="A53" s="43" t="s">
        <v>104</v>
      </c>
      <c r="B53" s="25">
        <v>2023</v>
      </c>
      <c r="C53">
        <v>46800</v>
      </c>
      <c r="D53">
        <v>2.6</v>
      </c>
    </row>
    <row r="54" spans="1:4" x14ac:dyDescent="0.2">
      <c r="A54" s="43"/>
      <c r="B54" s="25">
        <v>2030</v>
      </c>
      <c r="C54">
        <v>36000</v>
      </c>
      <c r="D54">
        <v>2.5</v>
      </c>
    </row>
    <row r="55" spans="1:4" x14ac:dyDescent="0.2">
      <c r="A55" s="43"/>
      <c r="B55" s="25">
        <v>2050</v>
      </c>
      <c r="C55">
        <v>35200</v>
      </c>
      <c r="D55">
        <v>2.4</v>
      </c>
    </row>
    <row r="56" spans="1:4" x14ac:dyDescent="0.2">
      <c r="A56" s="43" t="s">
        <v>105</v>
      </c>
      <c r="B56" s="25">
        <v>2023</v>
      </c>
      <c r="C56">
        <v>9120</v>
      </c>
      <c r="D56">
        <v>7.3</v>
      </c>
    </row>
    <row r="57" spans="1:4" x14ac:dyDescent="0.2">
      <c r="A57" s="43"/>
      <c r="B57" s="25">
        <v>2030</v>
      </c>
      <c r="C57">
        <v>9120</v>
      </c>
      <c r="D57">
        <v>6.84</v>
      </c>
    </row>
    <row r="58" spans="1:4" x14ac:dyDescent="0.2">
      <c r="A58" s="43"/>
      <c r="B58" s="25">
        <v>2050</v>
      </c>
      <c r="C58">
        <v>8847</v>
      </c>
      <c r="D58">
        <v>6.61</v>
      </c>
    </row>
  </sheetData>
  <mergeCells count="19">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37"/>
  <sheetViews>
    <sheetView workbookViewId="0">
      <selection activeCell="C9" sqref="C9"/>
    </sheetView>
  </sheetViews>
  <sheetFormatPr baseColWidth="10" defaultRowHeight="15" x14ac:dyDescent="0.2"/>
  <cols>
    <col min="1" max="1" width="29.1640625" customWidth="1"/>
  </cols>
  <sheetData>
    <row r="1" spans="1:5" x14ac:dyDescent="0.2">
      <c r="A1" s="22" t="s">
        <v>106</v>
      </c>
      <c r="B1" s="24">
        <v>2020</v>
      </c>
      <c r="C1" s="24">
        <v>2023</v>
      </c>
      <c r="D1" s="24">
        <v>2030</v>
      </c>
      <c r="E1" s="24">
        <v>2050</v>
      </c>
    </row>
    <row r="2" spans="1:5" x14ac:dyDescent="0.2">
      <c r="A2" s="11" t="s">
        <v>33</v>
      </c>
      <c r="B2" s="27">
        <f>'2017 TDIPS'!C$32</f>
        <v>41200</v>
      </c>
      <c r="C2" s="27">
        <f>'2024 TDIPS'!C$32</f>
        <v>47000</v>
      </c>
      <c r="D2" s="27">
        <f>'2024 TDIPS'!C$33</f>
        <v>45600</v>
      </c>
      <c r="E2" s="27">
        <f>'2024 TDIPS'!C$34</f>
        <v>44100</v>
      </c>
    </row>
    <row r="3" spans="1:5" x14ac:dyDescent="0.2">
      <c r="A3" s="11" t="s">
        <v>34</v>
      </c>
      <c r="B3" s="27">
        <f>'2017 TDIPS'!C50</f>
        <v>41100</v>
      </c>
      <c r="C3" s="27">
        <f>'2024 TDIPS'!C50</f>
        <v>42750</v>
      </c>
      <c r="D3" s="27">
        <f>'2024 TDIPS'!C51</f>
        <v>37950</v>
      </c>
      <c r="E3" s="27">
        <f>'2024 TDIPS'!C52</f>
        <v>31350</v>
      </c>
    </row>
    <row r="4" spans="1:5" x14ac:dyDescent="0.2">
      <c r="A4" s="11" t="s">
        <v>56</v>
      </c>
      <c r="B4" s="27">
        <f>B17</f>
        <v>125000</v>
      </c>
      <c r="C4" s="27">
        <f t="shared" ref="C4:E4" si="0">C17</f>
        <v>142500</v>
      </c>
      <c r="D4" s="27">
        <f t="shared" si="0"/>
        <v>142500</v>
      </c>
      <c r="E4" s="27">
        <f t="shared" si="0"/>
        <v>142500</v>
      </c>
    </row>
    <row r="5" spans="1:5" x14ac:dyDescent="0.2">
      <c r="A5" s="11" t="s">
        <v>35</v>
      </c>
      <c r="B5" s="27">
        <f>'2017 TDIPS'!C14</f>
        <v>37700</v>
      </c>
      <c r="C5" s="27">
        <f>'2024 TDIPS'!C14</f>
        <v>43000</v>
      </c>
      <c r="D5" s="27">
        <f>'2024 TDIPS'!C15</f>
        <v>41000</v>
      </c>
      <c r="E5" s="27">
        <f>'2024 TDIPS'!C16</f>
        <v>38000</v>
      </c>
    </row>
    <row r="6" spans="1:5" x14ac:dyDescent="0.2">
      <c r="A6" s="11" t="s">
        <v>36</v>
      </c>
      <c r="B6" s="27">
        <f>'2017 TDIPS'!C23</f>
        <v>60000</v>
      </c>
      <c r="C6" s="27">
        <f>'2024 TDIPS'!C23</f>
        <v>40000</v>
      </c>
      <c r="D6" s="27">
        <f>'2024 TDIPS'!C24</f>
        <v>36000</v>
      </c>
      <c r="E6" s="27">
        <f>'2024 TDIPS'!C25</f>
        <v>30000</v>
      </c>
    </row>
    <row r="7" spans="1:5" x14ac:dyDescent="0.2">
      <c r="A7" s="11" t="s">
        <v>37</v>
      </c>
      <c r="B7" s="27">
        <f>'2017 TDIPS'!C17</f>
        <v>15000</v>
      </c>
      <c r="C7" s="27">
        <f>'2024 TDIPS'!C17</f>
        <v>7500</v>
      </c>
      <c r="D7" s="27">
        <f>'2024 TDIPS'!C18</f>
        <v>6800</v>
      </c>
      <c r="E7" s="27">
        <f>'2024 TDIPS'!C19</f>
        <v>6100</v>
      </c>
    </row>
    <row r="8" spans="1:5" x14ac:dyDescent="0.2">
      <c r="A8" s="11" t="s">
        <v>108</v>
      </c>
      <c r="B8" s="27">
        <f>B7</f>
        <v>15000</v>
      </c>
      <c r="C8" s="27">
        <f t="shared" ref="C8:E8" si="1">C7</f>
        <v>7500</v>
      </c>
      <c r="D8" s="27">
        <f t="shared" si="1"/>
        <v>6800</v>
      </c>
      <c r="E8" s="27">
        <f t="shared" si="1"/>
        <v>6100</v>
      </c>
    </row>
    <row r="9" spans="1:5" x14ac:dyDescent="0.2">
      <c r="A9" s="11" t="s">
        <v>38</v>
      </c>
      <c r="B9" s="27">
        <f>'2017 TDIPS'!C38</f>
        <v>47600</v>
      </c>
      <c r="C9" s="27">
        <f>'2024 TDIPS'!C38</f>
        <v>54000</v>
      </c>
      <c r="D9" s="27">
        <f>'2024 TDIPS'!C39</f>
        <v>49700</v>
      </c>
      <c r="E9" s="27">
        <f>'2024 TDIPS'!C40</f>
        <v>43200</v>
      </c>
    </row>
    <row r="10" spans="1:5" x14ac:dyDescent="0.2">
      <c r="A10" s="11" t="s">
        <v>39</v>
      </c>
      <c r="B10" s="27">
        <f>'2017 TDIPS'!C5</f>
        <v>18000</v>
      </c>
      <c r="C10" s="27">
        <f>'2024 TDIPS'!C5</f>
        <v>110000</v>
      </c>
      <c r="D10" s="27">
        <f>'2024 TDIPS'!C6</f>
        <v>110000</v>
      </c>
      <c r="E10" s="27">
        <f>'2024 TDIPS'!C7</f>
        <v>99000</v>
      </c>
    </row>
    <row r="11" spans="1:5" x14ac:dyDescent="0.2">
      <c r="A11" s="11" t="s">
        <v>40</v>
      </c>
      <c r="B11" s="27">
        <f>'2017 TDIPS'!C56</f>
        <v>8000</v>
      </c>
      <c r="C11" s="27">
        <f>'2024 TDIPS'!C56</f>
        <v>9120</v>
      </c>
      <c r="D11" s="27">
        <f>'2024 TDIPS'!C57</f>
        <v>9120</v>
      </c>
      <c r="E11" s="27">
        <f>'2024 TDIPS'!C58</f>
        <v>8847</v>
      </c>
    </row>
    <row r="12" spans="1:5" x14ac:dyDescent="0.2">
      <c r="A12" s="11" t="s">
        <v>41</v>
      </c>
      <c r="B12" s="27">
        <f>'2017 TDIPS'!C53</f>
        <v>43200</v>
      </c>
      <c r="C12" s="27">
        <f>'2024 TDIPS'!C53</f>
        <v>46800</v>
      </c>
      <c r="D12" s="27">
        <f>'2024 TDIPS'!C54</f>
        <v>36000</v>
      </c>
      <c r="E12" s="27">
        <f>'2024 TDIPS'!C55</f>
        <v>35200</v>
      </c>
    </row>
    <row r="13" spans="1:5" x14ac:dyDescent="0.2">
      <c r="A13" s="11" t="s">
        <v>42</v>
      </c>
      <c r="B13" s="27">
        <f>Cal!B2</f>
        <v>41200</v>
      </c>
      <c r="C13" s="27">
        <f>Cal!C2</f>
        <v>47000</v>
      </c>
      <c r="D13" s="27">
        <f>Cal!D2</f>
        <v>45600</v>
      </c>
      <c r="E13" s="27">
        <f>Cal!E2</f>
        <v>44100</v>
      </c>
    </row>
    <row r="14" spans="1:5" x14ac:dyDescent="0.2">
      <c r="A14" s="11" t="s">
        <v>43</v>
      </c>
      <c r="B14" s="27">
        <f>'2017 TDIPS'!C26</f>
        <v>72600</v>
      </c>
      <c r="C14" s="27">
        <f>'2024 TDIPS'!C26</f>
        <v>118768</v>
      </c>
      <c r="D14" s="27">
        <f>'2024 TDIPS'!C27</f>
        <v>99791</v>
      </c>
      <c r="E14" s="27">
        <f>'2024 TDIPS'!C28</f>
        <v>81290</v>
      </c>
    </row>
    <row r="15" spans="1:5" x14ac:dyDescent="0.2">
      <c r="A15" s="11" t="s">
        <v>44</v>
      </c>
      <c r="B15" s="27">
        <f>B11</f>
        <v>8000</v>
      </c>
      <c r="C15" s="27">
        <f t="shared" ref="C15:E15" si="2">C11</f>
        <v>9120</v>
      </c>
      <c r="D15" s="27">
        <f t="shared" si="2"/>
        <v>9120</v>
      </c>
      <c r="E15" s="27">
        <f t="shared" si="2"/>
        <v>8847</v>
      </c>
    </row>
    <row r="16" spans="1:5" x14ac:dyDescent="0.2">
      <c r="A16" s="11" t="s">
        <v>45</v>
      </c>
      <c r="B16" s="27">
        <f>B11</f>
        <v>8000</v>
      </c>
      <c r="C16" s="27">
        <f t="shared" ref="C16:E16" si="3">C11</f>
        <v>9120</v>
      </c>
      <c r="D16" s="27">
        <f t="shared" si="3"/>
        <v>9120</v>
      </c>
      <c r="E16" s="27">
        <f t="shared" si="3"/>
        <v>8847</v>
      </c>
    </row>
    <row r="17" spans="1:5" x14ac:dyDescent="0.2">
      <c r="A17" s="11" t="s">
        <v>46</v>
      </c>
      <c r="B17" s="27">
        <f>'2017 TDIPS'!C44</f>
        <v>125000</v>
      </c>
      <c r="C17" s="27">
        <f>'2024 TDIPS'!C44</f>
        <v>142500</v>
      </c>
      <c r="D17" s="27">
        <f>'2024 TDIPS'!C45</f>
        <v>142500</v>
      </c>
      <c r="E17" s="27">
        <f>'2024 TDIPS'!C46</f>
        <v>142500</v>
      </c>
    </row>
    <row r="21" spans="1:5" x14ac:dyDescent="0.2">
      <c r="A21" s="22" t="s">
        <v>107</v>
      </c>
      <c r="B21" s="24">
        <v>2020</v>
      </c>
      <c r="C21" s="24">
        <v>2023</v>
      </c>
      <c r="D21" s="24">
        <v>2030</v>
      </c>
      <c r="E21" s="24">
        <v>2050</v>
      </c>
    </row>
    <row r="22" spans="1:5" x14ac:dyDescent="0.2">
      <c r="A22" s="11" t="s">
        <v>33</v>
      </c>
      <c r="B22" s="28">
        <f>'2017 TDIPS'!D35</f>
        <v>0.11</v>
      </c>
      <c r="C22" s="27">
        <f>'2024 TDIPS'!D35</f>
        <v>1.25</v>
      </c>
      <c r="D22" s="27">
        <f>'2024 TDIPS'!D36</f>
        <v>1.2</v>
      </c>
      <c r="E22" s="27">
        <f>'2024 TDIPS'!D37</f>
        <v>1.1499999999999999</v>
      </c>
    </row>
    <row r="23" spans="1:5" x14ac:dyDescent="0.2">
      <c r="A23" s="11" t="s">
        <v>34</v>
      </c>
      <c r="B23" s="27">
        <f>'2017 TDIPS'!D50</f>
        <v>0.11</v>
      </c>
      <c r="C23" s="27">
        <f>'2024 TDIPS'!D50</f>
        <v>3.6</v>
      </c>
      <c r="D23" s="27">
        <f>'2024 TDIPS'!D51</f>
        <v>3.5</v>
      </c>
      <c r="E23" s="27">
        <f>'2024 TDIPS'!D52</f>
        <v>3.4</v>
      </c>
    </row>
    <row r="24" spans="1:5" x14ac:dyDescent="0.2">
      <c r="A24" s="11" t="s">
        <v>56</v>
      </c>
      <c r="B24" s="27">
        <f>B37</f>
        <v>3</v>
      </c>
      <c r="C24" s="27">
        <f t="shared" ref="C24:E24" si="4">C37</f>
        <v>15.4</v>
      </c>
      <c r="D24" s="27">
        <f t="shared" si="4"/>
        <v>15.4</v>
      </c>
      <c r="E24" s="27">
        <f t="shared" si="4"/>
        <v>15.4</v>
      </c>
    </row>
    <row r="25" spans="1:5" x14ac:dyDescent="0.2">
      <c r="A25" s="11" t="s">
        <v>35</v>
      </c>
      <c r="B25" s="27">
        <f>'2017 TDIPS'!D14</f>
        <v>0.65</v>
      </c>
      <c r="C25" s="27">
        <f>'2024 TDIPS'!D14</f>
        <v>0.74</v>
      </c>
      <c r="D25" s="27">
        <f>'2024 TDIPS'!D15</f>
        <v>0.71</v>
      </c>
      <c r="E25" s="27">
        <f>'2024 TDIPS'!D16</f>
        <v>0.66</v>
      </c>
    </row>
    <row r="26" spans="1:5" x14ac:dyDescent="0.2">
      <c r="A26" s="11" t="s">
        <v>36</v>
      </c>
      <c r="B26" s="27">
        <v>0</v>
      </c>
      <c r="C26" s="27">
        <v>0</v>
      </c>
      <c r="D26" s="27">
        <v>0</v>
      </c>
      <c r="E26" s="27">
        <v>0</v>
      </c>
    </row>
    <row r="27" spans="1:5" x14ac:dyDescent="0.2">
      <c r="A27" s="11" t="s">
        <v>37</v>
      </c>
      <c r="B27" s="27">
        <v>0</v>
      </c>
      <c r="C27" s="27">
        <v>0</v>
      </c>
      <c r="D27" s="27">
        <v>0</v>
      </c>
      <c r="E27" s="27">
        <v>0</v>
      </c>
    </row>
    <row r="28" spans="1:5" x14ac:dyDescent="0.2">
      <c r="A28" s="11" t="s">
        <v>108</v>
      </c>
      <c r="B28" s="27">
        <v>0</v>
      </c>
      <c r="C28" s="27">
        <v>0</v>
      </c>
      <c r="D28" s="27">
        <v>0</v>
      </c>
      <c r="E28" s="27">
        <v>0</v>
      </c>
    </row>
    <row r="29" spans="1:5" x14ac:dyDescent="0.2">
      <c r="A29" s="11" t="s">
        <v>38</v>
      </c>
      <c r="B29" s="27">
        <f>'2017 TDIPS'!D38</f>
        <v>3</v>
      </c>
      <c r="C29" s="27">
        <f>'2024 TDIPS'!D38</f>
        <v>3.4</v>
      </c>
      <c r="D29" s="27">
        <f>'2024 TDIPS'!D39</f>
        <v>3.13</v>
      </c>
      <c r="E29" s="27">
        <f>'2024 TDIPS'!D40</f>
        <v>2.72</v>
      </c>
    </row>
    <row r="30" spans="1:5" x14ac:dyDescent="0.2">
      <c r="A30" s="11" t="s">
        <v>39</v>
      </c>
      <c r="B30" s="27">
        <f>'2017 TDIPS'!D5</f>
        <v>0.25</v>
      </c>
      <c r="C30" s="27">
        <f>'2024 TDIPS'!D5</f>
        <v>0.27</v>
      </c>
      <c r="D30" s="27">
        <f>'2024 TDIPS'!D6</f>
        <v>0.27</v>
      </c>
      <c r="E30" s="27">
        <f>'2024 TDIPS'!D7</f>
        <v>0.24</v>
      </c>
    </row>
    <row r="31" spans="1:5" x14ac:dyDescent="0.2">
      <c r="A31" s="11" t="s">
        <v>40</v>
      </c>
      <c r="B31" s="27">
        <f>'2017 TDIPS'!D56</f>
        <v>6.4</v>
      </c>
      <c r="C31" s="27">
        <f>'2024 TDIPS'!D56</f>
        <v>7.3</v>
      </c>
      <c r="D31" s="27">
        <f>'2024 TDIPS'!D57</f>
        <v>6.84</v>
      </c>
      <c r="E31" s="27">
        <f>'2024 TDIPS'!D58</f>
        <v>6.61</v>
      </c>
    </row>
    <row r="32" spans="1:5" x14ac:dyDescent="0.2">
      <c r="A32" s="11" t="s">
        <v>41</v>
      </c>
      <c r="B32" s="27">
        <f>'2017 TDIPS'!D53</f>
        <v>0.13</v>
      </c>
      <c r="C32" s="27">
        <f>'2024 TDIPS'!D53</f>
        <v>2.6</v>
      </c>
      <c r="D32" s="27">
        <f>'2024 TDIPS'!D54</f>
        <v>2.5</v>
      </c>
      <c r="E32" s="27">
        <f>'2024 TDIPS'!D55</f>
        <v>2.4</v>
      </c>
    </row>
    <row r="33" spans="1:5" x14ac:dyDescent="0.2">
      <c r="A33" s="11" t="s">
        <v>42</v>
      </c>
      <c r="B33" s="27">
        <f>B22</f>
        <v>0.11</v>
      </c>
      <c r="C33" s="27">
        <f t="shared" ref="C33:E33" si="5">C22</f>
        <v>1.25</v>
      </c>
      <c r="D33" s="27">
        <f t="shared" si="5"/>
        <v>1.2</v>
      </c>
      <c r="E33" s="27">
        <f t="shared" si="5"/>
        <v>1.1499999999999999</v>
      </c>
    </row>
    <row r="34" spans="1:5" x14ac:dyDescent="0.2">
      <c r="A34" s="11" t="s">
        <v>43</v>
      </c>
      <c r="B34" s="27">
        <v>0</v>
      </c>
      <c r="C34" s="27">
        <v>0</v>
      </c>
      <c r="D34" s="27">
        <v>0</v>
      </c>
      <c r="E34" s="27">
        <v>0</v>
      </c>
    </row>
    <row r="35" spans="1:5" x14ac:dyDescent="0.2">
      <c r="A35" s="11" t="s">
        <v>44</v>
      </c>
      <c r="B35" s="27">
        <f>B31</f>
        <v>6.4</v>
      </c>
      <c r="C35" s="27">
        <f t="shared" ref="C35:E35" si="6">C31</f>
        <v>7.3</v>
      </c>
      <c r="D35" s="27">
        <f t="shared" si="6"/>
        <v>6.84</v>
      </c>
      <c r="E35" s="27">
        <f t="shared" si="6"/>
        <v>6.61</v>
      </c>
    </row>
    <row r="36" spans="1:5" x14ac:dyDescent="0.2">
      <c r="A36" s="11" t="s">
        <v>45</v>
      </c>
      <c r="B36" s="27">
        <f>B31</f>
        <v>6.4</v>
      </c>
      <c r="C36" s="27">
        <f t="shared" ref="C36:E36" si="7">C31</f>
        <v>7.3</v>
      </c>
      <c r="D36" s="27">
        <f t="shared" si="7"/>
        <v>6.84</v>
      </c>
      <c r="E36" s="27">
        <f t="shared" si="7"/>
        <v>6.61</v>
      </c>
    </row>
    <row r="37" spans="1:5" x14ac:dyDescent="0.2">
      <c r="A37" s="11" t="s">
        <v>46</v>
      </c>
      <c r="B37" s="27">
        <f>'2017 TDIPS'!D44</f>
        <v>3</v>
      </c>
      <c r="C37" s="27">
        <f>'2024 TDIPS'!D44</f>
        <v>15.4</v>
      </c>
      <c r="D37" s="27">
        <f>'2024 TDIPS'!D46</f>
        <v>15.4</v>
      </c>
      <c r="E37" s="27">
        <f>'2024 TDIPS'!D46</f>
        <v>15.4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Z1000"/>
  <sheetViews>
    <sheetView topLeftCell="N1" zoomScale="110" zoomScaleNormal="110" workbookViewId="0">
      <selection activeCell="AG2" sqref="AG2:AZ17"/>
    </sheetView>
  </sheetViews>
  <sheetFormatPr baseColWidth="10" defaultColWidth="14.5" defaultRowHeight="15" customHeight="1" x14ac:dyDescent="0.2"/>
  <cols>
    <col min="1" max="1" width="33.33203125" customWidth="1"/>
    <col min="2" max="2" width="8.83203125" customWidth="1"/>
    <col min="3" max="4" width="7.33203125" customWidth="1"/>
    <col min="5" max="5" width="10" customWidth="1"/>
    <col min="6" max="11" width="7.33203125" customWidth="1"/>
    <col min="12" max="12" width="11.5" customWidth="1"/>
    <col min="13" max="31" width="7.33203125" customWidth="1"/>
    <col min="32" max="32" width="12.6640625" customWidth="1"/>
  </cols>
  <sheetData>
    <row r="1" spans="1:52" ht="14.25" customHeight="1" x14ac:dyDescent="0.2">
      <c r="A1" s="3" t="s">
        <v>47</v>
      </c>
      <c r="B1" s="15">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11" t="s">
        <v>33</v>
      </c>
      <c r="B2" s="11">
        <f>Cal!B2</f>
        <v>41200</v>
      </c>
      <c r="C2" s="5">
        <f>$B$2+(($E$2-$B$2)/($E$1-$B$1))*(C1-$B$1)</f>
        <v>43133.333333333336</v>
      </c>
      <c r="D2" s="5">
        <f>$B$2+(($E$2-$B$2)/($E$1-$B$1))*(D1-$B$1)</f>
        <v>45066.666666666664</v>
      </c>
      <c r="E2" s="5">
        <f>Cal!C2</f>
        <v>47000</v>
      </c>
      <c r="F2" s="5">
        <f>$E2+(($L2-$E2)/($L$1-$E$1))*(F$1-$E$1)</f>
        <v>46800</v>
      </c>
      <c r="G2" s="5">
        <f t="shared" ref="G2:K2" si="0">$E2+(($L2-$E2)/($L$1-$E$1))*(G$1-$E$1)</f>
        <v>46600</v>
      </c>
      <c r="H2" s="5">
        <f t="shared" si="0"/>
        <v>46400</v>
      </c>
      <c r="I2" s="5">
        <f t="shared" si="0"/>
        <v>46200</v>
      </c>
      <c r="J2" s="5">
        <f t="shared" si="0"/>
        <v>46000</v>
      </c>
      <c r="K2" s="5">
        <f t="shared" si="0"/>
        <v>45800</v>
      </c>
      <c r="L2" s="5">
        <f>Cal!D2</f>
        <v>45600</v>
      </c>
      <c r="M2" s="5">
        <f>$L2+(($AF2-$L2)/($AF$1-$L$1))*(M$1-$L$1)</f>
        <v>45525</v>
      </c>
      <c r="N2" s="5">
        <f t="shared" ref="N2:AE16" si="1">$L2+(($AF2-$L2)/($AF$1-$L$1))*(N$1-$L$1)</f>
        <v>45450</v>
      </c>
      <c r="O2" s="5">
        <f t="shared" si="1"/>
        <v>45375</v>
      </c>
      <c r="P2" s="5">
        <f t="shared" si="1"/>
        <v>45300</v>
      </c>
      <c r="Q2" s="5">
        <f t="shared" si="1"/>
        <v>45225</v>
      </c>
      <c r="R2" s="5">
        <f t="shared" si="1"/>
        <v>45150</v>
      </c>
      <c r="S2" s="5">
        <f t="shared" si="1"/>
        <v>45075</v>
      </c>
      <c r="T2" s="5">
        <f t="shared" si="1"/>
        <v>45000</v>
      </c>
      <c r="U2" s="5">
        <f t="shared" si="1"/>
        <v>44925</v>
      </c>
      <c r="V2" s="5">
        <f t="shared" si="1"/>
        <v>44850</v>
      </c>
      <c r="W2" s="5">
        <f t="shared" si="1"/>
        <v>44775</v>
      </c>
      <c r="X2" s="5">
        <f t="shared" si="1"/>
        <v>44700</v>
      </c>
      <c r="Y2" s="5">
        <f t="shared" si="1"/>
        <v>44625</v>
      </c>
      <c r="Z2" s="5">
        <f t="shared" si="1"/>
        <v>44550</v>
      </c>
      <c r="AA2" s="5">
        <f t="shared" si="1"/>
        <v>44475</v>
      </c>
      <c r="AB2" s="5">
        <f t="shared" si="1"/>
        <v>44400</v>
      </c>
      <c r="AC2" s="5">
        <f t="shared" si="1"/>
        <v>44325</v>
      </c>
      <c r="AD2" s="5">
        <f t="shared" si="1"/>
        <v>44250</v>
      </c>
      <c r="AE2" s="5">
        <f t="shared" si="1"/>
        <v>44175</v>
      </c>
      <c r="AF2" s="5">
        <f>Cal!E2</f>
        <v>44100</v>
      </c>
      <c r="AG2" s="44">
        <f>AF2</f>
        <v>44100</v>
      </c>
      <c r="AH2" s="44">
        <f t="shared" ref="AH2:AZ16" si="2">AG2</f>
        <v>44100</v>
      </c>
      <c r="AI2" s="44">
        <f t="shared" si="2"/>
        <v>44100</v>
      </c>
      <c r="AJ2" s="44">
        <f t="shared" si="2"/>
        <v>44100</v>
      </c>
      <c r="AK2" s="44">
        <f t="shared" si="2"/>
        <v>44100</v>
      </c>
      <c r="AL2" s="44">
        <f t="shared" si="2"/>
        <v>44100</v>
      </c>
      <c r="AM2" s="44">
        <f t="shared" si="2"/>
        <v>44100</v>
      </c>
      <c r="AN2" s="44">
        <f t="shared" si="2"/>
        <v>44100</v>
      </c>
      <c r="AO2" s="44">
        <f t="shared" si="2"/>
        <v>44100</v>
      </c>
      <c r="AP2" s="44">
        <f t="shared" si="2"/>
        <v>44100</v>
      </c>
      <c r="AQ2" s="44">
        <f t="shared" si="2"/>
        <v>44100</v>
      </c>
      <c r="AR2" s="44">
        <f t="shared" si="2"/>
        <v>44100</v>
      </c>
      <c r="AS2" s="44">
        <f t="shared" si="2"/>
        <v>44100</v>
      </c>
      <c r="AT2" s="44">
        <f t="shared" si="2"/>
        <v>44100</v>
      </c>
      <c r="AU2" s="44">
        <f t="shared" si="2"/>
        <v>44100</v>
      </c>
      <c r="AV2" s="44">
        <f t="shared" si="2"/>
        <v>44100</v>
      </c>
      <c r="AW2" s="44">
        <f t="shared" si="2"/>
        <v>44100</v>
      </c>
      <c r="AX2" s="44">
        <f t="shared" si="2"/>
        <v>44100</v>
      </c>
      <c r="AY2" s="44">
        <f t="shared" si="2"/>
        <v>44100</v>
      </c>
      <c r="AZ2" s="44">
        <f t="shared" si="2"/>
        <v>44100</v>
      </c>
    </row>
    <row r="3" spans="1:52" ht="14.25" customHeight="1" x14ac:dyDescent="0.2">
      <c r="A3" s="11" t="s">
        <v>34</v>
      </c>
      <c r="B3" s="11">
        <f>Cal!B3</f>
        <v>41100</v>
      </c>
      <c r="C3" s="5">
        <f>$B$3+(($E$3-$B$3)/($E$1-$B$1))*(C$1-$B$1)</f>
        <v>41650</v>
      </c>
      <c r="D3" s="5">
        <f>$B$3+(($E$3-$B$3)/($E$1-$B$1))*(D$1-$B$1)</f>
        <v>42200</v>
      </c>
      <c r="E3" s="5">
        <f>Cal!C3</f>
        <v>42750</v>
      </c>
      <c r="F3" s="5">
        <f t="shared" ref="F3:K17" si="3">$E3+(($L3-$E3)/($L$1-$E$1))*(F$1-$E$1)</f>
        <v>42064.285714285717</v>
      </c>
      <c r="G3" s="5">
        <f t="shared" si="3"/>
        <v>41378.571428571428</v>
      </c>
      <c r="H3" s="5">
        <f t="shared" si="3"/>
        <v>40692.857142857145</v>
      </c>
      <c r="I3" s="5">
        <f t="shared" si="3"/>
        <v>40007.142857142855</v>
      </c>
      <c r="J3" s="5">
        <f t="shared" si="3"/>
        <v>39321.428571428572</v>
      </c>
      <c r="K3" s="5">
        <f t="shared" si="3"/>
        <v>38635.71428571429</v>
      </c>
      <c r="L3" s="5">
        <f>Cal!D3</f>
        <v>37950</v>
      </c>
      <c r="M3" s="5">
        <f t="shared" ref="M3:AB17" si="4">$L3+(($AF3-$L3)/($AF$1-$L$1))*(M$1-$L$1)</f>
        <v>37620</v>
      </c>
      <c r="N3" s="5">
        <f t="shared" si="4"/>
        <v>37290</v>
      </c>
      <c r="O3" s="5">
        <f t="shared" si="4"/>
        <v>36960</v>
      </c>
      <c r="P3" s="5">
        <f t="shared" si="4"/>
        <v>36630</v>
      </c>
      <c r="Q3" s="5">
        <f t="shared" si="4"/>
        <v>36300</v>
      </c>
      <c r="R3" s="5">
        <f t="shared" si="4"/>
        <v>35970</v>
      </c>
      <c r="S3" s="5">
        <f t="shared" si="4"/>
        <v>35640</v>
      </c>
      <c r="T3" s="5">
        <f t="shared" si="4"/>
        <v>35310</v>
      </c>
      <c r="U3" s="5">
        <f t="shared" si="4"/>
        <v>34980</v>
      </c>
      <c r="V3" s="5">
        <f t="shared" si="4"/>
        <v>34650</v>
      </c>
      <c r="W3" s="5">
        <f t="shared" si="4"/>
        <v>34320</v>
      </c>
      <c r="X3" s="5">
        <f t="shared" si="4"/>
        <v>33990</v>
      </c>
      <c r="Y3" s="5">
        <f t="shared" si="4"/>
        <v>33660</v>
      </c>
      <c r="Z3" s="5">
        <f t="shared" si="4"/>
        <v>33330</v>
      </c>
      <c r="AA3" s="5">
        <f t="shared" si="4"/>
        <v>33000</v>
      </c>
      <c r="AB3" s="5">
        <f t="shared" si="4"/>
        <v>32670</v>
      </c>
      <c r="AC3" s="5">
        <f t="shared" si="1"/>
        <v>32340</v>
      </c>
      <c r="AD3" s="5">
        <f t="shared" si="1"/>
        <v>32010</v>
      </c>
      <c r="AE3" s="5">
        <f t="shared" si="1"/>
        <v>31680</v>
      </c>
      <c r="AF3" s="5">
        <f>Cal!E3</f>
        <v>31350</v>
      </c>
      <c r="AG3" s="44">
        <f t="shared" ref="AG3:AV17" si="5">AF3</f>
        <v>31350</v>
      </c>
      <c r="AH3" s="44">
        <f t="shared" si="5"/>
        <v>31350</v>
      </c>
      <c r="AI3" s="44">
        <f t="shared" si="5"/>
        <v>31350</v>
      </c>
      <c r="AJ3" s="44">
        <f t="shared" si="5"/>
        <v>31350</v>
      </c>
      <c r="AK3" s="44">
        <f t="shared" si="5"/>
        <v>31350</v>
      </c>
      <c r="AL3" s="44">
        <f t="shared" si="5"/>
        <v>31350</v>
      </c>
      <c r="AM3" s="44">
        <f t="shared" si="5"/>
        <v>31350</v>
      </c>
      <c r="AN3" s="44">
        <f t="shared" si="5"/>
        <v>31350</v>
      </c>
      <c r="AO3" s="44">
        <f t="shared" si="5"/>
        <v>31350</v>
      </c>
      <c r="AP3" s="44">
        <f t="shared" si="5"/>
        <v>31350</v>
      </c>
      <c r="AQ3" s="44">
        <f t="shared" si="5"/>
        <v>31350</v>
      </c>
      <c r="AR3" s="44">
        <f t="shared" si="5"/>
        <v>31350</v>
      </c>
      <c r="AS3" s="44">
        <f t="shared" si="5"/>
        <v>31350</v>
      </c>
      <c r="AT3" s="44">
        <f t="shared" si="5"/>
        <v>31350</v>
      </c>
      <c r="AU3" s="44">
        <f t="shared" si="5"/>
        <v>31350</v>
      </c>
      <c r="AV3" s="44">
        <f t="shared" si="5"/>
        <v>31350</v>
      </c>
      <c r="AW3" s="44">
        <f t="shared" si="2"/>
        <v>31350</v>
      </c>
      <c r="AX3" s="44">
        <f t="shared" si="2"/>
        <v>31350</v>
      </c>
      <c r="AY3" s="44">
        <f t="shared" si="2"/>
        <v>31350</v>
      </c>
      <c r="AZ3" s="44">
        <f t="shared" si="2"/>
        <v>31350</v>
      </c>
    </row>
    <row r="4" spans="1:52" ht="14.25" customHeight="1" x14ac:dyDescent="0.2">
      <c r="A4" s="11" t="s">
        <v>32</v>
      </c>
      <c r="B4" s="11">
        <f>Cal!B4</f>
        <v>125000</v>
      </c>
      <c r="C4" s="5">
        <f>$B4+(($E4-$B4)/($E$1-$B$1))*(C$1-$B$1)</f>
        <v>130833.33333333333</v>
      </c>
      <c r="D4" s="5">
        <f>$B4+(($E4-$B4)/($E$1-$B$1))*(D$1-$B$1)</f>
        <v>136666.66666666666</v>
      </c>
      <c r="E4" s="5">
        <f>Cal!C4</f>
        <v>142500</v>
      </c>
      <c r="F4" s="5">
        <f t="shared" si="3"/>
        <v>142500</v>
      </c>
      <c r="G4" s="5">
        <f t="shared" si="3"/>
        <v>142500</v>
      </c>
      <c r="H4" s="5">
        <f t="shared" si="3"/>
        <v>142500</v>
      </c>
      <c r="I4" s="5">
        <f t="shared" si="3"/>
        <v>142500</v>
      </c>
      <c r="J4" s="5">
        <f t="shared" si="3"/>
        <v>142500</v>
      </c>
      <c r="K4" s="5">
        <f t="shared" si="3"/>
        <v>142500</v>
      </c>
      <c r="L4" s="5">
        <f>Cal!D4</f>
        <v>142500</v>
      </c>
      <c r="M4" s="5">
        <f t="shared" si="4"/>
        <v>142500</v>
      </c>
      <c r="N4" s="5">
        <f t="shared" si="1"/>
        <v>142500</v>
      </c>
      <c r="O4" s="5">
        <f t="shared" si="1"/>
        <v>142500</v>
      </c>
      <c r="P4" s="5">
        <f t="shared" si="1"/>
        <v>142500</v>
      </c>
      <c r="Q4" s="5">
        <f t="shared" si="1"/>
        <v>142500</v>
      </c>
      <c r="R4" s="5">
        <f t="shared" si="1"/>
        <v>142500</v>
      </c>
      <c r="S4" s="5">
        <f t="shared" si="1"/>
        <v>142500</v>
      </c>
      <c r="T4" s="5">
        <f t="shared" si="1"/>
        <v>142500</v>
      </c>
      <c r="U4" s="5">
        <f t="shared" si="1"/>
        <v>142500</v>
      </c>
      <c r="V4" s="5">
        <f t="shared" si="1"/>
        <v>142500</v>
      </c>
      <c r="W4" s="5">
        <f t="shared" si="1"/>
        <v>142500</v>
      </c>
      <c r="X4" s="5">
        <f t="shared" si="1"/>
        <v>142500</v>
      </c>
      <c r="Y4" s="5">
        <f t="shared" si="1"/>
        <v>142500</v>
      </c>
      <c r="Z4" s="5">
        <f t="shared" si="1"/>
        <v>142500</v>
      </c>
      <c r="AA4" s="5">
        <f t="shared" si="1"/>
        <v>142500</v>
      </c>
      <c r="AB4" s="5">
        <f t="shared" si="1"/>
        <v>142500</v>
      </c>
      <c r="AC4" s="5">
        <f t="shared" si="1"/>
        <v>142500</v>
      </c>
      <c r="AD4" s="5">
        <f t="shared" si="1"/>
        <v>142500</v>
      </c>
      <c r="AE4" s="5">
        <f t="shared" si="1"/>
        <v>142500</v>
      </c>
      <c r="AF4" s="5">
        <f>Cal!E4</f>
        <v>142500</v>
      </c>
      <c r="AG4" s="44">
        <f t="shared" si="5"/>
        <v>142500</v>
      </c>
      <c r="AH4" s="44">
        <f t="shared" si="2"/>
        <v>142500</v>
      </c>
      <c r="AI4" s="44">
        <f t="shared" si="2"/>
        <v>142500</v>
      </c>
      <c r="AJ4" s="44">
        <f t="shared" si="2"/>
        <v>142500</v>
      </c>
      <c r="AK4" s="44">
        <f t="shared" si="2"/>
        <v>142500</v>
      </c>
      <c r="AL4" s="44">
        <f t="shared" si="2"/>
        <v>142500</v>
      </c>
      <c r="AM4" s="44">
        <f t="shared" si="2"/>
        <v>142500</v>
      </c>
      <c r="AN4" s="44">
        <f t="shared" si="2"/>
        <v>142500</v>
      </c>
      <c r="AO4" s="44">
        <f t="shared" si="2"/>
        <v>142500</v>
      </c>
      <c r="AP4" s="44">
        <f t="shared" si="2"/>
        <v>142500</v>
      </c>
      <c r="AQ4" s="44">
        <f t="shared" si="2"/>
        <v>142500</v>
      </c>
      <c r="AR4" s="44">
        <f t="shared" si="2"/>
        <v>142500</v>
      </c>
      <c r="AS4" s="44">
        <f t="shared" si="2"/>
        <v>142500</v>
      </c>
      <c r="AT4" s="44">
        <f t="shared" si="2"/>
        <v>142500</v>
      </c>
      <c r="AU4" s="44">
        <f t="shared" si="2"/>
        <v>142500</v>
      </c>
      <c r="AV4" s="44">
        <f t="shared" si="2"/>
        <v>142500</v>
      </c>
      <c r="AW4" s="44">
        <f t="shared" si="2"/>
        <v>142500</v>
      </c>
      <c r="AX4" s="44">
        <f t="shared" si="2"/>
        <v>142500</v>
      </c>
      <c r="AY4" s="44">
        <f t="shared" si="2"/>
        <v>142500</v>
      </c>
      <c r="AZ4" s="44">
        <f t="shared" si="2"/>
        <v>142500</v>
      </c>
    </row>
    <row r="5" spans="1:52" ht="14.25" customHeight="1" x14ac:dyDescent="0.2">
      <c r="A5" s="11" t="s">
        <v>35</v>
      </c>
      <c r="B5" s="11">
        <f>Cal!B5</f>
        <v>37700</v>
      </c>
      <c r="C5" s="5">
        <f t="shared" ref="C5:D17" si="6">$B5+(($E5-$B5)/($E$1-$B$1))*(C$1-$B$1)</f>
        <v>39466.666666666664</v>
      </c>
      <c r="D5" s="5">
        <f t="shared" si="6"/>
        <v>41233.333333333336</v>
      </c>
      <c r="E5" s="5">
        <f>Cal!C5</f>
        <v>43000</v>
      </c>
      <c r="F5" s="5">
        <f t="shared" si="3"/>
        <v>42714.285714285717</v>
      </c>
      <c r="G5" s="5">
        <f t="shared" si="3"/>
        <v>42428.571428571428</v>
      </c>
      <c r="H5" s="5">
        <f t="shared" si="3"/>
        <v>42142.857142857145</v>
      </c>
      <c r="I5" s="5">
        <f t="shared" si="3"/>
        <v>41857.142857142855</v>
      </c>
      <c r="J5" s="5">
        <f t="shared" si="3"/>
        <v>41571.428571428572</v>
      </c>
      <c r="K5" s="5">
        <f t="shared" si="3"/>
        <v>41285.714285714283</v>
      </c>
      <c r="L5" s="5">
        <f>Cal!D5</f>
        <v>41000</v>
      </c>
      <c r="M5" s="5">
        <f t="shared" si="4"/>
        <v>40850</v>
      </c>
      <c r="N5" s="5">
        <f t="shared" si="1"/>
        <v>40700</v>
      </c>
      <c r="O5" s="5">
        <f t="shared" si="1"/>
        <v>40550</v>
      </c>
      <c r="P5" s="5">
        <f t="shared" si="1"/>
        <v>40400</v>
      </c>
      <c r="Q5" s="5">
        <f t="shared" si="1"/>
        <v>40250</v>
      </c>
      <c r="R5" s="5">
        <f t="shared" si="1"/>
        <v>40100</v>
      </c>
      <c r="S5" s="5">
        <f t="shared" si="1"/>
        <v>39950</v>
      </c>
      <c r="T5" s="5">
        <f t="shared" si="1"/>
        <v>39800</v>
      </c>
      <c r="U5" s="5">
        <f t="shared" si="1"/>
        <v>39650</v>
      </c>
      <c r="V5" s="5">
        <f t="shared" si="1"/>
        <v>39500</v>
      </c>
      <c r="W5" s="5">
        <f t="shared" si="1"/>
        <v>39350</v>
      </c>
      <c r="X5" s="5">
        <f t="shared" si="1"/>
        <v>39200</v>
      </c>
      <c r="Y5" s="5">
        <f t="shared" si="1"/>
        <v>39050</v>
      </c>
      <c r="Z5" s="5">
        <f t="shared" si="1"/>
        <v>38900</v>
      </c>
      <c r="AA5" s="5">
        <f t="shared" si="1"/>
        <v>38750</v>
      </c>
      <c r="AB5" s="5">
        <f t="shared" si="1"/>
        <v>38600</v>
      </c>
      <c r="AC5" s="5">
        <f t="shared" si="1"/>
        <v>38450</v>
      </c>
      <c r="AD5" s="5">
        <f t="shared" si="1"/>
        <v>38300</v>
      </c>
      <c r="AE5" s="5">
        <f t="shared" si="1"/>
        <v>38150</v>
      </c>
      <c r="AF5" s="5">
        <f>Cal!E5</f>
        <v>38000</v>
      </c>
      <c r="AG5" s="44">
        <f t="shared" si="5"/>
        <v>38000</v>
      </c>
      <c r="AH5" s="44">
        <f t="shared" si="2"/>
        <v>38000</v>
      </c>
      <c r="AI5" s="44">
        <f t="shared" si="2"/>
        <v>38000</v>
      </c>
      <c r="AJ5" s="44">
        <f t="shared" si="2"/>
        <v>38000</v>
      </c>
      <c r="AK5" s="44">
        <f t="shared" si="2"/>
        <v>38000</v>
      </c>
      <c r="AL5" s="44">
        <f t="shared" si="2"/>
        <v>38000</v>
      </c>
      <c r="AM5" s="44">
        <f t="shared" si="2"/>
        <v>38000</v>
      </c>
      <c r="AN5" s="44">
        <f t="shared" si="2"/>
        <v>38000</v>
      </c>
      <c r="AO5" s="44">
        <f t="shared" si="2"/>
        <v>38000</v>
      </c>
      <c r="AP5" s="44">
        <f t="shared" si="2"/>
        <v>38000</v>
      </c>
      <c r="AQ5" s="44">
        <f t="shared" si="2"/>
        <v>38000</v>
      </c>
      <c r="AR5" s="44">
        <f t="shared" si="2"/>
        <v>38000</v>
      </c>
      <c r="AS5" s="44">
        <f t="shared" si="2"/>
        <v>38000</v>
      </c>
      <c r="AT5" s="44">
        <f t="shared" si="2"/>
        <v>38000</v>
      </c>
      <c r="AU5" s="44">
        <f t="shared" si="2"/>
        <v>38000</v>
      </c>
      <c r="AV5" s="44">
        <f t="shared" si="2"/>
        <v>38000</v>
      </c>
      <c r="AW5" s="44">
        <f t="shared" si="2"/>
        <v>38000</v>
      </c>
      <c r="AX5" s="44">
        <f t="shared" si="2"/>
        <v>38000</v>
      </c>
      <c r="AY5" s="44">
        <f t="shared" si="2"/>
        <v>38000</v>
      </c>
      <c r="AZ5" s="44">
        <f t="shared" si="2"/>
        <v>38000</v>
      </c>
    </row>
    <row r="6" spans="1:52" ht="14.25" customHeight="1" x14ac:dyDescent="0.2">
      <c r="A6" s="11" t="s">
        <v>36</v>
      </c>
      <c r="B6" s="11">
        <f>Cal!B6</f>
        <v>60000</v>
      </c>
      <c r="C6" s="5">
        <f t="shared" si="6"/>
        <v>53333.333333333336</v>
      </c>
      <c r="D6" s="5">
        <f t="shared" si="6"/>
        <v>46666.666666666664</v>
      </c>
      <c r="E6" s="5">
        <f>Cal!C6</f>
        <v>40000</v>
      </c>
      <c r="F6" s="5">
        <f t="shared" si="3"/>
        <v>39428.571428571428</v>
      </c>
      <c r="G6" s="5">
        <f t="shared" si="3"/>
        <v>38857.142857142855</v>
      </c>
      <c r="H6" s="5">
        <f t="shared" si="3"/>
        <v>38285.714285714283</v>
      </c>
      <c r="I6" s="5">
        <f t="shared" si="3"/>
        <v>37714.285714285717</v>
      </c>
      <c r="J6" s="5">
        <f t="shared" si="3"/>
        <v>37142.857142857145</v>
      </c>
      <c r="K6" s="5">
        <f t="shared" si="3"/>
        <v>36571.428571428572</v>
      </c>
      <c r="L6" s="5">
        <f>Cal!D6</f>
        <v>36000</v>
      </c>
      <c r="M6" s="5">
        <f t="shared" si="4"/>
        <v>35700</v>
      </c>
      <c r="N6" s="5">
        <f t="shared" si="1"/>
        <v>35400</v>
      </c>
      <c r="O6" s="5">
        <f t="shared" si="1"/>
        <v>35100</v>
      </c>
      <c r="P6" s="5">
        <f t="shared" si="1"/>
        <v>34800</v>
      </c>
      <c r="Q6" s="5">
        <f t="shared" si="1"/>
        <v>34500</v>
      </c>
      <c r="R6" s="5">
        <f t="shared" si="1"/>
        <v>34200</v>
      </c>
      <c r="S6" s="5">
        <f t="shared" si="1"/>
        <v>33900</v>
      </c>
      <c r="T6" s="5">
        <f t="shared" si="1"/>
        <v>33600</v>
      </c>
      <c r="U6" s="5">
        <f t="shared" si="1"/>
        <v>33300</v>
      </c>
      <c r="V6" s="5">
        <f t="shared" si="1"/>
        <v>33000</v>
      </c>
      <c r="W6" s="5">
        <f t="shared" si="1"/>
        <v>32700</v>
      </c>
      <c r="X6" s="5">
        <f t="shared" si="1"/>
        <v>32400</v>
      </c>
      <c r="Y6" s="5">
        <f t="shared" si="1"/>
        <v>32100</v>
      </c>
      <c r="Z6" s="5">
        <f t="shared" si="1"/>
        <v>31800</v>
      </c>
      <c r="AA6" s="5">
        <f t="shared" si="1"/>
        <v>31500</v>
      </c>
      <c r="AB6" s="5">
        <f t="shared" si="1"/>
        <v>31200</v>
      </c>
      <c r="AC6" s="5">
        <f t="shared" si="1"/>
        <v>30900</v>
      </c>
      <c r="AD6" s="5">
        <f t="shared" si="1"/>
        <v>30600</v>
      </c>
      <c r="AE6" s="5">
        <f t="shared" si="1"/>
        <v>30300</v>
      </c>
      <c r="AF6" s="5">
        <f>Cal!E6</f>
        <v>30000</v>
      </c>
      <c r="AG6" s="44">
        <f t="shared" si="5"/>
        <v>30000</v>
      </c>
      <c r="AH6" s="44">
        <f t="shared" si="2"/>
        <v>30000</v>
      </c>
      <c r="AI6" s="44">
        <f t="shared" si="2"/>
        <v>30000</v>
      </c>
      <c r="AJ6" s="44">
        <f t="shared" si="2"/>
        <v>30000</v>
      </c>
      <c r="AK6" s="44">
        <f t="shared" si="2"/>
        <v>30000</v>
      </c>
      <c r="AL6" s="44">
        <f t="shared" si="2"/>
        <v>30000</v>
      </c>
      <c r="AM6" s="44">
        <f t="shared" si="2"/>
        <v>30000</v>
      </c>
      <c r="AN6" s="44">
        <f t="shared" si="2"/>
        <v>30000</v>
      </c>
      <c r="AO6" s="44">
        <f t="shared" si="2"/>
        <v>30000</v>
      </c>
      <c r="AP6" s="44">
        <f t="shared" si="2"/>
        <v>30000</v>
      </c>
      <c r="AQ6" s="44">
        <f t="shared" si="2"/>
        <v>30000</v>
      </c>
      <c r="AR6" s="44">
        <f t="shared" si="2"/>
        <v>30000</v>
      </c>
      <c r="AS6" s="44">
        <f t="shared" si="2"/>
        <v>30000</v>
      </c>
      <c r="AT6" s="44">
        <f t="shared" si="2"/>
        <v>30000</v>
      </c>
      <c r="AU6" s="44">
        <f t="shared" si="2"/>
        <v>30000</v>
      </c>
      <c r="AV6" s="44">
        <f t="shared" si="2"/>
        <v>30000</v>
      </c>
      <c r="AW6" s="44">
        <f t="shared" si="2"/>
        <v>30000</v>
      </c>
      <c r="AX6" s="44">
        <f t="shared" si="2"/>
        <v>30000</v>
      </c>
      <c r="AY6" s="44">
        <f t="shared" si="2"/>
        <v>30000</v>
      </c>
      <c r="AZ6" s="44">
        <f t="shared" si="2"/>
        <v>30000</v>
      </c>
    </row>
    <row r="7" spans="1:52" ht="14.25" customHeight="1" x14ac:dyDescent="0.2">
      <c r="A7" s="11" t="s">
        <v>37</v>
      </c>
      <c r="B7" s="11">
        <f>Cal!B7</f>
        <v>15000</v>
      </c>
      <c r="C7" s="5">
        <f t="shared" si="6"/>
        <v>12500</v>
      </c>
      <c r="D7" s="5">
        <f t="shared" si="6"/>
        <v>10000</v>
      </c>
      <c r="E7" s="5">
        <f>Cal!C7</f>
        <v>7500</v>
      </c>
      <c r="F7" s="5">
        <f t="shared" si="3"/>
        <v>7400</v>
      </c>
      <c r="G7" s="5">
        <f t="shared" si="3"/>
        <v>7300</v>
      </c>
      <c r="H7" s="5">
        <f t="shared" si="3"/>
        <v>7200</v>
      </c>
      <c r="I7" s="5">
        <f t="shared" si="3"/>
        <v>7100</v>
      </c>
      <c r="J7" s="5">
        <f t="shared" si="3"/>
        <v>7000</v>
      </c>
      <c r="K7" s="5">
        <f t="shared" si="3"/>
        <v>6900</v>
      </c>
      <c r="L7" s="5">
        <f>Cal!D7</f>
        <v>6800</v>
      </c>
      <c r="M7" s="5">
        <f t="shared" si="4"/>
        <v>6765</v>
      </c>
      <c r="N7" s="5">
        <f t="shared" si="1"/>
        <v>6730</v>
      </c>
      <c r="O7" s="5">
        <f t="shared" si="1"/>
        <v>6695</v>
      </c>
      <c r="P7" s="5">
        <f t="shared" si="1"/>
        <v>6660</v>
      </c>
      <c r="Q7" s="5">
        <f t="shared" si="1"/>
        <v>6625</v>
      </c>
      <c r="R7" s="5">
        <f t="shared" si="1"/>
        <v>6590</v>
      </c>
      <c r="S7" s="5">
        <f t="shared" si="1"/>
        <v>6555</v>
      </c>
      <c r="T7" s="5">
        <f t="shared" si="1"/>
        <v>6520</v>
      </c>
      <c r="U7" s="5">
        <f t="shared" si="1"/>
        <v>6485</v>
      </c>
      <c r="V7" s="5">
        <f t="shared" si="1"/>
        <v>6450</v>
      </c>
      <c r="W7" s="5">
        <f t="shared" si="1"/>
        <v>6415</v>
      </c>
      <c r="X7" s="5">
        <f t="shared" si="1"/>
        <v>6380</v>
      </c>
      <c r="Y7" s="5">
        <f t="shared" si="1"/>
        <v>6345</v>
      </c>
      <c r="Z7" s="5">
        <f t="shared" si="1"/>
        <v>6310</v>
      </c>
      <c r="AA7" s="5">
        <f t="shared" si="1"/>
        <v>6275</v>
      </c>
      <c r="AB7" s="5">
        <f t="shared" si="1"/>
        <v>6240</v>
      </c>
      <c r="AC7" s="5">
        <f t="shared" si="1"/>
        <v>6205</v>
      </c>
      <c r="AD7" s="5">
        <f t="shared" si="1"/>
        <v>6170</v>
      </c>
      <c r="AE7" s="5">
        <f t="shared" si="1"/>
        <v>6135</v>
      </c>
      <c r="AF7" s="5">
        <f>Cal!E7</f>
        <v>6100</v>
      </c>
      <c r="AG7" s="44">
        <f t="shared" si="5"/>
        <v>6100</v>
      </c>
      <c r="AH7" s="44">
        <f t="shared" si="2"/>
        <v>6100</v>
      </c>
      <c r="AI7" s="44">
        <f t="shared" si="2"/>
        <v>6100</v>
      </c>
      <c r="AJ7" s="44">
        <f t="shared" si="2"/>
        <v>6100</v>
      </c>
      <c r="AK7" s="44">
        <f t="shared" si="2"/>
        <v>6100</v>
      </c>
      <c r="AL7" s="44">
        <f t="shared" si="2"/>
        <v>6100</v>
      </c>
      <c r="AM7" s="44">
        <f t="shared" si="2"/>
        <v>6100</v>
      </c>
      <c r="AN7" s="44">
        <f t="shared" si="2"/>
        <v>6100</v>
      </c>
      <c r="AO7" s="44">
        <f t="shared" si="2"/>
        <v>6100</v>
      </c>
      <c r="AP7" s="44">
        <f t="shared" si="2"/>
        <v>6100</v>
      </c>
      <c r="AQ7" s="44">
        <f t="shared" si="2"/>
        <v>6100</v>
      </c>
      <c r="AR7" s="44">
        <f t="shared" si="2"/>
        <v>6100</v>
      </c>
      <c r="AS7" s="44">
        <f t="shared" si="2"/>
        <v>6100</v>
      </c>
      <c r="AT7" s="44">
        <f t="shared" si="2"/>
        <v>6100</v>
      </c>
      <c r="AU7" s="44">
        <f t="shared" si="2"/>
        <v>6100</v>
      </c>
      <c r="AV7" s="44">
        <f t="shared" si="2"/>
        <v>6100</v>
      </c>
      <c r="AW7" s="44">
        <f t="shared" si="2"/>
        <v>6100</v>
      </c>
      <c r="AX7" s="44">
        <f t="shared" si="2"/>
        <v>6100</v>
      </c>
      <c r="AY7" s="44">
        <f t="shared" si="2"/>
        <v>6100</v>
      </c>
      <c r="AZ7" s="44">
        <f t="shared" si="2"/>
        <v>6100</v>
      </c>
    </row>
    <row r="8" spans="1:52" ht="14.25" customHeight="1" x14ac:dyDescent="0.2">
      <c r="A8" s="11" t="s">
        <v>48</v>
      </c>
      <c r="B8" s="11">
        <f>Cal!B8</f>
        <v>15000</v>
      </c>
      <c r="C8" s="5">
        <f t="shared" si="6"/>
        <v>12500</v>
      </c>
      <c r="D8" s="5">
        <f t="shared" si="6"/>
        <v>10000</v>
      </c>
      <c r="E8" s="5">
        <f>Cal!C8</f>
        <v>7500</v>
      </c>
      <c r="F8" s="5">
        <f t="shared" si="3"/>
        <v>7400</v>
      </c>
      <c r="G8" s="5">
        <f t="shared" si="3"/>
        <v>7300</v>
      </c>
      <c r="H8" s="5">
        <f t="shared" si="3"/>
        <v>7200</v>
      </c>
      <c r="I8" s="5">
        <f t="shared" si="3"/>
        <v>7100</v>
      </c>
      <c r="J8" s="5">
        <f t="shared" si="3"/>
        <v>7000</v>
      </c>
      <c r="K8" s="5">
        <f t="shared" si="3"/>
        <v>6900</v>
      </c>
      <c r="L8" s="5">
        <f>Cal!D8</f>
        <v>6800</v>
      </c>
      <c r="M8" s="5">
        <f t="shared" si="4"/>
        <v>6765</v>
      </c>
      <c r="N8" s="5">
        <f t="shared" si="1"/>
        <v>6730</v>
      </c>
      <c r="O8" s="5">
        <f t="shared" si="1"/>
        <v>6695</v>
      </c>
      <c r="P8" s="5">
        <f t="shared" si="1"/>
        <v>6660</v>
      </c>
      <c r="Q8" s="5">
        <f t="shared" si="1"/>
        <v>6625</v>
      </c>
      <c r="R8" s="5">
        <f t="shared" si="1"/>
        <v>6590</v>
      </c>
      <c r="S8" s="5">
        <f t="shared" si="1"/>
        <v>6555</v>
      </c>
      <c r="T8" s="5">
        <f t="shared" si="1"/>
        <v>6520</v>
      </c>
      <c r="U8" s="5">
        <f t="shared" si="1"/>
        <v>6485</v>
      </c>
      <c r="V8" s="5">
        <f t="shared" si="1"/>
        <v>6450</v>
      </c>
      <c r="W8" s="5">
        <f t="shared" si="1"/>
        <v>6415</v>
      </c>
      <c r="X8" s="5">
        <f t="shared" si="1"/>
        <v>6380</v>
      </c>
      <c r="Y8" s="5">
        <f t="shared" si="1"/>
        <v>6345</v>
      </c>
      <c r="Z8" s="5">
        <f t="shared" si="1"/>
        <v>6310</v>
      </c>
      <c r="AA8" s="5">
        <f t="shared" si="1"/>
        <v>6275</v>
      </c>
      <c r="AB8" s="5">
        <f t="shared" si="1"/>
        <v>6240</v>
      </c>
      <c r="AC8" s="5">
        <f t="shared" si="1"/>
        <v>6205</v>
      </c>
      <c r="AD8" s="5">
        <f t="shared" si="1"/>
        <v>6170</v>
      </c>
      <c r="AE8" s="5">
        <f t="shared" si="1"/>
        <v>6135</v>
      </c>
      <c r="AF8" s="5">
        <f>Cal!E8</f>
        <v>6100</v>
      </c>
      <c r="AG8" s="44">
        <f t="shared" si="5"/>
        <v>6100</v>
      </c>
      <c r="AH8" s="44">
        <f t="shared" si="2"/>
        <v>6100</v>
      </c>
      <c r="AI8" s="44">
        <f t="shared" si="2"/>
        <v>6100</v>
      </c>
      <c r="AJ8" s="44">
        <f t="shared" si="2"/>
        <v>6100</v>
      </c>
      <c r="AK8" s="44">
        <f t="shared" si="2"/>
        <v>6100</v>
      </c>
      <c r="AL8" s="44">
        <f t="shared" si="2"/>
        <v>6100</v>
      </c>
      <c r="AM8" s="44">
        <f t="shared" si="2"/>
        <v>6100</v>
      </c>
      <c r="AN8" s="44">
        <f t="shared" si="2"/>
        <v>6100</v>
      </c>
      <c r="AO8" s="44">
        <f t="shared" si="2"/>
        <v>6100</v>
      </c>
      <c r="AP8" s="44">
        <f t="shared" si="2"/>
        <v>6100</v>
      </c>
      <c r="AQ8" s="44">
        <f t="shared" si="2"/>
        <v>6100</v>
      </c>
      <c r="AR8" s="44">
        <f t="shared" si="2"/>
        <v>6100</v>
      </c>
      <c r="AS8" s="44">
        <f t="shared" si="2"/>
        <v>6100</v>
      </c>
      <c r="AT8" s="44">
        <f t="shared" si="2"/>
        <v>6100</v>
      </c>
      <c r="AU8" s="44">
        <f t="shared" si="2"/>
        <v>6100</v>
      </c>
      <c r="AV8" s="44">
        <f t="shared" si="2"/>
        <v>6100</v>
      </c>
      <c r="AW8" s="44">
        <f t="shared" si="2"/>
        <v>6100</v>
      </c>
      <c r="AX8" s="44">
        <f t="shared" si="2"/>
        <v>6100</v>
      </c>
      <c r="AY8" s="44">
        <f t="shared" si="2"/>
        <v>6100</v>
      </c>
      <c r="AZ8" s="44">
        <f t="shared" si="2"/>
        <v>6100</v>
      </c>
    </row>
    <row r="9" spans="1:52" ht="14.25" customHeight="1" x14ac:dyDescent="0.2">
      <c r="A9" s="11" t="s">
        <v>38</v>
      </c>
      <c r="B9" s="11">
        <f>Cal!B9</f>
        <v>47600</v>
      </c>
      <c r="C9" s="5">
        <f t="shared" si="6"/>
        <v>49733.333333333336</v>
      </c>
      <c r="D9" s="5">
        <f t="shared" si="6"/>
        <v>51866.666666666664</v>
      </c>
      <c r="E9" s="5">
        <f>Cal!C9</f>
        <v>54000</v>
      </c>
      <c r="F9" s="5">
        <f t="shared" si="3"/>
        <v>53385.714285714283</v>
      </c>
      <c r="G9" s="5">
        <f t="shared" si="3"/>
        <v>52771.428571428572</v>
      </c>
      <c r="H9" s="5">
        <f t="shared" si="3"/>
        <v>52157.142857142855</v>
      </c>
      <c r="I9" s="5">
        <f t="shared" si="3"/>
        <v>51542.857142857145</v>
      </c>
      <c r="J9" s="5">
        <f t="shared" si="3"/>
        <v>50928.571428571428</v>
      </c>
      <c r="K9" s="5">
        <f t="shared" si="3"/>
        <v>50314.28571428571</v>
      </c>
      <c r="L9" s="5">
        <f>Cal!D9</f>
        <v>49700</v>
      </c>
      <c r="M9" s="5">
        <f t="shared" si="4"/>
        <v>49375</v>
      </c>
      <c r="N9" s="5">
        <f t="shared" si="1"/>
        <v>49050</v>
      </c>
      <c r="O9" s="5">
        <f t="shared" si="1"/>
        <v>48725</v>
      </c>
      <c r="P9" s="5">
        <f t="shared" si="1"/>
        <v>48400</v>
      </c>
      <c r="Q9" s="5">
        <f t="shared" si="1"/>
        <v>48075</v>
      </c>
      <c r="R9" s="5">
        <f t="shared" si="1"/>
        <v>47750</v>
      </c>
      <c r="S9" s="5">
        <f t="shared" si="1"/>
        <v>47425</v>
      </c>
      <c r="T9" s="5">
        <f t="shared" si="1"/>
        <v>47100</v>
      </c>
      <c r="U9" s="5">
        <f t="shared" si="1"/>
        <v>46775</v>
      </c>
      <c r="V9" s="5">
        <f t="shared" si="1"/>
        <v>46450</v>
      </c>
      <c r="W9" s="5">
        <f t="shared" si="1"/>
        <v>46125</v>
      </c>
      <c r="X9" s="5">
        <f t="shared" si="1"/>
        <v>45800</v>
      </c>
      <c r="Y9" s="5">
        <f t="shared" si="1"/>
        <v>45475</v>
      </c>
      <c r="Z9" s="5">
        <f t="shared" si="1"/>
        <v>45150</v>
      </c>
      <c r="AA9" s="5">
        <f t="shared" si="1"/>
        <v>44825</v>
      </c>
      <c r="AB9" s="5">
        <f t="shared" si="1"/>
        <v>44500</v>
      </c>
      <c r="AC9" s="5">
        <f t="shared" si="1"/>
        <v>44175</v>
      </c>
      <c r="AD9" s="5">
        <f t="shared" si="1"/>
        <v>43850</v>
      </c>
      <c r="AE9" s="5">
        <f t="shared" si="1"/>
        <v>43525</v>
      </c>
      <c r="AF9" s="5">
        <f>Cal!E9</f>
        <v>43200</v>
      </c>
      <c r="AG9" s="44">
        <f t="shared" si="5"/>
        <v>43200</v>
      </c>
      <c r="AH9" s="44">
        <f t="shared" si="2"/>
        <v>43200</v>
      </c>
      <c r="AI9" s="44">
        <f t="shared" si="2"/>
        <v>43200</v>
      </c>
      <c r="AJ9" s="44">
        <f t="shared" si="2"/>
        <v>43200</v>
      </c>
      <c r="AK9" s="44">
        <f t="shared" si="2"/>
        <v>43200</v>
      </c>
      <c r="AL9" s="44">
        <f t="shared" si="2"/>
        <v>43200</v>
      </c>
      <c r="AM9" s="44">
        <f t="shared" si="2"/>
        <v>43200</v>
      </c>
      <c r="AN9" s="44">
        <f t="shared" si="2"/>
        <v>43200</v>
      </c>
      <c r="AO9" s="44">
        <f t="shared" si="2"/>
        <v>43200</v>
      </c>
      <c r="AP9" s="44">
        <f t="shared" si="2"/>
        <v>43200</v>
      </c>
      <c r="AQ9" s="44">
        <f t="shared" si="2"/>
        <v>43200</v>
      </c>
      <c r="AR9" s="44">
        <f t="shared" si="2"/>
        <v>43200</v>
      </c>
      <c r="AS9" s="44">
        <f t="shared" si="2"/>
        <v>43200</v>
      </c>
      <c r="AT9" s="44">
        <f t="shared" si="2"/>
        <v>43200</v>
      </c>
      <c r="AU9" s="44">
        <f t="shared" si="2"/>
        <v>43200</v>
      </c>
      <c r="AV9" s="44">
        <f t="shared" si="2"/>
        <v>43200</v>
      </c>
      <c r="AW9" s="44">
        <f t="shared" si="2"/>
        <v>43200</v>
      </c>
      <c r="AX9" s="44">
        <f t="shared" si="2"/>
        <v>43200</v>
      </c>
      <c r="AY9" s="44">
        <f t="shared" si="2"/>
        <v>43200</v>
      </c>
      <c r="AZ9" s="44">
        <f t="shared" si="2"/>
        <v>43200</v>
      </c>
    </row>
    <row r="10" spans="1:52" ht="14.25" customHeight="1" x14ac:dyDescent="0.2">
      <c r="A10" s="11" t="s">
        <v>39</v>
      </c>
      <c r="B10" s="11">
        <f>Cal!B10</f>
        <v>18000</v>
      </c>
      <c r="C10" s="5">
        <f t="shared" si="6"/>
        <v>48666.666666666672</v>
      </c>
      <c r="D10" s="5">
        <f t="shared" si="6"/>
        <v>79333.333333333343</v>
      </c>
      <c r="E10" s="5">
        <f>Cal!C10</f>
        <v>110000</v>
      </c>
      <c r="F10" s="5">
        <f t="shared" si="3"/>
        <v>110000</v>
      </c>
      <c r="G10" s="5">
        <f t="shared" si="3"/>
        <v>110000</v>
      </c>
      <c r="H10" s="5">
        <f t="shared" si="3"/>
        <v>110000</v>
      </c>
      <c r="I10" s="5">
        <f t="shared" si="3"/>
        <v>110000</v>
      </c>
      <c r="J10" s="5">
        <f t="shared" si="3"/>
        <v>110000</v>
      </c>
      <c r="K10" s="5">
        <f t="shared" si="3"/>
        <v>110000</v>
      </c>
      <c r="L10" s="5">
        <f>Cal!D10</f>
        <v>110000</v>
      </c>
      <c r="M10" s="5">
        <f t="shared" si="4"/>
        <v>109450</v>
      </c>
      <c r="N10" s="5">
        <f t="shared" si="1"/>
        <v>108900</v>
      </c>
      <c r="O10" s="5">
        <f t="shared" si="1"/>
        <v>108350</v>
      </c>
      <c r="P10" s="5">
        <f t="shared" si="1"/>
        <v>107800</v>
      </c>
      <c r="Q10" s="5">
        <f t="shared" si="1"/>
        <v>107250</v>
      </c>
      <c r="R10" s="5">
        <f t="shared" si="1"/>
        <v>106700</v>
      </c>
      <c r="S10" s="5">
        <f t="shared" si="1"/>
        <v>106150</v>
      </c>
      <c r="T10" s="5">
        <f t="shared" si="1"/>
        <v>105600</v>
      </c>
      <c r="U10" s="5">
        <f t="shared" si="1"/>
        <v>105050</v>
      </c>
      <c r="V10" s="5">
        <f t="shared" si="1"/>
        <v>104500</v>
      </c>
      <c r="W10" s="5">
        <f t="shared" si="1"/>
        <v>103950</v>
      </c>
      <c r="X10" s="5">
        <f t="shared" si="1"/>
        <v>103400</v>
      </c>
      <c r="Y10" s="5">
        <f t="shared" si="1"/>
        <v>102850</v>
      </c>
      <c r="Z10" s="5">
        <f t="shared" si="1"/>
        <v>102300</v>
      </c>
      <c r="AA10" s="5">
        <f t="shared" si="1"/>
        <v>101750</v>
      </c>
      <c r="AB10" s="5">
        <f t="shared" si="1"/>
        <v>101200</v>
      </c>
      <c r="AC10" s="5">
        <f t="shared" si="1"/>
        <v>100650</v>
      </c>
      <c r="AD10" s="5">
        <f t="shared" si="1"/>
        <v>100100</v>
      </c>
      <c r="AE10" s="5">
        <f t="shared" si="1"/>
        <v>99550</v>
      </c>
      <c r="AF10" s="5">
        <f>Cal!E10</f>
        <v>99000</v>
      </c>
      <c r="AG10" s="44">
        <f t="shared" si="5"/>
        <v>99000</v>
      </c>
      <c r="AH10" s="44">
        <f t="shared" si="2"/>
        <v>99000</v>
      </c>
      <c r="AI10" s="44">
        <f t="shared" si="2"/>
        <v>99000</v>
      </c>
      <c r="AJ10" s="44">
        <f t="shared" si="2"/>
        <v>99000</v>
      </c>
      <c r="AK10" s="44">
        <f t="shared" si="2"/>
        <v>99000</v>
      </c>
      <c r="AL10" s="44">
        <f t="shared" si="2"/>
        <v>99000</v>
      </c>
      <c r="AM10" s="44">
        <f t="shared" si="2"/>
        <v>99000</v>
      </c>
      <c r="AN10" s="44">
        <f t="shared" si="2"/>
        <v>99000</v>
      </c>
      <c r="AO10" s="44">
        <f t="shared" si="2"/>
        <v>99000</v>
      </c>
      <c r="AP10" s="44">
        <f t="shared" si="2"/>
        <v>99000</v>
      </c>
      <c r="AQ10" s="44">
        <f t="shared" si="2"/>
        <v>99000</v>
      </c>
      <c r="AR10" s="44">
        <f t="shared" si="2"/>
        <v>99000</v>
      </c>
      <c r="AS10" s="44">
        <f t="shared" si="2"/>
        <v>99000</v>
      </c>
      <c r="AT10" s="44">
        <f t="shared" si="2"/>
        <v>99000</v>
      </c>
      <c r="AU10" s="44">
        <f t="shared" si="2"/>
        <v>99000</v>
      </c>
      <c r="AV10" s="44">
        <f t="shared" si="2"/>
        <v>99000</v>
      </c>
      <c r="AW10" s="44">
        <f t="shared" si="2"/>
        <v>99000</v>
      </c>
      <c r="AX10" s="44">
        <f t="shared" si="2"/>
        <v>99000</v>
      </c>
      <c r="AY10" s="44">
        <f t="shared" si="2"/>
        <v>99000</v>
      </c>
      <c r="AZ10" s="44">
        <f t="shared" si="2"/>
        <v>99000</v>
      </c>
    </row>
    <row r="11" spans="1:52" ht="14.25" customHeight="1" x14ac:dyDescent="0.2">
      <c r="A11" s="11" t="s">
        <v>40</v>
      </c>
      <c r="B11" s="11">
        <f>Cal!B11</f>
        <v>8000</v>
      </c>
      <c r="C11" s="5">
        <f t="shared" si="6"/>
        <v>8373.3333333333339</v>
      </c>
      <c r="D11" s="5">
        <f t="shared" si="6"/>
        <v>8746.6666666666661</v>
      </c>
      <c r="E11" s="5">
        <f>Cal!C11</f>
        <v>9120</v>
      </c>
      <c r="F11" s="5">
        <f t="shared" si="3"/>
        <v>9120</v>
      </c>
      <c r="G11" s="5">
        <f t="shared" si="3"/>
        <v>9120</v>
      </c>
      <c r="H11" s="5">
        <f t="shared" si="3"/>
        <v>9120</v>
      </c>
      <c r="I11" s="5">
        <f t="shared" si="3"/>
        <v>9120</v>
      </c>
      <c r="J11" s="5">
        <f t="shared" si="3"/>
        <v>9120</v>
      </c>
      <c r="K11" s="5">
        <f t="shared" si="3"/>
        <v>9120</v>
      </c>
      <c r="L11" s="5">
        <f>Cal!D11</f>
        <v>9120</v>
      </c>
      <c r="M11" s="5">
        <f t="shared" si="4"/>
        <v>9106.35</v>
      </c>
      <c r="N11" s="5">
        <f t="shared" si="1"/>
        <v>9092.7000000000007</v>
      </c>
      <c r="O11" s="5">
        <f t="shared" si="1"/>
        <v>9079.0499999999993</v>
      </c>
      <c r="P11" s="5">
        <f t="shared" si="1"/>
        <v>9065.4</v>
      </c>
      <c r="Q11" s="5">
        <f t="shared" si="1"/>
        <v>9051.75</v>
      </c>
      <c r="R11" s="5">
        <f t="shared" si="1"/>
        <v>9038.1</v>
      </c>
      <c r="S11" s="5">
        <f t="shared" si="1"/>
        <v>9024.4500000000007</v>
      </c>
      <c r="T11" s="5">
        <f t="shared" si="1"/>
        <v>9010.7999999999993</v>
      </c>
      <c r="U11" s="5">
        <f t="shared" si="1"/>
        <v>8997.15</v>
      </c>
      <c r="V11" s="5">
        <f t="shared" si="1"/>
        <v>8983.5</v>
      </c>
      <c r="W11" s="5">
        <f t="shared" si="1"/>
        <v>8969.85</v>
      </c>
      <c r="X11" s="5">
        <f t="shared" si="1"/>
        <v>8956.2000000000007</v>
      </c>
      <c r="Y11" s="5">
        <f t="shared" si="1"/>
        <v>8942.5499999999993</v>
      </c>
      <c r="Z11" s="5">
        <f t="shared" si="1"/>
        <v>8928.9</v>
      </c>
      <c r="AA11" s="5">
        <f t="shared" si="1"/>
        <v>8915.25</v>
      </c>
      <c r="AB11" s="5">
        <f t="shared" si="1"/>
        <v>8901.6</v>
      </c>
      <c r="AC11" s="5">
        <f t="shared" si="1"/>
        <v>8887.9500000000007</v>
      </c>
      <c r="AD11" s="5">
        <f t="shared" si="1"/>
        <v>8874.2999999999993</v>
      </c>
      <c r="AE11" s="5">
        <f t="shared" si="1"/>
        <v>8860.65</v>
      </c>
      <c r="AF11" s="5">
        <f>Cal!E11</f>
        <v>8847</v>
      </c>
      <c r="AG11" s="44">
        <f t="shared" si="5"/>
        <v>8847</v>
      </c>
      <c r="AH11" s="44">
        <f t="shared" si="2"/>
        <v>8847</v>
      </c>
      <c r="AI11" s="44">
        <f t="shared" si="2"/>
        <v>8847</v>
      </c>
      <c r="AJ11" s="44">
        <f t="shared" si="2"/>
        <v>8847</v>
      </c>
      <c r="AK11" s="44">
        <f t="shared" si="2"/>
        <v>8847</v>
      </c>
      <c r="AL11" s="44">
        <f t="shared" si="2"/>
        <v>8847</v>
      </c>
      <c r="AM11" s="44">
        <f t="shared" si="2"/>
        <v>8847</v>
      </c>
      <c r="AN11" s="44">
        <f t="shared" si="2"/>
        <v>8847</v>
      </c>
      <c r="AO11" s="44">
        <f t="shared" si="2"/>
        <v>8847</v>
      </c>
      <c r="AP11" s="44">
        <f t="shared" si="2"/>
        <v>8847</v>
      </c>
      <c r="AQ11" s="44">
        <f t="shared" si="2"/>
        <v>8847</v>
      </c>
      <c r="AR11" s="44">
        <f t="shared" si="2"/>
        <v>8847</v>
      </c>
      <c r="AS11" s="44">
        <f t="shared" si="2"/>
        <v>8847</v>
      </c>
      <c r="AT11" s="44">
        <f t="shared" si="2"/>
        <v>8847</v>
      </c>
      <c r="AU11" s="44">
        <f t="shared" si="2"/>
        <v>8847</v>
      </c>
      <c r="AV11" s="44">
        <f t="shared" si="2"/>
        <v>8847</v>
      </c>
      <c r="AW11" s="44">
        <f t="shared" si="2"/>
        <v>8847</v>
      </c>
      <c r="AX11" s="44">
        <f t="shared" si="2"/>
        <v>8847</v>
      </c>
      <c r="AY11" s="44">
        <f t="shared" si="2"/>
        <v>8847</v>
      </c>
      <c r="AZ11" s="44">
        <f t="shared" si="2"/>
        <v>8847</v>
      </c>
    </row>
    <row r="12" spans="1:52" ht="14.25" customHeight="1" x14ac:dyDescent="0.2">
      <c r="A12" s="11" t="s">
        <v>41</v>
      </c>
      <c r="B12" s="11">
        <f>Cal!B12</f>
        <v>43200</v>
      </c>
      <c r="C12" s="5">
        <f t="shared" si="6"/>
        <v>44400</v>
      </c>
      <c r="D12" s="5">
        <f t="shared" si="6"/>
        <v>45600</v>
      </c>
      <c r="E12" s="5">
        <f>Cal!C12</f>
        <v>46800</v>
      </c>
      <c r="F12" s="5">
        <f t="shared" si="3"/>
        <v>45257.142857142855</v>
      </c>
      <c r="G12" s="5">
        <f t="shared" si="3"/>
        <v>43714.285714285717</v>
      </c>
      <c r="H12" s="5">
        <f t="shared" si="3"/>
        <v>42171.428571428572</v>
      </c>
      <c r="I12" s="5">
        <f t="shared" si="3"/>
        <v>40628.571428571428</v>
      </c>
      <c r="J12" s="5">
        <f t="shared" si="3"/>
        <v>39085.714285714283</v>
      </c>
      <c r="K12" s="5">
        <f t="shared" si="3"/>
        <v>37542.857142857145</v>
      </c>
      <c r="L12" s="5">
        <f>Cal!D12</f>
        <v>36000</v>
      </c>
      <c r="M12" s="5">
        <f t="shared" si="4"/>
        <v>35960</v>
      </c>
      <c r="N12" s="5">
        <f t="shared" si="1"/>
        <v>35920</v>
      </c>
      <c r="O12" s="5">
        <f t="shared" si="1"/>
        <v>35880</v>
      </c>
      <c r="P12" s="5">
        <f t="shared" si="1"/>
        <v>35840</v>
      </c>
      <c r="Q12" s="5">
        <f t="shared" si="1"/>
        <v>35800</v>
      </c>
      <c r="R12" s="5">
        <f t="shared" si="1"/>
        <v>35760</v>
      </c>
      <c r="S12" s="5">
        <f t="shared" si="1"/>
        <v>35720</v>
      </c>
      <c r="T12" s="5">
        <f t="shared" si="1"/>
        <v>35680</v>
      </c>
      <c r="U12" s="5">
        <f t="shared" si="1"/>
        <v>35640</v>
      </c>
      <c r="V12" s="5">
        <f t="shared" si="1"/>
        <v>35600</v>
      </c>
      <c r="W12" s="5">
        <f t="shared" si="1"/>
        <v>35560</v>
      </c>
      <c r="X12" s="5">
        <f t="shared" si="1"/>
        <v>35520</v>
      </c>
      <c r="Y12" s="5">
        <f t="shared" si="1"/>
        <v>35480</v>
      </c>
      <c r="Z12" s="5">
        <f t="shared" si="1"/>
        <v>35440</v>
      </c>
      <c r="AA12" s="5">
        <f t="shared" si="1"/>
        <v>35400</v>
      </c>
      <c r="AB12" s="5">
        <f t="shared" si="1"/>
        <v>35360</v>
      </c>
      <c r="AC12" s="5">
        <f t="shared" si="1"/>
        <v>35320</v>
      </c>
      <c r="AD12" s="5">
        <f t="shared" si="1"/>
        <v>35280</v>
      </c>
      <c r="AE12" s="5">
        <f t="shared" si="1"/>
        <v>35240</v>
      </c>
      <c r="AF12" s="5">
        <f>Cal!E12</f>
        <v>35200</v>
      </c>
      <c r="AG12" s="44">
        <f t="shared" si="5"/>
        <v>35200</v>
      </c>
      <c r="AH12" s="44">
        <f t="shared" si="2"/>
        <v>35200</v>
      </c>
      <c r="AI12" s="44">
        <f t="shared" si="2"/>
        <v>35200</v>
      </c>
      <c r="AJ12" s="44">
        <f t="shared" si="2"/>
        <v>35200</v>
      </c>
      <c r="AK12" s="44">
        <f t="shared" si="2"/>
        <v>35200</v>
      </c>
      <c r="AL12" s="44">
        <f t="shared" si="2"/>
        <v>35200</v>
      </c>
      <c r="AM12" s="44">
        <f t="shared" si="2"/>
        <v>35200</v>
      </c>
      <c r="AN12" s="44">
        <f t="shared" si="2"/>
        <v>35200</v>
      </c>
      <c r="AO12" s="44">
        <f t="shared" si="2"/>
        <v>35200</v>
      </c>
      <c r="AP12" s="44">
        <f t="shared" si="2"/>
        <v>35200</v>
      </c>
      <c r="AQ12" s="44">
        <f t="shared" si="2"/>
        <v>35200</v>
      </c>
      <c r="AR12" s="44">
        <f t="shared" si="2"/>
        <v>35200</v>
      </c>
      <c r="AS12" s="44">
        <f t="shared" si="2"/>
        <v>35200</v>
      </c>
      <c r="AT12" s="44">
        <f t="shared" si="2"/>
        <v>35200</v>
      </c>
      <c r="AU12" s="44">
        <f t="shared" si="2"/>
        <v>35200</v>
      </c>
      <c r="AV12" s="44">
        <f t="shared" si="2"/>
        <v>35200</v>
      </c>
      <c r="AW12" s="44">
        <f t="shared" si="2"/>
        <v>35200</v>
      </c>
      <c r="AX12" s="44">
        <f t="shared" si="2"/>
        <v>35200</v>
      </c>
      <c r="AY12" s="44">
        <f t="shared" si="2"/>
        <v>35200</v>
      </c>
      <c r="AZ12" s="44">
        <f t="shared" si="2"/>
        <v>35200</v>
      </c>
    </row>
    <row r="13" spans="1:52" ht="14.25" customHeight="1" x14ac:dyDescent="0.2">
      <c r="A13" s="11" t="s">
        <v>42</v>
      </c>
      <c r="B13" s="11">
        <f>Cal!B13</f>
        <v>41200</v>
      </c>
      <c r="C13" s="5">
        <f t="shared" si="6"/>
        <v>43133.333333333336</v>
      </c>
      <c r="D13" s="5">
        <f t="shared" si="6"/>
        <v>45066.666666666664</v>
      </c>
      <c r="E13" s="5">
        <f>Cal!C13</f>
        <v>47000</v>
      </c>
      <c r="F13" s="5">
        <f t="shared" si="3"/>
        <v>46800</v>
      </c>
      <c r="G13" s="5">
        <f t="shared" si="3"/>
        <v>46600</v>
      </c>
      <c r="H13" s="5">
        <f t="shared" si="3"/>
        <v>46400</v>
      </c>
      <c r="I13" s="5">
        <f t="shared" si="3"/>
        <v>46200</v>
      </c>
      <c r="J13" s="5">
        <f t="shared" si="3"/>
        <v>46000</v>
      </c>
      <c r="K13" s="5">
        <f t="shared" si="3"/>
        <v>45800</v>
      </c>
      <c r="L13" s="5">
        <f>Cal!D13</f>
        <v>45600</v>
      </c>
      <c r="M13" s="5">
        <f t="shared" si="4"/>
        <v>45525</v>
      </c>
      <c r="N13" s="5">
        <f t="shared" si="1"/>
        <v>45450</v>
      </c>
      <c r="O13" s="5">
        <f t="shared" si="1"/>
        <v>45375</v>
      </c>
      <c r="P13" s="5">
        <f t="shared" si="1"/>
        <v>45300</v>
      </c>
      <c r="Q13" s="5">
        <f t="shared" si="1"/>
        <v>45225</v>
      </c>
      <c r="R13" s="5">
        <f t="shared" si="1"/>
        <v>45150</v>
      </c>
      <c r="S13" s="5">
        <f t="shared" si="1"/>
        <v>45075</v>
      </c>
      <c r="T13" s="5">
        <f t="shared" si="1"/>
        <v>45000</v>
      </c>
      <c r="U13" s="5">
        <f t="shared" si="1"/>
        <v>44925</v>
      </c>
      <c r="V13" s="5">
        <f t="shared" si="1"/>
        <v>44850</v>
      </c>
      <c r="W13" s="5">
        <f t="shared" si="1"/>
        <v>44775</v>
      </c>
      <c r="X13" s="5">
        <f t="shared" si="1"/>
        <v>44700</v>
      </c>
      <c r="Y13" s="5">
        <f t="shared" si="1"/>
        <v>44625</v>
      </c>
      <c r="Z13" s="5">
        <f t="shared" si="1"/>
        <v>44550</v>
      </c>
      <c r="AA13" s="5">
        <f t="shared" si="1"/>
        <v>44475</v>
      </c>
      <c r="AB13" s="5">
        <f t="shared" si="1"/>
        <v>44400</v>
      </c>
      <c r="AC13" s="5">
        <f t="shared" si="1"/>
        <v>44325</v>
      </c>
      <c r="AD13" s="5">
        <f t="shared" si="1"/>
        <v>44250</v>
      </c>
      <c r="AE13" s="5">
        <f t="shared" si="1"/>
        <v>44175</v>
      </c>
      <c r="AF13" s="5">
        <f>Cal!E13</f>
        <v>44100</v>
      </c>
      <c r="AG13" s="44">
        <f t="shared" si="5"/>
        <v>44100</v>
      </c>
      <c r="AH13" s="44">
        <f t="shared" si="2"/>
        <v>44100</v>
      </c>
      <c r="AI13" s="44">
        <f t="shared" si="2"/>
        <v>44100</v>
      </c>
      <c r="AJ13" s="44">
        <f t="shared" si="2"/>
        <v>44100</v>
      </c>
      <c r="AK13" s="44">
        <f t="shared" si="2"/>
        <v>44100</v>
      </c>
      <c r="AL13" s="44">
        <f t="shared" si="2"/>
        <v>44100</v>
      </c>
      <c r="AM13" s="44">
        <f t="shared" si="2"/>
        <v>44100</v>
      </c>
      <c r="AN13" s="44">
        <f t="shared" si="2"/>
        <v>44100</v>
      </c>
      <c r="AO13" s="44">
        <f t="shared" si="2"/>
        <v>44100</v>
      </c>
      <c r="AP13" s="44">
        <f t="shared" si="2"/>
        <v>44100</v>
      </c>
      <c r="AQ13" s="44">
        <f t="shared" si="2"/>
        <v>44100</v>
      </c>
      <c r="AR13" s="44">
        <f t="shared" si="2"/>
        <v>44100</v>
      </c>
      <c r="AS13" s="44">
        <f t="shared" si="2"/>
        <v>44100</v>
      </c>
      <c r="AT13" s="44">
        <f t="shared" si="2"/>
        <v>44100</v>
      </c>
      <c r="AU13" s="44">
        <f t="shared" si="2"/>
        <v>44100</v>
      </c>
      <c r="AV13" s="44">
        <f t="shared" si="2"/>
        <v>44100</v>
      </c>
      <c r="AW13" s="44">
        <f t="shared" si="2"/>
        <v>44100</v>
      </c>
      <c r="AX13" s="44">
        <f t="shared" si="2"/>
        <v>44100</v>
      </c>
      <c r="AY13" s="44">
        <f t="shared" si="2"/>
        <v>44100</v>
      </c>
      <c r="AZ13" s="44">
        <f t="shared" si="2"/>
        <v>44100</v>
      </c>
    </row>
    <row r="14" spans="1:52" ht="14.25" customHeight="1" x14ac:dyDescent="0.2">
      <c r="A14" s="11" t="s">
        <v>43</v>
      </c>
      <c r="B14" s="11">
        <f>Cal!B14</f>
        <v>72600</v>
      </c>
      <c r="C14" s="5">
        <f t="shared" si="6"/>
        <v>87989.333333333328</v>
      </c>
      <c r="D14" s="5">
        <f t="shared" si="6"/>
        <v>103378.66666666667</v>
      </c>
      <c r="E14" s="5">
        <f>Cal!C14</f>
        <v>118768</v>
      </c>
      <c r="F14" s="5">
        <f t="shared" si="3"/>
        <v>116057</v>
      </c>
      <c r="G14" s="5">
        <f t="shared" si="3"/>
        <v>113346</v>
      </c>
      <c r="H14" s="5">
        <f t="shared" si="3"/>
        <v>110635</v>
      </c>
      <c r="I14" s="5">
        <f t="shared" si="3"/>
        <v>107924</v>
      </c>
      <c r="J14" s="5">
        <f t="shared" si="3"/>
        <v>105213</v>
      </c>
      <c r="K14" s="5">
        <f t="shared" si="3"/>
        <v>102502</v>
      </c>
      <c r="L14" s="5">
        <f>Cal!D14</f>
        <v>99791</v>
      </c>
      <c r="M14" s="5">
        <f t="shared" si="4"/>
        <v>98865.95</v>
      </c>
      <c r="N14" s="5">
        <f t="shared" si="1"/>
        <v>97940.9</v>
      </c>
      <c r="O14" s="5">
        <f t="shared" si="1"/>
        <v>97015.85</v>
      </c>
      <c r="P14" s="5">
        <f t="shared" si="1"/>
        <v>96090.8</v>
      </c>
      <c r="Q14" s="5">
        <f t="shared" si="1"/>
        <v>95165.75</v>
      </c>
      <c r="R14" s="5">
        <f t="shared" si="1"/>
        <v>94240.7</v>
      </c>
      <c r="S14" s="5">
        <f t="shared" si="1"/>
        <v>93315.65</v>
      </c>
      <c r="T14" s="5">
        <f t="shared" si="1"/>
        <v>92390.6</v>
      </c>
      <c r="U14" s="5">
        <f t="shared" si="1"/>
        <v>91465.55</v>
      </c>
      <c r="V14" s="5">
        <f t="shared" si="1"/>
        <v>90540.5</v>
      </c>
      <c r="W14" s="5">
        <f t="shared" si="1"/>
        <v>89615.45</v>
      </c>
      <c r="X14" s="5">
        <f t="shared" si="1"/>
        <v>88690.4</v>
      </c>
      <c r="Y14" s="5">
        <f t="shared" si="1"/>
        <v>87765.35</v>
      </c>
      <c r="Z14" s="5">
        <f t="shared" si="1"/>
        <v>86840.3</v>
      </c>
      <c r="AA14" s="5">
        <f t="shared" si="1"/>
        <v>85915.25</v>
      </c>
      <c r="AB14" s="5">
        <f t="shared" si="1"/>
        <v>84990.2</v>
      </c>
      <c r="AC14" s="5">
        <f t="shared" si="1"/>
        <v>84065.15</v>
      </c>
      <c r="AD14" s="5">
        <f t="shared" si="1"/>
        <v>83140.100000000006</v>
      </c>
      <c r="AE14" s="5">
        <f t="shared" si="1"/>
        <v>82215.05</v>
      </c>
      <c r="AF14" s="5">
        <f>Cal!E14</f>
        <v>81290</v>
      </c>
      <c r="AG14" s="44">
        <f t="shared" si="5"/>
        <v>81290</v>
      </c>
      <c r="AH14" s="44">
        <f t="shared" si="2"/>
        <v>81290</v>
      </c>
      <c r="AI14" s="44">
        <f t="shared" si="2"/>
        <v>81290</v>
      </c>
      <c r="AJ14" s="44">
        <f t="shared" si="2"/>
        <v>81290</v>
      </c>
      <c r="AK14" s="44">
        <f t="shared" si="2"/>
        <v>81290</v>
      </c>
      <c r="AL14" s="44">
        <f t="shared" si="2"/>
        <v>81290</v>
      </c>
      <c r="AM14" s="44">
        <f t="shared" si="2"/>
        <v>81290</v>
      </c>
      <c r="AN14" s="44">
        <f t="shared" si="2"/>
        <v>81290</v>
      </c>
      <c r="AO14" s="44">
        <f t="shared" si="2"/>
        <v>81290</v>
      </c>
      <c r="AP14" s="44">
        <f t="shared" si="2"/>
        <v>81290</v>
      </c>
      <c r="AQ14" s="44">
        <f t="shared" si="2"/>
        <v>81290</v>
      </c>
      <c r="AR14" s="44">
        <f t="shared" si="2"/>
        <v>81290</v>
      </c>
      <c r="AS14" s="44">
        <f t="shared" si="2"/>
        <v>81290</v>
      </c>
      <c r="AT14" s="44">
        <f t="shared" si="2"/>
        <v>81290</v>
      </c>
      <c r="AU14" s="44">
        <f t="shared" si="2"/>
        <v>81290</v>
      </c>
      <c r="AV14" s="44">
        <f t="shared" si="2"/>
        <v>81290</v>
      </c>
      <c r="AW14" s="44">
        <f t="shared" si="2"/>
        <v>81290</v>
      </c>
      <c r="AX14" s="44">
        <f t="shared" si="2"/>
        <v>81290</v>
      </c>
      <c r="AY14" s="44">
        <f t="shared" si="2"/>
        <v>81290</v>
      </c>
      <c r="AZ14" s="44">
        <f t="shared" si="2"/>
        <v>81290</v>
      </c>
    </row>
    <row r="15" spans="1:52" ht="14.25" customHeight="1" x14ac:dyDescent="0.2">
      <c r="A15" s="11" t="s">
        <v>44</v>
      </c>
      <c r="B15" s="11">
        <f>Cal!B15</f>
        <v>8000</v>
      </c>
      <c r="C15" s="5">
        <f t="shared" si="6"/>
        <v>8373.3333333333339</v>
      </c>
      <c r="D15" s="5">
        <f t="shared" si="6"/>
        <v>8746.6666666666661</v>
      </c>
      <c r="E15" s="5">
        <f>Cal!C15</f>
        <v>9120</v>
      </c>
      <c r="F15" s="5">
        <f t="shared" si="3"/>
        <v>9120</v>
      </c>
      <c r="G15" s="5">
        <f t="shared" si="3"/>
        <v>9120</v>
      </c>
      <c r="H15" s="5">
        <f t="shared" si="3"/>
        <v>9120</v>
      </c>
      <c r="I15" s="5">
        <f t="shared" si="3"/>
        <v>9120</v>
      </c>
      <c r="J15" s="5">
        <f t="shared" si="3"/>
        <v>9120</v>
      </c>
      <c r="K15" s="5">
        <f t="shared" si="3"/>
        <v>9120</v>
      </c>
      <c r="L15" s="5">
        <f>Cal!D15</f>
        <v>9120</v>
      </c>
      <c r="M15" s="5">
        <f t="shared" si="4"/>
        <v>9106.35</v>
      </c>
      <c r="N15" s="5">
        <f t="shared" si="1"/>
        <v>9092.7000000000007</v>
      </c>
      <c r="O15" s="5">
        <f t="shared" si="1"/>
        <v>9079.0499999999993</v>
      </c>
      <c r="P15" s="5">
        <f t="shared" si="1"/>
        <v>9065.4</v>
      </c>
      <c r="Q15" s="5">
        <f t="shared" si="1"/>
        <v>9051.75</v>
      </c>
      <c r="R15" s="5">
        <f t="shared" si="1"/>
        <v>9038.1</v>
      </c>
      <c r="S15" s="5">
        <f t="shared" si="1"/>
        <v>9024.4500000000007</v>
      </c>
      <c r="T15" s="5">
        <f t="shared" si="1"/>
        <v>9010.7999999999993</v>
      </c>
      <c r="U15" s="5">
        <f t="shared" si="1"/>
        <v>8997.15</v>
      </c>
      <c r="V15" s="5">
        <f t="shared" si="1"/>
        <v>8983.5</v>
      </c>
      <c r="W15" s="5">
        <f t="shared" si="1"/>
        <v>8969.85</v>
      </c>
      <c r="X15" s="5">
        <f t="shared" si="1"/>
        <v>8956.2000000000007</v>
      </c>
      <c r="Y15" s="5">
        <f t="shared" si="1"/>
        <v>8942.5499999999993</v>
      </c>
      <c r="Z15" s="5">
        <f t="shared" si="1"/>
        <v>8928.9</v>
      </c>
      <c r="AA15" s="5">
        <f t="shared" si="1"/>
        <v>8915.25</v>
      </c>
      <c r="AB15" s="5">
        <f t="shared" si="1"/>
        <v>8901.6</v>
      </c>
      <c r="AC15" s="5">
        <f t="shared" si="1"/>
        <v>8887.9500000000007</v>
      </c>
      <c r="AD15" s="5">
        <f t="shared" si="1"/>
        <v>8874.2999999999993</v>
      </c>
      <c r="AE15" s="5">
        <f t="shared" si="1"/>
        <v>8860.65</v>
      </c>
      <c r="AF15" s="5">
        <f>Cal!E15</f>
        <v>8847</v>
      </c>
      <c r="AG15" s="44">
        <f t="shared" si="5"/>
        <v>8847</v>
      </c>
      <c r="AH15" s="44">
        <f t="shared" si="2"/>
        <v>8847</v>
      </c>
      <c r="AI15" s="44">
        <f t="shared" si="2"/>
        <v>8847</v>
      </c>
      <c r="AJ15" s="44">
        <f t="shared" si="2"/>
        <v>8847</v>
      </c>
      <c r="AK15" s="44">
        <f t="shared" si="2"/>
        <v>8847</v>
      </c>
      <c r="AL15" s="44">
        <f t="shared" si="2"/>
        <v>8847</v>
      </c>
      <c r="AM15" s="44">
        <f t="shared" si="2"/>
        <v>8847</v>
      </c>
      <c r="AN15" s="44">
        <f t="shared" si="2"/>
        <v>8847</v>
      </c>
      <c r="AO15" s="44">
        <f t="shared" si="2"/>
        <v>8847</v>
      </c>
      <c r="AP15" s="44">
        <f t="shared" si="2"/>
        <v>8847</v>
      </c>
      <c r="AQ15" s="44">
        <f t="shared" si="2"/>
        <v>8847</v>
      </c>
      <c r="AR15" s="44">
        <f t="shared" si="2"/>
        <v>8847</v>
      </c>
      <c r="AS15" s="44">
        <f t="shared" si="2"/>
        <v>8847</v>
      </c>
      <c r="AT15" s="44">
        <f t="shared" si="2"/>
        <v>8847</v>
      </c>
      <c r="AU15" s="44">
        <f t="shared" si="2"/>
        <v>8847</v>
      </c>
      <c r="AV15" s="44">
        <f t="shared" si="2"/>
        <v>8847</v>
      </c>
      <c r="AW15" s="44">
        <f t="shared" si="2"/>
        <v>8847</v>
      </c>
      <c r="AX15" s="44">
        <f t="shared" si="2"/>
        <v>8847</v>
      </c>
      <c r="AY15" s="44">
        <f t="shared" si="2"/>
        <v>8847</v>
      </c>
      <c r="AZ15" s="44">
        <f t="shared" si="2"/>
        <v>8847</v>
      </c>
    </row>
    <row r="16" spans="1:52" ht="14.25" customHeight="1" x14ac:dyDescent="0.2">
      <c r="A16" s="11" t="s">
        <v>45</v>
      </c>
      <c r="B16" s="11">
        <f>Cal!B16</f>
        <v>8000</v>
      </c>
      <c r="C16" s="5">
        <f t="shared" si="6"/>
        <v>8373.3333333333339</v>
      </c>
      <c r="D16" s="5">
        <f t="shared" si="6"/>
        <v>8746.6666666666661</v>
      </c>
      <c r="E16" s="5">
        <f>Cal!C16</f>
        <v>9120</v>
      </c>
      <c r="F16" s="5">
        <f t="shared" si="3"/>
        <v>9120</v>
      </c>
      <c r="G16" s="5">
        <f t="shared" si="3"/>
        <v>9120</v>
      </c>
      <c r="H16" s="5">
        <f t="shared" si="3"/>
        <v>9120</v>
      </c>
      <c r="I16" s="5">
        <f t="shared" si="3"/>
        <v>9120</v>
      </c>
      <c r="J16" s="5">
        <f t="shared" si="3"/>
        <v>9120</v>
      </c>
      <c r="K16" s="5">
        <f t="shared" si="3"/>
        <v>9120</v>
      </c>
      <c r="L16" s="5">
        <f>Cal!D16</f>
        <v>9120</v>
      </c>
      <c r="M16" s="5">
        <f t="shared" si="4"/>
        <v>9106.35</v>
      </c>
      <c r="N16" s="5">
        <f t="shared" si="1"/>
        <v>9092.7000000000007</v>
      </c>
      <c r="O16" s="5">
        <f t="shared" si="1"/>
        <v>9079.0499999999993</v>
      </c>
      <c r="P16" s="5">
        <f t="shared" si="1"/>
        <v>9065.4</v>
      </c>
      <c r="Q16" s="5">
        <f t="shared" si="1"/>
        <v>9051.75</v>
      </c>
      <c r="R16" s="5">
        <f t="shared" si="1"/>
        <v>9038.1</v>
      </c>
      <c r="S16" s="5">
        <f t="shared" si="1"/>
        <v>9024.4500000000007</v>
      </c>
      <c r="T16" s="5">
        <f t="shared" si="1"/>
        <v>9010.7999999999993</v>
      </c>
      <c r="U16" s="5">
        <f t="shared" si="1"/>
        <v>8997.15</v>
      </c>
      <c r="V16" s="5">
        <f t="shared" si="1"/>
        <v>8983.5</v>
      </c>
      <c r="W16" s="5">
        <f t="shared" si="1"/>
        <v>8969.85</v>
      </c>
      <c r="X16" s="5">
        <f t="shared" si="1"/>
        <v>8956.2000000000007</v>
      </c>
      <c r="Y16" s="5">
        <f t="shared" si="1"/>
        <v>8942.5499999999993</v>
      </c>
      <c r="Z16" s="5">
        <f t="shared" si="1"/>
        <v>8928.9</v>
      </c>
      <c r="AA16" s="5">
        <f t="shared" si="1"/>
        <v>8915.25</v>
      </c>
      <c r="AB16" s="5">
        <f t="shared" si="1"/>
        <v>8901.6</v>
      </c>
      <c r="AC16" s="5">
        <f t="shared" si="1"/>
        <v>8887.9500000000007</v>
      </c>
      <c r="AD16" s="5">
        <f t="shared" si="1"/>
        <v>8874.2999999999993</v>
      </c>
      <c r="AE16" s="5">
        <f t="shared" si="1"/>
        <v>8860.65</v>
      </c>
      <c r="AF16" s="5">
        <f>Cal!E16</f>
        <v>8847</v>
      </c>
      <c r="AG16" s="44">
        <f t="shared" si="5"/>
        <v>8847</v>
      </c>
      <c r="AH16" s="44">
        <f t="shared" si="2"/>
        <v>8847</v>
      </c>
      <c r="AI16" s="44">
        <f t="shared" si="2"/>
        <v>8847</v>
      </c>
      <c r="AJ16" s="44">
        <f t="shared" si="2"/>
        <v>8847</v>
      </c>
      <c r="AK16" s="44">
        <f t="shared" si="2"/>
        <v>8847</v>
      </c>
      <c r="AL16" s="44">
        <f t="shared" ref="AH16:AZ17" si="7">AK16</f>
        <v>8847</v>
      </c>
      <c r="AM16" s="44">
        <f t="shared" si="7"/>
        <v>8847</v>
      </c>
      <c r="AN16" s="44">
        <f t="shared" si="7"/>
        <v>8847</v>
      </c>
      <c r="AO16" s="44">
        <f t="shared" si="7"/>
        <v>8847</v>
      </c>
      <c r="AP16" s="44">
        <f t="shared" si="7"/>
        <v>8847</v>
      </c>
      <c r="AQ16" s="44">
        <f t="shared" si="7"/>
        <v>8847</v>
      </c>
      <c r="AR16" s="44">
        <f t="shared" si="7"/>
        <v>8847</v>
      </c>
      <c r="AS16" s="44">
        <f t="shared" si="7"/>
        <v>8847</v>
      </c>
      <c r="AT16" s="44">
        <f t="shared" si="7"/>
        <v>8847</v>
      </c>
      <c r="AU16" s="44">
        <f t="shared" si="7"/>
        <v>8847</v>
      </c>
      <c r="AV16" s="44">
        <f t="shared" si="7"/>
        <v>8847</v>
      </c>
      <c r="AW16" s="44">
        <f t="shared" si="7"/>
        <v>8847</v>
      </c>
      <c r="AX16" s="44">
        <f t="shared" si="7"/>
        <v>8847</v>
      </c>
      <c r="AY16" s="44">
        <f t="shared" si="7"/>
        <v>8847</v>
      </c>
      <c r="AZ16" s="44">
        <f t="shared" si="7"/>
        <v>8847</v>
      </c>
    </row>
    <row r="17" spans="1:52" ht="14.25" customHeight="1" x14ac:dyDescent="0.2">
      <c r="A17" s="11" t="s">
        <v>46</v>
      </c>
      <c r="B17" s="11">
        <f>Cal!B17</f>
        <v>125000</v>
      </c>
      <c r="C17" s="5">
        <f t="shared" si="6"/>
        <v>130833.33333333333</v>
      </c>
      <c r="D17" s="5">
        <f t="shared" si="6"/>
        <v>136666.66666666666</v>
      </c>
      <c r="E17" s="5">
        <f>Cal!C17</f>
        <v>142500</v>
      </c>
      <c r="F17" s="5">
        <f t="shared" si="3"/>
        <v>142500</v>
      </c>
      <c r="G17" s="5">
        <f t="shared" si="3"/>
        <v>142500</v>
      </c>
      <c r="H17" s="5">
        <f t="shared" si="3"/>
        <v>142500</v>
      </c>
      <c r="I17" s="5">
        <f t="shared" si="3"/>
        <v>142500</v>
      </c>
      <c r="J17" s="5">
        <f t="shared" si="3"/>
        <v>142500</v>
      </c>
      <c r="K17" s="5">
        <f t="shared" si="3"/>
        <v>142500</v>
      </c>
      <c r="L17" s="5">
        <f>Cal!D17</f>
        <v>142500</v>
      </c>
      <c r="M17" s="5">
        <f t="shared" si="4"/>
        <v>142500</v>
      </c>
      <c r="N17" s="5">
        <f t="shared" ref="N17:AE17" si="8">$L17+(($AF17-$L17)/($AF$1-$L$1))*(N$1-$L$1)</f>
        <v>142500</v>
      </c>
      <c r="O17" s="5">
        <f t="shared" si="8"/>
        <v>142500</v>
      </c>
      <c r="P17" s="5">
        <f t="shared" si="8"/>
        <v>142500</v>
      </c>
      <c r="Q17" s="5">
        <f t="shared" si="8"/>
        <v>142500</v>
      </c>
      <c r="R17" s="5">
        <f t="shared" si="8"/>
        <v>142500</v>
      </c>
      <c r="S17" s="5">
        <f t="shared" si="8"/>
        <v>142500</v>
      </c>
      <c r="T17" s="5">
        <f t="shared" si="8"/>
        <v>142500</v>
      </c>
      <c r="U17" s="5">
        <f t="shared" si="8"/>
        <v>142500</v>
      </c>
      <c r="V17" s="5">
        <f t="shared" si="8"/>
        <v>142500</v>
      </c>
      <c r="W17" s="5">
        <f t="shared" si="8"/>
        <v>142500</v>
      </c>
      <c r="X17" s="5">
        <f t="shared" si="8"/>
        <v>142500</v>
      </c>
      <c r="Y17" s="5">
        <f t="shared" si="8"/>
        <v>142500</v>
      </c>
      <c r="Z17" s="5">
        <f t="shared" si="8"/>
        <v>142500</v>
      </c>
      <c r="AA17" s="5">
        <f t="shared" si="8"/>
        <v>142500</v>
      </c>
      <c r="AB17" s="5">
        <f t="shared" si="8"/>
        <v>142500</v>
      </c>
      <c r="AC17" s="5">
        <f t="shared" si="8"/>
        <v>142500</v>
      </c>
      <c r="AD17" s="5">
        <f t="shared" si="8"/>
        <v>142500</v>
      </c>
      <c r="AE17" s="5">
        <f t="shared" si="8"/>
        <v>142500</v>
      </c>
      <c r="AF17" s="5">
        <f>Cal!E17</f>
        <v>142500</v>
      </c>
      <c r="AG17" s="44">
        <f t="shared" si="5"/>
        <v>142500</v>
      </c>
      <c r="AH17" s="44">
        <f t="shared" si="7"/>
        <v>142500</v>
      </c>
      <c r="AI17" s="44">
        <f t="shared" si="7"/>
        <v>142500</v>
      </c>
      <c r="AJ17" s="44">
        <f t="shared" si="7"/>
        <v>142500</v>
      </c>
      <c r="AK17" s="44">
        <f t="shared" si="7"/>
        <v>142500</v>
      </c>
      <c r="AL17" s="44">
        <f t="shared" si="7"/>
        <v>142500</v>
      </c>
      <c r="AM17" s="44">
        <f t="shared" si="7"/>
        <v>142500</v>
      </c>
      <c r="AN17" s="44">
        <f t="shared" si="7"/>
        <v>142500</v>
      </c>
      <c r="AO17" s="44">
        <f t="shared" si="7"/>
        <v>142500</v>
      </c>
      <c r="AP17" s="44">
        <f t="shared" si="7"/>
        <v>142500</v>
      </c>
      <c r="AQ17" s="44">
        <f t="shared" si="7"/>
        <v>142500</v>
      </c>
      <c r="AR17" s="44">
        <f t="shared" si="7"/>
        <v>142500</v>
      </c>
      <c r="AS17" s="44">
        <f t="shared" si="7"/>
        <v>142500</v>
      </c>
      <c r="AT17" s="44">
        <f t="shared" si="7"/>
        <v>142500</v>
      </c>
      <c r="AU17" s="44">
        <f t="shared" si="7"/>
        <v>142500</v>
      </c>
      <c r="AV17" s="44">
        <f t="shared" si="7"/>
        <v>142500</v>
      </c>
      <c r="AW17" s="44">
        <f t="shared" si="7"/>
        <v>142500</v>
      </c>
      <c r="AX17" s="44">
        <f t="shared" si="7"/>
        <v>142500</v>
      </c>
      <c r="AY17" s="44">
        <f t="shared" si="7"/>
        <v>142500</v>
      </c>
      <c r="AZ17" s="44">
        <f t="shared" si="7"/>
        <v>142500</v>
      </c>
    </row>
    <row r="18" spans="1:52" ht="14.25" customHeight="1" x14ac:dyDescent="0.2">
      <c r="C18" s="5"/>
      <c r="AF18" s="16"/>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C3 E2:E17 L2:L17"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3.33203125" customWidth="1"/>
    <col min="2" max="32" width="7.33203125" customWidth="1"/>
  </cols>
  <sheetData>
    <row r="1" spans="1:52" ht="14.25" customHeight="1" x14ac:dyDescent="0.2">
      <c r="A1" s="3" t="s">
        <v>49</v>
      </c>
      <c r="B1" s="15">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11" t="s">
        <v>33</v>
      </c>
      <c r="B2" s="14">
        <v>0</v>
      </c>
      <c r="C2" s="16">
        <f t="shared" ref="C2:AZ2" si="0">$B$2</f>
        <v>0</v>
      </c>
      <c r="D2" s="16">
        <f t="shared" si="0"/>
        <v>0</v>
      </c>
      <c r="E2" s="16">
        <f t="shared" si="0"/>
        <v>0</v>
      </c>
      <c r="F2" s="16">
        <f t="shared" si="0"/>
        <v>0</v>
      </c>
      <c r="G2" s="16">
        <f t="shared" si="0"/>
        <v>0</v>
      </c>
      <c r="H2" s="16">
        <f t="shared" si="0"/>
        <v>0</v>
      </c>
      <c r="I2" s="16">
        <f t="shared" si="0"/>
        <v>0</v>
      </c>
      <c r="J2" s="16">
        <f t="shared" si="0"/>
        <v>0</v>
      </c>
      <c r="K2" s="16">
        <f t="shared" si="0"/>
        <v>0</v>
      </c>
      <c r="L2" s="16">
        <f t="shared" si="0"/>
        <v>0</v>
      </c>
      <c r="M2" s="16">
        <f t="shared" si="0"/>
        <v>0</v>
      </c>
      <c r="N2" s="16">
        <f t="shared" si="0"/>
        <v>0</v>
      </c>
      <c r="O2" s="16">
        <f t="shared" si="0"/>
        <v>0</v>
      </c>
      <c r="P2" s="16">
        <f t="shared" si="0"/>
        <v>0</v>
      </c>
      <c r="Q2" s="16">
        <f t="shared" si="0"/>
        <v>0</v>
      </c>
      <c r="R2" s="16">
        <f t="shared" si="0"/>
        <v>0</v>
      </c>
      <c r="S2" s="16">
        <f t="shared" si="0"/>
        <v>0</v>
      </c>
      <c r="T2" s="16">
        <f t="shared" si="0"/>
        <v>0</v>
      </c>
      <c r="U2" s="16">
        <f t="shared" si="0"/>
        <v>0</v>
      </c>
      <c r="V2" s="16">
        <f t="shared" si="0"/>
        <v>0</v>
      </c>
      <c r="W2" s="16">
        <f t="shared" si="0"/>
        <v>0</v>
      </c>
      <c r="X2" s="16">
        <f t="shared" si="0"/>
        <v>0</v>
      </c>
      <c r="Y2" s="16">
        <f t="shared" si="0"/>
        <v>0</v>
      </c>
      <c r="Z2" s="16">
        <f t="shared" si="0"/>
        <v>0</v>
      </c>
      <c r="AA2" s="16">
        <f t="shared" si="0"/>
        <v>0</v>
      </c>
      <c r="AB2" s="16">
        <f t="shared" si="0"/>
        <v>0</v>
      </c>
      <c r="AC2" s="16">
        <f t="shared" si="0"/>
        <v>0</v>
      </c>
      <c r="AD2" s="16">
        <f t="shared" si="0"/>
        <v>0</v>
      </c>
      <c r="AE2" s="16">
        <f t="shared" si="0"/>
        <v>0</v>
      </c>
      <c r="AF2" s="16">
        <f t="shared" si="0"/>
        <v>0</v>
      </c>
      <c r="AG2" s="16">
        <f t="shared" si="0"/>
        <v>0</v>
      </c>
      <c r="AH2" s="16">
        <f t="shared" si="0"/>
        <v>0</v>
      </c>
      <c r="AI2" s="16">
        <f t="shared" si="0"/>
        <v>0</v>
      </c>
      <c r="AJ2" s="16">
        <f t="shared" si="0"/>
        <v>0</v>
      </c>
      <c r="AK2" s="16">
        <f t="shared" si="0"/>
        <v>0</v>
      </c>
      <c r="AL2" s="16">
        <f t="shared" si="0"/>
        <v>0</v>
      </c>
      <c r="AM2" s="16">
        <f t="shared" si="0"/>
        <v>0</v>
      </c>
      <c r="AN2" s="16">
        <f t="shared" si="0"/>
        <v>0</v>
      </c>
      <c r="AO2" s="16">
        <f t="shared" si="0"/>
        <v>0</v>
      </c>
      <c r="AP2" s="16">
        <f t="shared" si="0"/>
        <v>0</v>
      </c>
      <c r="AQ2" s="16">
        <f t="shared" si="0"/>
        <v>0</v>
      </c>
      <c r="AR2" s="16">
        <f t="shared" si="0"/>
        <v>0</v>
      </c>
      <c r="AS2" s="16">
        <f t="shared" si="0"/>
        <v>0</v>
      </c>
      <c r="AT2" s="16">
        <f t="shared" si="0"/>
        <v>0</v>
      </c>
      <c r="AU2" s="16">
        <f t="shared" si="0"/>
        <v>0</v>
      </c>
      <c r="AV2" s="16">
        <f t="shared" si="0"/>
        <v>0</v>
      </c>
      <c r="AW2" s="16">
        <f t="shared" si="0"/>
        <v>0</v>
      </c>
      <c r="AX2" s="16">
        <f t="shared" si="0"/>
        <v>0</v>
      </c>
      <c r="AY2" s="16">
        <f t="shared" si="0"/>
        <v>0</v>
      </c>
      <c r="AZ2" s="16">
        <f t="shared" si="0"/>
        <v>0</v>
      </c>
    </row>
    <row r="3" spans="1:52" ht="14.25" customHeight="1" x14ac:dyDescent="0.2">
      <c r="A3" s="11" t="s">
        <v>34</v>
      </c>
      <c r="B3" s="14">
        <v>0</v>
      </c>
      <c r="C3" s="16">
        <f t="shared" ref="C3:AZ3" si="1">$B$3</f>
        <v>0</v>
      </c>
      <c r="D3" s="16">
        <f t="shared" si="1"/>
        <v>0</v>
      </c>
      <c r="E3" s="16">
        <f t="shared" si="1"/>
        <v>0</v>
      </c>
      <c r="F3" s="16">
        <f t="shared" si="1"/>
        <v>0</v>
      </c>
      <c r="G3" s="16">
        <f t="shared" si="1"/>
        <v>0</v>
      </c>
      <c r="H3" s="16">
        <f t="shared" si="1"/>
        <v>0</v>
      </c>
      <c r="I3" s="16">
        <f t="shared" si="1"/>
        <v>0</v>
      </c>
      <c r="J3" s="16">
        <f t="shared" si="1"/>
        <v>0</v>
      </c>
      <c r="K3" s="16">
        <f t="shared" si="1"/>
        <v>0</v>
      </c>
      <c r="L3" s="16">
        <f t="shared" si="1"/>
        <v>0</v>
      </c>
      <c r="M3" s="16">
        <f t="shared" si="1"/>
        <v>0</v>
      </c>
      <c r="N3" s="16">
        <f t="shared" si="1"/>
        <v>0</v>
      </c>
      <c r="O3" s="16">
        <f t="shared" si="1"/>
        <v>0</v>
      </c>
      <c r="P3" s="16">
        <f t="shared" si="1"/>
        <v>0</v>
      </c>
      <c r="Q3" s="16">
        <f t="shared" si="1"/>
        <v>0</v>
      </c>
      <c r="R3" s="16">
        <f t="shared" si="1"/>
        <v>0</v>
      </c>
      <c r="S3" s="16">
        <f t="shared" si="1"/>
        <v>0</v>
      </c>
      <c r="T3" s="16">
        <f t="shared" si="1"/>
        <v>0</v>
      </c>
      <c r="U3" s="16">
        <f t="shared" si="1"/>
        <v>0</v>
      </c>
      <c r="V3" s="16">
        <f t="shared" si="1"/>
        <v>0</v>
      </c>
      <c r="W3" s="16">
        <f t="shared" si="1"/>
        <v>0</v>
      </c>
      <c r="X3" s="16">
        <f t="shared" si="1"/>
        <v>0</v>
      </c>
      <c r="Y3" s="16">
        <f t="shared" si="1"/>
        <v>0</v>
      </c>
      <c r="Z3" s="16">
        <f t="shared" si="1"/>
        <v>0</v>
      </c>
      <c r="AA3" s="16">
        <f t="shared" si="1"/>
        <v>0</v>
      </c>
      <c r="AB3" s="16">
        <f t="shared" si="1"/>
        <v>0</v>
      </c>
      <c r="AC3" s="16">
        <f t="shared" si="1"/>
        <v>0</v>
      </c>
      <c r="AD3" s="16">
        <f t="shared" si="1"/>
        <v>0</v>
      </c>
      <c r="AE3" s="16">
        <f t="shared" si="1"/>
        <v>0</v>
      </c>
      <c r="AF3" s="16">
        <f t="shared" si="1"/>
        <v>0</v>
      </c>
      <c r="AG3" s="16">
        <f t="shared" si="1"/>
        <v>0</v>
      </c>
      <c r="AH3" s="16">
        <f t="shared" si="1"/>
        <v>0</v>
      </c>
      <c r="AI3" s="16">
        <f t="shared" si="1"/>
        <v>0</v>
      </c>
      <c r="AJ3" s="16">
        <f t="shared" si="1"/>
        <v>0</v>
      </c>
      <c r="AK3" s="16">
        <f t="shared" si="1"/>
        <v>0</v>
      </c>
      <c r="AL3" s="16">
        <f t="shared" si="1"/>
        <v>0</v>
      </c>
      <c r="AM3" s="16">
        <f t="shared" si="1"/>
        <v>0</v>
      </c>
      <c r="AN3" s="16">
        <f t="shared" si="1"/>
        <v>0</v>
      </c>
      <c r="AO3" s="16">
        <f t="shared" si="1"/>
        <v>0</v>
      </c>
      <c r="AP3" s="16">
        <f t="shared" si="1"/>
        <v>0</v>
      </c>
      <c r="AQ3" s="16">
        <f t="shared" si="1"/>
        <v>0</v>
      </c>
      <c r="AR3" s="16">
        <f t="shared" si="1"/>
        <v>0</v>
      </c>
      <c r="AS3" s="16">
        <f t="shared" si="1"/>
        <v>0</v>
      </c>
      <c r="AT3" s="16">
        <f t="shared" si="1"/>
        <v>0</v>
      </c>
      <c r="AU3" s="16">
        <f t="shared" si="1"/>
        <v>0</v>
      </c>
      <c r="AV3" s="16">
        <f t="shared" si="1"/>
        <v>0</v>
      </c>
      <c r="AW3" s="16">
        <f t="shared" si="1"/>
        <v>0</v>
      </c>
      <c r="AX3" s="16">
        <f t="shared" si="1"/>
        <v>0</v>
      </c>
      <c r="AY3" s="16">
        <f t="shared" si="1"/>
        <v>0</v>
      </c>
      <c r="AZ3" s="16">
        <f t="shared" si="1"/>
        <v>0</v>
      </c>
    </row>
    <row r="4" spans="1:52" ht="14.25" customHeight="1" x14ac:dyDescent="0.2">
      <c r="A4" s="11" t="s">
        <v>32</v>
      </c>
      <c r="B4" s="14">
        <v>0</v>
      </c>
      <c r="C4" s="16">
        <f t="shared" ref="C4:AZ4" si="2">$B$4</f>
        <v>0</v>
      </c>
      <c r="D4" s="16">
        <f t="shared" si="2"/>
        <v>0</v>
      </c>
      <c r="E4" s="16">
        <f t="shared" si="2"/>
        <v>0</v>
      </c>
      <c r="F4" s="16">
        <f t="shared" si="2"/>
        <v>0</v>
      </c>
      <c r="G4" s="16">
        <f t="shared" si="2"/>
        <v>0</v>
      </c>
      <c r="H4" s="16">
        <f t="shared" si="2"/>
        <v>0</v>
      </c>
      <c r="I4" s="16">
        <f t="shared" si="2"/>
        <v>0</v>
      </c>
      <c r="J4" s="16">
        <f t="shared" si="2"/>
        <v>0</v>
      </c>
      <c r="K4" s="16">
        <f t="shared" si="2"/>
        <v>0</v>
      </c>
      <c r="L4" s="16">
        <f t="shared" si="2"/>
        <v>0</v>
      </c>
      <c r="M4" s="16">
        <f t="shared" si="2"/>
        <v>0</v>
      </c>
      <c r="N4" s="16">
        <f t="shared" si="2"/>
        <v>0</v>
      </c>
      <c r="O4" s="16">
        <f t="shared" si="2"/>
        <v>0</v>
      </c>
      <c r="P4" s="16">
        <f t="shared" si="2"/>
        <v>0</v>
      </c>
      <c r="Q4" s="16">
        <f t="shared" si="2"/>
        <v>0</v>
      </c>
      <c r="R4" s="16">
        <f t="shared" si="2"/>
        <v>0</v>
      </c>
      <c r="S4" s="16">
        <f t="shared" si="2"/>
        <v>0</v>
      </c>
      <c r="T4" s="16">
        <f t="shared" si="2"/>
        <v>0</v>
      </c>
      <c r="U4" s="16">
        <f t="shared" si="2"/>
        <v>0</v>
      </c>
      <c r="V4" s="16">
        <f t="shared" si="2"/>
        <v>0</v>
      </c>
      <c r="W4" s="16">
        <f t="shared" si="2"/>
        <v>0</v>
      </c>
      <c r="X4" s="16">
        <f t="shared" si="2"/>
        <v>0</v>
      </c>
      <c r="Y4" s="16">
        <f t="shared" si="2"/>
        <v>0</v>
      </c>
      <c r="Z4" s="16">
        <f t="shared" si="2"/>
        <v>0</v>
      </c>
      <c r="AA4" s="16">
        <f t="shared" si="2"/>
        <v>0</v>
      </c>
      <c r="AB4" s="16">
        <f t="shared" si="2"/>
        <v>0</v>
      </c>
      <c r="AC4" s="16">
        <f t="shared" si="2"/>
        <v>0</v>
      </c>
      <c r="AD4" s="16">
        <f t="shared" si="2"/>
        <v>0</v>
      </c>
      <c r="AE4" s="16">
        <f t="shared" si="2"/>
        <v>0</v>
      </c>
      <c r="AF4" s="16">
        <f t="shared" si="2"/>
        <v>0</v>
      </c>
      <c r="AG4" s="16">
        <f t="shared" si="2"/>
        <v>0</v>
      </c>
      <c r="AH4" s="16">
        <f t="shared" si="2"/>
        <v>0</v>
      </c>
      <c r="AI4" s="16">
        <f t="shared" si="2"/>
        <v>0</v>
      </c>
      <c r="AJ4" s="16">
        <f t="shared" si="2"/>
        <v>0</v>
      </c>
      <c r="AK4" s="16">
        <f t="shared" si="2"/>
        <v>0</v>
      </c>
      <c r="AL4" s="16">
        <f t="shared" si="2"/>
        <v>0</v>
      </c>
      <c r="AM4" s="16">
        <f t="shared" si="2"/>
        <v>0</v>
      </c>
      <c r="AN4" s="16">
        <f t="shared" si="2"/>
        <v>0</v>
      </c>
      <c r="AO4" s="16">
        <f t="shared" si="2"/>
        <v>0</v>
      </c>
      <c r="AP4" s="16">
        <f t="shared" si="2"/>
        <v>0</v>
      </c>
      <c r="AQ4" s="16">
        <f t="shared" si="2"/>
        <v>0</v>
      </c>
      <c r="AR4" s="16">
        <f t="shared" si="2"/>
        <v>0</v>
      </c>
      <c r="AS4" s="16">
        <f t="shared" si="2"/>
        <v>0</v>
      </c>
      <c r="AT4" s="16">
        <f t="shared" si="2"/>
        <v>0</v>
      </c>
      <c r="AU4" s="16">
        <f t="shared" si="2"/>
        <v>0</v>
      </c>
      <c r="AV4" s="16">
        <f t="shared" si="2"/>
        <v>0</v>
      </c>
      <c r="AW4" s="16">
        <f t="shared" si="2"/>
        <v>0</v>
      </c>
      <c r="AX4" s="16">
        <f t="shared" si="2"/>
        <v>0</v>
      </c>
      <c r="AY4" s="16">
        <f t="shared" si="2"/>
        <v>0</v>
      </c>
      <c r="AZ4" s="16">
        <f t="shared" si="2"/>
        <v>0</v>
      </c>
    </row>
    <row r="5" spans="1:52" ht="14.25" customHeight="1" x14ac:dyDescent="0.2">
      <c r="A5" s="11" t="s">
        <v>35</v>
      </c>
      <c r="B5" s="14">
        <v>0</v>
      </c>
      <c r="C5" s="16">
        <f t="shared" ref="C5:AZ5" si="3">$B$5</f>
        <v>0</v>
      </c>
      <c r="D5" s="16">
        <f t="shared" si="3"/>
        <v>0</v>
      </c>
      <c r="E5" s="16">
        <f t="shared" si="3"/>
        <v>0</v>
      </c>
      <c r="F5" s="16">
        <f t="shared" si="3"/>
        <v>0</v>
      </c>
      <c r="G5" s="16">
        <f t="shared" si="3"/>
        <v>0</v>
      </c>
      <c r="H5" s="16">
        <f t="shared" si="3"/>
        <v>0</v>
      </c>
      <c r="I5" s="16">
        <f t="shared" si="3"/>
        <v>0</v>
      </c>
      <c r="J5" s="16">
        <f t="shared" si="3"/>
        <v>0</v>
      </c>
      <c r="K5" s="16">
        <f t="shared" si="3"/>
        <v>0</v>
      </c>
      <c r="L5" s="16">
        <f t="shared" si="3"/>
        <v>0</v>
      </c>
      <c r="M5" s="16">
        <f t="shared" si="3"/>
        <v>0</v>
      </c>
      <c r="N5" s="16">
        <f t="shared" si="3"/>
        <v>0</v>
      </c>
      <c r="O5" s="16">
        <f t="shared" si="3"/>
        <v>0</v>
      </c>
      <c r="P5" s="16">
        <f t="shared" si="3"/>
        <v>0</v>
      </c>
      <c r="Q5" s="16">
        <f t="shared" si="3"/>
        <v>0</v>
      </c>
      <c r="R5" s="16">
        <f t="shared" si="3"/>
        <v>0</v>
      </c>
      <c r="S5" s="16">
        <f t="shared" si="3"/>
        <v>0</v>
      </c>
      <c r="T5" s="16">
        <f t="shared" si="3"/>
        <v>0</v>
      </c>
      <c r="U5" s="16">
        <f t="shared" si="3"/>
        <v>0</v>
      </c>
      <c r="V5" s="16">
        <f t="shared" si="3"/>
        <v>0</v>
      </c>
      <c r="W5" s="16">
        <f t="shared" si="3"/>
        <v>0</v>
      </c>
      <c r="X5" s="16">
        <f t="shared" si="3"/>
        <v>0</v>
      </c>
      <c r="Y5" s="16">
        <f t="shared" si="3"/>
        <v>0</v>
      </c>
      <c r="Z5" s="16">
        <f t="shared" si="3"/>
        <v>0</v>
      </c>
      <c r="AA5" s="16">
        <f t="shared" si="3"/>
        <v>0</v>
      </c>
      <c r="AB5" s="16">
        <f t="shared" si="3"/>
        <v>0</v>
      </c>
      <c r="AC5" s="16">
        <f t="shared" si="3"/>
        <v>0</v>
      </c>
      <c r="AD5" s="16">
        <f t="shared" si="3"/>
        <v>0</v>
      </c>
      <c r="AE5" s="16">
        <f t="shared" si="3"/>
        <v>0</v>
      </c>
      <c r="AF5" s="16">
        <f t="shared" si="3"/>
        <v>0</v>
      </c>
      <c r="AG5" s="16">
        <f t="shared" si="3"/>
        <v>0</v>
      </c>
      <c r="AH5" s="16">
        <f t="shared" si="3"/>
        <v>0</v>
      </c>
      <c r="AI5" s="16">
        <f t="shared" si="3"/>
        <v>0</v>
      </c>
      <c r="AJ5" s="16">
        <f t="shared" si="3"/>
        <v>0</v>
      </c>
      <c r="AK5" s="16">
        <f t="shared" si="3"/>
        <v>0</v>
      </c>
      <c r="AL5" s="16">
        <f t="shared" si="3"/>
        <v>0</v>
      </c>
      <c r="AM5" s="16">
        <f t="shared" si="3"/>
        <v>0</v>
      </c>
      <c r="AN5" s="16">
        <f t="shared" si="3"/>
        <v>0</v>
      </c>
      <c r="AO5" s="16">
        <f t="shared" si="3"/>
        <v>0</v>
      </c>
      <c r="AP5" s="16">
        <f t="shared" si="3"/>
        <v>0</v>
      </c>
      <c r="AQ5" s="16">
        <f t="shared" si="3"/>
        <v>0</v>
      </c>
      <c r="AR5" s="16">
        <f t="shared" si="3"/>
        <v>0</v>
      </c>
      <c r="AS5" s="16">
        <f t="shared" si="3"/>
        <v>0</v>
      </c>
      <c r="AT5" s="16">
        <f t="shared" si="3"/>
        <v>0</v>
      </c>
      <c r="AU5" s="16">
        <f t="shared" si="3"/>
        <v>0</v>
      </c>
      <c r="AV5" s="16">
        <f t="shared" si="3"/>
        <v>0</v>
      </c>
      <c r="AW5" s="16">
        <f t="shared" si="3"/>
        <v>0</v>
      </c>
      <c r="AX5" s="16">
        <f t="shared" si="3"/>
        <v>0</v>
      </c>
      <c r="AY5" s="16">
        <f t="shared" si="3"/>
        <v>0</v>
      </c>
      <c r="AZ5" s="16">
        <f t="shared" si="3"/>
        <v>0</v>
      </c>
    </row>
    <row r="6" spans="1:52" ht="14.25" customHeight="1" x14ac:dyDescent="0.2">
      <c r="A6" s="11" t="s">
        <v>36</v>
      </c>
      <c r="B6" s="14">
        <v>0</v>
      </c>
      <c r="C6" s="16">
        <f t="shared" ref="C6:AZ6" si="4">$B$6</f>
        <v>0</v>
      </c>
      <c r="D6" s="16">
        <f t="shared" si="4"/>
        <v>0</v>
      </c>
      <c r="E6" s="16">
        <f t="shared" si="4"/>
        <v>0</v>
      </c>
      <c r="F6" s="16">
        <f t="shared" si="4"/>
        <v>0</v>
      </c>
      <c r="G6" s="16">
        <f t="shared" si="4"/>
        <v>0</v>
      </c>
      <c r="H6" s="16">
        <f t="shared" si="4"/>
        <v>0</v>
      </c>
      <c r="I6" s="16">
        <f t="shared" si="4"/>
        <v>0</v>
      </c>
      <c r="J6" s="16">
        <f t="shared" si="4"/>
        <v>0</v>
      </c>
      <c r="K6" s="16">
        <f t="shared" si="4"/>
        <v>0</v>
      </c>
      <c r="L6" s="16">
        <f t="shared" si="4"/>
        <v>0</v>
      </c>
      <c r="M6" s="16">
        <f t="shared" si="4"/>
        <v>0</v>
      </c>
      <c r="N6" s="16">
        <f t="shared" si="4"/>
        <v>0</v>
      </c>
      <c r="O6" s="16">
        <f t="shared" si="4"/>
        <v>0</v>
      </c>
      <c r="P6" s="16">
        <f t="shared" si="4"/>
        <v>0</v>
      </c>
      <c r="Q6" s="16">
        <f t="shared" si="4"/>
        <v>0</v>
      </c>
      <c r="R6" s="16">
        <f t="shared" si="4"/>
        <v>0</v>
      </c>
      <c r="S6" s="16">
        <f t="shared" si="4"/>
        <v>0</v>
      </c>
      <c r="T6" s="16">
        <f t="shared" si="4"/>
        <v>0</v>
      </c>
      <c r="U6" s="16">
        <f t="shared" si="4"/>
        <v>0</v>
      </c>
      <c r="V6" s="16">
        <f t="shared" si="4"/>
        <v>0</v>
      </c>
      <c r="W6" s="16">
        <f t="shared" si="4"/>
        <v>0</v>
      </c>
      <c r="X6" s="16">
        <f t="shared" si="4"/>
        <v>0</v>
      </c>
      <c r="Y6" s="16">
        <f t="shared" si="4"/>
        <v>0</v>
      </c>
      <c r="Z6" s="16">
        <f t="shared" si="4"/>
        <v>0</v>
      </c>
      <c r="AA6" s="16">
        <f t="shared" si="4"/>
        <v>0</v>
      </c>
      <c r="AB6" s="16">
        <f t="shared" si="4"/>
        <v>0</v>
      </c>
      <c r="AC6" s="16">
        <f t="shared" si="4"/>
        <v>0</v>
      </c>
      <c r="AD6" s="16">
        <f t="shared" si="4"/>
        <v>0</v>
      </c>
      <c r="AE6" s="16">
        <f t="shared" si="4"/>
        <v>0</v>
      </c>
      <c r="AF6" s="16">
        <f t="shared" si="4"/>
        <v>0</v>
      </c>
      <c r="AG6" s="16">
        <f t="shared" si="4"/>
        <v>0</v>
      </c>
      <c r="AH6" s="16">
        <f t="shared" si="4"/>
        <v>0</v>
      </c>
      <c r="AI6" s="16">
        <f t="shared" si="4"/>
        <v>0</v>
      </c>
      <c r="AJ6" s="16">
        <f t="shared" si="4"/>
        <v>0</v>
      </c>
      <c r="AK6" s="16">
        <f t="shared" si="4"/>
        <v>0</v>
      </c>
      <c r="AL6" s="16">
        <f t="shared" si="4"/>
        <v>0</v>
      </c>
      <c r="AM6" s="16">
        <f t="shared" si="4"/>
        <v>0</v>
      </c>
      <c r="AN6" s="16">
        <f t="shared" si="4"/>
        <v>0</v>
      </c>
      <c r="AO6" s="16">
        <f t="shared" si="4"/>
        <v>0</v>
      </c>
      <c r="AP6" s="16">
        <f t="shared" si="4"/>
        <v>0</v>
      </c>
      <c r="AQ6" s="16">
        <f t="shared" si="4"/>
        <v>0</v>
      </c>
      <c r="AR6" s="16">
        <f t="shared" si="4"/>
        <v>0</v>
      </c>
      <c r="AS6" s="16">
        <f t="shared" si="4"/>
        <v>0</v>
      </c>
      <c r="AT6" s="16">
        <f t="shared" si="4"/>
        <v>0</v>
      </c>
      <c r="AU6" s="16">
        <f t="shared" si="4"/>
        <v>0</v>
      </c>
      <c r="AV6" s="16">
        <f t="shared" si="4"/>
        <v>0</v>
      </c>
      <c r="AW6" s="16">
        <f t="shared" si="4"/>
        <v>0</v>
      </c>
      <c r="AX6" s="16">
        <f t="shared" si="4"/>
        <v>0</v>
      </c>
      <c r="AY6" s="16">
        <f t="shared" si="4"/>
        <v>0</v>
      </c>
      <c r="AZ6" s="16">
        <f t="shared" si="4"/>
        <v>0</v>
      </c>
    </row>
    <row r="7" spans="1:52" ht="14.25" customHeight="1" x14ac:dyDescent="0.2">
      <c r="A7" s="11" t="s">
        <v>37</v>
      </c>
      <c r="B7" s="14">
        <v>0</v>
      </c>
      <c r="C7" s="16">
        <f t="shared" ref="C7:AZ7" si="5">$B$7</f>
        <v>0</v>
      </c>
      <c r="D7" s="16">
        <f t="shared" si="5"/>
        <v>0</v>
      </c>
      <c r="E7" s="16">
        <f t="shared" si="5"/>
        <v>0</v>
      </c>
      <c r="F7" s="16">
        <f t="shared" si="5"/>
        <v>0</v>
      </c>
      <c r="G7" s="16">
        <f t="shared" si="5"/>
        <v>0</v>
      </c>
      <c r="H7" s="16">
        <f t="shared" si="5"/>
        <v>0</v>
      </c>
      <c r="I7" s="16">
        <f t="shared" si="5"/>
        <v>0</v>
      </c>
      <c r="J7" s="16">
        <f t="shared" si="5"/>
        <v>0</v>
      </c>
      <c r="K7" s="16">
        <f t="shared" si="5"/>
        <v>0</v>
      </c>
      <c r="L7" s="16">
        <f t="shared" si="5"/>
        <v>0</v>
      </c>
      <c r="M7" s="16">
        <f t="shared" si="5"/>
        <v>0</v>
      </c>
      <c r="N7" s="16">
        <f t="shared" si="5"/>
        <v>0</v>
      </c>
      <c r="O7" s="16">
        <f t="shared" si="5"/>
        <v>0</v>
      </c>
      <c r="P7" s="16">
        <f t="shared" si="5"/>
        <v>0</v>
      </c>
      <c r="Q7" s="16">
        <f t="shared" si="5"/>
        <v>0</v>
      </c>
      <c r="R7" s="16">
        <f t="shared" si="5"/>
        <v>0</v>
      </c>
      <c r="S7" s="16">
        <f t="shared" si="5"/>
        <v>0</v>
      </c>
      <c r="T7" s="16">
        <f t="shared" si="5"/>
        <v>0</v>
      </c>
      <c r="U7" s="16">
        <f t="shared" si="5"/>
        <v>0</v>
      </c>
      <c r="V7" s="16">
        <f t="shared" si="5"/>
        <v>0</v>
      </c>
      <c r="W7" s="16">
        <f t="shared" si="5"/>
        <v>0</v>
      </c>
      <c r="X7" s="16">
        <f t="shared" si="5"/>
        <v>0</v>
      </c>
      <c r="Y7" s="16">
        <f t="shared" si="5"/>
        <v>0</v>
      </c>
      <c r="Z7" s="16">
        <f t="shared" si="5"/>
        <v>0</v>
      </c>
      <c r="AA7" s="16">
        <f t="shared" si="5"/>
        <v>0</v>
      </c>
      <c r="AB7" s="16">
        <f t="shared" si="5"/>
        <v>0</v>
      </c>
      <c r="AC7" s="16">
        <f t="shared" si="5"/>
        <v>0</v>
      </c>
      <c r="AD7" s="16">
        <f t="shared" si="5"/>
        <v>0</v>
      </c>
      <c r="AE7" s="16">
        <f t="shared" si="5"/>
        <v>0</v>
      </c>
      <c r="AF7" s="16">
        <f t="shared" si="5"/>
        <v>0</v>
      </c>
      <c r="AG7" s="16">
        <f t="shared" si="5"/>
        <v>0</v>
      </c>
      <c r="AH7" s="16">
        <f t="shared" si="5"/>
        <v>0</v>
      </c>
      <c r="AI7" s="16">
        <f t="shared" si="5"/>
        <v>0</v>
      </c>
      <c r="AJ7" s="16">
        <f t="shared" si="5"/>
        <v>0</v>
      </c>
      <c r="AK7" s="16">
        <f t="shared" si="5"/>
        <v>0</v>
      </c>
      <c r="AL7" s="16">
        <f t="shared" si="5"/>
        <v>0</v>
      </c>
      <c r="AM7" s="16">
        <f t="shared" si="5"/>
        <v>0</v>
      </c>
      <c r="AN7" s="16">
        <f t="shared" si="5"/>
        <v>0</v>
      </c>
      <c r="AO7" s="16">
        <f t="shared" si="5"/>
        <v>0</v>
      </c>
      <c r="AP7" s="16">
        <f t="shared" si="5"/>
        <v>0</v>
      </c>
      <c r="AQ7" s="16">
        <f t="shared" si="5"/>
        <v>0</v>
      </c>
      <c r="AR7" s="16">
        <f t="shared" si="5"/>
        <v>0</v>
      </c>
      <c r="AS7" s="16">
        <f t="shared" si="5"/>
        <v>0</v>
      </c>
      <c r="AT7" s="16">
        <f t="shared" si="5"/>
        <v>0</v>
      </c>
      <c r="AU7" s="16">
        <f t="shared" si="5"/>
        <v>0</v>
      </c>
      <c r="AV7" s="16">
        <f t="shared" si="5"/>
        <v>0</v>
      </c>
      <c r="AW7" s="16">
        <f t="shared" si="5"/>
        <v>0</v>
      </c>
      <c r="AX7" s="16">
        <f t="shared" si="5"/>
        <v>0</v>
      </c>
      <c r="AY7" s="16">
        <f t="shared" si="5"/>
        <v>0</v>
      </c>
      <c r="AZ7" s="16">
        <f t="shared" si="5"/>
        <v>0</v>
      </c>
    </row>
    <row r="8" spans="1:52" ht="14.25" customHeight="1" x14ac:dyDescent="0.2">
      <c r="A8" s="11" t="s">
        <v>48</v>
      </c>
      <c r="B8" s="14">
        <v>0</v>
      </c>
      <c r="C8" s="16">
        <f t="shared" ref="C8:AZ8" si="6">$B$8</f>
        <v>0</v>
      </c>
      <c r="D8" s="16">
        <f t="shared" si="6"/>
        <v>0</v>
      </c>
      <c r="E8" s="16">
        <f t="shared" si="6"/>
        <v>0</v>
      </c>
      <c r="F8" s="16">
        <f t="shared" si="6"/>
        <v>0</v>
      </c>
      <c r="G8" s="16">
        <f t="shared" si="6"/>
        <v>0</v>
      </c>
      <c r="H8" s="16">
        <f t="shared" si="6"/>
        <v>0</v>
      </c>
      <c r="I8" s="16">
        <f t="shared" si="6"/>
        <v>0</v>
      </c>
      <c r="J8" s="16">
        <f t="shared" si="6"/>
        <v>0</v>
      </c>
      <c r="K8" s="16">
        <f t="shared" si="6"/>
        <v>0</v>
      </c>
      <c r="L8" s="16">
        <f t="shared" si="6"/>
        <v>0</v>
      </c>
      <c r="M8" s="16">
        <f t="shared" si="6"/>
        <v>0</v>
      </c>
      <c r="N8" s="16">
        <f t="shared" si="6"/>
        <v>0</v>
      </c>
      <c r="O8" s="16">
        <f t="shared" si="6"/>
        <v>0</v>
      </c>
      <c r="P8" s="16">
        <f t="shared" si="6"/>
        <v>0</v>
      </c>
      <c r="Q8" s="16">
        <f t="shared" si="6"/>
        <v>0</v>
      </c>
      <c r="R8" s="16">
        <f t="shared" si="6"/>
        <v>0</v>
      </c>
      <c r="S8" s="16">
        <f t="shared" si="6"/>
        <v>0</v>
      </c>
      <c r="T8" s="16">
        <f t="shared" si="6"/>
        <v>0</v>
      </c>
      <c r="U8" s="16">
        <f t="shared" si="6"/>
        <v>0</v>
      </c>
      <c r="V8" s="16">
        <f t="shared" si="6"/>
        <v>0</v>
      </c>
      <c r="W8" s="16">
        <f t="shared" si="6"/>
        <v>0</v>
      </c>
      <c r="X8" s="16">
        <f t="shared" si="6"/>
        <v>0</v>
      </c>
      <c r="Y8" s="16">
        <f t="shared" si="6"/>
        <v>0</v>
      </c>
      <c r="Z8" s="16">
        <f t="shared" si="6"/>
        <v>0</v>
      </c>
      <c r="AA8" s="16">
        <f t="shared" si="6"/>
        <v>0</v>
      </c>
      <c r="AB8" s="16">
        <f t="shared" si="6"/>
        <v>0</v>
      </c>
      <c r="AC8" s="16">
        <f t="shared" si="6"/>
        <v>0</v>
      </c>
      <c r="AD8" s="16">
        <f t="shared" si="6"/>
        <v>0</v>
      </c>
      <c r="AE8" s="16">
        <f t="shared" si="6"/>
        <v>0</v>
      </c>
      <c r="AF8" s="16">
        <f t="shared" si="6"/>
        <v>0</v>
      </c>
      <c r="AG8" s="16">
        <f t="shared" si="6"/>
        <v>0</v>
      </c>
      <c r="AH8" s="16">
        <f t="shared" si="6"/>
        <v>0</v>
      </c>
      <c r="AI8" s="16">
        <f t="shared" si="6"/>
        <v>0</v>
      </c>
      <c r="AJ8" s="16">
        <f t="shared" si="6"/>
        <v>0</v>
      </c>
      <c r="AK8" s="16">
        <f t="shared" si="6"/>
        <v>0</v>
      </c>
      <c r="AL8" s="16">
        <f t="shared" si="6"/>
        <v>0</v>
      </c>
      <c r="AM8" s="16">
        <f t="shared" si="6"/>
        <v>0</v>
      </c>
      <c r="AN8" s="16">
        <f t="shared" si="6"/>
        <v>0</v>
      </c>
      <c r="AO8" s="16">
        <f t="shared" si="6"/>
        <v>0</v>
      </c>
      <c r="AP8" s="16">
        <f t="shared" si="6"/>
        <v>0</v>
      </c>
      <c r="AQ8" s="16">
        <f t="shared" si="6"/>
        <v>0</v>
      </c>
      <c r="AR8" s="16">
        <f t="shared" si="6"/>
        <v>0</v>
      </c>
      <c r="AS8" s="16">
        <f t="shared" si="6"/>
        <v>0</v>
      </c>
      <c r="AT8" s="16">
        <f t="shared" si="6"/>
        <v>0</v>
      </c>
      <c r="AU8" s="16">
        <f t="shared" si="6"/>
        <v>0</v>
      </c>
      <c r="AV8" s="16">
        <f t="shared" si="6"/>
        <v>0</v>
      </c>
      <c r="AW8" s="16">
        <f t="shared" si="6"/>
        <v>0</v>
      </c>
      <c r="AX8" s="16">
        <f t="shared" si="6"/>
        <v>0</v>
      </c>
      <c r="AY8" s="16">
        <f t="shared" si="6"/>
        <v>0</v>
      </c>
      <c r="AZ8" s="16">
        <f t="shared" si="6"/>
        <v>0</v>
      </c>
    </row>
    <row r="9" spans="1:52" ht="14.25" customHeight="1" x14ac:dyDescent="0.2">
      <c r="A9" s="11" t="s">
        <v>38</v>
      </c>
      <c r="B9" s="14">
        <v>0</v>
      </c>
      <c r="C9" s="16">
        <f t="shared" ref="C9:AZ9" si="7">$B$9</f>
        <v>0</v>
      </c>
      <c r="D9" s="16">
        <f t="shared" si="7"/>
        <v>0</v>
      </c>
      <c r="E9" s="16">
        <f t="shared" si="7"/>
        <v>0</v>
      </c>
      <c r="F9" s="16">
        <f t="shared" si="7"/>
        <v>0</v>
      </c>
      <c r="G9" s="16">
        <f t="shared" si="7"/>
        <v>0</v>
      </c>
      <c r="H9" s="16">
        <f t="shared" si="7"/>
        <v>0</v>
      </c>
      <c r="I9" s="16">
        <f t="shared" si="7"/>
        <v>0</v>
      </c>
      <c r="J9" s="16">
        <f t="shared" si="7"/>
        <v>0</v>
      </c>
      <c r="K9" s="16">
        <f t="shared" si="7"/>
        <v>0</v>
      </c>
      <c r="L9" s="16">
        <f t="shared" si="7"/>
        <v>0</v>
      </c>
      <c r="M9" s="16">
        <f t="shared" si="7"/>
        <v>0</v>
      </c>
      <c r="N9" s="16">
        <f t="shared" si="7"/>
        <v>0</v>
      </c>
      <c r="O9" s="16">
        <f t="shared" si="7"/>
        <v>0</v>
      </c>
      <c r="P9" s="16">
        <f t="shared" si="7"/>
        <v>0</v>
      </c>
      <c r="Q9" s="16">
        <f t="shared" si="7"/>
        <v>0</v>
      </c>
      <c r="R9" s="16">
        <f t="shared" si="7"/>
        <v>0</v>
      </c>
      <c r="S9" s="16">
        <f t="shared" si="7"/>
        <v>0</v>
      </c>
      <c r="T9" s="16">
        <f t="shared" si="7"/>
        <v>0</v>
      </c>
      <c r="U9" s="16">
        <f t="shared" si="7"/>
        <v>0</v>
      </c>
      <c r="V9" s="16">
        <f t="shared" si="7"/>
        <v>0</v>
      </c>
      <c r="W9" s="16">
        <f t="shared" si="7"/>
        <v>0</v>
      </c>
      <c r="X9" s="16">
        <f t="shared" si="7"/>
        <v>0</v>
      </c>
      <c r="Y9" s="16">
        <f t="shared" si="7"/>
        <v>0</v>
      </c>
      <c r="Z9" s="16">
        <f t="shared" si="7"/>
        <v>0</v>
      </c>
      <c r="AA9" s="16">
        <f t="shared" si="7"/>
        <v>0</v>
      </c>
      <c r="AB9" s="16">
        <f t="shared" si="7"/>
        <v>0</v>
      </c>
      <c r="AC9" s="16">
        <f t="shared" si="7"/>
        <v>0</v>
      </c>
      <c r="AD9" s="16">
        <f t="shared" si="7"/>
        <v>0</v>
      </c>
      <c r="AE9" s="16">
        <f t="shared" si="7"/>
        <v>0</v>
      </c>
      <c r="AF9" s="16">
        <f t="shared" si="7"/>
        <v>0</v>
      </c>
      <c r="AG9" s="16">
        <f t="shared" si="7"/>
        <v>0</v>
      </c>
      <c r="AH9" s="16">
        <f t="shared" si="7"/>
        <v>0</v>
      </c>
      <c r="AI9" s="16">
        <f t="shared" si="7"/>
        <v>0</v>
      </c>
      <c r="AJ9" s="16">
        <f t="shared" si="7"/>
        <v>0</v>
      </c>
      <c r="AK9" s="16">
        <f t="shared" si="7"/>
        <v>0</v>
      </c>
      <c r="AL9" s="16">
        <f t="shared" si="7"/>
        <v>0</v>
      </c>
      <c r="AM9" s="16">
        <f t="shared" si="7"/>
        <v>0</v>
      </c>
      <c r="AN9" s="16">
        <f t="shared" si="7"/>
        <v>0</v>
      </c>
      <c r="AO9" s="16">
        <f t="shared" si="7"/>
        <v>0</v>
      </c>
      <c r="AP9" s="16">
        <f t="shared" si="7"/>
        <v>0</v>
      </c>
      <c r="AQ9" s="16">
        <f t="shared" si="7"/>
        <v>0</v>
      </c>
      <c r="AR9" s="16">
        <f t="shared" si="7"/>
        <v>0</v>
      </c>
      <c r="AS9" s="16">
        <f t="shared" si="7"/>
        <v>0</v>
      </c>
      <c r="AT9" s="16">
        <f t="shared" si="7"/>
        <v>0</v>
      </c>
      <c r="AU9" s="16">
        <f t="shared" si="7"/>
        <v>0</v>
      </c>
      <c r="AV9" s="16">
        <f t="shared" si="7"/>
        <v>0</v>
      </c>
      <c r="AW9" s="16">
        <f t="shared" si="7"/>
        <v>0</v>
      </c>
      <c r="AX9" s="16">
        <f t="shared" si="7"/>
        <v>0</v>
      </c>
      <c r="AY9" s="16">
        <f t="shared" si="7"/>
        <v>0</v>
      </c>
      <c r="AZ9" s="16">
        <f t="shared" si="7"/>
        <v>0</v>
      </c>
    </row>
    <row r="10" spans="1:52" ht="14.25" customHeight="1" x14ac:dyDescent="0.2">
      <c r="A10" s="11" t="s">
        <v>39</v>
      </c>
      <c r="B10" s="14">
        <v>0</v>
      </c>
      <c r="C10" s="16">
        <f t="shared" ref="C10:AZ10" si="8">$B10</f>
        <v>0</v>
      </c>
      <c r="D10" s="16">
        <f t="shared" si="8"/>
        <v>0</v>
      </c>
      <c r="E10" s="16">
        <f t="shared" si="8"/>
        <v>0</v>
      </c>
      <c r="F10" s="16">
        <f t="shared" si="8"/>
        <v>0</v>
      </c>
      <c r="G10" s="16">
        <f t="shared" si="8"/>
        <v>0</v>
      </c>
      <c r="H10" s="16">
        <f t="shared" si="8"/>
        <v>0</v>
      </c>
      <c r="I10" s="16">
        <f t="shared" si="8"/>
        <v>0</v>
      </c>
      <c r="J10" s="16">
        <f t="shared" si="8"/>
        <v>0</v>
      </c>
      <c r="K10" s="16">
        <f t="shared" si="8"/>
        <v>0</v>
      </c>
      <c r="L10" s="16">
        <f t="shared" si="8"/>
        <v>0</v>
      </c>
      <c r="M10" s="16">
        <f t="shared" si="8"/>
        <v>0</v>
      </c>
      <c r="N10" s="16">
        <f t="shared" si="8"/>
        <v>0</v>
      </c>
      <c r="O10" s="16">
        <f t="shared" si="8"/>
        <v>0</v>
      </c>
      <c r="P10" s="16">
        <f t="shared" si="8"/>
        <v>0</v>
      </c>
      <c r="Q10" s="16">
        <f t="shared" si="8"/>
        <v>0</v>
      </c>
      <c r="R10" s="16">
        <f t="shared" si="8"/>
        <v>0</v>
      </c>
      <c r="S10" s="16">
        <f t="shared" si="8"/>
        <v>0</v>
      </c>
      <c r="T10" s="16">
        <f t="shared" si="8"/>
        <v>0</v>
      </c>
      <c r="U10" s="16">
        <f t="shared" si="8"/>
        <v>0</v>
      </c>
      <c r="V10" s="16">
        <f t="shared" si="8"/>
        <v>0</v>
      </c>
      <c r="W10" s="16">
        <f t="shared" si="8"/>
        <v>0</v>
      </c>
      <c r="X10" s="16">
        <f t="shared" si="8"/>
        <v>0</v>
      </c>
      <c r="Y10" s="16">
        <f t="shared" si="8"/>
        <v>0</v>
      </c>
      <c r="Z10" s="16">
        <f t="shared" si="8"/>
        <v>0</v>
      </c>
      <c r="AA10" s="16">
        <f t="shared" si="8"/>
        <v>0</v>
      </c>
      <c r="AB10" s="16">
        <f t="shared" si="8"/>
        <v>0</v>
      </c>
      <c r="AC10" s="16">
        <f t="shared" si="8"/>
        <v>0</v>
      </c>
      <c r="AD10" s="16">
        <f t="shared" si="8"/>
        <v>0</v>
      </c>
      <c r="AE10" s="16">
        <f t="shared" si="8"/>
        <v>0</v>
      </c>
      <c r="AF10" s="16">
        <f t="shared" si="8"/>
        <v>0</v>
      </c>
      <c r="AG10" s="16">
        <f t="shared" si="8"/>
        <v>0</v>
      </c>
      <c r="AH10" s="16">
        <f t="shared" si="8"/>
        <v>0</v>
      </c>
      <c r="AI10" s="16">
        <f t="shared" si="8"/>
        <v>0</v>
      </c>
      <c r="AJ10" s="16">
        <f t="shared" si="8"/>
        <v>0</v>
      </c>
      <c r="AK10" s="16">
        <f t="shared" si="8"/>
        <v>0</v>
      </c>
      <c r="AL10" s="16">
        <f t="shared" si="8"/>
        <v>0</v>
      </c>
      <c r="AM10" s="16">
        <f t="shared" si="8"/>
        <v>0</v>
      </c>
      <c r="AN10" s="16">
        <f t="shared" si="8"/>
        <v>0</v>
      </c>
      <c r="AO10" s="16">
        <f t="shared" si="8"/>
        <v>0</v>
      </c>
      <c r="AP10" s="16">
        <f t="shared" si="8"/>
        <v>0</v>
      </c>
      <c r="AQ10" s="16">
        <f t="shared" si="8"/>
        <v>0</v>
      </c>
      <c r="AR10" s="16">
        <f t="shared" si="8"/>
        <v>0</v>
      </c>
      <c r="AS10" s="16">
        <f t="shared" si="8"/>
        <v>0</v>
      </c>
      <c r="AT10" s="16">
        <f t="shared" si="8"/>
        <v>0</v>
      </c>
      <c r="AU10" s="16">
        <f t="shared" si="8"/>
        <v>0</v>
      </c>
      <c r="AV10" s="16">
        <f t="shared" si="8"/>
        <v>0</v>
      </c>
      <c r="AW10" s="16">
        <f t="shared" si="8"/>
        <v>0</v>
      </c>
      <c r="AX10" s="16">
        <f t="shared" si="8"/>
        <v>0</v>
      </c>
      <c r="AY10" s="16">
        <f t="shared" si="8"/>
        <v>0</v>
      </c>
      <c r="AZ10" s="16">
        <f t="shared" si="8"/>
        <v>0</v>
      </c>
    </row>
    <row r="11" spans="1:52" ht="14.25" customHeight="1" x14ac:dyDescent="0.2">
      <c r="A11" s="11" t="s">
        <v>40</v>
      </c>
      <c r="B11" s="14">
        <v>0</v>
      </c>
      <c r="C11" s="16">
        <f t="shared" ref="C11:AZ11" si="9">$B11</f>
        <v>0</v>
      </c>
      <c r="D11" s="16">
        <f t="shared" si="9"/>
        <v>0</v>
      </c>
      <c r="E11" s="16">
        <f t="shared" si="9"/>
        <v>0</v>
      </c>
      <c r="F11" s="16">
        <f t="shared" si="9"/>
        <v>0</v>
      </c>
      <c r="G11" s="16">
        <f t="shared" si="9"/>
        <v>0</v>
      </c>
      <c r="H11" s="16">
        <f t="shared" si="9"/>
        <v>0</v>
      </c>
      <c r="I11" s="16">
        <f t="shared" si="9"/>
        <v>0</v>
      </c>
      <c r="J11" s="16">
        <f t="shared" si="9"/>
        <v>0</v>
      </c>
      <c r="K11" s="16">
        <f t="shared" si="9"/>
        <v>0</v>
      </c>
      <c r="L11" s="16">
        <f t="shared" si="9"/>
        <v>0</v>
      </c>
      <c r="M11" s="16">
        <f t="shared" si="9"/>
        <v>0</v>
      </c>
      <c r="N11" s="16">
        <f t="shared" si="9"/>
        <v>0</v>
      </c>
      <c r="O11" s="16">
        <f t="shared" si="9"/>
        <v>0</v>
      </c>
      <c r="P11" s="16">
        <f t="shared" si="9"/>
        <v>0</v>
      </c>
      <c r="Q11" s="16">
        <f t="shared" si="9"/>
        <v>0</v>
      </c>
      <c r="R11" s="16">
        <f t="shared" si="9"/>
        <v>0</v>
      </c>
      <c r="S11" s="16">
        <f t="shared" si="9"/>
        <v>0</v>
      </c>
      <c r="T11" s="16">
        <f t="shared" si="9"/>
        <v>0</v>
      </c>
      <c r="U11" s="16">
        <f t="shared" si="9"/>
        <v>0</v>
      </c>
      <c r="V11" s="16">
        <f t="shared" si="9"/>
        <v>0</v>
      </c>
      <c r="W11" s="16">
        <f t="shared" si="9"/>
        <v>0</v>
      </c>
      <c r="X11" s="16">
        <f t="shared" si="9"/>
        <v>0</v>
      </c>
      <c r="Y11" s="16">
        <f t="shared" si="9"/>
        <v>0</v>
      </c>
      <c r="Z11" s="16">
        <f t="shared" si="9"/>
        <v>0</v>
      </c>
      <c r="AA11" s="16">
        <f t="shared" si="9"/>
        <v>0</v>
      </c>
      <c r="AB11" s="16">
        <f t="shared" si="9"/>
        <v>0</v>
      </c>
      <c r="AC11" s="16">
        <f t="shared" si="9"/>
        <v>0</v>
      </c>
      <c r="AD11" s="16">
        <f t="shared" si="9"/>
        <v>0</v>
      </c>
      <c r="AE11" s="16">
        <f t="shared" si="9"/>
        <v>0</v>
      </c>
      <c r="AF11" s="16">
        <f t="shared" si="9"/>
        <v>0</v>
      </c>
      <c r="AG11" s="16">
        <f t="shared" si="9"/>
        <v>0</v>
      </c>
      <c r="AH11" s="16">
        <f t="shared" si="9"/>
        <v>0</v>
      </c>
      <c r="AI11" s="16">
        <f t="shared" si="9"/>
        <v>0</v>
      </c>
      <c r="AJ11" s="16">
        <f t="shared" si="9"/>
        <v>0</v>
      </c>
      <c r="AK11" s="16">
        <f t="shared" si="9"/>
        <v>0</v>
      </c>
      <c r="AL11" s="16">
        <f t="shared" si="9"/>
        <v>0</v>
      </c>
      <c r="AM11" s="16">
        <f t="shared" si="9"/>
        <v>0</v>
      </c>
      <c r="AN11" s="16">
        <f t="shared" si="9"/>
        <v>0</v>
      </c>
      <c r="AO11" s="16">
        <f t="shared" si="9"/>
        <v>0</v>
      </c>
      <c r="AP11" s="16">
        <f t="shared" si="9"/>
        <v>0</v>
      </c>
      <c r="AQ11" s="16">
        <f t="shared" si="9"/>
        <v>0</v>
      </c>
      <c r="AR11" s="16">
        <f t="shared" si="9"/>
        <v>0</v>
      </c>
      <c r="AS11" s="16">
        <f t="shared" si="9"/>
        <v>0</v>
      </c>
      <c r="AT11" s="16">
        <f t="shared" si="9"/>
        <v>0</v>
      </c>
      <c r="AU11" s="16">
        <f t="shared" si="9"/>
        <v>0</v>
      </c>
      <c r="AV11" s="16">
        <f t="shared" si="9"/>
        <v>0</v>
      </c>
      <c r="AW11" s="16">
        <f t="shared" si="9"/>
        <v>0</v>
      </c>
      <c r="AX11" s="16">
        <f t="shared" si="9"/>
        <v>0</v>
      </c>
      <c r="AY11" s="16">
        <f t="shared" si="9"/>
        <v>0</v>
      </c>
      <c r="AZ11" s="16">
        <f t="shared" si="9"/>
        <v>0</v>
      </c>
    </row>
    <row r="12" spans="1:52" ht="14.25" customHeight="1" x14ac:dyDescent="0.2">
      <c r="A12" s="11" t="s">
        <v>41</v>
      </c>
      <c r="B12" s="14">
        <v>0</v>
      </c>
      <c r="C12" s="16">
        <f t="shared" ref="C12:AZ12" si="10">$B12</f>
        <v>0</v>
      </c>
      <c r="D12" s="16">
        <f t="shared" si="10"/>
        <v>0</v>
      </c>
      <c r="E12" s="16">
        <f t="shared" si="10"/>
        <v>0</v>
      </c>
      <c r="F12" s="16">
        <f t="shared" si="10"/>
        <v>0</v>
      </c>
      <c r="G12" s="16">
        <f t="shared" si="10"/>
        <v>0</v>
      </c>
      <c r="H12" s="16">
        <f t="shared" si="10"/>
        <v>0</v>
      </c>
      <c r="I12" s="16">
        <f t="shared" si="10"/>
        <v>0</v>
      </c>
      <c r="J12" s="16">
        <f t="shared" si="10"/>
        <v>0</v>
      </c>
      <c r="K12" s="16">
        <f t="shared" si="10"/>
        <v>0</v>
      </c>
      <c r="L12" s="16">
        <f t="shared" si="10"/>
        <v>0</v>
      </c>
      <c r="M12" s="16">
        <f t="shared" si="10"/>
        <v>0</v>
      </c>
      <c r="N12" s="16">
        <f t="shared" si="10"/>
        <v>0</v>
      </c>
      <c r="O12" s="16">
        <f t="shared" si="10"/>
        <v>0</v>
      </c>
      <c r="P12" s="16">
        <f t="shared" si="10"/>
        <v>0</v>
      </c>
      <c r="Q12" s="16">
        <f t="shared" si="10"/>
        <v>0</v>
      </c>
      <c r="R12" s="16">
        <f t="shared" si="10"/>
        <v>0</v>
      </c>
      <c r="S12" s="16">
        <f t="shared" si="10"/>
        <v>0</v>
      </c>
      <c r="T12" s="16">
        <f t="shared" si="10"/>
        <v>0</v>
      </c>
      <c r="U12" s="16">
        <f t="shared" si="10"/>
        <v>0</v>
      </c>
      <c r="V12" s="16">
        <f t="shared" si="10"/>
        <v>0</v>
      </c>
      <c r="W12" s="16">
        <f t="shared" si="10"/>
        <v>0</v>
      </c>
      <c r="X12" s="16">
        <f t="shared" si="10"/>
        <v>0</v>
      </c>
      <c r="Y12" s="16">
        <f t="shared" si="10"/>
        <v>0</v>
      </c>
      <c r="Z12" s="16">
        <f t="shared" si="10"/>
        <v>0</v>
      </c>
      <c r="AA12" s="16">
        <f t="shared" si="10"/>
        <v>0</v>
      </c>
      <c r="AB12" s="16">
        <f t="shared" si="10"/>
        <v>0</v>
      </c>
      <c r="AC12" s="16">
        <f t="shared" si="10"/>
        <v>0</v>
      </c>
      <c r="AD12" s="16">
        <f t="shared" si="10"/>
        <v>0</v>
      </c>
      <c r="AE12" s="16">
        <f t="shared" si="10"/>
        <v>0</v>
      </c>
      <c r="AF12" s="16">
        <f t="shared" si="10"/>
        <v>0</v>
      </c>
      <c r="AG12" s="16">
        <f t="shared" si="10"/>
        <v>0</v>
      </c>
      <c r="AH12" s="16">
        <f t="shared" si="10"/>
        <v>0</v>
      </c>
      <c r="AI12" s="16">
        <f t="shared" si="10"/>
        <v>0</v>
      </c>
      <c r="AJ12" s="16">
        <f t="shared" si="10"/>
        <v>0</v>
      </c>
      <c r="AK12" s="16">
        <f t="shared" si="10"/>
        <v>0</v>
      </c>
      <c r="AL12" s="16">
        <f t="shared" si="10"/>
        <v>0</v>
      </c>
      <c r="AM12" s="16">
        <f t="shared" si="10"/>
        <v>0</v>
      </c>
      <c r="AN12" s="16">
        <f t="shared" si="10"/>
        <v>0</v>
      </c>
      <c r="AO12" s="16">
        <f t="shared" si="10"/>
        <v>0</v>
      </c>
      <c r="AP12" s="16">
        <f t="shared" si="10"/>
        <v>0</v>
      </c>
      <c r="AQ12" s="16">
        <f t="shared" si="10"/>
        <v>0</v>
      </c>
      <c r="AR12" s="16">
        <f t="shared" si="10"/>
        <v>0</v>
      </c>
      <c r="AS12" s="16">
        <f t="shared" si="10"/>
        <v>0</v>
      </c>
      <c r="AT12" s="16">
        <f t="shared" si="10"/>
        <v>0</v>
      </c>
      <c r="AU12" s="16">
        <f t="shared" si="10"/>
        <v>0</v>
      </c>
      <c r="AV12" s="16">
        <f t="shared" si="10"/>
        <v>0</v>
      </c>
      <c r="AW12" s="16">
        <f t="shared" si="10"/>
        <v>0</v>
      </c>
      <c r="AX12" s="16">
        <f t="shared" si="10"/>
        <v>0</v>
      </c>
      <c r="AY12" s="16">
        <f t="shared" si="10"/>
        <v>0</v>
      </c>
      <c r="AZ12" s="16">
        <f t="shared" si="10"/>
        <v>0</v>
      </c>
    </row>
    <row r="13" spans="1:52" ht="14.25" customHeight="1" x14ac:dyDescent="0.2">
      <c r="A13" s="11" t="s">
        <v>42</v>
      </c>
      <c r="B13" s="14">
        <v>0</v>
      </c>
      <c r="C13" s="16">
        <f t="shared" ref="C13:AZ13" si="11">$B13</f>
        <v>0</v>
      </c>
      <c r="D13" s="16">
        <f t="shared" si="11"/>
        <v>0</v>
      </c>
      <c r="E13" s="16">
        <f t="shared" si="11"/>
        <v>0</v>
      </c>
      <c r="F13" s="16">
        <f t="shared" si="11"/>
        <v>0</v>
      </c>
      <c r="G13" s="16">
        <f t="shared" si="11"/>
        <v>0</v>
      </c>
      <c r="H13" s="16">
        <f t="shared" si="11"/>
        <v>0</v>
      </c>
      <c r="I13" s="16">
        <f t="shared" si="11"/>
        <v>0</v>
      </c>
      <c r="J13" s="16">
        <f t="shared" si="11"/>
        <v>0</v>
      </c>
      <c r="K13" s="16">
        <f t="shared" si="11"/>
        <v>0</v>
      </c>
      <c r="L13" s="16">
        <f t="shared" si="11"/>
        <v>0</v>
      </c>
      <c r="M13" s="16">
        <f t="shared" si="11"/>
        <v>0</v>
      </c>
      <c r="N13" s="16">
        <f t="shared" si="11"/>
        <v>0</v>
      </c>
      <c r="O13" s="16">
        <f t="shared" si="11"/>
        <v>0</v>
      </c>
      <c r="P13" s="16">
        <f t="shared" si="11"/>
        <v>0</v>
      </c>
      <c r="Q13" s="16">
        <f t="shared" si="11"/>
        <v>0</v>
      </c>
      <c r="R13" s="16">
        <f t="shared" si="11"/>
        <v>0</v>
      </c>
      <c r="S13" s="16">
        <f t="shared" si="11"/>
        <v>0</v>
      </c>
      <c r="T13" s="16">
        <f t="shared" si="11"/>
        <v>0</v>
      </c>
      <c r="U13" s="16">
        <f t="shared" si="11"/>
        <v>0</v>
      </c>
      <c r="V13" s="16">
        <f t="shared" si="11"/>
        <v>0</v>
      </c>
      <c r="W13" s="16">
        <f t="shared" si="11"/>
        <v>0</v>
      </c>
      <c r="X13" s="16">
        <f t="shared" si="11"/>
        <v>0</v>
      </c>
      <c r="Y13" s="16">
        <f t="shared" si="11"/>
        <v>0</v>
      </c>
      <c r="Z13" s="16">
        <f t="shared" si="11"/>
        <v>0</v>
      </c>
      <c r="AA13" s="16">
        <f t="shared" si="11"/>
        <v>0</v>
      </c>
      <c r="AB13" s="16">
        <f t="shared" si="11"/>
        <v>0</v>
      </c>
      <c r="AC13" s="16">
        <f t="shared" si="11"/>
        <v>0</v>
      </c>
      <c r="AD13" s="16">
        <f t="shared" si="11"/>
        <v>0</v>
      </c>
      <c r="AE13" s="16">
        <f t="shared" si="11"/>
        <v>0</v>
      </c>
      <c r="AF13" s="16">
        <f t="shared" si="11"/>
        <v>0</v>
      </c>
      <c r="AG13" s="16">
        <f t="shared" si="11"/>
        <v>0</v>
      </c>
      <c r="AH13" s="16">
        <f t="shared" si="11"/>
        <v>0</v>
      </c>
      <c r="AI13" s="16">
        <f t="shared" si="11"/>
        <v>0</v>
      </c>
      <c r="AJ13" s="16">
        <f t="shared" si="11"/>
        <v>0</v>
      </c>
      <c r="AK13" s="16">
        <f t="shared" si="11"/>
        <v>0</v>
      </c>
      <c r="AL13" s="16">
        <f t="shared" si="11"/>
        <v>0</v>
      </c>
      <c r="AM13" s="16">
        <f t="shared" si="11"/>
        <v>0</v>
      </c>
      <c r="AN13" s="16">
        <f t="shared" si="11"/>
        <v>0</v>
      </c>
      <c r="AO13" s="16">
        <f t="shared" si="11"/>
        <v>0</v>
      </c>
      <c r="AP13" s="16">
        <f t="shared" si="11"/>
        <v>0</v>
      </c>
      <c r="AQ13" s="16">
        <f t="shared" si="11"/>
        <v>0</v>
      </c>
      <c r="AR13" s="16">
        <f t="shared" si="11"/>
        <v>0</v>
      </c>
      <c r="AS13" s="16">
        <f t="shared" si="11"/>
        <v>0</v>
      </c>
      <c r="AT13" s="16">
        <f t="shared" si="11"/>
        <v>0</v>
      </c>
      <c r="AU13" s="16">
        <f t="shared" si="11"/>
        <v>0</v>
      </c>
      <c r="AV13" s="16">
        <f t="shared" si="11"/>
        <v>0</v>
      </c>
      <c r="AW13" s="16">
        <f t="shared" si="11"/>
        <v>0</v>
      </c>
      <c r="AX13" s="16">
        <f t="shared" si="11"/>
        <v>0</v>
      </c>
      <c r="AY13" s="16">
        <f t="shared" si="11"/>
        <v>0</v>
      </c>
      <c r="AZ13" s="16">
        <f t="shared" si="11"/>
        <v>0</v>
      </c>
    </row>
    <row r="14" spans="1:52" ht="14.25" customHeight="1" x14ac:dyDescent="0.2">
      <c r="A14" s="11" t="s">
        <v>43</v>
      </c>
      <c r="B14" s="14">
        <v>0</v>
      </c>
      <c r="C14" s="16">
        <f t="shared" ref="C14:AZ14" si="12">$B14</f>
        <v>0</v>
      </c>
      <c r="D14" s="16">
        <f t="shared" si="12"/>
        <v>0</v>
      </c>
      <c r="E14" s="16">
        <f t="shared" si="12"/>
        <v>0</v>
      </c>
      <c r="F14" s="16">
        <f t="shared" si="12"/>
        <v>0</v>
      </c>
      <c r="G14" s="16">
        <f t="shared" si="12"/>
        <v>0</v>
      </c>
      <c r="H14" s="16">
        <f t="shared" si="12"/>
        <v>0</v>
      </c>
      <c r="I14" s="16">
        <f t="shared" si="12"/>
        <v>0</v>
      </c>
      <c r="J14" s="16">
        <f t="shared" si="12"/>
        <v>0</v>
      </c>
      <c r="K14" s="16">
        <f t="shared" si="12"/>
        <v>0</v>
      </c>
      <c r="L14" s="16">
        <f t="shared" si="12"/>
        <v>0</v>
      </c>
      <c r="M14" s="16">
        <f t="shared" si="12"/>
        <v>0</v>
      </c>
      <c r="N14" s="16">
        <f t="shared" si="12"/>
        <v>0</v>
      </c>
      <c r="O14" s="16">
        <f t="shared" si="12"/>
        <v>0</v>
      </c>
      <c r="P14" s="16">
        <f t="shared" si="12"/>
        <v>0</v>
      </c>
      <c r="Q14" s="16">
        <f t="shared" si="12"/>
        <v>0</v>
      </c>
      <c r="R14" s="16">
        <f t="shared" si="12"/>
        <v>0</v>
      </c>
      <c r="S14" s="16">
        <f t="shared" si="12"/>
        <v>0</v>
      </c>
      <c r="T14" s="16">
        <f t="shared" si="12"/>
        <v>0</v>
      </c>
      <c r="U14" s="16">
        <f t="shared" si="12"/>
        <v>0</v>
      </c>
      <c r="V14" s="16">
        <f t="shared" si="12"/>
        <v>0</v>
      </c>
      <c r="W14" s="16">
        <f t="shared" si="12"/>
        <v>0</v>
      </c>
      <c r="X14" s="16">
        <f t="shared" si="12"/>
        <v>0</v>
      </c>
      <c r="Y14" s="16">
        <f t="shared" si="12"/>
        <v>0</v>
      </c>
      <c r="Z14" s="16">
        <f t="shared" si="12"/>
        <v>0</v>
      </c>
      <c r="AA14" s="16">
        <f t="shared" si="12"/>
        <v>0</v>
      </c>
      <c r="AB14" s="16">
        <f t="shared" si="12"/>
        <v>0</v>
      </c>
      <c r="AC14" s="16">
        <f t="shared" si="12"/>
        <v>0</v>
      </c>
      <c r="AD14" s="16">
        <f t="shared" si="12"/>
        <v>0</v>
      </c>
      <c r="AE14" s="16">
        <f t="shared" si="12"/>
        <v>0</v>
      </c>
      <c r="AF14" s="16">
        <f t="shared" si="12"/>
        <v>0</v>
      </c>
      <c r="AG14" s="16">
        <f t="shared" si="12"/>
        <v>0</v>
      </c>
      <c r="AH14" s="16">
        <f t="shared" si="12"/>
        <v>0</v>
      </c>
      <c r="AI14" s="16">
        <f t="shared" si="12"/>
        <v>0</v>
      </c>
      <c r="AJ14" s="16">
        <f t="shared" si="12"/>
        <v>0</v>
      </c>
      <c r="AK14" s="16">
        <f t="shared" si="12"/>
        <v>0</v>
      </c>
      <c r="AL14" s="16">
        <f t="shared" si="12"/>
        <v>0</v>
      </c>
      <c r="AM14" s="16">
        <f t="shared" si="12"/>
        <v>0</v>
      </c>
      <c r="AN14" s="16">
        <f t="shared" si="12"/>
        <v>0</v>
      </c>
      <c r="AO14" s="16">
        <f t="shared" si="12"/>
        <v>0</v>
      </c>
      <c r="AP14" s="16">
        <f t="shared" si="12"/>
        <v>0</v>
      </c>
      <c r="AQ14" s="16">
        <f t="shared" si="12"/>
        <v>0</v>
      </c>
      <c r="AR14" s="16">
        <f t="shared" si="12"/>
        <v>0</v>
      </c>
      <c r="AS14" s="16">
        <f t="shared" si="12"/>
        <v>0</v>
      </c>
      <c r="AT14" s="16">
        <f t="shared" si="12"/>
        <v>0</v>
      </c>
      <c r="AU14" s="16">
        <f t="shared" si="12"/>
        <v>0</v>
      </c>
      <c r="AV14" s="16">
        <f t="shared" si="12"/>
        <v>0</v>
      </c>
      <c r="AW14" s="16">
        <f t="shared" si="12"/>
        <v>0</v>
      </c>
      <c r="AX14" s="16">
        <f t="shared" si="12"/>
        <v>0</v>
      </c>
      <c r="AY14" s="16">
        <f t="shared" si="12"/>
        <v>0</v>
      </c>
      <c r="AZ14" s="16">
        <f t="shared" si="12"/>
        <v>0</v>
      </c>
    </row>
    <row r="15" spans="1:52" ht="14.25" customHeight="1" x14ac:dyDescent="0.2">
      <c r="A15" s="11" t="s">
        <v>44</v>
      </c>
      <c r="B15" s="14">
        <v>0</v>
      </c>
      <c r="C15" s="16">
        <f t="shared" ref="C15:AZ15" si="13">$B15</f>
        <v>0</v>
      </c>
      <c r="D15" s="16">
        <f t="shared" si="13"/>
        <v>0</v>
      </c>
      <c r="E15" s="16">
        <f t="shared" si="13"/>
        <v>0</v>
      </c>
      <c r="F15" s="16">
        <f t="shared" si="13"/>
        <v>0</v>
      </c>
      <c r="G15" s="16">
        <f t="shared" si="13"/>
        <v>0</v>
      </c>
      <c r="H15" s="16">
        <f t="shared" si="13"/>
        <v>0</v>
      </c>
      <c r="I15" s="16">
        <f t="shared" si="13"/>
        <v>0</v>
      </c>
      <c r="J15" s="16">
        <f t="shared" si="13"/>
        <v>0</v>
      </c>
      <c r="K15" s="16">
        <f t="shared" si="13"/>
        <v>0</v>
      </c>
      <c r="L15" s="16">
        <f t="shared" si="13"/>
        <v>0</v>
      </c>
      <c r="M15" s="16">
        <f t="shared" si="13"/>
        <v>0</v>
      </c>
      <c r="N15" s="16">
        <f t="shared" si="13"/>
        <v>0</v>
      </c>
      <c r="O15" s="16">
        <f t="shared" si="13"/>
        <v>0</v>
      </c>
      <c r="P15" s="16">
        <f t="shared" si="13"/>
        <v>0</v>
      </c>
      <c r="Q15" s="16">
        <f t="shared" si="13"/>
        <v>0</v>
      </c>
      <c r="R15" s="16">
        <f t="shared" si="13"/>
        <v>0</v>
      </c>
      <c r="S15" s="16">
        <f t="shared" si="13"/>
        <v>0</v>
      </c>
      <c r="T15" s="16">
        <f t="shared" si="13"/>
        <v>0</v>
      </c>
      <c r="U15" s="16">
        <f t="shared" si="13"/>
        <v>0</v>
      </c>
      <c r="V15" s="16">
        <f t="shared" si="13"/>
        <v>0</v>
      </c>
      <c r="W15" s="16">
        <f t="shared" si="13"/>
        <v>0</v>
      </c>
      <c r="X15" s="16">
        <f t="shared" si="13"/>
        <v>0</v>
      </c>
      <c r="Y15" s="16">
        <f t="shared" si="13"/>
        <v>0</v>
      </c>
      <c r="Z15" s="16">
        <f t="shared" si="13"/>
        <v>0</v>
      </c>
      <c r="AA15" s="16">
        <f t="shared" si="13"/>
        <v>0</v>
      </c>
      <c r="AB15" s="16">
        <f t="shared" si="13"/>
        <v>0</v>
      </c>
      <c r="AC15" s="16">
        <f t="shared" si="13"/>
        <v>0</v>
      </c>
      <c r="AD15" s="16">
        <f t="shared" si="13"/>
        <v>0</v>
      </c>
      <c r="AE15" s="16">
        <f t="shared" si="13"/>
        <v>0</v>
      </c>
      <c r="AF15" s="16">
        <f t="shared" si="13"/>
        <v>0</v>
      </c>
      <c r="AG15" s="16">
        <f t="shared" si="13"/>
        <v>0</v>
      </c>
      <c r="AH15" s="16">
        <f t="shared" si="13"/>
        <v>0</v>
      </c>
      <c r="AI15" s="16">
        <f t="shared" si="13"/>
        <v>0</v>
      </c>
      <c r="AJ15" s="16">
        <f t="shared" si="13"/>
        <v>0</v>
      </c>
      <c r="AK15" s="16">
        <f t="shared" si="13"/>
        <v>0</v>
      </c>
      <c r="AL15" s="16">
        <f t="shared" si="13"/>
        <v>0</v>
      </c>
      <c r="AM15" s="16">
        <f t="shared" si="13"/>
        <v>0</v>
      </c>
      <c r="AN15" s="16">
        <f t="shared" si="13"/>
        <v>0</v>
      </c>
      <c r="AO15" s="16">
        <f t="shared" si="13"/>
        <v>0</v>
      </c>
      <c r="AP15" s="16">
        <f t="shared" si="13"/>
        <v>0</v>
      </c>
      <c r="AQ15" s="16">
        <f t="shared" si="13"/>
        <v>0</v>
      </c>
      <c r="AR15" s="16">
        <f t="shared" si="13"/>
        <v>0</v>
      </c>
      <c r="AS15" s="16">
        <f t="shared" si="13"/>
        <v>0</v>
      </c>
      <c r="AT15" s="16">
        <f t="shared" si="13"/>
        <v>0</v>
      </c>
      <c r="AU15" s="16">
        <f t="shared" si="13"/>
        <v>0</v>
      </c>
      <c r="AV15" s="16">
        <f t="shared" si="13"/>
        <v>0</v>
      </c>
      <c r="AW15" s="16">
        <f t="shared" si="13"/>
        <v>0</v>
      </c>
      <c r="AX15" s="16">
        <f t="shared" si="13"/>
        <v>0</v>
      </c>
      <c r="AY15" s="16">
        <f t="shared" si="13"/>
        <v>0</v>
      </c>
      <c r="AZ15" s="16">
        <f t="shared" si="13"/>
        <v>0</v>
      </c>
    </row>
    <row r="16" spans="1:52" ht="14.25" customHeight="1" x14ac:dyDescent="0.2">
      <c r="A16" s="11" t="s">
        <v>45</v>
      </c>
      <c r="B16" s="14">
        <v>0</v>
      </c>
      <c r="C16" s="16">
        <f t="shared" ref="C16:AZ16" si="14">$B16</f>
        <v>0</v>
      </c>
      <c r="D16" s="16">
        <f t="shared" si="14"/>
        <v>0</v>
      </c>
      <c r="E16" s="16">
        <f t="shared" si="14"/>
        <v>0</v>
      </c>
      <c r="F16" s="16">
        <f t="shared" si="14"/>
        <v>0</v>
      </c>
      <c r="G16" s="16">
        <f t="shared" si="14"/>
        <v>0</v>
      </c>
      <c r="H16" s="16">
        <f t="shared" si="14"/>
        <v>0</v>
      </c>
      <c r="I16" s="16">
        <f t="shared" si="14"/>
        <v>0</v>
      </c>
      <c r="J16" s="16">
        <f t="shared" si="14"/>
        <v>0</v>
      </c>
      <c r="K16" s="16">
        <f t="shared" si="14"/>
        <v>0</v>
      </c>
      <c r="L16" s="16">
        <f t="shared" si="14"/>
        <v>0</v>
      </c>
      <c r="M16" s="16">
        <f t="shared" si="14"/>
        <v>0</v>
      </c>
      <c r="N16" s="16">
        <f t="shared" si="14"/>
        <v>0</v>
      </c>
      <c r="O16" s="16">
        <f t="shared" si="14"/>
        <v>0</v>
      </c>
      <c r="P16" s="16">
        <f t="shared" si="14"/>
        <v>0</v>
      </c>
      <c r="Q16" s="16">
        <f t="shared" si="14"/>
        <v>0</v>
      </c>
      <c r="R16" s="16">
        <f t="shared" si="14"/>
        <v>0</v>
      </c>
      <c r="S16" s="16">
        <f t="shared" si="14"/>
        <v>0</v>
      </c>
      <c r="T16" s="16">
        <f t="shared" si="14"/>
        <v>0</v>
      </c>
      <c r="U16" s="16">
        <f t="shared" si="14"/>
        <v>0</v>
      </c>
      <c r="V16" s="16">
        <f t="shared" si="14"/>
        <v>0</v>
      </c>
      <c r="W16" s="16">
        <f t="shared" si="14"/>
        <v>0</v>
      </c>
      <c r="X16" s="16">
        <f t="shared" si="14"/>
        <v>0</v>
      </c>
      <c r="Y16" s="16">
        <f t="shared" si="14"/>
        <v>0</v>
      </c>
      <c r="Z16" s="16">
        <f t="shared" si="14"/>
        <v>0</v>
      </c>
      <c r="AA16" s="16">
        <f t="shared" si="14"/>
        <v>0</v>
      </c>
      <c r="AB16" s="16">
        <f t="shared" si="14"/>
        <v>0</v>
      </c>
      <c r="AC16" s="16">
        <f t="shared" si="14"/>
        <v>0</v>
      </c>
      <c r="AD16" s="16">
        <f t="shared" si="14"/>
        <v>0</v>
      </c>
      <c r="AE16" s="16">
        <f t="shared" si="14"/>
        <v>0</v>
      </c>
      <c r="AF16" s="16">
        <f t="shared" si="14"/>
        <v>0</v>
      </c>
      <c r="AG16" s="16">
        <f t="shared" si="14"/>
        <v>0</v>
      </c>
      <c r="AH16" s="16">
        <f t="shared" si="14"/>
        <v>0</v>
      </c>
      <c r="AI16" s="16">
        <f t="shared" si="14"/>
        <v>0</v>
      </c>
      <c r="AJ16" s="16">
        <f t="shared" si="14"/>
        <v>0</v>
      </c>
      <c r="AK16" s="16">
        <f t="shared" si="14"/>
        <v>0</v>
      </c>
      <c r="AL16" s="16">
        <f t="shared" si="14"/>
        <v>0</v>
      </c>
      <c r="AM16" s="16">
        <f t="shared" si="14"/>
        <v>0</v>
      </c>
      <c r="AN16" s="16">
        <f t="shared" si="14"/>
        <v>0</v>
      </c>
      <c r="AO16" s="16">
        <f t="shared" si="14"/>
        <v>0</v>
      </c>
      <c r="AP16" s="16">
        <f t="shared" si="14"/>
        <v>0</v>
      </c>
      <c r="AQ16" s="16">
        <f t="shared" si="14"/>
        <v>0</v>
      </c>
      <c r="AR16" s="16">
        <f t="shared" si="14"/>
        <v>0</v>
      </c>
      <c r="AS16" s="16">
        <f t="shared" si="14"/>
        <v>0</v>
      </c>
      <c r="AT16" s="16">
        <f t="shared" si="14"/>
        <v>0</v>
      </c>
      <c r="AU16" s="16">
        <f t="shared" si="14"/>
        <v>0</v>
      </c>
      <c r="AV16" s="16">
        <f t="shared" si="14"/>
        <v>0</v>
      </c>
      <c r="AW16" s="16">
        <f t="shared" si="14"/>
        <v>0</v>
      </c>
      <c r="AX16" s="16">
        <f t="shared" si="14"/>
        <v>0</v>
      </c>
      <c r="AY16" s="16">
        <f t="shared" si="14"/>
        <v>0</v>
      </c>
      <c r="AZ16" s="16">
        <f t="shared" si="14"/>
        <v>0</v>
      </c>
    </row>
    <row r="17" spans="1:52" ht="14.25" customHeight="1" x14ac:dyDescent="0.2">
      <c r="A17" s="11" t="s">
        <v>46</v>
      </c>
      <c r="B17" s="14">
        <v>0</v>
      </c>
      <c r="C17" s="16">
        <f t="shared" ref="C17:AZ17" si="15">$B17</f>
        <v>0</v>
      </c>
      <c r="D17" s="16">
        <f t="shared" si="15"/>
        <v>0</v>
      </c>
      <c r="E17" s="16">
        <f t="shared" si="15"/>
        <v>0</v>
      </c>
      <c r="F17" s="16">
        <f t="shared" si="15"/>
        <v>0</v>
      </c>
      <c r="G17" s="16">
        <f t="shared" si="15"/>
        <v>0</v>
      </c>
      <c r="H17" s="16">
        <f t="shared" si="15"/>
        <v>0</v>
      </c>
      <c r="I17" s="16">
        <f t="shared" si="15"/>
        <v>0</v>
      </c>
      <c r="J17" s="16">
        <f t="shared" si="15"/>
        <v>0</v>
      </c>
      <c r="K17" s="16">
        <f t="shared" si="15"/>
        <v>0</v>
      </c>
      <c r="L17" s="16">
        <f t="shared" si="15"/>
        <v>0</v>
      </c>
      <c r="M17" s="16">
        <f t="shared" si="15"/>
        <v>0</v>
      </c>
      <c r="N17" s="16">
        <f t="shared" si="15"/>
        <v>0</v>
      </c>
      <c r="O17" s="16">
        <f t="shared" si="15"/>
        <v>0</v>
      </c>
      <c r="P17" s="16">
        <f t="shared" si="15"/>
        <v>0</v>
      </c>
      <c r="Q17" s="16">
        <f t="shared" si="15"/>
        <v>0</v>
      </c>
      <c r="R17" s="16">
        <f t="shared" si="15"/>
        <v>0</v>
      </c>
      <c r="S17" s="16">
        <f t="shared" si="15"/>
        <v>0</v>
      </c>
      <c r="T17" s="16">
        <f t="shared" si="15"/>
        <v>0</v>
      </c>
      <c r="U17" s="16">
        <f t="shared" si="15"/>
        <v>0</v>
      </c>
      <c r="V17" s="16">
        <f t="shared" si="15"/>
        <v>0</v>
      </c>
      <c r="W17" s="16">
        <f t="shared" si="15"/>
        <v>0</v>
      </c>
      <c r="X17" s="16">
        <f t="shared" si="15"/>
        <v>0</v>
      </c>
      <c r="Y17" s="16">
        <f t="shared" si="15"/>
        <v>0</v>
      </c>
      <c r="Z17" s="16">
        <f t="shared" si="15"/>
        <v>0</v>
      </c>
      <c r="AA17" s="16">
        <f t="shared" si="15"/>
        <v>0</v>
      </c>
      <c r="AB17" s="16">
        <f t="shared" si="15"/>
        <v>0</v>
      </c>
      <c r="AC17" s="16">
        <f t="shared" si="15"/>
        <v>0</v>
      </c>
      <c r="AD17" s="16">
        <f t="shared" si="15"/>
        <v>0</v>
      </c>
      <c r="AE17" s="16">
        <f t="shared" si="15"/>
        <v>0</v>
      </c>
      <c r="AF17" s="16">
        <f t="shared" si="15"/>
        <v>0</v>
      </c>
      <c r="AG17" s="16">
        <f t="shared" si="15"/>
        <v>0</v>
      </c>
      <c r="AH17" s="16">
        <f t="shared" si="15"/>
        <v>0</v>
      </c>
      <c r="AI17" s="16">
        <f t="shared" si="15"/>
        <v>0</v>
      </c>
      <c r="AJ17" s="16">
        <f t="shared" si="15"/>
        <v>0</v>
      </c>
      <c r="AK17" s="16">
        <f t="shared" si="15"/>
        <v>0</v>
      </c>
      <c r="AL17" s="16">
        <f t="shared" si="15"/>
        <v>0</v>
      </c>
      <c r="AM17" s="16">
        <f t="shared" si="15"/>
        <v>0</v>
      </c>
      <c r="AN17" s="16">
        <f t="shared" si="15"/>
        <v>0</v>
      </c>
      <c r="AO17" s="16">
        <f t="shared" si="15"/>
        <v>0</v>
      </c>
      <c r="AP17" s="16">
        <f t="shared" si="15"/>
        <v>0</v>
      </c>
      <c r="AQ17" s="16">
        <f t="shared" si="15"/>
        <v>0</v>
      </c>
      <c r="AR17" s="16">
        <f t="shared" si="15"/>
        <v>0</v>
      </c>
      <c r="AS17" s="16">
        <f t="shared" si="15"/>
        <v>0</v>
      </c>
      <c r="AT17" s="16">
        <f t="shared" si="15"/>
        <v>0</v>
      </c>
      <c r="AU17" s="16">
        <f t="shared" si="15"/>
        <v>0</v>
      </c>
      <c r="AV17" s="16">
        <f t="shared" si="15"/>
        <v>0</v>
      </c>
      <c r="AW17" s="16">
        <f t="shared" si="15"/>
        <v>0</v>
      </c>
      <c r="AX17" s="16">
        <f t="shared" si="15"/>
        <v>0</v>
      </c>
      <c r="AY17" s="16">
        <f t="shared" si="15"/>
        <v>0</v>
      </c>
      <c r="AZ17" s="16">
        <f t="shared" si="15"/>
        <v>0</v>
      </c>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52" ht="14.25" customHeight="1" x14ac:dyDescent="0.2">
      <c r="A1" s="3" t="s">
        <v>49</v>
      </c>
      <c r="B1" s="15">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11" t="s">
        <v>33</v>
      </c>
      <c r="B2" s="14">
        <f>'CCaMC-AFOaMCpUC-pre-ret'!B2</f>
        <v>41200</v>
      </c>
      <c r="C2" s="14">
        <f>'CCaMC-AFOaMCpUC-pre-ret'!C2</f>
        <v>43133.333333333336</v>
      </c>
      <c r="D2" s="14">
        <f>'CCaMC-AFOaMCpUC-pre-ret'!D2</f>
        <v>45066.666666666664</v>
      </c>
      <c r="E2" s="14">
        <f>'CCaMC-AFOaMCpUC-pre-ret'!E2</f>
        <v>47000</v>
      </c>
      <c r="F2" s="14">
        <f>'CCaMC-AFOaMCpUC-pre-ret'!F2</f>
        <v>46800</v>
      </c>
      <c r="G2" s="14">
        <f>'CCaMC-AFOaMCpUC-pre-ret'!G2</f>
        <v>46600</v>
      </c>
      <c r="H2" s="14">
        <f>'CCaMC-AFOaMCpUC-pre-ret'!H2</f>
        <v>46400</v>
      </c>
      <c r="I2" s="14">
        <f>'CCaMC-AFOaMCpUC-pre-ret'!I2</f>
        <v>46200</v>
      </c>
      <c r="J2" s="14">
        <f>'CCaMC-AFOaMCpUC-pre-ret'!J2</f>
        <v>46000</v>
      </c>
      <c r="K2" s="14">
        <f>'CCaMC-AFOaMCpUC-pre-ret'!K2</f>
        <v>45800</v>
      </c>
      <c r="L2" s="14">
        <f>'CCaMC-AFOaMCpUC-pre-ret'!L2</f>
        <v>45600</v>
      </c>
      <c r="M2" s="14">
        <f>'CCaMC-AFOaMCpUC-pre-ret'!M2</f>
        <v>45525</v>
      </c>
      <c r="N2" s="14">
        <f>'CCaMC-AFOaMCpUC-pre-ret'!N2</f>
        <v>45450</v>
      </c>
      <c r="O2" s="14">
        <f>'CCaMC-AFOaMCpUC-pre-ret'!O2</f>
        <v>45375</v>
      </c>
      <c r="P2" s="14">
        <f>'CCaMC-AFOaMCpUC-pre-ret'!P2</f>
        <v>45300</v>
      </c>
      <c r="Q2" s="14">
        <f>'CCaMC-AFOaMCpUC-pre-ret'!Q2</f>
        <v>45225</v>
      </c>
      <c r="R2" s="14">
        <f>'CCaMC-AFOaMCpUC-pre-ret'!R2</f>
        <v>45150</v>
      </c>
      <c r="S2" s="14">
        <f>'CCaMC-AFOaMCpUC-pre-ret'!S2</f>
        <v>45075</v>
      </c>
      <c r="T2" s="14">
        <f>'CCaMC-AFOaMCpUC-pre-ret'!T2</f>
        <v>45000</v>
      </c>
      <c r="U2" s="14">
        <f>'CCaMC-AFOaMCpUC-pre-ret'!U2</f>
        <v>44925</v>
      </c>
      <c r="V2" s="14">
        <f>'CCaMC-AFOaMCpUC-pre-ret'!V2</f>
        <v>44850</v>
      </c>
      <c r="W2" s="14">
        <f>'CCaMC-AFOaMCpUC-pre-ret'!W2</f>
        <v>44775</v>
      </c>
      <c r="X2" s="14">
        <f>'CCaMC-AFOaMCpUC-pre-ret'!X2</f>
        <v>44700</v>
      </c>
      <c r="Y2" s="14">
        <f>'CCaMC-AFOaMCpUC-pre-ret'!Y2</f>
        <v>44625</v>
      </c>
      <c r="Z2" s="14">
        <f>'CCaMC-AFOaMCpUC-pre-ret'!Z2</f>
        <v>44550</v>
      </c>
      <c r="AA2" s="14">
        <f>'CCaMC-AFOaMCpUC-pre-ret'!AA2</f>
        <v>44475</v>
      </c>
      <c r="AB2" s="14">
        <f>'CCaMC-AFOaMCpUC-pre-ret'!AB2</f>
        <v>44400</v>
      </c>
      <c r="AC2" s="14">
        <f>'CCaMC-AFOaMCpUC-pre-ret'!AC2</f>
        <v>44325</v>
      </c>
      <c r="AD2" s="14">
        <f>'CCaMC-AFOaMCpUC-pre-ret'!AD2</f>
        <v>44250</v>
      </c>
      <c r="AE2" s="14">
        <f>'CCaMC-AFOaMCpUC-pre-ret'!AE2</f>
        <v>44175</v>
      </c>
      <c r="AF2" s="14">
        <f>'CCaMC-AFOaMCpUC-pre-ret'!AF2</f>
        <v>44100</v>
      </c>
      <c r="AG2" s="14">
        <f>'CCaMC-AFOaMCpUC-pre-ret'!AG2</f>
        <v>44100</v>
      </c>
      <c r="AH2" s="14">
        <f>'CCaMC-AFOaMCpUC-pre-ret'!AH2</f>
        <v>44100</v>
      </c>
      <c r="AI2" s="14">
        <f>'CCaMC-AFOaMCpUC-pre-ret'!AI2</f>
        <v>44100</v>
      </c>
      <c r="AJ2" s="14">
        <f>'CCaMC-AFOaMCpUC-pre-ret'!AJ2</f>
        <v>44100</v>
      </c>
      <c r="AK2" s="14">
        <f>'CCaMC-AFOaMCpUC-pre-ret'!AK2</f>
        <v>44100</v>
      </c>
      <c r="AL2" s="14">
        <f>'CCaMC-AFOaMCpUC-pre-ret'!AL2</f>
        <v>44100</v>
      </c>
      <c r="AM2" s="14">
        <f>'CCaMC-AFOaMCpUC-pre-ret'!AM2</f>
        <v>44100</v>
      </c>
      <c r="AN2" s="14">
        <f>'CCaMC-AFOaMCpUC-pre-ret'!AN2</f>
        <v>44100</v>
      </c>
      <c r="AO2" s="14">
        <f>'CCaMC-AFOaMCpUC-pre-ret'!AO2</f>
        <v>44100</v>
      </c>
      <c r="AP2" s="14">
        <f>'CCaMC-AFOaMCpUC-pre-ret'!AP2</f>
        <v>44100</v>
      </c>
      <c r="AQ2" s="14">
        <f>'CCaMC-AFOaMCpUC-pre-ret'!AQ2</f>
        <v>44100</v>
      </c>
      <c r="AR2" s="14">
        <f>'CCaMC-AFOaMCpUC-pre-ret'!AR2</f>
        <v>44100</v>
      </c>
      <c r="AS2" s="14">
        <f>'CCaMC-AFOaMCpUC-pre-ret'!AS2</f>
        <v>44100</v>
      </c>
      <c r="AT2" s="14">
        <f>'CCaMC-AFOaMCpUC-pre-ret'!AT2</f>
        <v>44100</v>
      </c>
      <c r="AU2" s="14">
        <f>'CCaMC-AFOaMCpUC-pre-ret'!AU2</f>
        <v>44100</v>
      </c>
      <c r="AV2" s="14">
        <f>'CCaMC-AFOaMCpUC-pre-ret'!AV2</f>
        <v>44100</v>
      </c>
      <c r="AW2" s="14">
        <f>'CCaMC-AFOaMCpUC-pre-ret'!AW2</f>
        <v>44100</v>
      </c>
      <c r="AX2" s="14">
        <f>'CCaMC-AFOaMCpUC-pre-ret'!AX2</f>
        <v>44100</v>
      </c>
      <c r="AY2" s="14">
        <f>'CCaMC-AFOaMCpUC-pre-ret'!AY2</f>
        <v>44100</v>
      </c>
      <c r="AZ2" s="14">
        <f>'CCaMC-AFOaMCpUC-pre-ret'!AZ2</f>
        <v>44100</v>
      </c>
    </row>
    <row r="3" spans="1:52" ht="14.25" customHeight="1" x14ac:dyDescent="0.2">
      <c r="A3" s="11" t="s">
        <v>34</v>
      </c>
      <c r="B3" s="14">
        <f>'CCaMC-AFOaMCpUC-pre-ret'!B3</f>
        <v>41100</v>
      </c>
      <c r="C3" s="14">
        <f>'CCaMC-AFOaMCpUC-pre-ret'!C3</f>
        <v>41650</v>
      </c>
      <c r="D3" s="14">
        <f>'CCaMC-AFOaMCpUC-pre-ret'!D3</f>
        <v>42200</v>
      </c>
      <c r="E3" s="14">
        <f>'CCaMC-AFOaMCpUC-pre-ret'!E3</f>
        <v>42750</v>
      </c>
      <c r="F3" s="14">
        <f>'CCaMC-AFOaMCpUC-pre-ret'!F3</f>
        <v>42064.285714285717</v>
      </c>
      <c r="G3" s="14">
        <f>'CCaMC-AFOaMCpUC-pre-ret'!G3</f>
        <v>41378.571428571428</v>
      </c>
      <c r="H3" s="14">
        <f>'CCaMC-AFOaMCpUC-pre-ret'!H3</f>
        <v>40692.857142857145</v>
      </c>
      <c r="I3" s="14">
        <f>'CCaMC-AFOaMCpUC-pre-ret'!I3</f>
        <v>40007.142857142855</v>
      </c>
      <c r="J3" s="14">
        <f>'CCaMC-AFOaMCpUC-pre-ret'!J3</f>
        <v>39321.428571428572</v>
      </c>
      <c r="K3" s="14">
        <f>'CCaMC-AFOaMCpUC-pre-ret'!K3</f>
        <v>38635.71428571429</v>
      </c>
      <c r="L3" s="14">
        <f>'CCaMC-AFOaMCpUC-pre-ret'!L3</f>
        <v>37950</v>
      </c>
      <c r="M3" s="14">
        <f>'CCaMC-AFOaMCpUC-pre-ret'!M3</f>
        <v>37620</v>
      </c>
      <c r="N3" s="14">
        <f>'CCaMC-AFOaMCpUC-pre-ret'!N3</f>
        <v>37290</v>
      </c>
      <c r="O3" s="14">
        <f>'CCaMC-AFOaMCpUC-pre-ret'!O3</f>
        <v>36960</v>
      </c>
      <c r="P3" s="14">
        <f>'CCaMC-AFOaMCpUC-pre-ret'!P3</f>
        <v>36630</v>
      </c>
      <c r="Q3" s="14">
        <f>'CCaMC-AFOaMCpUC-pre-ret'!Q3</f>
        <v>36300</v>
      </c>
      <c r="R3" s="14">
        <f>'CCaMC-AFOaMCpUC-pre-ret'!R3</f>
        <v>35970</v>
      </c>
      <c r="S3" s="14">
        <f>'CCaMC-AFOaMCpUC-pre-ret'!S3</f>
        <v>35640</v>
      </c>
      <c r="T3" s="14">
        <f>'CCaMC-AFOaMCpUC-pre-ret'!T3</f>
        <v>35310</v>
      </c>
      <c r="U3" s="14">
        <f>'CCaMC-AFOaMCpUC-pre-ret'!U3</f>
        <v>34980</v>
      </c>
      <c r="V3" s="14">
        <f>'CCaMC-AFOaMCpUC-pre-ret'!V3</f>
        <v>34650</v>
      </c>
      <c r="W3" s="14">
        <f>'CCaMC-AFOaMCpUC-pre-ret'!W3</f>
        <v>34320</v>
      </c>
      <c r="X3" s="14">
        <f>'CCaMC-AFOaMCpUC-pre-ret'!X3</f>
        <v>33990</v>
      </c>
      <c r="Y3" s="14">
        <f>'CCaMC-AFOaMCpUC-pre-ret'!Y3</f>
        <v>33660</v>
      </c>
      <c r="Z3" s="14">
        <f>'CCaMC-AFOaMCpUC-pre-ret'!Z3</f>
        <v>33330</v>
      </c>
      <c r="AA3" s="14">
        <f>'CCaMC-AFOaMCpUC-pre-ret'!AA3</f>
        <v>33000</v>
      </c>
      <c r="AB3" s="14">
        <f>'CCaMC-AFOaMCpUC-pre-ret'!AB3</f>
        <v>32670</v>
      </c>
      <c r="AC3" s="14">
        <f>'CCaMC-AFOaMCpUC-pre-ret'!AC3</f>
        <v>32340</v>
      </c>
      <c r="AD3" s="14">
        <f>'CCaMC-AFOaMCpUC-pre-ret'!AD3</f>
        <v>32010</v>
      </c>
      <c r="AE3" s="14">
        <f>'CCaMC-AFOaMCpUC-pre-ret'!AE3</f>
        <v>31680</v>
      </c>
      <c r="AF3" s="14">
        <f>'CCaMC-AFOaMCpUC-pre-ret'!AF3</f>
        <v>31350</v>
      </c>
      <c r="AG3" s="14">
        <f>'CCaMC-AFOaMCpUC-pre-ret'!AG3</f>
        <v>31350</v>
      </c>
      <c r="AH3" s="14">
        <f>'CCaMC-AFOaMCpUC-pre-ret'!AH3</f>
        <v>31350</v>
      </c>
      <c r="AI3" s="14">
        <f>'CCaMC-AFOaMCpUC-pre-ret'!AI3</f>
        <v>31350</v>
      </c>
      <c r="AJ3" s="14">
        <f>'CCaMC-AFOaMCpUC-pre-ret'!AJ3</f>
        <v>31350</v>
      </c>
      <c r="AK3" s="14">
        <f>'CCaMC-AFOaMCpUC-pre-ret'!AK3</f>
        <v>31350</v>
      </c>
      <c r="AL3" s="14">
        <f>'CCaMC-AFOaMCpUC-pre-ret'!AL3</f>
        <v>31350</v>
      </c>
      <c r="AM3" s="14">
        <f>'CCaMC-AFOaMCpUC-pre-ret'!AM3</f>
        <v>31350</v>
      </c>
      <c r="AN3" s="14">
        <f>'CCaMC-AFOaMCpUC-pre-ret'!AN3</f>
        <v>31350</v>
      </c>
      <c r="AO3" s="14">
        <f>'CCaMC-AFOaMCpUC-pre-ret'!AO3</f>
        <v>31350</v>
      </c>
      <c r="AP3" s="14">
        <f>'CCaMC-AFOaMCpUC-pre-ret'!AP3</f>
        <v>31350</v>
      </c>
      <c r="AQ3" s="14">
        <f>'CCaMC-AFOaMCpUC-pre-ret'!AQ3</f>
        <v>31350</v>
      </c>
      <c r="AR3" s="14">
        <f>'CCaMC-AFOaMCpUC-pre-ret'!AR3</f>
        <v>31350</v>
      </c>
      <c r="AS3" s="14">
        <f>'CCaMC-AFOaMCpUC-pre-ret'!AS3</f>
        <v>31350</v>
      </c>
      <c r="AT3" s="14">
        <f>'CCaMC-AFOaMCpUC-pre-ret'!AT3</f>
        <v>31350</v>
      </c>
      <c r="AU3" s="14">
        <f>'CCaMC-AFOaMCpUC-pre-ret'!AU3</f>
        <v>31350</v>
      </c>
      <c r="AV3" s="14">
        <f>'CCaMC-AFOaMCpUC-pre-ret'!AV3</f>
        <v>31350</v>
      </c>
      <c r="AW3" s="14">
        <f>'CCaMC-AFOaMCpUC-pre-ret'!AW3</f>
        <v>31350</v>
      </c>
      <c r="AX3" s="14">
        <f>'CCaMC-AFOaMCpUC-pre-ret'!AX3</f>
        <v>31350</v>
      </c>
      <c r="AY3" s="14">
        <f>'CCaMC-AFOaMCpUC-pre-ret'!AY3</f>
        <v>31350</v>
      </c>
      <c r="AZ3" s="14">
        <f>'CCaMC-AFOaMCpUC-pre-ret'!AZ3</f>
        <v>31350</v>
      </c>
    </row>
    <row r="4" spans="1:52" ht="14.25" customHeight="1" x14ac:dyDescent="0.2">
      <c r="A4" s="11" t="s">
        <v>32</v>
      </c>
      <c r="B4" s="14">
        <f>'CCaMC-AFOaMCpUC-pre-ret'!B4</f>
        <v>125000</v>
      </c>
      <c r="C4" s="14">
        <f>'CCaMC-AFOaMCpUC-pre-ret'!C4</f>
        <v>130833.33333333333</v>
      </c>
      <c r="D4" s="14">
        <f>'CCaMC-AFOaMCpUC-pre-ret'!D4</f>
        <v>136666.66666666666</v>
      </c>
      <c r="E4" s="14">
        <f>'CCaMC-AFOaMCpUC-pre-ret'!E4</f>
        <v>142500</v>
      </c>
      <c r="F4" s="14">
        <f>'CCaMC-AFOaMCpUC-pre-ret'!F4</f>
        <v>142500</v>
      </c>
      <c r="G4" s="14">
        <f>'CCaMC-AFOaMCpUC-pre-ret'!G4</f>
        <v>142500</v>
      </c>
      <c r="H4" s="14">
        <f>'CCaMC-AFOaMCpUC-pre-ret'!H4</f>
        <v>142500</v>
      </c>
      <c r="I4" s="14">
        <f>'CCaMC-AFOaMCpUC-pre-ret'!I4</f>
        <v>142500</v>
      </c>
      <c r="J4" s="14">
        <f>'CCaMC-AFOaMCpUC-pre-ret'!J4</f>
        <v>142500</v>
      </c>
      <c r="K4" s="14">
        <f>'CCaMC-AFOaMCpUC-pre-ret'!K4</f>
        <v>142500</v>
      </c>
      <c r="L4" s="14">
        <f>'CCaMC-AFOaMCpUC-pre-ret'!L4</f>
        <v>142500</v>
      </c>
      <c r="M4" s="14">
        <f>'CCaMC-AFOaMCpUC-pre-ret'!M4</f>
        <v>142500</v>
      </c>
      <c r="N4" s="14">
        <f>'CCaMC-AFOaMCpUC-pre-ret'!N4</f>
        <v>142500</v>
      </c>
      <c r="O4" s="14">
        <f>'CCaMC-AFOaMCpUC-pre-ret'!O4</f>
        <v>142500</v>
      </c>
      <c r="P4" s="14">
        <f>'CCaMC-AFOaMCpUC-pre-ret'!P4</f>
        <v>142500</v>
      </c>
      <c r="Q4" s="14">
        <f>'CCaMC-AFOaMCpUC-pre-ret'!Q4</f>
        <v>142500</v>
      </c>
      <c r="R4" s="14">
        <f>'CCaMC-AFOaMCpUC-pre-ret'!R4</f>
        <v>142500</v>
      </c>
      <c r="S4" s="14">
        <f>'CCaMC-AFOaMCpUC-pre-ret'!S4</f>
        <v>142500</v>
      </c>
      <c r="T4" s="14">
        <f>'CCaMC-AFOaMCpUC-pre-ret'!T4</f>
        <v>142500</v>
      </c>
      <c r="U4" s="14">
        <f>'CCaMC-AFOaMCpUC-pre-ret'!U4</f>
        <v>142500</v>
      </c>
      <c r="V4" s="14">
        <f>'CCaMC-AFOaMCpUC-pre-ret'!V4</f>
        <v>142500</v>
      </c>
      <c r="W4" s="14">
        <f>'CCaMC-AFOaMCpUC-pre-ret'!W4</f>
        <v>142500</v>
      </c>
      <c r="X4" s="14">
        <f>'CCaMC-AFOaMCpUC-pre-ret'!X4</f>
        <v>142500</v>
      </c>
      <c r="Y4" s="14">
        <f>'CCaMC-AFOaMCpUC-pre-ret'!Y4</f>
        <v>142500</v>
      </c>
      <c r="Z4" s="14">
        <f>'CCaMC-AFOaMCpUC-pre-ret'!Z4</f>
        <v>142500</v>
      </c>
      <c r="AA4" s="14">
        <f>'CCaMC-AFOaMCpUC-pre-ret'!AA4</f>
        <v>142500</v>
      </c>
      <c r="AB4" s="14">
        <f>'CCaMC-AFOaMCpUC-pre-ret'!AB4</f>
        <v>142500</v>
      </c>
      <c r="AC4" s="14">
        <f>'CCaMC-AFOaMCpUC-pre-ret'!AC4</f>
        <v>142500</v>
      </c>
      <c r="AD4" s="14">
        <f>'CCaMC-AFOaMCpUC-pre-ret'!AD4</f>
        <v>142500</v>
      </c>
      <c r="AE4" s="14">
        <f>'CCaMC-AFOaMCpUC-pre-ret'!AE4</f>
        <v>142500</v>
      </c>
      <c r="AF4" s="14">
        <f>'CCaMC-AFOaMCpUC-pre-ret'!AF4</f>
        <v>142500</v>
      </c>
      <c r="AG4" s="14">
        <f>'CCaMC-AFOaMCpUC-pre-ret'!AG4</f>
        <v>142500</v>
      </c>
      <c r="AH4" s="14">
        <f>'CCaMC-AFOaMCpUC-pre-ret'!AH4</f>
        <v>142500</v>
      </c>
      <c r="AI4" s="14">
        <f>'CCaMC-AFOaMCpUC-pre-ret'!AI4</f>
        <v>142500</v>
      </c>
      <c r="AJ4" s="14">
        <f>'CCaMC-AFOaMCpUC-pre-ret'!AJ4</f>
        <v>142500</v>
      </c>
      <c r="AK4" s="14">
        <f>'CCaMC-AFOaMCpUC-pre-ret'!AK4</f>
        <v>142500</v>
      </c>
      <c r="AL4" s="14">
        <f>'CCaMC-AFOaMCpUC-pre-ret'!AL4</f>
        <v>142500</v>
      </c>
      <c r="AM4" s="14">
        <f>'CCaMC-AFOaMCpUC-pre-ret'!AM4</f>
        <v>142500</v>
      </c>
      <c r="AN4" s="14">
        <f>'CCaMC-AFOaMCpUC-pre-ret'!AN4</f>
        <v>142500</v>
      </c>
      <c r="AO4" s="14">
        <f>'CCaMC-AFOaMCpUC-pre-ret'!AO4</f>
        <v>142500</v>
      </c>
      <c r="AP4" s="14">
        <f>'CCaMC-AFOaMCpUC-pre-ret'!AP4</f>
        <v>142500</v>
      </c>
      <c r="AQ4" s="14">
        <f>'CCaMC-AFOaMCpUC-pre-ret'!AQ4</f>
        <v>142500</v>
      </c>
      <c r="AR4" s="14">
        <f>'CCaMC-AFOaMCpUC-pre-ret'!AR4</f>
        <v>142500</v>
      </c>
      <c r="AS4" s="14">
        <f>'CCaMC-AFOaMCpUC-pre-ret'!AS4</f>
        <v>142500</v>
      </c>
      <c r="AT4" s="14">
        <f>'CCaMC-AFOaMCpUC-pre-ret'!AT4</f>
        <v>142500</v>
      </c>
      <c r="AU4" s="14">
        <f>'CCaMC-AFOaMCpUC-pre-ret'!AU4</f>
        <v>142500</v>
      </c>
      <c r="AV4" s="14">
        <f>'CCaMC-AFOaMCpUC-pre-ret'!AV4</f>
        <v>142500</v>
      </c>
      <c r="AW4" s="14">
        <f>'CCaMC-AFOaMCpUC-pre-ret'!AW4</f>
        <v>142500</v>
      </c>
      <c r="AX4" s="14">
        <f>'CCaMC-AFOaMCpUC-pre-ret'!AX4</f>
        <v>142500</v>
      </c>
      <c r="AY4" s="14">
        <f>'CCaMC-AFOaMCpUC-pre-ret'!AY4</f>
        <v>142500</v>
      </c>
      <c r="AZ4" s="14">
        <f>'CCaMC-AFOaMCpUC-pre-ret'!AZ4</f>
        <v>142500</v>
      </c>
    </row>
    <row r="5" spans="1:52" ht="14.25" customHeight="1" x14ac:dyDescent="0.2">
      <c r="A5" s="11" t="s">
        <v>35</v>
      </c>
      <c r="B5" s="14">
        <f>'CCaMC-AFOaMCpUC-pre-ret'!B5</f>
        <v>37700</v>
      </c>
      <c r="C5" s="14">
        <f>'CCaMC-AFOaMCpUC-pre-ret'!C5</f>
        <v>39466.666666666664</v>
      </c>
      <c r="D5" s="14">
        <f>'CCaMC-AFOaMCpUC-pre-ret'!D5</f>
        <v>41233.333333333336</v>
      </c>
      <c r="E5" s="14">
        <f>'CCaMC-AFOaMCpUC-pre-ret'!E5</f>
        <v>43000</v>
      </c>
      <c r="F5" s="14">
        <f>'CCaMC-AFOaMCpUC-pre-ret'!F5</f>
        <v>42714.285714285717</v>
      </c>
      <c r="G5" s="14">
        <f>'CCaMC-AFOaMCpUC-pre-ret'!G5</f>
        <v>42428.571428571428</v>
      </c>
      <c r="H5" s="14">
        <f>'CCaMC-AFOaMCpUC-pre-ret'!H5</f>
        <v>42142.857142857145</v>
      </c>
      <c r="I5" s="14">
        <f>'CCaMC-AFOaMCpUC-pre-ret'!I5</f>
        <v>41857.142857142855</v>
      </c>
      <c r="J5" s="14">
        <f>'CCaMC-AFOaMCpUC-pre-ret'!J5</f>
        <v>41571.428571428572</v>
      </c>
      <c r="K5" s="14">
        <f>'CCaMC-AFOaMCpUC-pre-ret'!K5</f>
        <v>41285.714285714283</v>
      </c>
      <c r="L5" s="14">
        <f>'CCaMC-AFOaMCpUC-pre-ret'!L5</f>
        <v>41000</v>
      </c>
      <c r="M5" s="14">
        <f>'CCaMC-AFOaMCpUC-pre-ret'!M5</f>
        <v>40850</v>
      </c>
      <c r="N5" s="14">
        <f>'CCaMC-AFOaMCpUC-pre-ret'!N5</f>
        <v>40700</v>
      </c>
      <c r="O5" s="14">
        <f>'CCaMC-AFOaMCpUC-pre-ret'!O5</f>
        <v>40550</v>
      </c>
      <c r="P5" s="14">
        <f>'CCaMC-AFOaMCpUC-pre-ret'!P5</f>
        <v>40400</v>
      </c>
      <c r="Q5" s="14">
        <f>'CCaMC-AFOaMCpUC-pre-ret'!Q5</f>
        <v>40250</v>
      </c>
      <c r="R5" s="14">
        <f>'CCaMC-AFOaMCpUC-pre-ret'!R5</f>
        <v>40100</v>
      </c>
      <c r="S5" s="14">
        <f>'CCaMC-AFOaMCpUC-pre-ret'!S5</f>
        <v>39950</v>
      </c>
      <c r="T5" s="14">
        <f>'CCaMC-AFOaMCpUC-pre-ret'!T5</f>
        <v>39800</v>
      </c>
      <c r="U5" s="14">
        <f>'CCaMC-AFOaMCpUC-pre-ret'!U5</f>
        <v>39650</v>
      </c>
      <c r="V5" s="14">
        <f>'CCaMC-AFOaMCpUC-pre-ret'!V5</f>
        <v>39500</v>
      </c>
      <c r="W5" s="14">
        <f>'CCaMC-AFOaMCpUC-pre-ret'!W5</f>
        <v>39350</v>
      </c>
      <c r="X5" s="14">
        <f>'CCaMC-AFOaMCpUC-pre-ret'!X5</f>
        <v>39200</v>
      </c>
      <c r="Y5" s="14">
        <f>'CCaMC-AFOaMCpUC-pre-ret'!Y5</f>
        <v>39050</v>
      </c>
      <c r="Z5" s="14">
        <f>'CCaMC-AFOaMCpUC-pre-ret'!Z5</f>
        <v>38900</v>
      </c>
      <c r="AA5" s="14">
        <f>'CCaMC-AFOaMCpUC-pre-ret'!AA5</f>
        <v>38750</v>
      </c>
      <c r="AB5" s="14">
        <f>'CCaMC-AFOaMCpUC-pre-ret'!AB5</f>
        <v>38600</v>
      </c>
      <c r="AC5" s="14">
        <f>'CCaMC-AFOaMCpUC-pre-ret'!AC5</f>
        <v>38450</v>
      </c>
      <c r="AD5" s="14">
        <f>'CCaMC-AFOaMCpUC-pre-ret'!AD5</f>
        <v>38300</v>
      </c>
      <c r="AE5" s="14">
        <f>'CCaMC-AFOaMCpUC-pre-ret'!AE5</f>
        <v>38150</v>
      </c>
      <c r="AF5" s="14">
        <f>'CCaMC-AFOaMCpUC-pre-ret'!AF5</f>
        <v>38000</v>
      </c>
      <c r="AG5" s="14">
        <f>'CCaMC-AFOaMCpUC-pre-ret'!AG5</f>
        <v>38000</v>
      </c>
      <c r="AH5" s="14">
        <f>'CCaMC-AFOaMCpUC-pre-ret'!AH5</f>
        <v>38000</v>
      </c>
      <c r="AI5" s="14">
        <f>'CCaMC-AFOaMCpUC-pre-ret'!AI5</f>
        <v>38000</v>
      </c>
      <c r="AJ5" s="14">
        <f>'CCaMC-AFOaMCpUC-pre-ret'!AJ5</f>
        <v>38000</v>
      </c>
      <c r="AK5" s="14">
        <f>'CCaMC-AFOaMCpUC-pre-ret'!AK5</f>
        <v>38000</v>
      </c>
      <c r="AL5" s="14">
        <f>'CCaMC-AFOaMCpUC-pre-ret'!AL5</f>
        <v>38000</v>
      </c>
      <c r="AM5" s="14">
        <f>'CCaMC-AFOaMCpUC-pre-ret'!AM5</f>
        <v>38000</v>
      </c>
      <c r="AN5" s="14">
        <f>'CCaMC-AFOaMCpUC-pre-ret'!AN5</f>
        <v>38000</v>
      </c>
      <c r="AO5" s="14">
        <f>'CCaMC-AFOaMCpUC-pre-ret'!AO5</f>
        <v>38000</v>
      </c>
      <c r="AP5" s="14">
        <f>'CCaMC-AFOaMCpUC-pre-ret'!AP5</f>
        <v>38000</v>
      </c>
      <c r="AQ5" s="14">
        <f>'CCaMC-AFOaMCpUC-pre-ret'!AQ5</f>
        <v>38000</v>
      </c>
      <c r="AR5" s="14">
        <f>'CCaMC-AFOaMCpUC-pre-ret'!AR5</f>
        <v>38000</v>
      </c>
      <c r="AS5" s="14">
        <f>'CCaMC-AFOaMCpUC-pre-ret'!AS5</f>
        <v>38000</v>
      </c>
      <c r="AT5" s="14">
        <f>'CCaMC-AFOaMCpUC-pre-ret'!AT5</f>
        <v>38000</v>
      </c>
      <c r="AU5" s="14">
        <f>'CCaMC-AFOaMCpUC-pre-ret'!AU5</f>
        <v>38000</v>
      </c>
      <c r="AV5" s="14">
        <f>'CCaMC-AFOaMCpUC-pre-ret'!AV5</f>
        <v>38000</v>
      </c>
      <c r="AW5" s="14">
        <f>'CCaMC-AFOaMCpUC-pre-ret'!AW5</f>
        <v>38000</v>
      </c>
      <c r="AX5" s="14">
        <f>'CCaMC-AFOaMCpUC-pre-ret'!AX5</f>
        <v>38000</v>
      </c>
      <c r="AY5" s="14">
        <f>'CCaMC-AFOaMCpUC-pre-ret'!AY5</f>
        <v>38000</v>
      </c>
      <c r="AZ5" s="14">
        <f>'CCaMC-AFOaMCpUC-pre-ret'!AZ5</f>
        <v>38000</v>
      </c>
    </row>
    <row r="6" spans="1:52" ht="14.25" customHeight="1" x14ac:dyDescent="0.2">
      <c r="A6" s="11" t="s">
        <v>36</v>
      </c>
      <c r="B6" s="14">
        <f>'CCaMC-AFOaMCpUC-pre-ret'!B6</f>
        <v>60000</v>
      </c>
      <c r="C6" s="14">
        <f>'CCaMC-AFOaMCpUC-pre-ret'!C6</f>
        <v>53333.333333333336</v>
      </c>
      <c r="D6" s="14">
        <f>'CCaMC-AFOaMCpUC-pre-ret'!D6</f>
        <v>46666.666666666664</v>
      </c>
      <c r="E6" s="14">
        <f>'CCaMC-AFOaMCpUC-pre-ret'!E6</f>
        <v>40000</v>
      </c>
      <c r="F6" s="14">
        <f>'CCaMC-AFOaMCpUC-pre-ret'!F6</f>
        <v>39428.571428571428</v>
      </c>
      <c r="G6" s="14">
        <f>'CCaMC-AFOaMCpUC-pre-ret'!G6</f>
        <v>38857.142857142855</v>
      </c>
      <c r="H6" s="14">
        <f>'CCaMC-AFOaMCpUC-pre-ret'!H6</f>
        <v>38285.714285714283</v>
      </c>
      <c r="I6" s="14">
        <f>'CCaMC-AFOaMCpUC-pre-ret'!I6</f>
        <v>37714.285714285717</v>
      </c>
      <c r="J6" s="14">
        <f>'CCaMC-AFOaMCpUC-pre-ret'!J6</f>
        <v>37142.857142857145</v>
      </c>
      <c r="K6" s="14">
        <f>'CCaMC-AFOaMCpUC-pre-ret'!K6</f>
        <v>36571.428571428572</v>
      </c>
      <c r="L6" s="14">
        <f>'CCaMC-AFOaMCpUC-pre-ret'!L6</f>
        <v>36000</v>
      </c>
      <c r="M6" s="14">
        <f>'CCaMC-AFOaMCpUC-pre-ret'!M6</f>
        <v>35700</v>
      </c>
      <c r="N6" s="14">
        <f>'CCaMC-AFOaMCpUC-pre-ret'!N6</f>
        <v>35400</v>
      </c>
      <c r="O6" s="14">
        <f>'CCaMC-AFOaMCpUC-pre-ret'!O6</f>
        <v>35100</v>
      </c>
      <c r="P6" s="14">
        <f>'CCaMC-AFOaMCpUC-pre-ret'!P6</f>
        <v>34800</v>
      </c>
      <c r="Q6" s="14">
        <f>'CCaMC-AFOaMCpUC-pre-ret'!Q6</f>
        <v>34500</v>
      </c>
      <c r="R6" s="14">
        <f>'CCaMC-AFOaMCpUC-pre-ret'!R6</f>
        <v>34200</v>
      </c>
      <c r="S6" s="14">
        <f>'CCaMC-AFOaMCpUC-pre-ret'!S6</f>
        <v>33900</v>
      </c>
      <c r="T6" s="14">
        <f>'CCaMC-AFOaMCpUC-pre-ret'!T6</f>
        <v>33600</v>
      </c>
      <c r="U6" s="14">
        <f>'CCaMC-AFOaMCpUC-pre-ret'!U6</f>
        <v>33300</v>
      </c>
      <c r="V6" s="14">
        <f>'CCaMC-AFOaMCpUC-pre-ret'!V6</f>
        <v>33000</v>
      </c>
      <c r="W6" s="14">
        <f>'CCaMC-AFOaMCpUC-pre-ret'!W6</f>
        <v>32700</v>
      </c>
      <c r="X6" s="14">
        <f>'CCaMC-AFOaMCpUC-pre-ret'!X6</f>
        <v>32400</v>
      </c>
      <c r="Y6" s="14">
        <f>'CCaMC-AFOaMCpUC-pre-ret'!Y6</f>
        <v>32100</v>
      </c>
      <c r="Z6" s="14">
        <f>'CCaMC-AFOaMCpUC-pre-ret'!Z6</f>
        <v>31800</v>
      </c>
      <c r="AA6" s="14">
        <f>'CCaMC-AFOaMCpUC-pre-ret'!AA6</f>
        <v>31500</v>
      </c>
      <c r="AB6" s="14">
        <f>'CCaMC-AFOaMCpUC-pre-ret'!AB6</f>
        <v>31200</v>
      </c>
      <c r="AC6" s="14">
        <f>'CCaMC-AFOaMCpUC-pre-ret'!AC6</f>
        <v>30900</v>
      </c>
      <c r="AD6" s="14">
        <f>'CCaMC-AFOaMCpUC-pre-ret'!AD6</f>
        <v>30600</v>
      </c>
      <c r="AE6" s="14">
        <f>'CCaMC-AFOaMCpUC-pre-ret'!AE6</f>
        <v>30300</v>
      </c>
      <c r="AF6" s="14">
        <f>'CCaMC-AFOaMCpUC-pre-ret'!AF6</f>
        <v>30000</v>
      </c>
      <c r="AG6" s="14">
        <f>'CCaMC-AFOaMCpUC-pre-ret'!AG6</f>
        <v>30000</v>
      </c>
      <c r="AH6" s="14">
        <f>'CCaMC-AFOaMCpUC-pre-ret'!AH6</f>
        <v>30000</v>
      </c>
      <c r="AI6" s="14">
        <f>'CCaMC-AFOaMCpUC-pre-ret'!AI6</f>
        <v>30000</v>
      </c>
      <c r="AJ6" s="14">
        <f>'CCaMC-AFOaMCpUC-pre-ret'!AJ6</f>
        <v>30000</v>
      </c>
      <c r="AK6" s="14">
        <f>'CCaMC-AFOaMCpUC-pre-ret'!AK6</f>
        <v>30000</v>
      </c>
      <c r="AL6" s="14">
        <f>'CCaMC-AFOaMCpUC-pre-ret'!AL6</f>
        <v>30000</v>
      </c>
      <c r="AM6" s="14">
        <f>'CCaMC-AFOaMCpUC-pre-ret'!AM6</f>
        <v>30000</v>
      </c>
      <c r="AN6" s="14">
        <f>'CCaMC-AFOaMCpUC-pre-ret'!AN6</f>
        <v>30000</v>
      </c>
      <c r="AO6" s="14">
        <f>'CCaMC-AFOaMCpUC-pre-ret'!AO6</f>
        <v>30000</v>
      </c>
      <c r="AP6" s="14">
        <f>'CCaMC-AFOaMCpUC-pre-ret'!AP6</f>
        <v>30000</v>
      </c>
      <c r="AQ6" s="14">
        <f>'CCaMC-AFOaMCpUC-pre-ret'!AQ6</f>
        <v>30000</v>
      </c>
      <c r="AR6" s="14">
        <f>'CCaMC-AFOaMCpUC-pre-ret'!AR6</f>
        <v>30000</v>
      </c>
      <c r="AS6" s="14">
        <f>'CCaMC-AFOaMCpUC-pre-ret'!AS6</f>
        <v>30000</v>
      </c>
      <c r="AT6" s="14">
        <f>'CCaMC-AFOaMCpUC-pre-ret'!AT6</f>
        <v>30000</v>
      </c>
      <c r="AU6" s="14">
        <f>'CCaMC-AFOaMCpUC-pre-ret'!AU6</f>
        <v>30000</v>
      </c>
      <c r="AV6" s="14">
        <f>'CCaMC-AFOaMCpUC-pre-ret'!AV6</f>
        <v>30000</v>
      </c>
      <c r="AW6" s="14">
        <f>'CCaMC-AFOaMCpUC-pre-ret'!AW6</f>
        <v>30000</v>
      </c>
      <c r="AX6" s="14">
        <f>'CCaMC-AFOaMCpUC-pre-ret'!AX6</f>
        <v>30000</v>
      </c>
      <c r="AY6" s="14">
        <f>'CCaMC-AFOaMCpUC-pre-ret'!AY6</f>
        <v>30000</v>
      </c>
      <c r="AZ6" s="14">
        <f>'CCaMC-AFOaMCpUC-pre-ret'!AZ6</f>
        <v>30000</v>
      </c>
    </row>
    <row r="7" spans="1:52" ht="14.25" customHeight="1" x14ac:dyDescent="0.2">
      <c r="A7" s="11" t="s">
        <v>37</v>
      </c>
      <c r="B7" s="14">
        <f>'CCaMC-AFOaMCpUC-pre-ret'!B7</f>
        <v>15000</v>
      </c>
      <c r="C7" s="14">
        <f>'CCaMC-AFOaMCpUC-pre-ret'!C7</f>
        <v>12500</v>
      </c>
      <c r="D7" s="14">
        <f>'CCaMC-AFOaMCpUC-pre-ret'!D7</f>
        <v>10000</v>
      </c>
      <c r="E7" s="14">
        <f>'CCaMC-AFOaMCpUC-pre-ret'!E7</f>
        <v>7500</v>
      </c>
      <c r="F7" s="14">
        <f>'CCaMC-AFOaMCpUC-pre-ret'!F7</f>
        <v>7400</v>
      </c>
      <c r="G7" s="14">
        <f>'CCaMC-AFOaMCpUC-pre-ret'!G7</f>
        <v>7300</v>
      </c>
      <c r="H7" s="14">
        <f>'CCaMC-AFOaMCpUC-pre-ret'!H7</f>
        <v>7200</v>
      </c>
      <c r="I7" s="14">
        <f>'CCaMC-AFOaMCpUC-pre-ret'!I7</f>
        <v>7100</v>
      </c>
      <c r="J7" s="14">
        <f>'CCaMC-AFOaMCpUC-pre-ret'!J7</f>
        <v>7000</v>
      </c>
      <c r="K7" s="14">
        <f>'CCaMC-AFOaMCpUC-pre-ret'!K7</f>
        <v>6900</v>
      </c>
      <c r="L7" s="14">
        <f>'CCaMC-AFOaMCpUC-pre-ret'!L7</f>
        <v>6800</v>
      </c>
      <c r="M7" s="14">
        <f>'CCaMC-AFOaMCpUC-pre-ret'!M7</f>
        <v>6765</v>
      </c>
      <c r="N7" s="14">
        <f>'CCaMC-AFOaMCpUC-pre-ret'!N7</f>
        <v>6730</v>
      </c>
      <c r="O7" s="14">
        <f>'CCaMC-AFOaMCpUC-pre-ret'!O7</f>
        <v>6695</v>
      </c>
      <c r="P7" s="14">
        <f>'CCaMC-AFOaMCpUC-pre-ret'!P7</f>
        <v>6660</v>
      </c>
      <c r="Q7" s="14">
        <f>'CCaMC-AFOaMCpUC-pre-ret'!Q7</f>
        <v>6625</v>
      </c>
      <c r="R7" s="14">
        <f>'CCaMC-AFOaMCpUC-pre-ret'!R7</f>
        <v>6590</v>
      </c>
      <c r="S7" s="14">
        <f>'CCaMC-AFOaMCpUC-pre-ret'!S7</f>
        <v>6555</v>
      </c>
      <c r="T7" s="14">
        <f>'CCaMC-AFOaMCpUC-pre-ret'!T7</f>
        <v>6520</v>
      </c>
      <c r="U7" s="14">
        <f>'CCaMC-AFOaMCpUC-pre-ret'!U7</f>
        <v>6485</v>
      </c>
      <c r="V7" s="14">
        <f>'CCaMC-AFOaMCpUC-pre-ret'!V7</f>
        <v>6450</v>
      </c>
      <c r="W7" s="14">
        <f>'CCaMC-AFOaMCpUC-pre-ret'!W7</f>
        <v>6415</v>
      </c>
      <c r="X7" s="14">
        <f>'CCaMC-AFOaMCpUC-pre-ret'!X7</f>
        <v>6380</v>
      </c>
      <c r="Y7" s="14">
        <f>'CCaMC-AFOaMCpUC-pre-ret'!Y7</f>
        <v>6345</v>
      </c>
      <c r="Z7" s="14">
        <f>'CCaMC-AFOaMCpUC-pre-ret'!Z7</f>
        <v>6310</v>
      </c>
      <c r="AA7" s="14">
        <f>'CCaMC-AFOaMCpUC-pre-ret'!AA7</f>
        <v>6275</v>
      </c>
      <c r="AB7" s="14">
        <f>'CCaMC-AFOaMCpUC-pre-ret'!AB7</f>
        <v>6240</v>
      </c>
      <c r="AC7" s="14">
        <f>'CCaMC-AFOaMCpUC-pre-ret'!AC7</f>
        <v>6205</v>
      </c>
      <c r="AD7" s="14">
        <f>'CCaMC-AFOaMCpUC-pre-ret'!AD7</f>
        <v>6170</v>
      </c>
      <c r="AE7" s="14">
        <f>'CCaMC-AFOaMCpUC-pre-ret'!AE7</f>
        <v>6135</v>
      </c>
      <c r="AF7" s="14">
        <f>'CCaMC-AFOaMCpUC-pre-ret'!AF7</f>
        <v>6100</v>
      </c>
      <c r="AG7" s="14">
        <f>'CCaMC-AFOaMCpUC-pre-ret'!AG7</f>
        <v>6100</v>
      </c>
      <c r="AH7" s="14">
        <f>'CCaMC-AFOaMCpUC-pre-ret'!AH7</f>
        <v>6100</v>
      </c>
      <c r="AI7" s="14">
        <f>'CCaMC-AFOaMCpUC-pre-ret'!AI7</f>
        <v>6100</v>
      </c>
      <c r="AJ7" s="14">
        <f>'CCaMC-AFOaMCpUC-pre-ret'!AJ7</f>
        <v>6100</v>
      </c>
      <c r="AK7" s="14">
        <f>'CCaMC-AFOaMCpUC-pre-ret'!AK7</f>
        <v>6100</v>
      </c>
      <c r="AL7" s="14">
        <f>'CCaMC-AFOaMCpUC-pre-ret'!AL7</f>
        <v>6100</v>
      </c>
      <c r="AM7" s="14">
        <f>'CCaMC-AFOaMCpUC-pre-ret'!AM7</f>
        <v>6100</v>
      </c>
      <c r="AN7" s="14">
        <f>'CCaMC-AFOaMCpUC-pre-ret'!AN7</f>
        <v>6100</v>
      </c>
      <c r="AO7" s="14">
        <f>'CCaMC-AFOaMCpUC-pre-ret'!AO7</f>
        <v>6100</v>
      </c>
      <c r="AP7" s="14">
        <f>'CCaMC-AFOaMCpUC-pre-ret'!AP7</f>
        <v>6100</v>
      </c>
      <c r="AQ7" s="14">
        <f>'CCaMC-AFOaMCpUC-pre-ret'!AQ7</f>
        <v>6100</v>
      </c>
      <c r="AR7" s="14">
        <f>'CCaMC-AFOaMCpUC-pre-ret'!AR7</f>
        <v>6100</v>
      </c>
      <c r="AS7" s="14">
        <f>'CCaMC-AFOaMCpUC-pre-ret'!AS7</f>
        <v>6100</v>
      </c>
      <c r="AT7" s="14">
        <f>'CCaMC-AFOaMCpUC-pre-ret'!AT7</f>
        <v>6100</v>
      </c>
      <c r="AU7" s="14">
        <f>'CCaMC-AFOaMCpUC-pre-ret'!AU7</f>
        <v>6100</v>
      </c>
      <c r="AV7" s="14">
        <f>'CCaMC-AFOaMCpUC-pre-ret'!AV7</f>
        <v>6100</v>
      </c>
      <c r="AW7" s="14">
        <f>'CCaMC-AFOaMCpUC-pre-ret'!AW7</f>
        <v>6100</v>
      </c>
      <c r="AX7" s="14">
        <f>'CCaMC-AFOaMCpUC-pre-ret'!AX7</f>
        <v>6100</v>
      </c>
      <c r="AY7" s="14">
        <f>'CCaMC-AFOaMCpUC-pre-ret'!AY7</f>
        <v>6100</v>
      </c>
      <c r="AZ7" s="14">
        <f>'CCaMC-AFOaMCpUC-pre-ret'!AZ7</f>
        <v>6100</v>
      </c>
    </row>
    <row r="8" spans="1:52" ht="14.25" customHeight="1" x14ac:dyDescent="0.2">
      <c r="A8" s="11" t="s">
        <v>48</v>
      </c>
      <c r="B8" s="14">
        <f>'CCaMC-AFOaMCpUC-pre-ret'!B8</f>
        <v>15000</v>
      </c>
      <c r="C8" s="14">
        <f>'CCaMC-AFOaMCpUC-pre-ret'!C8</f>
        <v>12500</v>
      </c>
      <c r="D8" s="14">
        <f>'CCaMC-AFOaMCpUC-pre-ret'!D8</f>
        <v>10000</v>
      </c>
      <c r="E8" s="14">
        <f>'CCaMC-AFOaMCpUC-pre-ret'!E8</f>
        <v>7500</v>
      </c>
      <c r="F8" s="14">
        <f>'CCaMC-AFOaMCpUC-pre-ret'!F8</f>
        <v>7400</v>
      </c>
      <c r="G8" s="14">
        <f>'CCaMC-AFOaMCpUC-pre-ret'!G8</f>
        <v>7300</v>
      </c>
      <c r="H8" s="14">
        <f>'CCaMC-AFOaMCpUC-pre-ret'!H8</f>
        <v>7200</v>
      </c>
      <c r="I8" s="14">
        <f>'CCaMC-AFOaMCpUC-pre-ret'!I8</f>
        <v>7100</v>
      </c>
      <c r="J8" s="14">
        <f>'CCaMC-AFOaMCpUC-pre-ret'!J8</f>
        <v>7000</v>
      </c>
      <c r="K8" s="14">
        <f>'CCaMC-AFOaMCpUC-pre-ret'!K8</f>
        <v>6900</v>
      </c>
      <c r="L8" s="14">
        <f>'CCaMC-AFOaMCpUC-pre-ret'!L8</f>
        <v>6800</v>
      </c>
      <c r="M8" s="14">
        <f>'CCaMC-AFOaMCpUC-pre-ret'!M8</f>
        <v>6765</v>
      </c>
      <c r="N8" s="14">
        <f>'CCaMC-AFOaMCpUC-pre-ret'!N8</f>
        <v>6730</v>
      </c>
      <c r="O8" s="14">
        <f>'CCaMC-AFOaMCpUC-pre-ret'!O8</f>
        <v>6695</v>
      </c>
      <c r="P8" s="14">
        <f>'CCaMC-AFOaMCpUC-pre-ret'!P8</f>
        <v>6660</v>
      </c>
      <c r="Q8" s="14">
        <f>'CCaMC-AFOaMCpUC-pre-ret'!Q8</f>
        <v>6625</v>
      </c>
      <c r="R8" s="14">
        <f>'CCaMC-AFOaMCpUC-pre-ret'!R8</f>
        <v>6590</v>
      </c>
      <c r="S8" s="14">
        <f>'CCaMC-AFOaMCpUC-pre-ret'!S8</f>
        <v>6555</v>
      </c>
      <c r="T8" s="14">
        <f>'CCaMC-AFOaMCpUC-pre-ret'!T8</f>
        <v>6520</v>
      </c>
      <c r="U8" s="14">
        <f>'CCaMC-AFOaMCpUC-pre-ret'!U8</f>
        <v>6485</v>
      </c>
      <c r="V8" s="14">
        <f>'CCaMC-AFOaMCpUC-pre-ret'!V8</f>
        <v>6450</v>
      </c>
      <c r="W8" s="14">
        <f>'CCaMC-AFOaMCpUC-pre-ret'!W8</f>
        <v>6415</v>
      </c>
      <c r="X8" s="14">
        <f>'CCaMC-AFOaMCpUC-pre-ret'!X8</f>
        <v>6380</v>
      </c>
      <c r="Y8" s="14">
        <f>'CCaMC-AFOaMCpUC-pre-ret'!Y8</f>
        <v>6345</v>
      </c>
      <c r="Z8" s="14">
        <f>'CCaMC-AFOaMCpUC-pre-ret'!Z8</f>
        <v>6310</v>
      </c>
      <c r="AA8" s="14">
        <f>'CCaMC-AFOaMCpUC-pre-ret'!AA8</f>
        <v>6275</v>
      </c>
      <c r="AB8" s="14">
        <f>'CCaMC-AFOaMCpUC-pre-ret'!AB8</f>
        <v>6240</v>
      </c>
      <c r="AC8" s="14">
        <f>'CCaMC-AFOaMCpUC-pre-ret'!AC8</f>
        <v>6205</v>
      </c>
      <c r="AD8" s="14">
        <f>'CCaMC-AFOaMCpUC-pre-ret'!AD8</f>
        <v>6170</v>
      </c>
      <c r="AE8" s="14">
        <f>'CCaMC-AFOaMCpUC-pre-ret'!AE8</f>
        <v>6135</v>
      </c>
      <c r="AF8" s="14">
        <f>'CCaMC-AFOaMCpUC-pre-ret'!AF8</f>
        <v>6100</v>
      </c>
      <c r="AG8" s="14">
        <f>'CCaMC-AFOaMCpUC-pre-ret'!AG8</f>
        <v>6100</v>
      </c>
      <c r="AH8" s="14">
        <f>'CCaMC-AFOaMCpUC-pre-ret'!AH8</f>
        <v>6100</v>
      </c>
      <c r="AI8" s="14">
        <f>'CCaMC-AFOaMCpUC-pre-ret'!AI8</f>
        <v>6100</v>
      </c>
      <c r="AJ8" s="14">
        <f>'CCaMC-AFOaMCpUC-pre-ret'!AJ8</f>
        <v>6100</v>
      </c>
      <c r="AK8" s="14">
        <f>'CCaMC-AFOaMCpUC-pre-ret'!AK8</f>
        <v>6100</v>
      </c>
      <c r="AL8" s="14">
        <f>'CCaMC-AFOaMCpUC-pre-ret'!AL8</f>
        <v>6100</v>
      </c>
      <c r="AM8" s="14">
        <f>'CCaMC-AFOaMCpUC-pre-ret'!AM8</f>
        <v>6100</v>
      </c>
      <c r="AN8" s="14">
        <f>'CCaMC-AFOaMCpUC-pre-ret'!AN8</f>
        <v>6100</v>
      </c>
      <c r="AO8" s="14">
        <f>'CCaMC-AFOaMCpUC-pre-ret'!AO8</f>
        <v>6100</v>
      </c>
      <c r="AP8" s="14">
        <f>'CCaMC-AFOaMCpUC-pre-ret'!AP8</f>
        <v>6100</v>
      </c>
      <c r="AQ8" s="14">
        <f>'CCaMC-AFOaMCpUC-pre-ret'!AQ8</f>
        <v>6100</v>
      </c>
      <c r="AR8" s="14">
        <f>'CCaMC-AFOaMCpUC-pre-ret'!AR8</f>
        <v>6100</v>
      </c>
      <c r="AS8" s="14">
        <f>'CCaMC-AFOaMCpUC-pre-ret'!AS8</f>
        <v>6100</v>
      </c>
      <c r="AT8" s="14">
        <f>'CCaMC-AFOaMCpUC-pre-ret'!AT8</f>
        <v>6100</v>
      </c>
      <c r="AU8" s="14">
        <f>'CCaMC-AFOaMCpUC-pre-ret'!AU8</f>
        <v>6100</v>
      </c>
      <c r="AV8" s="14">
        <f>'CCaMC-AFOaMCpUC-pre-ret'!AV8</f>
        <v>6100</v>
      </c>
      <c r="AW8" s="14">
        <f>'CCaMC-AFOaMCpUC-pre-ret'!AW8</f>
        <v>6100</v>
      </c>
      <c r="AX8" s="14">
        <f>'CCaMC-AFOaMCpUC-pre-ret'!AX8</f>
        <v>6100</v>
      </c>
      <c r="AY8" s="14">
        <f>'CCaMC-AFOaMCpUC-pre-ret'!AY8</f>
        <v>6100</v>
      </c>
      <c r="AZ8" s="14">
        <f>'CCaMC-AFOaMCpUC-pre-ret'!AZ8</f>
        <v>6100</v>
      </c>
    </row>
    <row r="9" spans="1:52" ht="14.25" customHeight="1" x14ac:dyDescent="0.2">
      <c r="A9" s="11" t="s">
        <v>38</v>
      </c>
      <c r="B9" s="14">
        <f>'CCaMC-AFOaMCpUC-pre-ret'!B9</f>
        <v>47600</v>
      </c>
      <c r="C9" s="14">
        <f>'CCaMC-AFOaMCpUC-pre-ret'!C9</f>
        <v>49733.333333333336</v>
      </c>
      <c r="D9" s="14">
        <f>'CCaMC-AFOaMCpUC-pre-ret'!D9</f>
        <v>51866.666666666664</v>
      </c>
      <c r="E9" s="14">
        <f>'CCaMC-AFOaMCpUC-pre-ret'!E9</f>
        <v>54000</v>
      </c>
      <c r="F9" s="14">
        <f>'CCaMC-AFOaMCpUC-pre-ret'!F9</f>
        <v>53385.714285714283</v>
      </c>
      <c r="G9" s="14">
        <f>'CCaMC-AFOaMCpUC-pre-ret'!G9</f>
        <v>52771.428571428572</v>
      </c>
      <c r="H9" s="14">
        <f>'CCaMC-AFOaMCpUC-pre-ret'!H9</f>
        <v>52157.142857142855</v>
      </c>
      <c r="I9" s="14">
        <f>'CCaMC-AFOaMCpUC-pre-ret'!I9</f>
        <v>51542.857142857145</v>
      </c>
      <c r="J9" s="14">
        <f>'CCaMC-AFOaMCpUC-pre-ret'!J9</f>
        <v>50928.571428571428</v>
      </c>
      <c r="K9" s="14">
        <f>'CCaMC-AFOaMCpUC-pre-ret'!K9</f>
        <v>50314.28571428571</v>
      </c>
      <c r="L9" s="14">
        <f>'CCaMC-AFOaMCpUC-pre-ret'!L9</f>
        <v>49700</v>
      </c>
      <c r="M9" s="14">
        <f>'CCaMC-AFOaMCpUC-pre-ret'!M9</f>
        <v>49375</v>
      </c>
      <c r="N9" s="14">
        <f>'CCaMC-AFOaMCpUC-pre-ret'!N9</f>
        <v>49050</v>
      </c>
      <c r="O9" s="14">
        <f>'CCaMC-AFOaMCpUC-pre-ret'!O9</f>
        <v>48725</v>
      </c>
      <c r="P9" s="14">
        <f>'CCaMC-AFOaMCpUC-pre-ret'!P9</f>
        <v>48400</v>
      </c>
      <c r="Q9" s="14">
        <f>'CCaMC-AFOaMCpUC-pre-ret'!Q9</f>
        <v>48075</v>
      </c>
      <c r="R9" s="14">
        <f>'CCaMC-AFOaMCpUC-pre-ret'!R9</f>
        <v>47750</v>
      </c>
      <c r="S9" s="14">
        <f>'CCaMC-AFOaMCpUC-pre-ret'!S9</f>
        <v>47425</v>
      </c>
      <c r="T9" s="14">
        <f>'CCaMC-AFOaMCpUC-pre-ret'!T9</f>
        <v>47100</v>
      </c>
      <c r="U9" s="14">
        <f>'CCaMC-AFOaMCpUC-pre-ret'!U9</f>
        <v>46775</v>
      </c>
      <c r="V9" s="14">
        <f>'CCaMC-AFOaMCpUC-pre-ret'!V9</f>
        <v>46450</v>
      </c>
      <c r="W9" s="14">
        <f>'CCaMC-AFOaMCpUC-pre-ret'!W9</f>
        <v>46125</v>
      </c>
      <c r="X9" s="14">
        <f>'CCaMC-AFOaMCpUC-pre-ret'!X9</f>
        <v>45800</v>
      </c>
      <c r="Y9" s="14">
        <f>'CCaMC-AFOaMCpUC-pre-ret'!Y9</f>
        <v>45475</v>
      </c>
      <c r="Z9" s="14">
        <f>'CCaMC-AFOaMCpUC-pre-ret'!Z9</f>
        <v>45150</v>
      </c>
      <c r="AA9" s="14">
        <f>'CCaMC-AFOaMCpUC-pre-ret'!AA9</f>
        <v>44825</v>
      </c>
      <c r="AB9" s="14">
        <f>'CCaMC-AFOaMCpUC-pre-ret'!AB9</f>
        <v>44500</v>
      </c>
      <c r="AC9" s="14">
        <f>'CCaMC-AFOaMCpUC-pre-ret'!AC9</f>
        <v>44175</v>
      </c>
      <c r="AD9" s="14">
        <f>'CCaMC-AFOaMCpUC-pre-ret'!AD9</f>
        <v>43850</v>
      </c>
      <c r="AE9" s="14">
        <f>'CCaMC-AFOaMCpUC-pre-ret'!AE9</f>
        <v>43525</v>
      </c>
      <c r="AF9" s="14">
        <f>'CCaMC-AFOaMCpUC-pre-ret'!AF9</f>
        <v>43200</v>
      </c>
      <c r="AG9" s="14">
        <f>'CCaMC-AFOaMCpUC-pre-ret'!AG9</f>
        <v>43200</v>
      </c>
      <c r="AH9" s="14">
        <f>'CCaMC-AFOaMCpUC-pre-ret'!AH9</f>
        <v>43200</v>
      </c>
      <c r="AI9" s="14">
        <f>'CCaMC-AFOaMCpUC-pre-ret'!AI9</f>
        <v>43200</v>
      </c>
      <c r="AJ9" s="14">
        <f>'CCaMC-AFOaMCpUC-pre-ret'!AJ9</f>
        <v>43200</v>
      </c>
      <c r="AK9" s="14">
        <f>'CCaMC-AFOaMCpUC-pre-ret'!AK9</f>
        <v>43200</v>
      </c>
      <c r="AL9" s="14">
        <f>'CCaMC-AFOaMCpUC-pre-ret'!AL9</f>
        <v>43200</v>
      </c>
      <c r="AM9" s="14">
        <f>'CCaMC-AFOaMCpUC-pre-ret'!AM9</f>
        <v>43200</v>
      </c>
      <c r="AN9" s="14">
        <f>'CCaMC-AFOaMCpUC-pre-ret'!AN9</f>
        <v>43200</v>
      </c>
      <c r="AO9" s="14">
        <f>'CCaMC-AFOaMCpUC-pre-ret'!AO9</f>
        <v>43200</v>
      </c>
      <c r="AP9" s="14">
        <f>'CCaMC-AFOaMCpUC-pre-ret'!AP9</f>
        <v>43200</v>
      </c>
      <c r="AQ9" s="14">
        <f>'CCaMC-AFOaMCpUC-pre-ret'!AQ9</f>
        <v>43200</v>
      </c>
      <c r="AR9" s="14">
        <f>'CCaMC-AFOaMCpUC-pre-ret'!AR9</f>
        <v>43200</v>
      </c>
      <c r="AS9" s="14">
        <f>'CCaMC-AFOaMCpUC-pre-ret'!AS9</f>
        <v>43200</v>
      </c>
      <c r="AT9" s="14">
        <f>'CCaMC-AFOaMCpUC-pre-ret'!AT9</f>
        <v>43200</v>
      </c>
      <c r="AU9" s="14">
        <f>'CCaMC-AFOaMCpUC-pre-ret'!AU9</f>
        <v>43200</v>
      </c>
      <c r="AV9" s="14">
        <f>'CCaMC-AFOaMCpUC-pre-ret'!AV9</f>
        <v>43200</v>
      </c>
      <c r="AW9" s="14">
        <f>'CCaMC-AFOaMCpUC-pre-ret'!AW9</f>
        <v>43200</v>
      </c>
      <c r="AX9" s="14">
        <f>'CCaMC-AFOaMCpUC-pre-ret'!AX9</f>
        <v>43200</v>
      </c>
      <c r="AY9" s="14">
        <f>'CCaMC-AFOaMCpUC-pre-ret'!AY9</f>
        <v>43200</v>
      </c>
      <c r="AZ9" s="14">
        <f>'CCaMC-AFOaMCpUC-pre-ret'!AZ9</f>
        <v>43200</v>
      </c>
    </row>
    <row r="10" spans="1:52" ht="14.25" customHeight="1" x14ac:dyDescent="0.2">
      <c r="A10" s="11" t="s">
        <v>39</v>
      </c>
      <c r="B10" s="14">
        <f>'CCaMC-AFOaMCpUC-pre-ret'!B10</f>
        <v>18000</v>
      </c>
      <c r="C10" s="14">
        <f>'CCaMC-AFOaMCpUC-pre-ret'!C10</f>
        <v>48666.666666666672</v>
      </c>
      <c r="D10" s="14">
        <f>'CCaMC-AFOaMCpUC-pre-ret'!D10</f>
        <v>79333.333333333343</v>
      </c>
      <c r="E10" s="14">
        <f>'CCaMC-AFOaMCpUC-pre-ret'!E10</f>
        <v>110000</v>
      </c>
      <c r="F10" s="14">
        <f>'CCaMC-AFOaMCpUC-pre-ret'!F10</f>
        <v>110000</v>
      </c>
      <c r="G10" s="14">
        <f>'CCaMC-AFOaMCpUC-pre-ret'!G10</f>
        <v>110000</v>
      </c>
      <c r="H10" s="14">
        <f>'CCaMC-AFOaMCpUC-pre-ret'!H10</f>
        <v>110000</v>
      </c>
      <c r="I10" s="14">
        <f>'CCaMC-AFOaMCpUC-pre-ret'!I10</f>
        <v>110000</v>
      </c>
      <c r="J10" s="14">
        <f>'CCaMC-AFOaMCpUC-pre-ret'!J10</f>
        <v>110000</v>
      </c>
      <c r="K10" s="14">
        <f>'CCaMC-AFOaMCpUC-pre-ret'!K10</f>
        <v>110000</v>
      </c>
      <c r="L10" s="14">
        <f>'CCaMC-AFOaMCpUC-pre-ret'!L10</f>
        <v>110000</v>
      </c>
      <c r="M10" s="14">
        <f>'CCaMC-AFOaMCpUC-pre-ret'!M10</f>
        <v>109450</v>
      </c>
      <c r="N10" s="14">
        <f>'CCaMC-AFOaMCpUC-pre-ret'!N10</f>
        <v>108900</v>
      </c>
      <c r="O10" s="14">
        <f>'CCaMC-AFOaMCpUC-pre-ret'!O10</f>
        <v>108350</v>
      </c>
      <c r="P10" s="14">
        <f>'CCaMC-AFOaMCpUC-pre-ret'!P10</f>
        <v>107800</v>
      </c>
      <c r="Q10" s="14">
        <f>'CCaMC-AFOaMCpUC-pre-ret'!Q10</f>
        <v>107250</v>
      </c>
      <c r="R10" s="14">
        <f>'CCaMC-AFOaMCpUC-pre-ret'!R10</f>
        <v>106700</v>
      </c>
      <c r="S10" s="14">
        <f>'CCaMC-AFOaMCpUC-pre-ret'!S10</f>
        <v>106150</v>
      </c>
      <c r="T10" s="14">
        <f>'CCaMC-AFOaMCpUC-pre-ret'!T10</f>
        <v>105600</v>
      </c>
      <c r="U10" s="14">
        <f>'CCaMC-AFOaMCpUC-pre-ret'!U10</f>
        <v>105050</v>
      </c>
      <c r="V10" s="14">
        <f>'CCaMC-AFOaMCpUC-pre-ret'!V10</f>
        <v>104500</v>
      </c>
      <c r="W10" s="14">
        <f>'CCaMC-AFOaMCpUC-pre-ret'!W10</f>
        <v>103950</v>
      </c>
      <c r="X10" s="14">
        <f>'CCaMC-AFOaMCpUC-pre-ret'!X10</f>
        <v>103400</v>
      </c>
      <c r="Y10" s="14">
        <f>'CCaMC-AFOaMCpUC-pre-ret'!Y10</f>
        <v>102850</v>
      </c>
      <c r="Z10" s="14">
        <f>'CCaMC-AFOaMCpUC-pre-ret'!Z10</f>
        <v>102300</v>
      </c>
      <c r="AA10" s="14">
        <f>'CCaMC-AFOaMCpUC-pre-ret'!AA10</f>
        <v>101750</v>
      </c>
      <c r="AB10" s="14">
        <f>'CCaMC-AFOaMCpUC-pre-ret'!AB10</f>
        <v>101200</v>
      </c>
      <c r="AC10" s="14">
        <f>'CCaMC-AFOaMCpUC-pre-ret'!AC10</f>
        <v>100650</v>
      </c>
      <c r="AD10" s="14">
        <f>'CCaMC-AFOaMCpUC-pre-ret'!AD10</f>
        <v>100100</v>
      </c>
      <c r="AE10" s="14">
        <f>'CCaMC-AFOaMCpUC-pre-ret'!AE10</f>
        <v>99550</v>
      </c>
      <c r="AF10" s="14">
        <f>'CCaMC-AFOaMCpUC-pre-ret'!AF10</f>
        <v>99000</v>
      </c>
      <c r="AG10" s="14">
        <f>'CCaMC-AFOaMCpUC-pre-ret'!AG10</f>
        <v>99000</v>
      </c>
      <c r="AH10" s="14">
        <f>'CCaMC-AFOaMCpUC-pre-ret'!AH10</f>
        <v>99000</v>
      </c>
      <c r="AI10" s="14">
        <f>'CCaMC-AFOaMCpUC-pre-ret'!AI10</f>
        <v>99000</v>
      </c>
      <c r="AJ10" s="14">
        <f>'CCaMC-AFOaMCpUC-pre-ret'!AJ10</f>
        <v>99000</v>
      </c>
      <c r="AK10" s="14">
        <f>'CCaMC-AFOaMCpUC-pre-ret'!AK10</f>
        <v>99000</v>
      </c>
      <c r="AL10" s="14">
        <f>'CCaMC-AFOaMCpUC-pre-ret'!AL10</f>
        <v>99000</v>
      </c>
      <c r="AM10" s="14">
        <f>'CCaMC-AFOaMCpUC-pre-ret'!AM10</f>
        <v>99000</v>
      </c>
      <c r="AN10" s="14">
        <f>'CCaMC-AFOaMCpUC-pre-ret'!AN10</f>
        <v>99000</v>
      </c>
      <c r="AO10" s="14">
        <f>'CCaMC-AFOaMCpUC-pre-ret'!AO10</f>
        <v>99000</v>
      </c>
      <c r="AP10" s="14">
        <f>'CCaMC-AFOaMCpUC-pre-ret'!AP10</f>
        <v>99000</v>
      </c>
      <c r="AQ10" s="14">
        <f>'CCaMC-AFOaMCpUC-pre-ret'!AQ10</f>
        <v>99000</v>
      </c>
      <c r="AR10" s="14">
        <f>'CCaMC-AFOaMCpUC-pre-ret'!AR10</f>
        <v>99000</v>
      </c>
      <c r="AS10" s="14">
        <f>'CCaMC-AFOaMCpUC-pre-ret'!AS10</f>
        <v>99000</v>
      </c>
      <c r="AT10" s="14">
        <f>'CCaMC-AFOaMCpUC-pre-ret'!AT10</f>
        <v>99000</v>
      </c>
      <c r="AU10" s="14">
        <f>'CCaMC-AFOaMCpUC-pre-ret'!AU10</f>
        <v>99000</v>
      </c>
      <c r="AV10" s="14">
        <f>'CCaMC-AFOaMCpUC-pre-ret'!AV10</f>
        <v>99000</v>
      </c>
      <c r="AW10" s="14">
        <f>'CCaMC-AFOaMCpUC-pre-ret'!AW10</f>
        <v>99000</v>
      </c>
      <c r="AX10" s="14">
        <f>'CCaMC-AFOaMCpUC-pre-ret'!AX10</f>
        <v>99000</v>
      </c>
      <c r="AY10" s="14">
        <f>'CCaMC-AFOaMCpUC-pre-ret'!AY10</f>
        <v>99000</v>
      </c>
      <c r="AZ10" s="14">
        <f>'CCaMC-AFOaMCpUC-pre-ret'!AZ10</f>
        <v>99000</v>
      </c>
    </row>
    <row r="11" spans="1:52" ht="14.25" customHeight="1" x14ac:dyDescent="0.2">
      <c r="A11" s="11" t="s">
        <v>40</v>
      </c>
      <c r="B11" s="14">
        <f>'CCaMC-AFOaMCpUC-pre-ret'!B11</f>
        <v>8000</v>
      </c>
      <c r="C11" s="14">
        <f>'CCaMC-AFOaMCpUC-pre-ret'!C11</f>
        <v>8373.3333333333339</v>
      </c>
      <c r="D11" s="14">
        <f>'CCaMC-AFOaMCpUC-pre-ret'!D11</f>
        <v>8746.6666666666661</v>
      </c>
      <c r="E11" s="14">
        <f>'CCaMC-AFOaMCpUC-pre-ret'!E11</f>
        <v>9120</v>
      </c>
      <c r="F11" s="14">
        <f>'CCaMC-AFOaMCpUC-pre-ret'!F11</f>
        <v>9120</v>
      </c>
      <c r="G11" s="14">
        <f>'CCaMC-AFOaMCpUC-pre-ret'!G11</f>
        <v>9120</v>
      </c>
      <c r="H11" s="14">
        <f>'CCaMC-AFOaMCpUC-pre-ret'!H11</f>
        <v>9120</v>
      </c>
      <c r="I11" s="14">
        <f>'CCaMC-AFOaMCpUC-pre-ret'!I11</f>
        <v>9120</v>
      </c>
      <c r="J11" s="14">
        <f>'CCaMC-AFOaMCpUC-pre-ret'!J11</f>
        <v>9120</v>
      </c>
      <c r="K11" s="14">
        <f>'CCaMC-AFOaMCpUC-pre-ret'!K11</f>
        <v>9120</v>
      </c>
      <c r="L11" s="14">
        <f>'CCaMC-AFOaMCpUC-pre-ret'!L11</f>
        <v>9120</v>
      </c>
      <c r="M11" s="14">
        <f>'CCaMC-AFOaMCpUC-pre-ret'!M11</f>
        <v>9106.35</v>
      </c>
      <c r="N11" s="14">
        <f>'CCaMC-AFOaMCpUC-pre-ret'!N11</f>
        <v>9092.7000000000007</v>
      </c>
      <c r="O11" s="14">
        <f>'CCaMC-AFOaMCpUC-pre-ret'!O11</f>
        <v>9079.0499999999993</v>
      </c>
      <c r="P11" s="14">
        <f>'CCaMC-AFOaMCpUC-pre-ret'!P11</f>
        <v>9065.4</v>
      </c>
      <c r="Q11" s="14">
        <f>'CCaMC-AFOaMCpUC-pre-ret'!Q11</f>
        <v>9051.75</v>
      </c>
      <c r="R11" s="14">
        <f>'CCaMC-AFOaMCpUC-pre-ret'!R11</f>
        <v>9038.1</v>
      </c>
      <c r="S11" s="14">
        <f>'CCaMC-AFOaMCpUC-pre-ret'!S11</f>
        <v>9024.4500000000007</v>
      </c>
      <c r="T11" s="14">
        <f>'CCaMC-AFOaMCpUC-pre-ret'!T11</f>
        <v>9010.7999999999993</v>
      </c>
      <c r="U11" s="14">
        <f>'CCaMC-AFOaMCpUC-pre-ret'!U11</f>
        <v>8997.15</v>
      </c>
      <c r="V11" s="14">
        <f>'CCaMC-AFOaMCpUC-pre-ret'!V11</f>
        <v>8983.5</v>
      </c>
      <c r="W11" s="14">
        <f>'CCaMC-AFOaMCpUC-pre-ret'!W11</f>
        <v>8969.85</v>
      </c>
      <c r="X11" s="14">
        <f>'CCaMC-AFOaMCpUC-pre-ret'!X11</f>
        <v>8956.2000000000007</v>
      </c>
      <c r="Y11" s="14">
        <f>'CCaMC-AFOaMCpUC-pre-ret'!Y11</f>
        <v>8942.5499999999993</v>
      </c>
      <c r="Z11" s="14">
        <f>'CCaMC-AFOaMCpUC-pre-ret'!Z11</f>
        <v>8928.9</v>
      </c>
      <c r="AA11" s="14">
        <f>'CCaMC-AFOaMCpUC-pre-ret'!AA11</f>
        <v>8915.25</v>
      </c>
      <c r="AB11" s="14">
        <f>'CCaMC-AFOaMCpUC-pre-ret'!AB11</f>
        <v>8901.6</v>
      </c>
      <c r="AC11" s="14">
        <f>'CCaMC-AFOaMCpUC-pre-ret'!AC11</f>
        <v>8887.9500000000007</v>
      </c>
      <c r="AD11" s="14">
        <f>'CCaMC-AFOaMCpUC-pre-ret'!AD11</f>
        <v>8874.2999999999993</v>
      </c>
      <c r="AE11" s="14">
        <f>'CCaMC-AFOaMCpUC-pre-ret'!AE11</f>
        <v>8860.65</v>
      </c>
      <c r="AF11" s="14">
        <f>'CCaMC-AFOaMCpUC-pre-ret'!AF11</f>
        <v>8847</v>
      </c>
      <c r="AG11" s="14">
        <f>'CCaMC-AFOaMCpUC-pre-ret'!AG11</f>
        <v>8847</v>
      </c>
      <c r="AH11" s="14">
        <f>'CCaMC-AFOaMCpUC-pre-ret'!AH11</f>
        <v>8847</v>
      </c>
      <c r="AI11" s="14">
        <f>'CCaMC-AFOaMCpUC-pre-ret'!AI11</f>
        <v>8847</v>
      </c>
      <c r="AJ11" s="14">
        <f>'CCaMC-AFOaMCpUC-pre-ret'!AJ11</f>
        <v>8847</v>
      </c>
      <c r="AK11" s="14">
        <f>'CCaMC-AFOaMCpUC-pre-ret'!AK11</f>
        <v>8847</v>
      </c>
      <c r="AL11" s="14">
        <f>'CCaMC-AFOaMCpUC-pre-ret'!AL11</f>
        <v>8847</v>
      </c>
      <c r="AM11" s="14">
        <f>'CCaMC-AFOaMCpUC-pre-ret'!AM11</f>
        <v>8847</v>
      </c>
      <c r="AN11" s="14">
        <f>'CCaMC-AFOaMCpUC-pre-ret'!AN11</f>
        <v>8847</v>
      </c>
      <c r="AO11" s="14">
        <f>'CCaMC-AFOaMCpUC-pre-ret'!AO11</f>
        <v>8847</v>
      </c>
      <c r="AP11" s="14">
        <f>'CCaMC-AFOaMCpUC-pre-ret'!AP11</f>
        <v>8847</v>
      </c>
      <c r="AQ11" s="14">
        <f>'CCaMC-AFOaMCpUC-pre-ret'!AQ11</f>
        <v>8847</v>
      </c>
      <c r="AR11" s="14">
        <f>'CCaMC-AFOaMCpUC-pre-ret'!AR11</f>
        <v>8847</v>
      </c>
      <c r="AS11" s="14">
        <f>'CCaMC-AFOaMCpUC-pre-ret'!AS11</f>
        <v>8847</v>
      </c>
      <c r="AT11" s="14">
        <f>'CCaMC-AFOaMCpUC-pre-ret'!AT11</f>
        <v>8847</v>
      </c>
      <c r="AU11" s="14">
        <f>'CCaMC-AFOaMCpUC-pre-ret'!AU11</f>
        <v>8847</v>
      </c>
      <c r="AV11" s="14">
        <f>'CCaMC-AFOaMCpUC-pre-ret'!AV11</f>
        <v>8847</v>
      </c>
      <c r="AW11" s="14">
        <f>'CCaMC-AFOaMCpUC-pre-ret'!AW11</f>
        <v>8847</v>
      </c>
      <c r="AX11" s="14">
        <f>'CCaMC-AFOaMCpUC-pre-ret'!AX11</f>
        <v>8847</v>
      </c>
      <c r="AY11" s="14">
        <f>'CCaMC-AFOaMCpUC-pre-ret'!AY11</f>
        <v>8847</v>
      </c>
      <c r="AZ11" s="14">
        <f>'CCaMC-AFOaMCpUC-pre-ret'!AZ11</f>
        <v>8847</v>
      </c>
    </row>
    <row r="12" spans="1:52" ht="14.25" customHeight="1" x14ac:dyDescent="0.2">
      <c r="A12" s="11" t="s">
        <v>41</v>
      </c>
      <c r="B12" s="14">
        <f>'CCaMC-AFOaMCpUC-pre-ret'!B12</f>
        <v>43200</v>
      </c>
      <c r="C12" s="14">
        <f>'CCaMC-AFOaMCpUC-pre-ret'!C12</f>
        <v>44400</v>
      </c>
      <c r="D12" s="14">
        <f>'CCaMC-AFOaMCpUC-pre-ret'!D12</f>
        <v>45600</v>
      </c>
      <c r="E12" s="14">
        <f>'CCaMC-AFOaMCpUC-pre-ret'!E12</f>
        <v>46800</v>
      </c>
      <c r="F12" s="14">
        <f>'CCaMC-AFOaMCpUC-pre-ret'!F12</f>
        <v>45257.142857142855</v>
      </c>
      <c r="G12" s="14">
        <f>'CCaMC-AFOaMCpUC-pre-ret'!G12</f>
        <v>43714.285714285717</v>
      </c>
      <c r="H12" s="14">
        <f>'CCaMC-AFOaMCpUC-pre-ret'!H12</f>
        <v>42171.428571428572</v>
      </c>
      <c r="I12" s="14">
        <f>'CCaMC-AFOaMCpUC-pre-ret'!I12</f>
        <v>40628.571428571428</v>
      </c>
      <c r="J12" s="14">
        <f>'CCaMC-AFOaMCpUC-pre-ret'!J12</f>
        <v>39085.714285714283</v>
      </c>
      <c r="K12" s="14">
        <f>'CCaMC-AFOaMCpUC-pre-ret'!K12</f>
        <v>37542.857142857145</v>
      </c>
      <c r="L12" s="14">
        <f>'CCaMC-AFOaMCpUC-pre-ret'!L12</f>
        <v>36000</v>
      </c>
      <c r="M12" s="14">
        <f>'CCaMC-AFOaMCpUC-pre-ret'!M12</f>
        <v>35960</v>
      </c>
      <c r="N12" s="14">
        <f>'CCaMC-AFOaMCpUC-pre-ret'!N12</f>
        <v>35920</v>
      </c>
      <c r="O12" s="14">
        <f>'CCaMC-AFOaMCpUC-pre-ret'!O12</f>
        <v>35880</v>
      </c>
      <c r="P12" s="14">
        <f>'CCaMC-AFOaMCpUC-pre-ret'!P12</f>
        <v>35840</v>
      </c>
      <c r="Q12" s="14">
        <f>'CCaMC-AFOaMCpUC-pre-ret'!Q12</f>
        <v>35800</v>
      </c>
      <c r="R12" s="14">
        <f>'CCaMC-AFOaMCpUC-pre-ret'!R12</f>
        <v>35760</v>
      </c>
      <c r="S12" s="14">
        <f>'CCaMC-AFOaMCpUC-pre-ret'!S12</f>
        <v>35720</v>
      </c>
      <c r="T12" s="14">
        <f>'CCaMC-AFOaMCpUC-pre-ret'!T12</f>
        <v>35680</v>
      </c>
      <c r="U12" s="14">
        <f>'CCaMC-AFOaMCpUC-pre-ret'!U12</f>
        <v>35640</v>
      </c>
      <c r="V12" s="14">
        <f>'CCaMC-AFOaMCpUC-pre-ret'!V12</f>
        <v>35600</v>
      </c>
      <c r="W12" s="14">
        <f>'CCaMC-AFOaMCpUC-pre-ret'!W12</f>
        <v>35560</v>
      </c>
      <c r="X12" s="14">
        <f>'CCaMC-AFOaMCpUC-pre-ret'!X12</f>
        <v>35520</v>
      </c>
      <c r="Y12" s="14">
        <f>'CCaMC-AFOaMCpUC-pre-ret'!Y12</f>
        <v>35480</v>
      </c>
      <c r="Z12" s="14">
        <f>'CCaMC-AFOaMCpUC-pre-ret'!Z12</f>
        <v>35440</v>
      </c>
      <c r="AA12" s="14">
        <f>'CCaMC-AFOaMCpUC-pre-ret'!AA12</f>
        <v>35400</v>
      </c>
      <c r="AB12" s="14">
        <f>'CCaMC-AFOaMCpUC-pre-ret'!AB12</f>
        <v>35360</v>
      </c>
      <c r="AC12" s="14">
        <f>'CCaMC-AFOaMCpUC-pre-ret'!AC12</f>
        <v>35320</v>
      </c>
      <c r="AD12" s="14">
        <f>'CCaMC-AFOaMCpUC-pre-ret'!AD12</f>
        <v>35280</v>
      </c>
      <c r="AE12" s="14">
        <f>'CCaMC-AFOaMCpUC-pre-ret'!AE12</f>
        <v>35240</v>
      </c>
      <c r="AF12" s="14">
        <f>'CCaMC-AFOaMCpUC-pre-ret'!AF12</f>
        <v>35200</v>
      </c>
      <c r="AG12" s="14">
        <f>'CCaMC-AFOaMCpUC-pre-ret'!AG12</f>
        <v>35200</v>
      </c>
      <c r="AH12" s="14">
        <f>'CCaMC-AFOaMCpUC-pre-ret'!AH12</f>
        <v>35200</v>
      </c>
      <c r="AI12" s="14">
        <f>'CCaMC-AFOaMCpUC-pre-ret'!AI12</f>
        <v>35200</v>
      </c>
      <c r="AJ12" s="14">
        <f>'CCaMC-AFOaMCpUC-pre-ret'!AJ12</f>
        <v>35200</v>
      </c>
      <c r="AK12" s="14">
        <f>'CCaMC-AFOaMCpUC-pre-ret'!AK12</f>
        <v>35200</v>
      </c>
      <c r="AL12" s="14">
        <f>'CCaMC-AFOaMCpUC-pre-ret'!AL12</f>
        <v>35200</v>
      </c>
      <c r="AM12" s="14">
        <f>'CCaMC-AFOaMCpUC-pre-ret'!AM12</f>
        <v>35200</v>
      </c>
      <c r="AN12" s="14">
        <f>'CCaMC-AFOaMCpUC-pre-ret'!AN12</f>
        <v>35200</v>
      </c>
      <c r="AO12" s="14">
        <f>'CCaMC-AFOaMCpUC-pre-ret'!AO12</f>
        <v>35200</v>
      </c>
      <c r="AP12" s="14">
        <f>'CCaMC-AFOaMCpUC-pre-ret'!AP12</f>
        <v>35200</v>
      </c>
      <c r="AQ12" s="14">
        <f>'CCaMC-AFOaMCpUC-pre-ret'!AQ12</f>
        <v>35200</v>
      </c>
      <c r="AR12" s="14">
        <f>'CCaMC-AFOaMCpUC-pre-ret'!AR12</f>
        <v>35200</v>
      </c>
      <c r="AS12" s="14">
        <f>'CCaMC-AFOaMCpUC-pre-ret'!AS12</f>
        <v>35200</v>
      </c>
      <c r="AT12" s="14">
        <f>'CCaMC-AFOaMCpUC-pre-ret'!AT12</f>
        <v>35200</v>
      </c>
      <c r="AU12" s="14">
        <f>'CCaMC-AFOaMCpUC-pre-ret'!AU12</f>
        <v>35200</v>
      </c>
      <c r="AV12" s="14">
        <f>'CCaMC-AFOaMCpUC-pre-ret'!AV12</f>
        <v>35200</v>
      </c>
      <c r="AW12" s="14">
        <f>'CCaMC-AFOaMCpUC-pre-ret'!AW12</f>
        <v>35200</v>
      </c>
      <c r="AX12" s="14">
        <f>'CCaMC-AFOaMCpUC-pre-ret'!AX12</f>
        <v>35200</v>
      </c>
      <c r="AY12" s="14">
        <f>'CCaMC-AFOaMCpUC-pre-ret'!AY12</f>
        <v>35200</v>
      </c>
      <c r="AZ12" s="14">
        <f>'CCaMC-AFOaMCpUC-pre-ret'!AZ12</f>
        <v>35200</v>
      </c>
    </row>
    <row r="13" spans="1:52" ht="14.25" customHeight="1" x14ac:dyDescent="0.2">
      <c r="A13" s="11" t="s">
        <v>42</v>
      </c>
      <c r="B13" s="14">
        <f>'CCaMC-AFOaMCpUC-pre-ret'!B13</f>
        <v>41200</v>
      </c>
      <c r="C13" s="14">
        <f>'CCaMC-AFOaMCpUC-pre-ret'!C13</f>
        <v>43133.333333333336</v>
      </c>
      <c r="D13" s="14">
        <f>'CCaMC-AFOaMCpUC-pre-ret'!D13</f>
        <v>45066.666666666664</v>
      </c>
      <c r="E13" s="14">
        <f>'CCaMC-AFOaMCpUC-pre-ret'!E13</f>
        <v>47000</v>
      </c>
      <c r="F13" s="14">
        <f>'CCaMC-AFOaMCpUC-pre-ret'!F13</f>
        <v>46800</v>
      </c>
      <c r="G13" s="14">
        <f>'CCaMC-AFOaMCpUC-pre-ret'!G13</f>
        <v>46600</v>
      </c>
      <c r="H13" s="14">
        <f>'CCaMC-AFOaMCpUC-pre-ret'!H13</f>
        <v>46400</v>
      </c>
      <c r="I13" s="14">
        <f>'CCaMC-AFOaMCpUC-pre-ret'!I13</f>
        <v>46200</v>
      </c>
      <c r="J13" s="14">
        <f>'CCaMC-AFOaMCpUC-pre-ret'!J13</f>
        <v>46000</v>
      </c>
      <c r="K13" s="14">
        <f>'CCaMC-AFOaMCpUC-pre-ret'!K13</f>
        <v>45800</v>
      </c>
      <c r="L13" s="14">
        <f>'CCaMC-AFOaMCpUC-pre-ret'!L13</f>
        <v>45600</v>
      </c>
      <c r="M13" s="14">
        <f>'CCaMC-AFOaMCpUC-pre-ret'!M13</f>
        <v>45525</v>
      </c>
      <c r="N13" s="14">
        <f>'CCaMC-AFOaMCpUC-pre-ret'!N13</f>
        <v>45450</v>
      </c>
      <c r="O13" s="14">
        <f>'CCaMC-AFOaMCpUC-pre-ret'!O13</f>
        <v>45375</v>
      </c>
      <c r="P13" s="14">
        <f>'CCaMC-AFOaMCpUC-pre-ret'!P13</f>
        <v>45300</v>
      </c>
      <c r="Q13" s="14">
        <f>'CCaMC-AFOaMCpUC-pre-ret'!Q13</f>
        <v>45225</v>
      </c>
      <c r="R13" s="14">
        <f>'CCaMC-AFOaMCpUC-pre-ret'!R13</f>
        <v>45150</v>
      </c>
      <c r="S13" s="14">
        <f>'CCaMC-AFOaMCpUC-pre-ret'!S13</f>
        <v>45075</v>
      </c>
      <c r="T13" s="14">
        <f>'CCaMC-AFOaMCpUC-pre-ret'!T13</f>
        <v>45000</v>
      </c>
      <c r="U13" s="14">
        <f>'CCaMC-AFOaMCpUC-pre-ret'!U13</f>
        <v>44925</v>
      </c>
      <c r="V13" s="14">
        <f>'CCaMC-AFOaMCpUC-pre-ret'!V13</f>
        <v>44850</v>
      </c>
      <c r="W13" s="14">
        <f>'CCaMC-AFOaMCpUC-pre-ret'!W13</f>
        <v>44775</v>
      </c>
      <c r="X13" s="14">
        <f>'CCaMC-AFOaMCpUC-pre-ret'!X13</f>
        <v>44700</v>
      </c>
      <c r="Y13" s="14">
        <f>'CCaMC-AFOaMCpUC-pre-ret'!Y13</f>
        <v>44625</v>
      </c>
      <c r="Z13" s="14">
        <f>'CCaMC-AFOaMCpUC-pre-ret'!Z13</f>
        <v>44550</v>
      </c>
      <c r="AA13" s="14">
        <f>'CCaMC-AFOaMCpUC-pre-ret'!AA13</f>
        <v>44475</v>
      </c>
      <c r="AB13" s="14">
        <f>'CCaMC-AFOaMCpUC-pre-ret'!AB13</f>
        <v>44400</v>
      </c>
      <c r="AC13" s="14">
        <f>'CCaMC-AFOaMCpUC-pre-ret'!AC13</f>
        <v>44325</v>
      </c>
      <c r="AD13" s="14">
        <f>'CCaMC-AFOaMCpUC-pre-ret'!AD13</f>
        <v>44250</v>
      </c>
      <c r="AE13" s="14">
        <f>'CCaMC-AFOaMCpUC-pre-ret'!AE13</f>
        <v>44175</v>
      </c>
      <c r="AF13" s="14">
        <f>'CCaMC-AFOaMCpUC-pre-ret'!AF13</f>
        <v>44100</v>
      </c>
      <c r="AG13" s="14">
        <f>'CCaMC-AFOaMCpUC-pre-ret'!AG13</f>
        <v>44100</v>
      </c>
      <c r="AH13" s="14">
        <f>'CCaMC-AFOaMCpUC-pre-ret'!AH13</f>
        <v>44100</v>
      </c>
      <c r="AI13" s="14">
        <f>'CCaMC-AFOaMCpUC-pre-ret'!AI13</f>
        <v>44100</v>
      </c>
      <c r="AJ13" s="14">
        <f>'CCaMC-AFOaMCpUC-pre-ret'!AJ13</f>
        <v>44100</v>
      </c>
      <c r="AK13" s="14">
        <f>'CCaMC-AFOaMCpUC-pre-ret'!AK13</f>
        <v>44100</v>
      </c>
      <c r="AL13" s="14">
        <f>'CCaMC-AFOaMCpUC-pre-ret'!AL13</f>
        <v>44100</v>
      </c>
      <c r="AM13" s="14">
        <f>'CCaMC-AFOaMCpUC-pre-ret'!AM13</f>
        <v>44100</v>
      </c>
      <c r="AN13" s="14">
        <f>'CCaMC-AFOaMCpUC-pre-ret'!AN13</f>
        <v>44100</v>
      </c>
      <c r="AO13" s="14">
        <f>'CCaMC-AFOaMCpUC-pre-ret'!AO13</f>
        <v>44100</v>
      </c>
      <c r="AP13" s="14">
        <f>'CCaMC-AFOaMCpUC-pre-ret'!AP13</f>
        <v>44100</v>
      </c>
      <c r="AQ13" s="14">
        <f>'CCaMC-AFOaMCpUC-pre-ret'!AQ13</f>
        <v>44100</v>
      </c>
      <c r="AR13" s="14">
        <f>'CCaMC-AFOaMCpUC-pre-ret'!AR13</f>
        <v>44100</v>
      </c>
      <c r="AS13" s="14">
        <f>'CCaMC-AFOaMCpUC-pre-ret'!AS13</f>
        <v>44100</v>
      </c>
      <c r="AT13" s="14">
        <f>'CCaMC-AFOaMCpUC-pre-ret'!AT13</f>
        <v>44100</v>
      </c>
      <c r="AU13" s="14">
        <f>'CCaMC-AFOaMCpUC-pre-ret'!AU13</f>
        <v>44100</v>
      </c>
      <c r="AV13" s="14">
        <f>'CCaMC-AFOaMCpUC-pre-ret'!AV13</f>
        <v>44100</v>
      </c>
      <c r="AW13" s="14">
        <f>'CCaMC-AFOaMCpUC-pre-ret'!AW13</f>
        <v>44100</v>
      </c>
      <c r="AX13" s="14">
        <f>'CCaMC-AFOaMCpUC-pre-ret'!AX13</f>
        <v>44100</v>
      </c>
      <c r="AY13" s="14">
        <f>'CCaMC-AFOaMCpUC-pre-ret'!AY13</f>
        <v>44100</v>
      </c>
      <c r="AZ13" s="14">
        <f>'CCaMC-AFOaMCpUC-pre-ret'!AZ13</f>
        <v>44100</v>
      </c>
    </row>
    <row r="14" spans="1:52" ht="14.25" customHeight="1" x14ac:dyDescent="0.2">
      <c r="A14" s="11" t="s">
        <v>43</v>
      </c>
      <c r="B14" s="14">
        <f>'CCaMC-AFOaMCpUC-pre-ret'!B14</f>
        <v>72600</v>
      </c>
      <c r="C14" s="14">
        <f>'CCaMC-AFOaMCpUC-pre-ret'!C14</f>
        <v>87989.333333333328</v>
      </c>
      <c r="D14" s="14">
        <f>'CCaMC-AFOaMCpUC-pre-ret'!D14</f>
        <v>103378.66666666667</v>
      </c>
      <c r="E14" s="14">
        <f>'CCaMC-AFOaMCpUC-pre-ret'!E14</f>
        <v>118768</v>
      </c>
      <c r="F14" s="14">
        <f>'CCaMC-AFOaMCpUC-pre-ret'!F14</f>
        <v>116057</v>
      </c>
      <c r="G14" s="14">
        <f>'CCaMC-AFOaMCpUC-pre-ret'!G14</f>
        <v>113346</v>
      </c>
      <c r="H14" s="14">
        <f>'CCaMC-AFOaMCpUC-pre-ret'!H14</f>
        <v>110635</v>
      </c>
      <c r="I14" s="14">
        <f>'CCaMC-AFOaMCpUC-pre-ret'!I14</f>
        <v>107924</v>
      </c>
      <c r="J14" s="14">
        <f>'CCaMC-AFOaMCpUC-pre-ret'!J14</f>
        <v>105213</v>
      </c>
      <c r="K14" s="14">
        <f>'CCaMC-AFOaMCpUC-pre-ret'!K14</f>
        <v>102502</v>
      </c>
      <c r="L14" s="14">
        <f>'CCaMC-AFOaMCpUC-pre-ret'!L14</f>
        <v>99791</v>
      </c>
      <c r="M14" s="14">
        <f>'CCaMC-AFOaMCpUC-pre-ret'!M14</f>
        <v>98865.95</v>
      </c>
      <c r="N14" s="14">
        <f>'CCaMC-AFOaMCpUC-pre-ret'!N14</f>
        <v>97940.9</v>
      </c>
      <c r="O14" s="14">
        <f>'CCaMC-AFOaMCpUC-pre-ret'!O14</f>
        <v>97015.85</v>
      </c>
      <c r="P14" s="14">
        <f>'CCaMC-AFOaMCpUC-pre-ret'!P14</f>
        <v>96090.8</v>
      </c>
      <c r="Q14" s="14">
        <f>'CCaMC-AFOaMCpUC-pre-ret'!Q14</f>
        <v>95165.75</v>
      </c>
      <c r="R14" s="14">
        <f>'CCaMC-AFOaMCpUC-pre-ret'!R14</f>
        <v>94240.7</v>
      </c>
      <c r="S14" s="14">
        <f>'CCaMC-AFOaMCpUC-pre-ret'!S14</f>
        <v>93315.65</v>
      </c>
      <c r="T14" s="14">
        <f>'CCaMC-AFOaMCpUC-pre-ret'!T14</f>
        <v>92390.6</v>
      </c>
      <c r="U14" s="14">
        <f>'CCaMC-AFOaMCpUC-pre-ret'!U14</f>
        <v>91465.55</v>
      </c>
      <c r="V14" s="14">
        <f>'CCaMC-AFOaMCpUC-pre-ret'!V14</f>
        <v>90540.5</v>
      </c>
      <c r="W14" s="14">
        <f>'CCaMC-AFOaMCpUC-pre-ret'!W14</f>
        <v>89615.45</v>
      </c>
      <c r="X14" s="14">
        <f>'CCaMC-AFOaMCpUC-pre-ret'!X14</f>
        <v>88690.4</v>
      </c>
      <c r="Y14" s="14">
        <f>'CCaMC-AFOaMCpUC-pre-ret'!Y14</f>
        <v>87765.35</v>
      </c>
      <c r="Z14" s="14">
        <f>'CCaMC-AFOaMCpUC-pre-ret'!Z14</f>
        <v>86840.3</v>
      </c>
      <c r="AA14" s="14">
        <f>'CCaMC-AFOaMCpUC-pre-ret'!AA14</f>
        <v>85915.25</v>
      </c>
      <c r="AB14" s="14">
        <f>'CCaMC-AFOaMCpUC-pre-ret'!AB14</f>
        <v>84990.2</v>
      </c>
      <c r="AC14" s="14">
        <f>'CCaMC-AFOaMCpUC-pre-ret'!AC14</f>
        <v>84065.15</v>
      </c>
      <c r="AD14" s="14">
        <f>'CCaMC-AFOaMCpUC-pre-ret'!AD14</f>
        <v>83140.100000000006</v>
      </c>
      <c r="AE14" s="14">
        <f>'CCaMC-AFOaMCpUC-pre-ret'!AE14</f>
        <v>82215.05</v>
      </c>
      <c r="AF14" s="14">
        <f>'CCaMC-AFOaMCpUC-pre-ret'!AF14</f>
        <v>81290</v>
      </c>
      <c r="AG14" s="14">
        <f>'CCaMC-AFOaMCpUC-pre-ret'!AG14</f>
        <v>81290</v>
      </c>
      <c r="AH14" s="14">
        <f>'CCaMC-AFOaMCpUC-pre-ret'!AH14</f>
        <v>81290</v>
      </c>
      <c r="AI14" s="14">
        <f>'CCaMC-AFOaMCpUC-pre-ret'!AI14</f>
        <v>81290</v>
      </c>
      <c r="AJ14" s="14">
        <f>'CCaMC-AFOaMCpUC-pre-ret'!AJ14</f>
        <v>81290</v>
      </c>
      <c r="AK14" s="14">
        <f>'CCaMC-AFOaMCpUC-pre-ret'!AK14</f>
        <v>81290</v>
      </c>
      <c r="AL14" s="14">
        <f>'CCaMC-AFOaMCpUC-pre-ret'!AL14</f>
        <v>81290</v>
      </c>
      <c r="AM14" s="14">
        <f>'CCaMC-AFOaMCpUC-pre-ret'!AM14</f>
        <v>81290</v>
      </c>
      <c r="AN14" s="14">
        <f>'CCaMC-AFOaMCpUC-pre-ret'!AN14</f>
        <v>81290</v>
      </c>
      <c r="AO14" s="14">
        <f>'CCaMC-AFOaMCpUC-pre-ret'!AO14</f>
        <v>81290</v>
      </c>
      <c r="AP14" s="14">
        <f>'CCaMC-AFOaMCpUC-pre-ret'!AP14</f>
        <v>81290</v>
      </c>
      <c r="AQ14" s="14">
        <f>'CCaMC-AFOaMCpUC-pre-ret'!AQ14</f>
        <v>81290</v>
      </c>
      <c r="AR14" s="14">
        <f>'CCaMC-AFOaMCpUC-pre-ret'!AR14</f>
        <v>81290</v>
      </c>
      <c r="AS14" s="14">
        <f>'CCaMC-AFOaMCpUC-pre-ret'!AS14</f>
        <v>81290</v>
      </c>
      <c r="AT14" s="14">
        <f>'CCaMC-AFOaMCpUC-pre-ret'!AT14</f>
        <v>81290</v>
      </c>
      <c r="AU14" s="14">
        <f>'CCaMC-AFOaMCpUC-pre-ret'!AU14</f>
        <v>81290</v>
      </c>
      <c r="AV14" s="14">
        <f>'CCaMC-AFOaMCpUC-pre-ret'!AV14</f>
        <v>81290</v>
      </c>
      <c r="AW14" s="14">
        <f>'CCaMC-AFOaMCpUC-pre-ret'!AW14</f>
        <v>81290</v>
      </c>
      <c r="AX14" s="14">
        <f>'CCaMC-AFOaMCpUC-pre-ret'!AX14</f>
        <v>81290</v>
      </c>
      <c r="AY14" s="14">
        <f>'CCaMC-AFOaMCpUC-pre-ret'!AY14</f>
        <v>81290</v>
      </c>
      <c r="AZ14" s="14">
        <f>'CCaMC-AFOaMCpUC-pre-ret'!AZ14</f>
        <v>81290</v>
      </c>
    </row>
    <row r="15" spans="1:52" ht="14.25" customHeight="1" x14ac:dyDescent="0.2">
      <c r="A15" s="11" t="s">
        <v>44</v>
      </c>
      <c r="B15" s="14">
        <f>'CCaMC-AFOaMCpUC-pre-ret'!B15</f>
        <v>8000</v>
      </c>
      <c r="C15" s="14">
        <f>'CCaMC-AFOaMCpUC-pre-ret'!C15</f>
        <v>8373.3333333333339</v>
      </c>
      <c r="D15" s="14">
        <f>'CCaMC-AFOaMCpUC-pre-ret'!D15</f>
        <v>8746.6666666666661</v>
      </c>
      <c r="E15" s="14">
        <f>'CCaMC-AFOaMCpUC-pre-ret'!E15</f>
        <v>9120</v>
      </c>
      <c r="F15" s="14">
        <f>'CCaMC-AFOaMCpUC-pre-ret'!F15</f>
        <v>9120</v>
      </c>
      <c r="G15" s="14">
        <f>'CCaMC-AFOaMCpUC-pre-ret'!G15</f>
        <v>9120</v>
      </c>
      <c r="H15" s="14">
        <f>'CCaMC-AFOaMCpUC-pre-ret'!H15</f>
        <v>9120</v>
      </c>
      <c r="I15" s="14">
        <f>'CCaMC-AFOaMCpUC-pre-ret'!I15</f>
        <v>9120</v>
      </c>
      <c r="J15" s="14">
        <f>'CCaMC-AFOaMCpUC-pre-ret'!J15</f>
        <v>9120</v>
      </c>
      <c r="K15" s="14">
        <f>'CCaMC-AFOaMCpUC-pre-ret'!K15</f>
        <v>9120</v>
      </c>
      <c r="L15" s="14">
        <f>'CCaMC-AFOaMCpUC-pre-ret'!L15</f>
        <v>9120</v>
      </c>
      <c r="M15" s="14">
        <f>'CCaMC-AFOaMCpUC-pre-ret'!M15</f>
        <v>9106.35</v>
      </c>
      <c r="N15" s="14">
        <f>'CCaMC-AFOaMCpUC-pre-ret'!N15</f>
        <v>9092.7000000000007</v>
      </c>
      <c r="O15" s="14">
        <f>'CCaMC-AFOaMCpUC-pre-ret'!O15</f>
        <v>9079.0499999999993</v>
      </c>
      <c r="P15" s="14">
        <f>'CCaMC-AFOaMCpUC-pre-ret'!P15</f>
        <v>9065.4</v>
      </c>
      <c r="Q15" s="14">
        <f>'CCaMC-AFOaMCpUC-pre-ret'!Q15</f>
        <v>9051.75</v>
      </c>
      <c r="R15" s="14">
        <f>'CCaMC-AFOaMCpUC-pre-ret'!R15</f>
        <v>9038.1</v>
      </c>
      <c r="S15" s="14">
        <f>'CCaMC-AFOaMCpUC-pre-ret'!S15</f>
        <v>9024.4500000000007</v>
      </c>
      <c r="T15" s="14">
        <f>'CCaMC-AFOaMCpUC-pre-ret'!T15</f>
        <v>9010.7999999999993</v>
      </c>
      <c r="U15" s="14">
        <f>'CCaMC-AFOaMCpUC-pre-ret'!U15</f>
        <v>8997.15</v>
      </c>
      <c r="V15" s="14">
        <f>'CCaMC-AFOaMCpUC-pre-ret'!V15</f>
        <v>8983.5</v>
      </c>
      <c r="W15" s="14">
        <f>'CCaMC-AFOaMCpUC-pre-ret'!W15</f>
        <v>8969.85</v>
      </c>
      <c r="X15" s="14">
        <f>'CCaMC-AFOaMCpUC-pre-ret'!X15</f>
        <v>8956.2000000000007</v>
      </c>
      <c r="Y15" s="14">
        <f>'CCaMC-AFOaMCpUC-pre-ret'!Y15</f>
        <v>8942.5499999999993</v>
      </c>
      <c r="Z15" s="14">
        <f>'CCaMC-AFOaMCpUC-pre-ret'!Z15</f>
        <v>8928.9</v>
      </c>
      <c r="AA15" s="14">
        <f>'CCaMC-AFOaMCpUC-pre-ret'!AA15</f>
        <v>8915.25</v>
      </c>
      <c r="AB15" s="14">
        <f>'CCaMC-AFOaMCpUC-pre-ret'!AB15</f>
        <v>8901.6</v>
      </c>
      <c r="AC15" s="14">
        <f>'CCaMC-AFOaMCpUC-pre-ret'!AC15</f>
        <v>8887.9500000000007</v>
      </c>
      <c r="AD15" s="14">
        <f>'CCaMC-AFOaMCpUC-pre-ret'!AD15</f>
        <v>8874.2999999999993</v>
      </c>
      <c r="AE15" s="14">
        <f>'CCaMC-AFOaMCpUC-pre-ret'!AE15</f>
        <v>8860.65</v>
      </c>
      <c r="AF15" s="14">
        <f>'CCaMC-AFOaMCpUC-pre-ret'!AF15</f>
        <v>8847</v>
      </c>
      <c r="AG15" s="14">
        <f>'CCaMC-AFOaMCpUC-pre-ret'!AG15</f>
        <v>8847</v>
      </c>
      <c r="AH15" s="14">
        <f>'CCaMC-AFOaMCpUC-pre-ret'!AH15</f>
        <v>8847</v>
      </c>
      <c r="AI15" s="14">
        <f>'CCaMC-AFOaMCpUC-pre-ret'!AI15</f>
        <v>8847</v>
      </c>
      <c r="AJ15" s="14">
        <f>'CCaMC-AFOaMCpUC-pre-ret'!AJ15</f>
        <v>8847</v>
      </c>
      <c r="AK15" s="14">
        <f>'CCaMC-AFOaMCpUC-pre-ret'!AK15</f>
        <v>8847</v>
      </c>
      <c r="AL15" s="14">
        <f>'CCaMC-AFOaMCpUC-pre-ret'!AL15</f>
        <v>8847</v>
      </c>
      <c r="AM15" s="14">
        <f>'CCaMC-AFOaMCpUC-pre-ret'!AM15</f>
        <v>8847</v>
      </c>
      <c r="AN15" s="14">
        <f>'CCaMC-AFOaMCpUC-pre-ret'!AN15</f>
        <v>8847</v>
      </c>
      <c r="AO15" s="14">
        <f>'CCaMC-AFOaMCpUC-pre-ret'!AO15</f>
        <v>8847</v>
      </c>
      <c r="AP15" s="14">
        <f>'CCaMC-AFOaMCpUC-pre-ret'!AP15</f>
        <v>8847</v>
      </c>
      <c r="AQ15" s="14">
        <f>'CCaMC-AFOaMCpUC-pre-ret'!AQ15</f>
        <v>8847</v>
      </c>
      <c r="AR15" s="14">
        <f>'CCaMC-AFOaMCpUC-pre-ret'!AR15</f>
        <v>8847</v>
      </c>
      <c r="AS15" s="14">
        <f>'CCaMC-AFOaMCpUC-pre-ret'!AS15</f>
        <v>8847</v>
      </c>
      <c r="AT15" s="14">
        <f>'CCaMC-AFOaMCpUC-pre-ret'!AT15</f>
        <v>8847</v>
      </c>
      <c r="AU15" s="14">
        <f>'CCaMC-AFOaMCpUC-pre-ret'!AU15</f>
        <v>8847</v>
      </c>
      <c r="AV15" s="14">
        <f>'CCaMC-AFOaMCpUC-pre-ret'!AV15</f>
        <v>8847</v>
      </c>
      <c r="AW15" s="14">
        <f>'CCaMC-AFOaMCpUC-pre-ret'!AW15</f>
        <v>8847</v>
      </c>
      <c r="AX15" s="14">
        <f>'CCaMC-AFOaMCpUC-pre-ret'!AX15</f>
        <v>8847</v>
      </c>
      <c r="AY15" s="14">
        <f>'CCaMC-AFOaMCpUC-pre-ret'!AY15</f>
        <v>8847</v>
      </c>
      <c r="AZ15" s="14">
        <f>'CCaMC-AFOaMCpUC-pre-ret'!AZ15</f>
        <v>8847</v>
      </c>
    </row>
    <row r="16" spans="1:52" ht="14.25" customHeight="1" x14ac:dyDescent="0.2">
      <c r="A16" s="11" t="s">
        <v>45</v>
      </c>
      <c r="B16" s="14">
        <f>'CCaMC-AFOaMCpUC-pre-ret'!B16</f>
        <v>8000</v>
      </c>
      <c r="C16" s="14">
        <f>'CCaMC-AFOaMCpUC-pre-ret'!C16</f>
        <v>8373.3333333333339</v>
      </c>
      <c r="D16" s="14">
        <f>'CCaMC-AFOaMCpUC-pre-ret'!D16</f>
        <v>8746.6666666666661</v>
      </c>
      <c r="E16" s="14">
        <f>'CCaMC-AFOaMCpUC-pre-ret'!E16</f>
        <v>9120</v>
      </c>
      <c r="F16" s="14">
        <f>'CCaMC-AFOaMCpUC-pre-ret'!F16</f>
        <v>9120</v>
      </c>
      <c r="G16" s="14">
        <f>'CCaMC-AFOaMCpUC-pre-ret'!G16</f>
        <v>9120</v>
      </c>
      <c r="H16" s="14">
        <f>'CCaMC-AFOaMCpUC-pre-ret'!H16</f>
        <v>9120</v>
      </c>
      <c r="I16" s="14">
        <f>'CCaMC-AFOaMCpUC-pre-ret'!I16</f>
        <v>9120</v>
      </c>
      <c r="J16" s="14">
        <f>'CCaMC-AFOaMCpUC-pre-ret'!J16</f>
        <v>9120</v>
      </c>
      <c r="K16" s="14">
        <f>'CCaMC-AFOaMCpUC-pre-ret'!K16</f>
        <v>9120</v>
      </c>
      <c r="L16" s="14">
        <f>'CCaMC-AFOaMCpUC-pre-ret'!L16</f>
        <v>9120</v>
      </c>
      <c r="M16" s="14">
        <f>'CCaMC-AFOaMCpUC-pre-ret'!M16</f>
        <v>9106.35</v>
      </c>
      <c r="N16" s="14">
        <f>'CCaMC-AFOaMCpUC-pre-ret'!N16</f>
        <v>9092.7000000000007</v>
      </c>
      <c r="O16" s="14">
        <f>'CCaMC-AFOaMCpUC-pre-ret'!O16</f>
        <v>9079.0499999999993</v>
      </c>
      <c r="P16" s="14">
        <f>'CCaMC-AFOaMCpUC-pre-ret'!P16</f>
        <v>9065.4</v>
      </c>
      <c r="Q16" s="14">
        <f>'CCaMC-AFOaMCpUC-pre-ret'!Q16</f>
        <v>9051.75</v>
      </c>
      <c r="R16" s="14">
        <f>'CCaMC-AFOaMCpUC-pre-ret'!R16</f>
        <v>9038.1</v>
      </c>
      <c r="S16" s="14">
        <f>'CCaMC-AFOaMCpUC-pre-ret'!S16</f>
        <v>9024.4500000000007</v>
      </c>
      <c r="T16" s="14">
        <f>'CCaMC-AFOaMCpUC-pre-ret'!T16</f>
        <v>9010.7999999999993</v>
      </c>
      <c r="U16" s="14">
        <f>'CCaMC-AFOaMCpUC-pre-ret'!U16</f>
        <v>8997.15</v>
      </c>
      <c r="V16" s="14">
        <f>'CCaMC-AFOaMCpUC-pre-ret'!V16</f>
        <v>8983.5</v>
      </c>
      <c r="W16" s="14">
        <f>'CCaMC-AFOaMCpUC-pre-ret'!W16</f>
        <v>8969.85</v>
      </c>
      <c r="X16" s="14">
        <f>'CCaMC-AFOaMCpUC-pre-ret'!X16</f>
        <v>8956.2000000000007</v>
      </c>
      <c r="Y16" s="14">
        <f>'CCaMC-AFOaMCpUC-pre-ret'!Y16</f>
        <v>8942.5499999999993</v>
      </c>
      <c r="Z16" s="14">
        <f>'CCaMC-AFOaMCpUC-pre-ret'!Z16</f>
        <v>8928.9</v>
      </c>
      <c r="AA16" s="14">
        <f>'CCaMC-AFOaMCpUC-pre-ret'!AA16</f>
        <v>8915.25</v>
      </c>
      <c r="AB16" s="14">
        <f>'CCaMC-AFOaMCpUC-pre-ret'!AB16</f>
        <v>8901.6</v>
      </c>
      <c r="AC16" s="14">
        <f>'CCaMC-AFOaMCpUC-pre-ret'!AC16</f>
        <v>8887.9500000000007</v>
      </c>
      <c r="AD16" s="14">
        <f>'CCaMC-AFOaMCpUC-pre-ret'!AD16</f>
        <v>8874.2999999999993</v>
      </c>
      <c r="AE16" s="14">
        <f>'CCaMC-AFOaMCpUC-pre-ret'!AE16</f>
        <v>8860.65</v>
      </c>
      <c r="AF16" s="14">
        <f>'CCaMC-AFOaMCpUC-pre-ret'!AF16</f>
        <v>8847</v>
      </c>
      <c r="AG16" s="14">
        <f>'CCaMC-AFOaMCpUC-pre-ret'!AG16</f>
        <v>8847</v>
      </c>
      <c r="AH16" s="14">
        <f>'CCaMC-AFOaMCpUC-pre-ret'!AH16</f>
        <v>8847</v>
      </c>
      <c r="AI16" s="14">
        <f>'CCaMC-AFOaMCpUC-pre-ret'!AI16</f>
        <v>8847</v>
      </c>
      <c r="AJ16" s="14">
        <f>'CCaMC-AFOaMCpUC-pre-ret'!AJ16</f>
        <v>8847</v>
      </c>
      <c r="AK16" s="14">
        <f>'CCaMC-AFOaMCpUC-pre-ret'!AK16</f>
        <v>8847</v>
      </c>
      <c r="AL16" s="14">
        <f>'CCaMC-AFOaMCpUC-pre-ret'!AL16</f>
        <v>8847</v>
      </c>
      <c r="AM16" s="14">
        <f>'CCaMC-AFOaMCpUC-pre-ret'!AM16</f>
        <v>8847</v>
      </c>
      <c r="AN16" s="14">
        <f>'CCaMC-AFOaMCpUC-pre-ret'!AN16</f>
        <v>8847</v>
      </c>
      <c r="AO16" s="14">
        <f>'CCaMC-AFOaMCpUC-pre-ret'!AO16</f>
        <v>8847</v>
      </c>
      <c r="AP16" s="14">
        <f>'CCaMC-AFOaMCpUC-pre-ret'!AP16</f>
        <v>8847</v>
      </c>
      <c r="AQ16" s="14">
        <f>'CCaMC-AFOaMCpUC-pre-ret'!AQ16</f>
        <v>8847</v>
      </c>
      <c r="AR16" s="14">
        <f>'CCaMC-AFOaMCpUC-pre-ret'!AR16</f>
        <v>8847</v>
      </c>
      <c r="AS16" s="14">
        <f>'CCaMC-AFOaMCpUC-pre-ret'!AS16</f>
        <v>8847</v>
      </c>
      <c r="AT16" s="14">
        <f>'CCaMC-AFOaMCpUC-pre-ret'!AT16</f>
        <v>8847</v>
      </c>
      <c r="AU16" s="14">
        <f>'CCaMC-AFOaMCpUC-pre-ret'!AU16</f>
        <v>8847</v>
      </c>
      <c r="AV16" s="14">
        <f>'CCaMC-AFOaMCpUC-pre-ret'!AV16</f>
        <v>8847</v>
      </c>
      <c r="AW16" s="14">
        <f>'CCaMC-AFOaMCpUC-pre-ret'!AW16</f>
        <v>8847</v>
      </c>
      <c r="AX16" s="14">
        <f>'CCaMC-AFOaMCpUC-pre-ret'!AX16</f>
        <v>8847</v>
      </c>
      <c r="AY16" s="14">
        <f>'CCaMC-AFOaMCpUC-pre-ret'!AY16</f>
        <v>8847</v>
      </c>
      <c r="AZ16" s="14">
        <f>'CCaMC-AFOaMCpUC-pre-ret'!AZ16</f>
        <v>8847</v>
      </c>
    </row>
    <row r="17" spans="1:52" ht="14.25" customHeight="1" x14ac:dyDescent="0.2">
      <c r="A17" s="11" t="s">
        <v>46</v>
      </c>
      <c r="B17" s="14">
        <f>'CCaMC-AFOaMCpUC-pre-ret'!B17</f>
        <v>125000</v>
      </c>
      <c r="C17" s="14">
        <f>'CCaMC-AFOaMCpUC-pre-ret'!C17</f>
        <v>130833.33333333333</v>
      </c>
      <c r="D17" s="14">
        <f>'CCaMC-AFOaMCpUC-pre-ret'!D17</f>
        <v>136666.66666666666</v>
      </c>
      <c r="E17" s="14">
        <f>'CCaMC-AFOaMCpUC-pre-ret'!E17</f>
        <v>142500</v>
      </c>
      <c r="F17" s="14">
        <f>'CCaMC-AFOaMCpUC-pre-ret'!F17</f>
        <v>142500</v>
      </c>
      <c r="G17" s="14">
        <f>'CCaMC-AFOaMCpUC-pre-ret'!G17</f>
        <v>142500</v>
      </c>
      <c r="H17" s="14">
        <f>'CCaMC-AFOaMCpUC-pre-ret'!H17</f>
        <v>142500</v>
      </c>
      <c r="I17" s="14">
        <f>'CCaMC-AFOaMCpUC-pre-ret'!I17</f>
        <v>142500</v>
      </c>
      <c r="J17" s="14">
        <f>'CCaMC-AFOaMCpUC-pre-ret'!J17</f>
        <v>142500</v>
      </c>
      <c r="K17" s="14">
        <f>'CCaMC-AFOaMCpUC-pre-ret'!K17</f>
        <v>142500</v>
      </c>
      <c r="L17" s="14">
        <f>'CCaMC-AFOaMCpUC-pre-ret'!L17</f>
        <v>142500</v>
      </c>
      <c r="M17" s="14">
        <f>'CCaMC-AFOaMCpUC-pre-ret'!M17</f>
        <v>142500</v>
      </c>
      <c r="N17" s="14">
        <f>'CCaMC-AFOaMCpUC-pre-ret'!N17</f>
        <v>142500</v>
      </c>
      <c r="O17" s="14">
        <f>'CCaMC-AFOaMCpUC-pre-ret'!O17</f>
        <v>142500</v>
      </c>
      <c r="P17" s="14">
        <f>'CCaMC-AFOaMCpUC-pre-ret'!P17</f>
        <v>142500</v>
      </c>
      <c r="Q17" s="14">
        <f>'CCaMC-AFOaMCpUC-pre-ret'!Q17</f>
        <v>142500</v>
      </c>
      <c r="R17" s="14">
        <f>'CCaMC-AFOaMCpUC-pre-ret'!R17</f>
        <v>142500</v>
      </c>
      <c r="S17" s="14">
        <f>'CCaMC-AFOaMCpUC-pre-ret'!S17</f>
        <v>142500</v>
      </c>
      <c r="T17" s="14">
        <f>'CCaMC-AFOaMCpUC-pre-ret'!T17</f>
        <v>142500</v>
      </c>
      <c r="U17" s="14">
        <f>'CCaMC-AFOaMCpUC-pre-ret'!U17</f>
        <v>142500</v>
      </c>
      <c r="V17" s="14">
        <f>'CCaMC-AFOaMCpUC-pre-ret'!V17</f>
        <v>142500</v>
      </c>
      <c r="W17" s="14">
        <f>'CCaMC-AFOaMCpUC-pre-ret'!W17</f>
        <v>142500</v>
      </c>
      <c r="X17" s="14">
        <f>'CCaMC-AFOaMCpUC-pre-ret'!X17</f>
        <v>142500</v>
      </c>
      <c r="Y17" s="14">
        <f>'CCaMC-AFOaMCpUC-pre-ret'!Y17</f>
        <v>142500</v>
      </c>
      <c r="Z17" s="14">
        <f>'CCaMC-AFOaMCpUC-pre-ret'!Z17</f>
        <v>142500</v>
      </c>
      <c r="AA17" s="14">
        <f>'CCaMC-AFOaMCpUC-pre-ret'!AA17</f>
        <v>142500</v>
      </c>
      <c r="AB17" s="14">
        <f>'CCaMC-AFOaMCpUC-pre-ret'!AB17</f>
        <v>142500</v>
      </c>
      <c r="AC17" s="14">
        <f>'CCaMC-AFOaMCpUC-pre-ret'!AC17</f>
        <v>142500</v>
      </c>
      <c r="AD17" s="14">
        <f>'CCaMC-AFOaMCpUC-pre-ret'!AD17</f>
        <v>142500</v>
      </c>
      <c r="AE17" s="14">
        <f>'CCaMC-AFOaMCpUC-pre-ret'!AE17</f>
        <v>142500</v>
      </c>
      <c r="AF17" s="14">
        <f>'CCaMC-AFOaMCpUC-pre-ret'!AF17</f>
        <v>142500</v>
      </c>
      <c r="AG17" s="14">
        <f>'CCaMC-AFOaMCpUC-pre-ret'!AG17</f>
        <v>142500</v>
      </c>
      <c r="AH17" s="14">
        <f>'CCaMC-AFOaMCpUC-pre-ret'!AH17</f>
        <v>142500</v>
      </c>
      <c r="AI17" s="14">
        <f>'CCaMC-AFOaMCpUC-pre-ret'!AI17</f>
        <v>142500</v>
      </c>
      <c r="AJ17" s="14">
        <f>'CCaMC-AFOaMCpUC-pre-ret'!AJ17</f>
        <v>142500</v>
      </c>
      <c r="AK17" s="14">
        <f>'CCaMC-AFOaMCpUC-pre-ret'!AK17</f>
        <v>142500</v>
      </c>
      <c r="AL17" s="14">
        <f>'CCaMC-AFOaMCpUC-pre-ret'!AL17</f>
        <v>142500</v>
      </c>
      <c r="AM17" s="14">
        <f>'CCaMC-AFOaMCpUC-pre-ret'!AM17</f>
        <v>142500</v>
      </c>
      <c r="AN17" s="14">
        <f>'CCaMC-AFOaMCpUC-pre-ret'!AN17</f>
        <v>142500</v>
      </c>
      <c r="AO17" s="14">
        <f>'CCaMC-AFOaMCpUC-pre-ret'!AO17</f>
        <v>142500</v>
      </c>
      <c r="AP17" s="14">
        <f>'CCaMC-AFOaMCpUC-pre-ret'!AP17</f>
        <v>142500</v>
      </c>
      <c r="AQ17" s="14">
        <f>'CCaMC-AFOaMCpUC-pre-ret'!AQ17</f>
        <v>142500</v>
      </c>
      <c r="AR17" s="14">
        <f>'CCaMC-AFOaMCpUC-pre-ret'!AR17</f>
        <v>142500</v>
      </c>
      <c r="AS17" s="14">
        <f>'CCaMC-AFOaMCpUC-pre-ret'!AS17</f>
        <v>142500</v>
      </c>
      <c r="AT17" s="14">
        <f>'CCaMC-AFOaMCpUC-pre-ret'!AT17</f>
        <v>142500</v>
      </c>
      <c r="AU17" s="14">
        <f>'CCaMC-AFOaMCpUC-pre-ret'!AU17</f>
        <v>142500</v>
      </c>
      <c r="AV17" s="14">
        <f>'CCaMC-AFOaMCpUC-pre-ret'!AV17</f>
        <v>142500</v>
      </c>
      <c r="AW17" s="14">
        <f>'CCaMC-AFOaMCpUC-pre-ret'!AW17</f>
        <v>142500</v>
      </c>
      <c r="AX17" s="14">
        <f>'CCaMC-AFOaMCpUC-pre-ret'!AX17</f>
        <v>142500</v>
      </c>
      <c r="AY17" s="14">
        <f>'CCaMC-AFOaMCpUC-pre-ret'!AY17</f>
        <v>142500</v>
      </c>
      <c r="AZ17" s="14">
        <f>'CCaMC-AFOaMCpUC-pre-ret'!AZ17</f>
        <v>142500</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Z1000"/>
  <sheetViews>
    <sheetView topLeftCell="AI1" workbookViewId="0">
      <selection activeCell="AG2" sqref="AG2:AZ17"/>
    </sheetView>
  </sheetViews>
  <sheetFormatPr baseColWidth="10" defaultColWidth="14.5" defaultRowHeight="15" customHeight="1" x14ac:dyDescent="0.2"/>
  <cols>
    <col min="1" max="1" width="36.5" customWidth="1"/>
    <col min="2" max="32" width="7.33203125" customWidth="1"/>
  </cols>
  <sheetData>
    <row r="1" spans="1:52" ht="14.25" customHeight="1" x14ac:dyDescent="0.2">
      <c r="A1" s="17" t="s">
        <v>50</v>
      </c>
      <c r="B1" s="18">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5" t="s">
        <v>51</v>
      </c>
      <c r="B2" s="13">
        <f>Cal!B22</f>
        <v>0.11</v>
      </c>
      <c r="C2" s="5">
        <f>$B$2+(($E$2-$B$2)/($E$1-$B$1))*(C1-$B$1)</f>
        <v>0.48999999999999994</v>
      </c>
      <c r="D2" s="5">
        <f>$B$2+(($E$2-$B$2)/($E$1-$B$1))*(D1-$B$1)</f>
        <v>0.86999999999999988</v>
      </c>
      <c r="E2" s="19">
        <f>Cal!C22</f>
        <v>1.25</v>
      </c>
      <c r="F2" s="5">
        <f>$E2+(($L2-$E2)/($L$1-$E$1))*(F$1-$E$1)</f>
        <v>1.2428571428571429</v>
      </c>
      <c r="G2" s="5">
        <f t="shared" ref="G2:K2" si="0">$E2+(($L2-$E2)/($L$1-$E$1))*(G$1-$E$1)</f>
        <v>1.2357142857142858</v>
      </c>
      <c r="H2" s="5">
        <f t="shared" si="0"/>
        <v>1.2285714285714286</v>
      </c>
      <c r="I2" s="5">
        <f t="shared" si="0"/>
        <v>1.2214285714285713</v>
      </c>
      <c r="J2" s="5">
        <f t="shared" si="0"/>
        <v>1.2142857142857142</v>
      </c>
      <c r="K2" s="5">
        <f t="shared" si="0"/>
        <v>1.2071428571428571</v>
      </c>
      <c r="L2" s="19">
        <f>Cal!D22</f>
        <v>1.2</v>
      </c>
      <c r="M2" s="5">
        <f>$L2+(($AF2-$L2)/($AF$1-$L$1))*(M$1-$L$1)</f>
        <v>1.1975</v>
      </c>
      <c r="N2" s="5">
        <f t="shared" ref="N2:AE16" si="1">$L2+(($AF2-$L2)/($AF$1-$L$1))*(N$1-$L$1)</f>
        <v>1.1949999999999998</v>
      </c>
      <c r="O2" s="5">
        <f t="shared" si="1"/>
        <v>1.1924999999999999</v>
      </c>
      <c r="P2" s="5">
        <f t="shared" si="1"/>
        <v>1.19</v>
      </c>
      <c r="Q2" s="5">
        <f t="shared" si="1"/>
        <v>1.1875</v>
      </c>
      <c r="R2" s="5">
        <f t="shared" si="1"/>
        <v>1.1850000000000001</v>
      </c>
      <c r="S2" s="5">
        <f t="shared" si="1"/>
        <v>1.1824999999999999</v>
      </c>
      <c r="T2" s="5">
        <f t="shared" si="1"/>
        <v>1.18</v>
      </c>
      <c r="U2" s="5">
        <f t="shared" si="1"/>
        <v>1.1775</v>
      </c>
      <c r="V2" s="5">
        <f t="shared" si="1"/>
        <v>1.1749999999999998</v>
      </c>
      <c r="W2" s="5">
        <f t="shared" si="1"/>
        <v>1.1724999999999999</v>
      </c>
      <c r="X2" s="5">
        <f t="shared" si="1"/>
        <v>1.17</v>
      </c>
      <c r="Y2" s="5">
        <f t="shared" si="1"/>
        <v>1.1675</v>
      </c>
      <c r="Z2" s="5">
        <f t="shared" si="1"/>
        <v>1.165</v>
      </c>
      <c r="AA2" s="5">
        <f t="shared" si="1"/>
        <v>1.1624999999999999</v>
      </c>
      <c r="AB2" s="5">
        <f t="shared" si="1"/>
        <v>1.1599999999999999</v>
      </c>
      <c r="AC2" s="5">
        <f t="shared" si="1"/>
        <v>1.1575</v>
      </c>
      <c r="AD2" s="5">
        <f t="shared" si="1"/>
        <v>1.1549999999999998</v>
      </c>
      <c r="AE2" s="5">
        <f t="shared" si="1"/>
        <v>1.1524999999999999</v>
      </c>
      <c r="AF2" s="19">
        <f>Cal!E22</f>
        <v>1.1499999999999999</v>
      </c>
      <c r="AG2" s="45">
        <f>AF2</f>
        <v>1.1499999999999999</v>
      </c>
      <c r="AH2" s="45">
        <f t="shared" ref="AH2:AZ16" si="2">AG2</f>
        <v>1.1499999999999999</v>
      </c>
      <c r="AI2" s="45">
        <f t="shared" si="2"/>
        <v>1.1499999999999999</v>
      </c>
      <c r="AJ2" s="45">
        <f t="shared" si="2"/>
        <v>1.1499999999999999</v>
      </c>
      <c r="AK2" s="45">
        <f t="shared" si="2"/>
        <v>1.1499999999999999</v>
      </c>
      <c r="AL2" s="45">
        <f t="shared" si="2"/>
        <v>1.1499999999999999</v>
      </c>
      <c r="AM2" s="45">
        <f t="shared" si="2"/>
        <v>1.1499999999999999</v>
      </c>
      <c r="AN2" s="45">
        <f t="shared" si="2"/>
        <v>1.1499999999999999</v>
      </c>
      <c r="AO2" s="45">
        <f t="shared" si="2"/>
        <v>1.1499999999999999</v>
      </c>
      <c r="AP2" s="45">
        <f t="shared" si="2"/>
        <v>1.1499999999999999</v>
      </c>
      <c r="AQ2" s="45">
        <f t="shared" si="2"/>
        <v>1.1499999999999999</v>
      </c>
      <c r="AR2" s="45">
        <f t="shared" si="2"/>
        <v>1.1499999999999999</v>
      </c>
      <c r="AS2" s="45">
        <f t="shared" si="2"/>
        <v>1.1499999999999999</v>
      </c>
      <c r="AT2" s="45">
        <f t="shared" si="2"/>
        <v>1.1499999999999999</v>
      </c>
      <c r="AU2" s="45">
        <f t="shared" si="2"/>
        <v>1.1499999999999999</v>
      </c>
      <c r="AV2" s="45">
        <f t="shared" si="2"/>
        <v>1.1499999999999999</v>
      </c>
      <c r="AW2" s="45">
        <f t="shared" si="2"/>
        <v>1.1499999999999999</v>
      </c>
      <c r="AX2" s="45">
        <f t="shared" si="2"/>
        <v>1.1499999999999999</v>
      </c>
      <c r="AY2" s="45">
        <f t="shared" si="2"/>
        <v>1.1499999999999999</v>
      </c>
      <c r="AZ2" s="45">
        <f t="shared" si="2"/>
        <v>1.1499999999999999</v>
      </c>
    </row>
    <row r="3" spans="1:52" ht="14.25" customHeight="1" x14ac:dyDescent="0.2">
      <c r="A3" s="5" t="s">
        <v>34</v>
      </c>
      <c r="B3" s="13">
        <f>Cal!B23</f>
        <v>0.11</v>
      </c>
      <c r="C3" s="5">
        <f>$B$3+(($E$3-$B$3)/($E$1-$B$1))*(C$1-$B$1)</f>
        <v>1.2733333333333334</v>
      </c>
      <c r="D3" s="5">
        <f>$B$3+(($E$3-$B$3)/($E$1-$B$1))*(D$1-$B$1)</f>
        <v>2.4366666666666665</v>
      </c>
      <c r="E3" s="19">
        <f>Cal!C23</f>
        <v>3.6</v>
      </c>
      <c r="F3" s="5">
        <f t="shared" ref="F3:K17" si="3">$E3+(($L3-$E3)/($L$1-$E$1))*(F$1-$E$1)</f>
        <v>3.5857142857142859</v>
      </c>
      <c r="G3" s="5">
        <f t="shared" si="3"/>
        <v>3.5714285714285716</v>
      </c>
      <c r="H3" s="5">
        <f t="shared" si="3"/>
        <v>3.5571428571428574</v>
      </c>
      <c r="I3" s="5">
        <f t="shared" si="3"/>
        <v>3.5428571428571427</v>
      </c>
      <c r="J3" s="5">
        <f t="shared" si="3"/>
        <v>3.5285714285714285</v>
      </c>
      <c r="K3" s="5">
        <f t="shared" si="3"/>
        <v>3.5142857142857142</v>
      </c>
      <c r="L3" s="19">
        <f>Cal!D23</f>
        <v>3.5</v>
      </c>
      <c r="M3" s="5">
        <f t="shared" ref="M3:AB17" si="4">$L3+(($AF3-$L3)/($AF$1-$L$1))*(M$1-$L$1)</f>
        <v>3.4950000000000001</v>
      </c>
      <c r="N3" s="5">
        <f t="shared" si="4"/>
        <v>3.49</v>
      </c>
      <c r="O3" s="5">
        <f t="shared" si="4"/>
        <v>3.4849999999999999</v>
      </c>
      <c r="P3" s="5">
        <f t="shared" si="4"/>
        <v>3.48</v>
      </c>
      <c r="Q3" s="5">
        <f t="shared" si="4"/>
        <v>3.4750000000000001</v>
      </c>
      <c r="R3" s="5">
        <f t="shared" si="4"/>
        <v>3.4699999999999998</v>
      </c>
      <c r="S3" s="5">
        <f t="shared" si="4"/>
        <v>3.4649999999999999</v>
      </c>
      <c r="T3" s="5">
        <f t="shared" si="4"/>
        <v>3.46</v>
      </c>
      <c r="U3" s="5">
        <f t="shared" si="4"/>
        <v>3.4550000000000001</v>
      </c>
      <c r="V3" s="5">
        <f t="shared" si="4"/>
        <v>3.45</v>
      </c>
      <c r="W3" s="5">
        <f t="shared" si="4"/>
        <v>3.4449999999999998</v>
      </c>
      <c r="X3" s="5">
        <f t="shared" si="4"/>
        <v>3.44</v>
      </c>
      <c r="Y3" s="5">
        <f t="shared" si="4"/>
        <v>3.4350000000000001</v>
      </c>
      <c r="Z3" s="5">
        <f t="shared" si="4"/>
        <v>3.4299999999999997</v>
      </c>
      <c r="AA3" s="5">
        <f t="shared" si="4"/>
        <v>3.4249999999999998</v>
      </c>
      <c r="AB3" s="5">
        <f t="shared" si="4"/>
        <v>3.42</v>
      </c>
      <c r="AC3" s="5">
        <f t="shared" si="1"/>
        <v>3.415</v>
      </c>
      <c r="AD3" s="5">
        <f t="shared" si="1"/>
        <v>3.41</v>
      </c>
      <c r="AE3" s="5">
        <f t="shared" si="1"/>
        <v>3.4049999999999998</v>
      </c>
      <c r="AF3" s="19">
        <f>Cal!E23</f>
        <v>3.4</v>
      </c>
      <c r="AG3" s="45">
        <f t="shared" ref="AG3:AV17" si="5">AF3</f>
        <v>3.4</v>
      </c>
      <c r="AH3" s="45">
        <f t="shared" si="5"/>
        <v>3.4</v>
      </c>
      <c r="AI3" s="45">
        <f t="shared" si="5"/>
        <v>3.4</v>
      </c>
      <c r="AJ3" s="45">
        <f t="shared" si="5"/>
        <v>3.4</v>
      </c>
      <c r="AK3" s="45">
        <f t="shared" si="5"/>
        <v>3.4</v>
      </c>
      <c r="AL3" s="45">
        <f t="shared" si="5"/>
        <v>3.4</v>
      </c>
      <c r="AM3" s="45">
        <f t="shared" si="5"/>
        <v>3.4</v>
      </c>
      <c r="AN3" s="45">
        <f t="shared" si="5"/>
        <v>3.4</v>
      </c>
      <c r="AO3" s="45">
        <f t="shared" si="5"/>
        <v>3.4</v>
      </c>
      <c r="AP3" s="45">
        <f t="shared" si="5"/>
        <v>3.4</v>
      </c>
      <c r="AQ3" s="45">
        <f t="shared" si="5"/>
        <v>3.4</v>
      </c>
      <c r="AR3" s="45">
        <f t="shared" si="5"/>
        <v>3.4</v>
      </c>
      <c r="AS3" s="45">
        <f t="shared" si="5"/>
        <v>3.4</v>
      </c>
      <c r="AT3" s="45">
        <f t="shared" si="5"/>
        <v>3.4</v>
      </c>
      <c r="AU3" s="45">
        <f t="shared" si="5"/>
        <v>3.4</v>
      </c>
      <c r="AV3" s="45">
        <f t="shared" si="5"/>
        <v>3.4</v>
      </c>
      <c r="AW3" s="45">
        <f t="shared" si="2"/>
        <v>3.4</v>
      </c>
      <c r="AX3" s="45">
        <f t="shared" si="2"/>
        <v>3.4</v>
      </c>
      <c r="AY3" s="45">
        <f t="shared" si="2"/>
        <v>3.4</v>
      </c>
      <c r="AZ3" s="45">
        <f t="shared" si="2"/>
        <v>3.4</v>
      </c>
    </row>
    <row r="4" spans="1:52" ht="14.25" customHeight="1" x14ac:dyDescent="0.2">
      <c r="A4" s="5" t="s">
        <v>32</v>
      </c>
      <c r="B4" s="13">
        <f>Cal!B24</f>
        <v>3</v>
      </c>
      <c r="C4" s="5">
        <f>$B4+(($E4-$B4)/($E$1-$B$1))*(C$1-$B$1)</f>
        <v>7.1333333333333337</v>
      </c>
      <c r="D4" s="5">
        <f>$B4+(($E4-$B4)/($E$1-$B$1))*(D$1-$B$1)</f>
        <v>11.266666666666667</v>
      </c>
      <c r="E4" s="19">
        <f>Cal!C24</f>
        <v>15.4</v>
      </c>
      <c r="F4" s="5">
        <f t="shared" si="3"/>
        <v>15.4</v>
      </c>
      <c r="G4" s="5">
        <f t="shared" si="3"/>
        <v>15.4</v>
      </c>
      <c r="H4" s="5">
        <f t="shared" si="3"/>
        <v>15.4</v>
      </c>
      <c r="I4" s="5">
        <f t="shared" si="3"/>
        <v>15.4</v>
      </c>
      <c r="J4" s="5">
        <f t="shared" si="3"/>
        <v>15.4</v>
      </c>
      <c r="K4" s="5">
        <f t="shared" si="3"/>
        <v>15.4</v>
      </c>
      <c r="L4" s="19">
        <f>Cal!D24</f>
        <v>15.4</v>
      </c>
      <c r="M4" s="5">
        <f t="shared" si="4"/>
        <v>15.4</v>
      </c>
      <c r="N4" s="5">
        <f t="shared" si="1"/>
        <v>15.4</v>
      </c>
      <c r="O4" s="5">
        <f t="shared" si="1"/>
        <v>15.4</v>
      </c>
      <c r="P4" s="5">
        <f t="shared" si="1"/>
        <v>15.4</v>
      </c>
      <c r="Q4" s="5">
        <f t="shared" si="1"/>
        <v>15.4</v>
      </c>
      <c r="R4" s="5">
        <f t="shared" si="1"/>
        <v>15.4</v>
      </c>
      <c r="S4" s="5">
        <f t="shared" si="1"/>
        <v>15.4</v>
      </c>
      <c r="T4" s="5">
        <f t="shared" si="1"/>
        <v>15.4</v>
      </c>
      <c r="U4" s="5">
        <f t="shared" si="1"/>
        <v>15.4</v>
      </c>
      <c r="V4" s="5">
        <f t="shared" si="1"/>
        <v>15.4</v>
      </c>
      <c r="W4" s="5">
        <f t="shared" si="1"/>
        <v>15.4</v>
      </c>
      <c r="X4" s="5">
        <f t="shared" si="1"/>
        <v>15.4</v>
      </c>
      <c r="Y4" s="5">
        <f t="shared" si="1"/>
        <v>15.4</v>
      </c>
      <c r="Z4" s="5">
        <f t="shared" si="1"/>
        <v>15.4</v>
      </c>
      <c r="AA4" s="5">
        <f t="shared" si="1"/>
        <v>15.4</v>
      </c>
      <c r="AB4" s="5">
        <f t="shared" si="1"/>
        <v>15.4</v>
      </c>
      <c r="AC4" s="5">
        <f t="shared" si="1"/>
        <v>15.4</v>
      </c>
      <c r="AD4" s="5">
        <f t="shared" si="1"/>
        <v>15.4</v>
      </c>
      <c r="AE4" s="5">
        <f t="shared" si="1"/>
        <v>15.4</v>
      </c>
      <c r="AF4" s="19">
        <f>Cal!E24</f>
        <v>15.4</v>
      </c>
      <c r="AG4" s="45">
        <f t="shared" si="5"/>
        <v>15.4</v>
      </c>
      <c r="AH4" s="45">
        <f t="shared" si="2"/>
        <v>15.4</v>
      </c>
      <c r="AI4" s="45">
        <f t="shared" si="2"/>
        <v>15.4</v>
      </c>
      <c r="AJ4" s="45">
        <f t="shared" si="2"/>
        <v>15.4</v>
      </c>
      <c r="AK4" s="45">
        <f t="shared" si="2"/>
        <v>15.4</v>
      </c>
      <c r="AL4" s="45">
        <f t="shared" si="2"/>
        <v>15.4</v>
      </c>
      <c r="AM4" s="45">
        <f t="shared" si="2"/>
        <v>15.4</v>
      </c>
      <c r="AN4" s="45">
        <f t="shared" si="2"/>
        <v>15.4</v>
      </c>
      <c r="AO4" s="45">
        <f t="shared" si="2"/>
        <v>15.4</v>
      </c>
      <c r="AP4" s="45">
        <f t="shared" si="2"/>
        <v>15.4</v>
      </c>
      <c r="AQ4" s="45">
        <f t="shared" si="2"/>
        <v>15.4</v>
      </c>
      <c r="AR4" s="45">
        <f t="shared" si="2"/>
        <v>15.4</v>
      </c>
      <c r="AS4" s="45">
        <f t="shared" si="2"/>
        <v>15.4</v>
      </c>
      <c r="AT4" s="45">
        <f t="shared" si="2"/>
        <v>15.4</v>
      </c>
      <c r="AU4" s="45">
        <f t="shared" si="2"/>
        <v>15.4</v>
      </c>
      <c r="AV4" s="45">
        <f t="shared" si="2"/>
        <v>15.4</v>
      </c>
      <c r="AW4" s="45">
        <f t="shared" si="2"/>
        <v>15.4</v>
      </c>
      <c r="AX4" s="45">
        <f t="shared" si="2"/>
        <v>15.4</v>
      </c>
      <c r="AY4" s="45">
        <f t="shared" si="2"/>
        <v>15.4</v>
      </c>
      <c r="AZ4" s="45">
        <f t="shared" si="2"/>
        <v>15.4</v>
      </c>
    </row>
    <row r="5" spans="1:52" ht="14.25" customHeight="1" x14ac:dyDescent="0.2">
      <c r="A5" s="5" t="s">
        <v>35</v>
      </c>
      <c r="B5" s="13">
        <f>Cal!B25</f>
        <v>0.65</v>
      </c>
      <c r="C5" s="5">
        <f t="shared" ref="C5:D17" si="6">$B5+(($E5-$B5)/($E$1-$B$1))*(C$1-$B$1)</f>
        <v>0.68</v>
      </c>
      <c r="D5" s="5">
        <f t="shared" si="6"/>
        <v>0.71</v>
      </c>
      <c r="E5" s="19">
        <f>Cal!C25</f>
        <v>0.74</v>
      </c>
      <c r="F5" s="5">
        <f t="shared" si="3"/>
        <v>0.73571428571428565</v>
      </c>
      <c r="G5" s="5">
        <f t="shared" si="3"/>
        <v>0.73142857142857143</v>
      </c>
      <c r="H5" s="5">
        <f t="shared" si="3"/>
        <v>0.72714285714285709</v>
      </c>
      <c r="I5" s="5">
        <f t="shared" si="3"/>
        <v>0.72285714285714286</v>
      </c>
      <c r="J5" s="5">
        <f t="shared" si="3"/>
        <v>0.71857142857142853</v>
      </c>
      <c r="K5" s="5">
        <f t="shared" si="3"/>
        <v>0.7142857142857143</v>
      </c>
      <c r="L5" s="19">
        <f>Cal!D25</f>
        <v>0.71</v>
      </c>
      <c r="M5" s="5">
        <f t="shared" si="4"/>
        <v>0.70750000000000002</v>
      </c>
      <c r="N5" s="5">
        <f t="shared" si="1"/>
        <v>0.70499999999999996</v>
      </c>
      <c r="O5" s="5">
        <f t="shared" si="1"/>
        <v>0.70250000000000001</v>
      </c>
      <c r="P5" s="5">
        <f t="shared" si="1"/>
        <v>0.7</v>
      </c>
      <c r="Q5" s="5">
        <f t="shared" si="1"/>
        <v>0.69750000000000001</v>
      </c>
      <c r="R5" s="5">
        <f t="shared" si="1"/>
        <v>0.69499999999999995</v>
      </c>
      <c r="S5" s="5">
        <f t="shared" si="1"/>
        <v>0.6925</v>
      </c>
      <c r="T5" s="5">
        <f t="shared" si="1"/>
        <v>0.69</v>
      </c>
      <c r="U5" s="5">
        <f t="shared" si="1"/>
        <v>0.6875</v>
      </c>
      <c r="V5" s="5">
        <f t="shared" si="1"/>
        <v>0.68500000000000005</v>
      </c>
      <c r="W5" s="5">
        <f t="shared" si="1"/>
        <v>0.6825</v>
      </c>
      <c r="X5" s="5">
        <f t="shared" si="1"/>
        <v>0.68</v>
      </c>
      <c r="Y5" s="5">
        <f t="shared" si="1"/>
        <v>0.67749999999999999</v>
      </c>
      <c r="Z5" s="5">
        <f t="shared" si="1"/>
        <v>0.67500000000000004</v>
      </c>
      <c r="AA5" s="5">
        <f t="shared" si="1"/>
        <v>0.67249999999999999</v>
      </c>
      <c r="AB5" s="5">
        <f t="shared" si="1"/>
        <v>0.67</v>
      </c>
      <c r="AC5" s="5">
        <f t="shared" si="1"/>
        <v>0.66749999999999998</v>
      </c>
      <c r="AD5" s="5">
        <f t="shared" si="1"/>
        <v>0.66500000000000004</v>
      </c>
      <c r="AE5" s="5">
        <f t="shared" si="1"/>
        <v>0.66249999999999998</v>
      </c>
      <c r="AF5" s="19">
        <f>Cal!E25</f>
        <v>0.66</v>
      </c>
      <c r="AG5" s="45">
        <f t="shared" si="5"/>
        <v>0.66</v>
      </c>
      <c r="AH5" s="45">
        <f t="shared" si="2"/>
        <v>0.66</v>
      </c>
      <c r="AI5" s="45">
        <f t="shared" si="2"/>
        <v>0.66</v>
      </c>
      <c r="AJ5" s="45">
        <f t="shared" si="2"/>
        <v>0.66</v>
      </c>
      <c r="AK5" s="45">
        <f t="shared" si="2"/>
        <v>0.66</v>
      </c>
      <c r="AL5" s="45">
        <f t="shared" si="2"/>
        <v>0.66</v>
      </c>
      <c r="AM5" s="45">
        <f t="shared" si="2"/>
        <v>0.66</v>
      </c>
      <c r="AN5" s="45">
        <f t="shared" si="2"/>
        <v>0.66</v>
      </c>
      <c r="AO5" s="45">
        <f t="shared" si="2"/>
        <v>0.66</v>
      </c>
      <c r="AP5" s="45">
        <f t="shared" si="2"/>
        <v>0.66</v>
      </c>
      <c r="AQ5" s="45">
        <f t="shared" si="2"/>
        <v>0.66</v>
      </c>
      <c r="AR5" s="45">
        <f t="shared" si="2"/>
        <v>0.66</v>
      </c>
      <c r="AS5" s="45">
        <f t="shared" si="2"/>
        <v>0.66</v>
      </c>
      <c r="AT5" s="45">
        <f t="shared" si="2"/>
        <v>0.66</v>
      </c>
      <c r="AU5" s="45">
        <f t="shared" si="2"/>
        <v>0.66</v>
      </c>
      <c r="AV5" s="45">
        <f t="shared" si="2"/>
        <v>0.66</v>
      </c>
      <c r="AW5" s="45">
        <f t="shared" si="2"/>
        <v>0.66</v>
      </c>
      <c r="AX5" s="45">
        <f t="shared" si="2"/>
        <v>0.66</v>
      </c>
      <c r="AY5" s="45">
        <f t="shared" si="2"/>
        <v>0.66</v>
      </c>
      <c r="AZ5" s="45">
        <f t="shared" si="2"/>
        <v>0.66</v>
      </c>
    </row>
    <row r="6" spans="1:52" ht="14.25" customHeight="1" x14ac:dyDescent="0.2">
      <c r="A6" s="5" t="s">
        <v>36</v>
      </c>
      <c r="B6" s="13">
        <f>Cal!B26</f>
        <v>0</v>
      </c>
      <c r="C6" s="5">
        <f t="shared" si="6"/>
        <v>0</v>
      </c>
      <c r="D6" s="5">
        <f t="shared" si="6"/>
        <v>0</v>
      </c>
      <c r="E6" s="19">
        <f>Cal!C26</f>
        <v>0</v>
      </c>
      <c r="F6" s="5">
        <f t="shared" si="3"/>
        <v>0</v>
      </c>
      <c r="G6" s="5">
        <f t="shared" si="3"/>
        <v>0</v>
      </c>
      <c r="H6" s="5">
        <f t="shared" si="3"/>
        <v>0</v>
      </c>
      <c r="I6" s="5">
        <f t="shared" si="3"/>
        <v>0</v>
      </c>
      <c r="J6" s="5">
        <f t="shared" si="3"/>
        <v>0</v>
      </c>
      <c r="K6" s="5">
        <f t="shared" si="3"/>
        <v>0</v>
      </c>
      <c r="L6" s="19">
        <f>Cal!D26</f>
        <v>0</v>
      </c>
      <c r="M6" s="5">
        <f t="shared" si="4"/>
        <v>0</v>
      </c>
      <c r="N6" s="5">
        <f t="shared" si="1"/>
        <v>0</v>
      </c>
      <c r="O6" s="5">
        <f t="shared" si="1"/>
        <v>0</v>
      </c>
      <c r="P6" s="5">
        <f t="shared" si="1"/>
        <v>0</v>
      </c>
      <c r="Q6" s="5">
        <f t="shared" si="1"/>
        <v>0</v>
      </c>
      <c r="R6" s="5">
        <f t="shared" si="1"/>
        <v>0</v>
      </c>
      <c r="S6" s="5">
        <f t="shared" si="1"/>
        <v>0</v>
      </c>
      <c r="T6" s="5">
        <f t="shared" si="1"/>
        <v>0</v>
      </c>
      <c r="U6" s="5">
        <f t="shared" si="1"/>
        <v>0</v>
      </c>
      <c r="V6" s="5">
        <f t="shared" si="1"/>
        <v>0</v>
      </c>
      <c r="W6" s="5">
        <f t="shared" si="1"/>
        <v>0</v>
      </c>
      <c r="X6" s="5">
        <f t="shared" si="1"/>
        <v>0</v>
      </c>
      <c r="Y6" s="5">
        <f t="shared" si="1"/>
        <v>0</v>
      </c>
      <c r="Z6" s="5">
        <f t="shared" si="1"/>
        <v>0</v>
      </c>
      <c r="AA6" s="5">
        <f t="shared" si="1"/>
        <v>0</v>
      </c>
      <c r="AB6" s="5">
        <f t="shared" si="1"/>
        <v>0</v>
      </c>
      <c r="AC6" s="5">
        <f t="shared" si="1"/>
        <v>0</v>
      </c>
      <c r="AD6" s="5">
        <f t="shared" si="1"/>
        <v>0</v>
      </c>
      <c r="AE6" s="5">
        <f t="shared" si="1"/>
        <v>0</v>
      </c>
      <c r="AF6" s="19">
        <f>Cal!E26</f>
        <v>0</v>
      </c>
      <c r="AG6" s="45">
        <f t="shared" si="5"/>
        <v>0</v>
      </c>
      <c r="AH6" s="45">
        <f t="shared" si="2"/>
        <v>0</v>
      </c>
      <c r="AI6" s="45">
        <f t="shared" si="2"/>
        <v>0</v>
      </c>
      <c r="AJ6" s="45">
        <f t="shared" si="2"/>
        <v>0</v>
      </c>
      <c r="AK6" s="45">
        <f t="shared" si="2"/>
        <v>0</v>
      </c>
      <c r="AL6" s="45">
        <f t="shared" si="2"/>
        <v>0</v>
      </c>
      <c r="AM6" s="45">
        <f t="shared" si="2"/>
        <v>0</v>
      </c>
      <c r="AN6" s="45">
        <f t="shared" si="2"/>
        <v>0</v>
      </c>
      <c r="AO6" s="45">
        <f t="shared" si="2"/>
        <v>0</v>
      </c>
      <c r="AP6" s="45">
        <f t="shared" si="2"/>
        <v>0</v>
      </c>
      <c r="AQ6" s="45">
        <f t="shared" si="2"/>
        <v>0</v>
      </c>
      <c r="AR6" s="45">
        <f t="shared" si="2"/>
        <v>0</v>
      </c>
      <c r="AS6" s="45">
        <f t="shared" si="2"/>
        <v>0</v>
      </c>
      <c r="AT6" s="45">
        <f t="shared" si="2"/>
        <v>0</v>
      </c>
      <c r="AU6" s="45">
        <f t="shared" si="2"/>
        <v>0</v>
      </c>
      <c r="AV6" s="45">
        <f t="shared" si="2"/>
        <v>0</v>
      </c>
      <c r="AW6" s="45">
        <f t="shared" si="2"/>
        <v>0</v>
      </c>
      <c r="AX6" s="45">
        <f t="shared" si="2"/>
        <v>0</v>
      </c>
      <c r="AY6" s="45">
        <f t="shared" si="2"/>
        <v>0</v>
      </c>
      <c r="AZ6" s="45">
        <f t="shared" si="2"/>
        <v>0</v>
      </c>
    </row>
    <row r="7" spans="1:52" ht="14.25" customHeight="1" x14ac:dyDescent="0.2">
      <c r="A7" s="5" t="s">
        <v>37</v>
      </c>
      <c r="B7" s="13">
        <f>Cal!B27</f>
        <v>0</v>
      </c>
      <c r="C7" s="5">
        <f t="shared" si="6"/>
        <v>0</v>
      </c>
      <c r="D7" s="5">
        <f t="shared" si="6"/>
        <v>0</v>
      </c>
      <c r="E7" s="19">
        <f>Cal!C27</f>
        <v>0</v>
      </c>
      <c r="F7" s="5">
        <f t="shared" si="3"/>
        <v>0</v>
      </c>
      <c r="G7" s="5">
        <f t="shared" si="3"/>
        <v>0</v>
      </c>
      <c r="H7" s="5">
        <f t="shared" si="3"/>
        <v>0</v>
      </c>
      <c r="I7" s="5">
        <f t="shared" si="3"/>
        <v>0</v>
      </c>
      <c r="J7" s="5">
        <f t="shared" si="3"/>
        <v>0</v>
      </c>
      <c r="K7" s="5">
        <f t="shared" si="3"/>
        <v>0</v>
      </c>
      <c r="L7" s="19">
        <f>Cal!D27</f>
        <v>0</v>
      </c>
      <c r="M7" s="5">
        <f t="shared" si="4"/>
        <v>0</v>
      </c>
      <c r="N7" s="5">
        <f t="shared" si="1"/>
        <v>0</v>
      </c>
      <c r="O7" s="5">
        <f t="shared" si="1"/>
        <v>0</v>
      </c>
      <c r="P7" s="5">
        <f t="shared" si="1"/>
        <v>0</v>
      </c>
      <c r="Q7" s="5">
        <f t="shared" si="1"/>
        <v>0</v>
      </c>
      <c r="R7" s="5">
        <f t="shared" si="1"/>
        <v>0</v>
      </c>
      <c r="S7" s="5">
        <f t="shared" si="1"/>
        <v>0</v>
      </c>
      <c r="T7" s="5">
        <f t="shared" si="1"/>
        <v>0</v>
      </c>
      <c r="U7" s="5">
        <f t="shared" si="1"/>
        <v>0</v>
      </c>
      <c r="V7" s="5">
        <f t="shared" si="1"/>
        <v>0</v>
      </c>
      <c r="W7" s="5">
        <f t="shared" si="1"/>
        <v>0</v>
      </c>
      <c r="X7" s="5">
        <f t="shared" si="1"/>
        <v>0</v>
      </c>
      <c r="Y7" s="5">
        <f t="shared" si="1"/>
        <v>0</v>
      </c>
      <c r="Z7" s="5">
        <f t="shared" si="1"/>
        <v>0</v>
      </c>
      <c r="AA7" s="5">
        <f t="shared" si="1"/>
        <v>0</v>
      </c>
      <c r="AB7" s="5">
        <f t="shared" si="1"/>
        <v>0</v>
      </c>
      <c r="AC7" s="5">
        <f t="shared" si="1"/>
        <v>0</v>
      </c>
      <c r="AD7" s="5">
        <f t="shared" si="1"/>
        <v>0</v>
      </c>
      <c r="AE7" s="5">
        <f t="shared" si="1"/>
        <v>0</v>
      </c>
      <c r="AF7" s="19">
        <f>Cal!E27</f>
        <v>0</v>
      </c>
      <c r="AG7" s="45">
        <f t="shared" si="5"/>
        <v>0</v>
      </c>
      <c r="AH7" s="45">
        <f t="shared" si="2"/>
        <v>0</v>
      </c>
      <c r="AI7" s="45">
        <f t="shared" si="2"/>
        <v>0</v>
      </c>
      <c r="AJ7" s="45">
        <f t="shared" si="2"/>
        <v>0</v>
      </c>
      <c r="AK7" s="45">
        <f t="shared" si="2"/>
        <v>0</v>
      </c>
      <c r="AL7" s="45">
        <f t="shared" si="2"/>
        <v>0</v>
      </c>
      <c r="AM7" s="45">
        <f t="shared" si="2"/>
        <v>0</v>
      </c>
      <c r="AN7" s="45">
        <f t="shared" si="2"/>
        <v>0</v>
      </c>
      <c r="AO7" s="45">
        <f t="shared" si="2"/>
        <v>0</v>
      </c>
      <c r="AP7" s="45">
        <f t="shared" si="2"/>
        <v>0</v>
      </c>
      <c r="AQ7" s="45">
        <f t="shared" si="2"/>
        <v>0</v>
      </c>
      <c r="AR7" s="45">
        <f t="shared" si="2"/>
        <v>0</v>
      </c>
      <c r="AS7" s="45">
        <f t="shared" si="2"/>
        <v>0</v>
      </c>
      <c r="AT7" s="45">
        <f t="shared" si="2"/>
        <v>0</v>
      </c>
      <c r="AU7" s="45">
        <f t="shared" si="2"/>
        <v>0</v>
      </c>
      <c r="AV7" s="45">
        <f t="shared" si="2"/>
        <v>0</v>
      </c>
      <c r="AW7" s="45">
        <f t="shared" si="2"/>
        <v>0</v>
      </c>
      <c r="AX7" s="45">
        <f t="shared" si="2"/>
        <v>0</v>
      </c>
      <c r="AY7" s="45">
        <f t="shared" si="2"/>
        <v>0</v>
      </c>
      <c r="AZ7" s="45">
        <f t="shared" si="2"/>
        <v>0</v>
      </c>
    </row>
    <row r="8" spans="1:52" ht="14.25" customHeight="1" x14ac:dyDescent="0.2">
      <c r="A8" s="5" t="s">
        <v>48</v>
      </c>
      <c r="B8" s="13">
        <f>Cal!B28</f>
        <v>0</v>
      </c>
      <c r="C8" s="5">
        <f t="shared" si="6"/>
        <v>0</v>
      </c>
      <c r="D8" s="5">
        <f t="shared" si="6"/>
        <v>0</v>
      </c>
      <c r="E8" s="19">
        <f>Cal!C28</f>
        <v>0</v>
      </c>
      <c r="F8" s="5">
        <f t="shared" si="3"/>
        <v>0</v>
      </c>
      <c r="G8" s="5">
        <f t="shared" si="3"/>
        <v>0</v>
      </c>
      <c r="H8" s="5">
        <f t="shared" si="3"/>
        <v>0</v>
      </c>
      <c r="I8" s="5">
        <f t="shared" si="3"/>
        <v>0</v>
      </c>
      <c r="J8" s="5">
        <f t="shared" si="3"/>
        <v>0</v>
      </c>
      <c r="K8" s="5">
        <f t="shared" si="3"/>
        <v>0</v>
      </c>
      <c r="L8" s="19">
        <f>Cal!D28</f>
        <v>0</v>
      </c>
      <c r="M8" s="5">
        <f t="shared" si="4"/>
        <v>0</v>
      </c>
      <c r="N8" s="5">
        <f t="shared" si="1"/>
        <v>0</v>
      </c>
      <c r="O8" s="5">
        <f t="shared" si="1"/>
        <v>0</v>
      </c>
      <c r="P8" s="5">
        <f t="shared" si="1"/>
        <v>0</v>
      </c>
      <c r="Q8" s="5">
        <f t="shared" si="1"/>
        <v>0</v>
      </c>
      <c r="R8" s="5">
        <f t="shared" si="1"/>
        <v>0</v>
      </c>
      <c r="S8" s="5">
        <f t="shared" si="1"/>
        <v>0</v>
      </c>
      <c r="T8" s="5">
        <f t="shared" si="1"/>
        <v>0</v>
      </c>
      <c r="U8" s="5">
        <f t="shared" si="1"/>
        <v>0</v>
      </c>
      <c r="V8" s="5">
        <f t="shared" si="1"/>
        <v>0</v>
      </c>
      <c r="W8" s="5">
        <f t="shared" si="1"/>
        <v>0</v>
      </c>
      <c r="X8" s="5">
        <f t="shared" si="1"/>
        <v>0</v>
      </c>
      <c r="Y8" s="5">
        <f t="shared" si="1"/>
        <v>0</v>
      </c>
      <c r="Z8" s="5">
        <f t="shared" si="1"/>
        <v>0</v>
      </c>
      <c r="AA8" s="5">
        <f t="shared" si="1"/>
        <v>0</v>
      </c>
      <c r="AB8" s="5">
        <f t="shared" si="1"/>
        <v>0</v>
      </c>
      <c r="AC8" s="5">
        <f t="shared" si="1"/>
        <v>0</v>
      </c>
      <c r="AD8" s="5">
        <f t="shared" si="1"/>
        <v>0</v>
      </c>
      <c r="AE8" s="5">
        <f t="shared" si="1"/>
        <v>0</v>
      </c>
      <c r="AF8" s="19">
        <f>Cal!E28</f>
        <v>0</v>
      </c>
      <c r="AG8" s="45">
        <f t="shared" si="5"/>
        <v>0</v>
      </c>
      <c r="AH8" s="45">
        <f t="shared" si="2"/>
        <v>0</v>
      </c>
      <c r="AI8" s="45">
        <f t="shared" si="2"/>
        <v>0</v>
      </c>
      <c r="AJ8" s="45">
        <f t="shared" si="2"/>
        <v>0</v>
      </c>
      <c r="AK8" s="45">
        <f t="shared" si="2"/>
        <v>0</v>
      </c>
      <c r="AL8" s="45">
        <f t="shared" si="2"/>
        <v>0</v>
      </c>
      <c r="AM8" s="45">
        <f t="shared" si="2"/>
        <v>0</v>
      </c>
      <c r="AN8" s="45">
        <f t="shared" si="2"/>
        <v>0</v>
      </c>
      <c r="AO8" s="45">
        <f t="shared" si="2"/>
        <v>0</v>
      </c>
      <c r="AP8" s="45">
        <f t="shared" si="2"/>
        <v>0</v>
      </c>
      <c r="AQ8" s="45">
        <f t="shared" si="2"/>
        <v>0</v>
      </c>
      <c r="AR8" s="45">
        <f t="shared" si="2"/>
        <v>0</v>
      </c>
      <c r="AS8" s="45">
        <f t="shared" si="2"/>
        <v>0</v>
      </c>
      <c r="AT8" s="45">
        <f t="shared" si="2"/>
        <v>0</v>
      </c>
      <c r="AU8" s="45">
        <f t="shared" si="2"/>
        <v>0</v>
      </c>
      <c r="AV8" s="45">
        <f t="shared" si="2"/>
        <v>0</v>
      </c>
      <c r="AW8" s="45">
        <f t="shared" si="2"/>
        <v>0</v>
      </c>
      <c r="AX8" s="45">
        <f t="shared" si="2"/>
        <v>0</v>
      </c>
      <c r="AY8" s="45">
        <f t="shared" si="2"/>
        <v>0</v>
      </c>
      <c r="AZ8" s="45">
        <f t="shared" si="2"/>
        <v>0</v>
      </c>
    </row>
    <row r="9" spans="1:52" ht="14.25" customHeight="1" x14ac:dyDescent="0.2">
      <c r="A9" s="5" t="s">
        <v>38</v>
      </c>
      <c r="B9" s="13">
        <f>Cal!B29</f>
        <v>3</v>
      </c>
      <c r="C9" s="5">
        <f t="shared" si="6"/>
        <v>3.1333333333333333</v>
      </c>
      <c r="D9" s="5">
        <f t="shared" si="6"/>
        <v>3.2666666666666666</v>
      </c>
      <c r="E9" s="19">
        <f>Cal!C29</f>
        <v>3.4</v>
      </c>
      <c r="F9" s="5">
        <f t="shared" si="3"/>
        <v>3.3614285714285712</v>
      </c>
      <c r="G9" s="5">
        <f t="shared" si="3"/>
        <v>3.322857142857143</v>
      </c>
      <c r="H9" s="5">
        <f t="shared" si="3"/>
        <v>3.2842857142857143</v>
      </c>
      <c r="I9" s="5">
        <f t="shared" si="3"/>
        <v>3.2457142857142856</v>
      </c>
      <c r="J9" s="5">
        <f t="shared" si="3"/>
        <v>3.2071428571428569</v>
      </c>
      <c r="K9" s="5">
        <f t="shared" si="3"/>
        <v>3.1685714285714286</v>
      </c>
      <c r="L9" s="19">
        <f>Cal!D29</f>
        <v>3.13</v>
      </c>
      <c r="M9" s="5">
        <f t="shared" si="4"/>
        <v>3.1094999999999997</v>
      </c>
      <c r="N9" s="5">
        <f t="shared" si="1"/>
        <v>3.089</v>
      </c>
      <c r="O9" s="5">
        <f t="shared" si="1"/>
        <v>3.0684999999999998</v>
      </c>
      <c r="P9" s="5">
        <f t="shared" si="1"/>
        <v>3.048</v>
      </c>
      <c r="Q9" s="5">
        <f t="shared" si="1"/>
        <v>3.0274999999999999</v>
      </c>
      <c r="R9" s="5">
        <f t="shared" si="1"/>
        <v>3.0070000000000001</v>
      </c>
      <c r="S9" s="5">
        <f t="shared" si="1"/>
        <v>2.9864999999999999</v>
      </c>
      <c r="T9" s="5">
        <f t="shared" si="1"/>
        <v>2.9660000000000002</v>
      </c>
      <c r="U9" s="5">
        <f t="shared" si="1"/>
        <v>2.9455</v>
      </c>
      <c r="V9" s="5">
        <f t="shared" si="1"/>
        <v>2.9249999999999998</v>
      </c>
      <c r="W9" s="5">
        <f t="shared" si="1"/>
        <v>2.9045000000000001</v>
      </c>
      <c r="X9" s="5">
        <f t="shared" si="1"/>
        <v>2.8839999999999999</v>
      </c>
      <c r="Y9" s="5">
        <f t="shared" si="1"/>
        <v>2.8635000000000002</v>
      </c>
      <c r="Z9" s="5">
        <f t="shared" si="1"/>
        <v>2.843</v>
      </c>
      <c r="AA9" s="5">
        <f t="shared" si="1"/>
        <v>2.8225000000000002</v>
      </c>
      <c r="AB9" s="5">
        <f t="shared" si="1"/>
        <v>2.802</v>
      </c>
      <c r="AC9" s="5">
        <f t="shared" si="1"/>
        <v>2.7815000000000003</v>
      </c>
      <c r="AD9" s="5">
        <f t="shared" si="1"/>
        <v>2.7610000000000001</v>
      </c>
      <c r="AE9" s="5">
        <f t="shared" si="1"/>
        <v>2.7405000000000004</v>
      </c>
      <c r="AF9" s="19">
        <f>Cal!E29</f>
        <v>2.72</v>
      </c>
      <c r="AG9" s="45">
        <f t="shared" si="5"/>
        <v>2.72</v>
      </c>
      <c r="AH9" s="45">
        <f t="shared" si="2"/>
        <v>2.72</v>
      </c>
      <c r="AI9" s="45">
        <f t="shared" si="2"/>
        <v>2.72</v>
      </c>
      <c r="AJ9" s="45">
        <f t="shared" si="2"/>
        <v>2.72</v>
      </c>
      <c r="AK9" s="45">
        <f t="shared" si="2"/>
        <v>2.72</v>
      </c>
      <c r="AL9" s="45">
        <f t="shared" si="2"/>
        <v>2.72</v>
      </c>
      <c r="AM9" s="45">
        <f t="shared" si="2"/>
        <v>2.72</v>
      </c>
      <c r="AN9" s="45">
        <f t="shared" si="2"/>
        <v>2.72</v>
      </c>
      <c r="AO9" s="45">
        <f t="shared" si="2"/>
        <v>2.72</v>
      </c>
      <c r="AP9" s="45">
        <f t="shared" si="2"/>
        <v>2.72</v>
      </c>
      <c r="AQ9" s="45">
        <f t="shared" si="2"/>
        <v>2.72</v>
      </c>
      <c r="AR9" s="45">
        <f t="shared" si="2"/>
        <v>2.72</v>
      </c>
      <c r="AS9" s="45">
        <f t="shared" si="2"/>
        <v>2.72</v>
      </c>
      <c r="AT9" s="45">
        <f t="shared" si="2"/>
        <v>2.72</v>
      </c>
      <c r="AU9" s="45">
        <f t="shared" si="2"/>
        <v>2.72</v>
      </c>
      <c r="AV9" s="45">
        <f t="shared" si="2"/>
        <v>2.72</v>
      </c>
      <c r="AW9" s="45">
        <f t="shared" si="2"/>
        <v>2.72</v>
      </c>
      <c r="AX9" s="45">
        <f t="shared" si="2"/>
        <v>2.72</v>
      </c>
      <c r="AY9" s="45">
        <f t="shared" si="2"/>
        <v>2.72</v>
      </c>
      <c r="AZ9" s="45">
        <f t="shared" si="2"/>
        <v>2.72</v>
      </c>
    </row>
    <row r="10" spans="1:52" ht="14.25" customHeight="1" x14ac:dyDescent="0.2">
      <c r="A10" s="5" t="s">
        <v>39</v>
      </c>
      <c r="B10" s="13">
        <f>Cal!B30</f>
        <v>0.25</v>
      </c>
      <c r="C10" s="5">
        <f t="shared" si="6"/>
        <v>0.25666666666666665</v>
      </c>
      <c r="D10" s="5">
        <f t="shared" si="6"/>
        <v>0.26333333333333336</v>
      </c>
      <c r="E10" s="19">
        <f>Cal!C30</f>
        <v>0.27</v>
      </c>
      <c r="F10" s="5">
        <f t="shared" si="3"/>
        <v>0.27</v>
      </c>
      <c r="G10" s="5">
        <f t="shared" si="3"/>
        <v>0.27</v>
      </c>
      <c r="H10" s="5">
        <f t="shared" si="3"/>
        <v>0.27</v>
      </c>
      <c r="I10" s="5">
        <f t="shared" si="3"/>
        <v>0.27</v>
      </c>
      <c r="J10" s="5">
        <f t="shared" si="3"/>
        <v>0.27</v>
      </c>
      <c r="K10" s="5">
        <f t="shared" si="3"/>
        <v>0.27</v>
      </c>
      <c r="L10" s="19">
        <f>Cal!D30</f>
        <v>0.27</v>
      </c>
      <c r="M10" s="5">
        <f t="shared" si="4"/>
        <v>0.26850000000000002</v>
      </c>
      <c r="N10" s="5">
        <f t="shared" si="1"/>
        <v>0.26700000000000002</v>
      </c>
      <c r="O10" s="5">
        <f t="shared" si="1"/>
        <v>0.26550000000000001</v>
      </c>
      <c r="P10" s="5">
        <f t="shared" si="1"/>
        <v>0.26400000000000001</v>
      </c>
      <c r="Q10" s="5">
        <f t="shared" si="1"/>
        <v>0.26250000000000001</v>
      </c>
      <c r="R10" s="5">
        <f t="shared" si="1"/>
        <v>0.26100000000000001</v>
      </c>
      <c r="S10" s="5">
        <f t="shared" si="1"/>
        <v>0.25950000000000001</v>
      </c>
      <c r="T10" s="5">
        <f t="shared" si="1"/>
        <v>0.25800000000000001</v>
      </c>
      <c r="U10" s="5">
        <f t="shared" si="1"/>
        <v>0.25650000000000001</v>
      </c>
      <c r="V10" s="5">
        <f t="shared" si="1"/>
        <v>0.255</v>
      </c>
      <c r="W10" s="5">
        <f t="shared" si="1"/>
        <v>0.2535</v>
      </c>
      <c r="X10" s="5">
        <f t="shared" si="1"/>
        <v>0.252</v>
      </c>
      <c r="Y10" s="5">
        <f t="shared" si="1"/>
        <v>0.2505</v>
      </c>
      <c r="Z10" s="5">
        <f t="shared" si="1"/>
        <v>0.249</v>
      </c>
      <c r="AA10" s="5">
        <f t="shared" si="1"/>
        <v>0.2475</v>
      </c>
      <c r="AB10" s="5">
        <f t="shared" si="1"/>
        <v>0.246</v>
      </c>
      <c r="AC10" s="5">
        <f t="shared" si="1"/>
        <v>0.2445</v>
      </c>
      <c r="AD10" s="5">
        <f t="shared" si="1"/>
        <v>0.24299999999999999</v>
      </c>
      <c r="AE10" s="5">
        <f t="shared" si="1"/>
        <v>0.24149999999999999</v>
      </c>
      <c r="AF10" s="19">
        <f>Cal!E30</f>
        <v>0.24</v>
      </c>
      <c r="AG10" s="45">
        <f t="shared" si="5"/>
        <v>0.24</v>
      </c>
      <c r="AH10" s="45">
        <f t="shared" si="2"/>
        <v>0.24</v>
      </c>
      <c r="AI10" s="45">
        <f t="shared" si="2"/>
        <v>0.24</v>
      </c>
      <c r="AJ10" s="45">
        <f t="shared" si="2"/>
        <v>0.24</v>
      </c>
      <c r="AK10" s="45">
        <f t="shared" si="2"/>
        <v>0.24</v>
      </c>
      <c r="AL10" s="45">
        <f t="shared" si="2"/>
        <v>0.24</v>
      </c>
      <c r="AM10" s="45">
        <f t="shared" si="2"/>
        <v>0.24</v>
      </c>
      <c r="AN10" s="45">
        <f t="shared" si="2"/>
        <v>0.24</v>
      </c>
      <c r="AO10" s="45">
        <f t="shared" si="2"/>
        <v>0.24</v>
      </c>
      <c r="AP10" s="45">
        <f t="shared" si="2"/>
        <v>0.24</v>
      </c>
      <c r="AQ10" s="45">
        <f t="shared" si="2"/>
        <v>0.24</v>
      </c>
      <c r="AR10" s="45">
        <f t="shared" si="2"/>
        <v>0.24</v>
      </c>
      <c r="AS10" s="45">
        <f t="shared" si="2"/>
        <v>0.24</v>
      </c>
      <c r="AT10" s="45">
        <f t="shared" si="2"/>
        <v>0.24</v>
      </c>
      <c r="AU10" s="45">
        <f t="shared" si="2"/>
        <v>0.24</v>
      </c>
      <c r="AV10" s="45">
        <f t="shared" si="2"/>
        <v>0.24</v>
      </c>
      <c r="AW10" s="45">
        <f t="shared" si="2"/>
        <v>0.24</v>
      </c>
      <c r="AX10" s="45">
        <f t="shared" si="2"/>
        <v>0.24</v>
      </c>
      <c r="AY10" s="45">
        <f t="shared" si="2"/>
        <v>0.24</v>
      </c>
      <c r="AZ10" s="45">
        <f t="shared" si="2"/>
        <v>0.24</v>
      </c>
    </row>
    <row r="11" spans="1:52" ht="14.25" customHeight="1" x14ac:dyDescent="0.2">
      <c r="A11" s="5" t="s">
        <v>40</v>
      </c>
      <c r="B11" s="13">
        <f>Cal!B31</f>
        <v>6.4</v>
      </c>
      <c r="C11" s="5">
        <f t="shared" si="6"/>
        <v>6.7</v>
      </c>
      <c r="D11" s="5">
        <f t="shared" si="6"/>
        <v>7</v>
      </c>
      <c r="E11" s="19">
        <f>Cal!C31</f>
        <v>7.3</v>
      </c>
      <c r="F11" s="5">
        <f t="shared" si="3"/>
        <v>7.234285714285714</v>
      </c>
      <c r="G11" s="5">
        <f t="shared" si="3"/>
        <v>7.1685714285714282</v>
      </c>
      <c r="H11" s="5">
        <f t="shared" si="3"/>
        <v>7.1028571428571423</v>
      </c>
      <c r="I11" s="5">
        <f t="shared" si="3"/>
        <v>7.0371428571428574</v>
      </c>
      <c r="J11" s="5">
        <f t="shared" si="3"/>
        <v>6.9714285714285715</v>
      </c>
      <c r="K11" s="5">
        <f t="shared" si="3"/>
        <v>6.9057142857142857</v>
      </c>
      <c r="L11" s="19">
        <f>Cal!D31</f>
        <v>6.84</v>
      </c>
      <c r="M11" s="5">
        <f t="shared" si="4"/>
        <v>6.8285</v>
      </c>
      <c r="N11" s="5">
        <f t="shared" si="1"/>
        <v>6.8170000000000002</v>
      </c>
      <c r="O11" s="5">
        <f t="shared" si="1"/>
        <v>6.8055000000000003</v>
      </c>
      <c r="P11" s="5">
        <f t="shared" si="1"/>
        <v>6.7939999999999996</v>
      </c>
      <c r="Q11" s="5">
        <f t="shared" si="1"/>
        <v>6.7824999999999998</v>
      </c>
      <c r="R11" s="5">
        <f t="shared" si="1"/>
        <v>6.7709999999999999</v>
      </c>
      <c r="S11" s="5">
        <f t="shared" si="1"/>
        <v>6.7595000000000001</v>
      </c>
      <c r="T11" s="5">
        <f t="shared" si="1"/>
        <v>6.7480000000000002</v>
      </c>
      <c r="U11" s="5">
        <f t="shared" si="1"/>
        <v>6.7365000000000004</v>
      </c>
      <c r="V11" s="5">
        <f t="shared" si="1"/>
        <v>6.7249999999999996</v>
      </c>
      <c r="W11" s="5">
        <f t="shared" si="1"/>
        <v>6.7134999999999998</v>
      </c>
      <c r="X11" s="5">
        <f t="shared" si="1"/>
        <v>6.702</v>
      </c>
      <c r="Y11" s="5">
        <f t="shared" si="1"/>
        <v>6.6905000000000001</v>
      </c>
      <c r="Z11" s="5">
        <f t="shared" si="1"/>
        <v>6.6790000000000003</v>
      </c>
      <c r="AA11" s="5">
        <f t="shared" si="1"/>
        <v>6.6675000000000004</v>
      </c>
      <c r="AB11" s="5">
        <f t="shared" si="1"/>
        <v>6.6560000000000006</v>
      </c>
      <c r="AC11" s="5">
        <f t="shared" si="1"/>
        <v>6.6444999999999999</v>
      </c>
      <c r="AD11" s="5">
        <f t="shared" si="1"/>
        <v>6.633</v>
      </c>
      <c r="AE11" s="5">
        <f t="shared" si="1"/>
        <v>6.6215000000000002</v>
      </c>
      <c r="AF11" s="19">
        <f>Cal!E31</f>
        <v>6.61</v>
      </c>
      <c r="AG11" s="45">
        <f t="shared" si="5"/>
        <v>6.61</v>
      </c>
      <c r="AH11" s="45">
        <f t="shared" si="2"/>
        <v>6.61</v>
      </c>
      <c r="AI11" s="45">
        <f t="shared" si="2"/>
        <v>6.61</v>
      </c>
      <c r="AJ11" s="45">
        <f t="shared" si="2"/>
        <v>6.61</v>
      </c>
      <c r="AK11" s="45">
        <f t="shared" si="2"/>
        <v>6.61</v>
      </c>
      <c r="AL11" s="45">
        <f t="shared" si="2"/>
        <v>6.61</v>
      </c>
      <c r="AM11" s="45">
        <f t="shared" si="2"/>
        <v>6.61</v>
      </c>
      <c r="AN11" s="45">
        <f t="shared" si="2"/>
        <v>6.61</v>
      </c>
      <c r="AO11" s="45">
        <f t="shared" si="2"/>
        <v>6.61</v>
      </c>
      <c r="AP11" s="45">
        <f t="shared" si="2"/>
        <v>6.61</v>
      </c>
      <c r="AQ11" s="45">
        <f t="shared" si="2"/>
        <v>6.61</v>
      </c>
      <c r="AR11" s="45">
        <f t="shared" si="2"/>
        <v>6.61</v>
      </c>
      <c r="AS11" s="45">
        <f t="shared" si="2"/>
        <v>6.61</v>
      </c>
      <c r="AT11" s="45">
        <f t="shared" si="2"/>
        <v>6.61</v>
      </c>
      <c r="AU11" s="45">
        <f t="shared" si="2"/>
        <v>6.61</v>
      </c>
      <c r="AV11" s="45">
        <f t="shared" si="2"/>
        <v>6.61</v>
      </c>
      <c r="AW11" s="45">
        <f t="shared" si="2"/>
        <v>6.61</v>
      </c>
      <c r="AX11" s="45">
        <f t="shared" si="2"/>
        <v>6.61</v>
      </c>
      <c r="AY11" s="45">
        <f t="shared" si="2"/>
        <v>6.61</v>
      </c>
      <c r="AZ11" s="45">
        <f t="shared" si="2"/>
        <v>6.61</v>
      </c>
    </row>
    <row r="12" spans="1:52" ht="14.25" customHeight="1" x14ac:dyDescent="0.2">
      <c r="A12" s="5" t="s">
        <v>41</v>
      </c>
      <c r="B12" s="13">
        <f>Cal!B32</f>
        <v>0.13</v>
      </c>
      <c r="C12" s="5">
        <f t="shared" si="6"/>
        <v>0.95333333333333337</v>
      </c>
      <c r="D12" s="5">
        <f t="shared" si="6"/>
        <v>1.7766666666666668</v>
      </c>
      <c r="E12" s="19">
        <f>Cal!C32</f>
        <v>2.6</v>
      </c>
      <c r="F12" s="5">
        <f t="shared" si="3"/>
        <v>2.5857142857142859</v>
      </c>
      <c r="G12" s="5">
        <f t="shared" si="3"/>
        <v>2.5714285714285716</v>
      </c>
      <c r="H12" s="5">
        <f t="shared" si="3"/>
        <v>2.5571428571428574</v>
      </c>
      <c r="I12" s="5">
        <f t="shared" si="3"/>
        <v>2.5428571428571427</v>
      </c>
      <c r="J12" s="5">
        <f t="shared" si="3"/>
        <v>2.5285714285714285</v>
      </c>
      <c r="K12" s="5">
        <f t="shared" si="3"/>
        <v>2.5142857142857142</v>
      </c>
      <c r="L12" s="19">
        <f>Cal!D32</f>
        <v>2.5</v>
      </c>
      <c r="M12" s="5">
        <f t="shared" si="4"/>
        <v>2.4950000000000001</v>
      </c>
      <c r="N12" s="5">
        <f t="shared" si="1"/>
        <v>2.4900000000000002</v>
      </c>
      <c r="O12" s="5">
        <f t="shared" si="1"/>
        <v>2.4849999999999999</v>
      </c>
      <c r="P12" s="5">
        <f t="shared" si="1"/>
        <v>2.48</v>
      </c>
      <c r="Q12" s="5">
        <f t="shared" si="1"/>
        <v>2.4750000000000001</v>
      </c>
      <c r="R12" s="5">
        <f t="shared" si="1"/>
        <v>2.4699999999999998</v>
      </c>
      <c r="S12" s="5">
        <f t="shared" si="1"/>
        <v>2.4649999999999999</v>
      </c>
      <c r="T12" s="5">
        <f t="shared" si="1"/>
        <v>2.46</v>
      </c>
      <c r="U12" s="5">
        <f t="shared" si="1"/>
        <v>2.4550000000000001</v>
      </c>
      <c r="V12" s="5">
        <f t="shared" si="1"/>
        <v>2.4500000000000002</v>
      </c>
      <c r="W12" s="5">
        <f t="shared" si="1"/>
        <v>2.4449999999999998</v>
      </c>
      <c r="X12" s="5">
        <f t="shared" si="1"/>
        <v>2.44</v>
      </c>
      <c r="Y12" s="5">
        <f t="shared" si="1"/>
        <v>2.4350000000000001</v>
      </c>
      <c r="Z12" s="5">
        <f t="shared" si="1"/>
        <v>2.4299999999999997</v>
      </c>
      <c r="AA12" s="5">
        <f t="shared" si="1"/>
        <v>2.4249999999999998</v>
      </c>
      <c r="AB12" s="5">
        <f t="shared" si="1"/>
        <v>2.42</v>
      </c>
      <c r="AC12" s="5">
        <f t="shared" si="1"/>
        <v>2.415</v>
      </c>
      <c r="AD12" s="5">
        <f t="shared" si="1"/>
        <v>2.41</v>
      </c>
      <c r="AE12" s="5">
        <f t="shared" si="1"/>
        <v>2.4049999999999998</v>
      </c>
      <c r="AF12" s="19">
        <f>Cal!E32</f>
        <v>2.4</v>
      </c>
      <c r="AG12" s="45">
        <f t="shared" si="5"/>
        <v>2.4</v>
      </c>
      <c r="AH12" s="45">
        <f t="shared" si="2"/>
        <v>2.4</v>
      </c>
      <c r="AI12" s="45">
        <f t="shared" si="2"/>
        <v>2.4</v>
      </c>
      <c r="AJ12" s="45">
        <f t="shared" si="2"/>
        <v>2.4</v>
      </c>
      <c r="AK12" s="45">
        <f t="shared" si="2"/>
        <v>2.4</v>
      </c>
      <c r="AL12" s="45">
        <f t="shared" si="2"/>
        <v>2.4</v>
      </c>
      <c r="AM12" s="45">
        <f t="shared" si="2"/>
        <v>2.4</v>
      </c>
      <c r="AN12" s="45">
        <f t="shared" si="2"/>
        <v>2.4</v>
      </c>
      <c r="AO12" s="45">
        <f t="shared" si="2"/>
        <v>2.4</v>
      </c>
      <c r="AP12" s="45">
        <f t="shared" si="2"/>
        <v>2.4</v>
      </c>
      <c r="AQ12" s="45">
        <f t="shared" si="2"/>
        <v>2.4</v>
      </c>
      <c r="AR12" s="45">
        <f t="shared" si="2"/>
        <v>2.4</v>
      </c>
      <c r="AS12" s="45">
        <f t="shared" si="2"/>
        <v>2.4</v>
      </c>
      <c r="AT12" s="45">
        <f t="shared" si="2"/>
        <v>2.4</v>
      </c>
      <c r="AU12" s="45">
        <f t="shared" si="2"/>
        <v>2.4</v>
      </c>
      <c r="AV12" s="45">
        <f t="shared" si="2"/>
        <v>2.4</v>
      </c>
      <c r="AW12" s="45">
        <f t="shared" si="2"/>
        <v>2.4</v>
      </c>
      <c r="AX12" s="45">
        <f t="shared" si="2"/>
        <v>2.4</v>
      </c>
      <c r="AY12" s="45">
        <f t="shared" si="2"/>
        <v>2.4</v>
      </c>
      <c r="AZ12" s="45">
        <f t="shared" si="2"/>
        <v>2.4</v>
      </c>
    </row>
    <row r="13" spans="1:52" ht="14.25" customHeight="1" x14ac:dyDescent="0.2">
      <c r="A13" s="5" t="s">
        <v>42</v>
      </c>
      <c r="B13" s="13">
        <f>Cal!B33</f>
        <v>0.11</v>
      </c>
      <c r="C13" s="5">
        <f t="shared" si="6"/>
        <v>0.48999999999999994</v>
      </c>
      <c r="D13" s="5">
        <f t="shared" si="6"/>
        <v>0.86999999999999988</v>
      </c>
      <c r="E13" s="19">
        <f>Cal!C33</f>
        <v>1.25</v>
      </c>
      <c r="F13" s="5">
        <f t="shared" si="3"/>
        <v>1.2428571428571429</v>
      </c>
      <c r="G13" s="5">
        <f t="shared" si="3"/>
        <v>1.2357142857142858</v>
      </c>
      <c r="H13" s="5">
        <f t="shared" si="3"/>
        <v>1.2285714285714286</v>
      </c>
      <c r="I13" s="5">
        <f t="shared" si="3"/>
        <v>1.2214285714285713</v>
      </c>
      <c r="J13" s="5">
        <f t="shared" si="3"/>
        <v>1.2142857142857142</v>
      </c>
      <c r="K13" s="5">
        <f t="shared" si="3"/>
        <v>1.2071428571428571</v>
      </c>
      <c r="L13" s="19">
        <f>Cal!D33</f>
        <v>1.2</v>
      </c>
      <c r="M13" s="5">
        <f t="shared" si="4"/>
        <v>1.1975</v>
      </c>
      <c r="N13" s="5">
        <f t="shared" si="1"/>
        <v>1.1949999999999998</v>
      </c>
      <c r="O13" s="5">
        <f t="shared" si="1"/>
        <v>1.1924999999999999</v>
      </c>
      <c r="P13" s="5">
        <f t="shared" si="1"/>
        <v>1.19</v>
      </c>
      <c r="Q13" s="5">
        <f t="shared" si="1"/>
        <v>1.1875</v>
      </c>
      <c r="R13" s="5">
        <f t="shared" si="1"/>
        <v>1.1850000000000001</v>
      </c>
      <c r="S13" s="5">
        <f t="shared" si="1"/>
        <v>1.1824999999999999</v>
      </c>
      <c r="T13" s="5">
        <f t="shared" si="1"/>
        <v>1.18</v>
      </c>
      <c r="U13" s="5">
        <f t="shared" si="1"/>
        <v>1.1775</v>
      </c>
      <c r="V13" s="5">
        <f t="shared" si="1"/>
        <v>1.1749999999999998</v>
      </c>
      <c r="W13" s="5">
        <f t="shared" si="1"/>
        <v>1.1724999999999999</v>
      </c>
      <c r="X13" s="5">
        <f t="shared" si="1"/>
        <v>1.17</v>
      </c>
      <c r="Y13" s="5">
        <f t="shared" si="1"/>
        <v>1.1675</v>
      </c>
      <c r="Z13" s="5">
        <f t="shared" si="1"/>
        <v>1.165</v>
      </c>
      <c r="AA13" s="5">
        <f t="shared" si="1"/>
        <v>1.1624999999999999</v>
      </c>
      <c r="AB13" s="5">
        <f t="shared" si="1"/>
        <v>1.1599999999999999</v>
      </c>
      <c r="AC13" s="5">
        <f t="shared" si="1"/>
        <v>1.1575</v>
      </c>
      <c r="AD13" s="5">
        <f t="shared" si="1"/>
        <v>1.1549999999999998</v>
      </c>
      <c r="AE13" s="5">
        <f t="shared" si="1"/>
        <v>1.1524999999999999</v>
      </c>
      <c r="AF13" s="19">
        <f>Cal!E33</f>
        <v>1.1499999999999999</v>
      </c>
      <c r="AG13" s="45">
        <f t="shared" si="5"/>
        <v>1.1499999999999999</v>
      </c>
      <c r="AH13" s="45">
        <f t="shared" si="2"/>
        <v>1.1499999999999999</v>
      </c>
      <c r="AI13" s="45">
        <f t="shared" si="2"/>
        <v>1.1499999999999999</v>
      </c>
      <c r="AJ13" s="45">
        <f t="shared" si="2"/>
        <v>1.1499999999999999</v>
      </c>
      <c r="AK13" s="45">
        <f t="shared" si="2"/>
        <v>1.1499999999999999</v>
      </c>
      <c r="AL13" s="45">
        <f t="shared" si="2"/>
        <v>1.1499999999999999</v>
      </c>
      <c r="AM13" s="45">
        <f t="shared" si="2"/>
        <v>1.1499999999999999</v>
      </c>
      <c r="AN13" s="45">
        <f t="shared" si="2"/>
        <v>1.1499999999999999</v>
      </c>
      <c r="AO13" s="45">
        <f t="shared" si="2"/>
        <v>1.1499999999999999</v>
      </c>
      <c r="AP13" s="45">
        <f t="shared" si="2"/>
        <v>1.1499999999999999</v>
      </c>
      <c r="AQ13" s="45">
        <f t="shared" si="2"/>
        <v>1.1499999999999999</v>
      </c>
      <c r="AR13" s="45">
        <f t="shared" si="2"/>
        <v>1.1499999999999999</v>
      </c>
      <c r="AS13" s="45">
        <f t="shared" si="2"/>
        <v>1.1499999999999999</v>
      </c>
      <c r="AT13" s="45">
        <f t="shared" si="2"/>
        <v>1.1499999999999999</v>
      </c>
      <c r="AU13" s="45">
        <f t="shared" si="2"/>
        <v>1.1499999999999999</v>
      </c>
      <c r="AV13" s="45">
        <f t="shared" si="2"/>
        <v>1.1499999999999999</v>
      </c>
      <c r="AW13" s="45">
        <f t="shared" si="2"/>
        <v>1.1499999999999999</v>
      </c>
      <c r="AX13" s="45">
        <f t="shared" si="2"/>
        <v>1.1499999999999999</v>
      </c>
      <c r="AY13" s="45">
        <f t="shared" si="2"/>
        <v>1.1499999999999999</v>
      </c>
      <c r="AZ13" s="45">
        <f t="shared" si="2"/>
        <v>1.1499999999999999</v>
      </c>
    </row>
    <row r="14" spans="1:52" ht="14.25" customHeight="1" x14ac:dyDescent="0.2">
      <c r="A14" s="5" t="s">
        <v>43</v>
      </c>
      <c r="B14" s="13">
        <f>Cal!B34</f>
        <v>0</v>
      </c>
      <c r="C14" s="5">
        <f t="shared" si="6"/>
        <v>0</v>
      </c>
      <c r="D14" s="5">
        <f t="shared" si="6"/>
        <v>0</v>
      </c>
      <c r="E14" s="19">
        <f>Cal!C34</f>
        <v>0</v>
      </c>
      <c r="F14" s="5">
        <f t="shared" si="3"/>
        <v>0</v>
      </c>
      <c r="G14" s="5">
        <f t="shared" si="3"/>
        <v>0</v>
      </c>
      <c r="H14" s="5">
        <f t="shared" si="3"/>
        <v>0</v>
      </c>
      <c r="I14" s="5">
        <f t="shared" si="3"/>
        <v>0</v>
      </c>
      <c r="J14" s="5">
        <f t="shared" si="3"/>
        <v>0</v>
      </c>
      <c r="K14" s="5">
        <f t="shared" si="3"/>
        <v>0</v>
      </c>
      <c r="L14" s="19">
        <f>Cal!D34</f>
        <v>0</v>
      </c>
      <c r="M14" s="5">
        <f t="shared" si="4"/>
        <v>0</v>
      </c>
      <c r="N14" s="5">
        <f t="shared" si="1"/>
        <v>0</v>
      </c>
      <c r="O14" s="5">
        <f t="shared" si="1"/>
        <v>0</v>
      </c>
      <c r="P14" s="5">
        <f t="shared" si="1"/>
        <v>0</v>
      </c>
      <c r="Q14" s="5">
        <f t="shared" si="1"/>
        <v>0</v>
      </c>
      <c r="R14" s="5">
        <f t="shared" si="1"/>
        <v>0</v>
      </c>
      <c r="S14" s="5">
        <f t="shared" si="1"/>
        <v>0</v>
      </c>
      <c r="T14" s="5">
        <f t="shared" si="1"/>
        <v>0</v>
      </c>
      <c r="U14" s="5">
        <f t="shared" si="1"/>
        <v>0</v>
      </c>
      <c r="V14" s="5">
        <f t="shared" si="1"/>
        <v>0</v>
      </c>
      <c r="W14" s="5">
        <f t="shared" si="1"/>
        <v>0</v>
      </c>
      <c r="X14" s="5">
        <f t="shared" si="1"/>
        <v>0</v>
      </c>
      <c r="Y14" s="5">
        <f t="shared" si="1"/>
        <v>0</v>
      </c>
      <c r="Z14" s="5">
        <f t="shared" si="1"/>
        <v>0</v>
      </c>
      <c r="AA14" s="5">
        <f t="shared" si="1"/>
        <v>0</v>
      </c>
      <c r="AB14" s="5">
        <f t="shared" si="1"/>
        <v>0</v>
      </c>
      <c r="AC14" s="5">
        <f t="shared" si="1"/>
        <v>0</v>
      </c>
      <c r="AD14" s="5">
        <f t="shared" si="1"/>
        <v>0</v>
      </c>
      <c r="AE14" s="5">
        <f t="shared" si="1"/>
        <v>0</v>
      </c>
      <c r="AF14" s="19">
        <f>Cal!E34</f>
        <v>0</v>
      </c>
      <c r="AG14" s="45">
        <f t="shared" si="5"/>
        <v>0</v>
      </c>
      <c r="AH14" s="45">
        <f t="shared" si="2"/>
        <v>0</v>
      </c>
      <c r="AI14" s="45">
        <f t="shared" si="2"/>
        <v>0</v>
      </c>
      <c r="AJ14" s="45">
        <f t="shared" si="2"/>
        <v>0</v>
      </c>
      <c r="AK14" s="45">
        <f t="shared" si="2"/>
        <v>0</v>
      </c>
      <c r="AL14" s="45">
        <f t="shared" si="2"/>
        <v>0</v>
      </c>
      <c r="AM14" s="45">
        <f t="shared" si="2"/>
        <v>0</v>
      </c>
      <c r="AN14" s="45">
        <f t="shared" si="2"/>
        <v>0</v>
      </c>
      <c r="AO14" s="45">
        <f t="shared" si="2"/>
        <v>0</v>
      </c>
      <c r="AP14" s="45">
        <f t="shared" si="2"/>
        <v>0</v>
      </c>
      <c r="AQ14" s="45">
        <f t="shared" si="2"/>
        <v>0</v>
      </c>
      <c r="AR14" s="45">
        <f t="shared" si="2"/>
        <v>0</v>
      </c>
      <c r="AS14" s="45">
        <f t="shared" si="2"/>
        <v>0</v>
      </c>
      <c r="AT14" s="45">
        <f t="shared" si="2"/>
        <v>0</v>
      </c>
      <c r="AU14" s="45">
        <f t="shared" si="2"/>
        <v>0</v>
      </c>
      <c r="AV14" s="45">
        <f t="shared" si="2"/>
        <v>0</v>
      </c>
      <c r="AW14" s="45">
        <f t="shared" si="2"/>
        <v>0</v>
      </c>
      <c r="AX14" s="45">
        <f t="shared" si="2"/>
        <v>0</v>
      </c>
      <c r="AY14" s="45">
        <f t="shared" si="2"/>
        <v>0</v>
      </c>
      <c r="AZ14" s="45">
        <f t="shared" si="2"/>
        <v>0</v>
      </c>
    </row>
    <row r="15" spans="1:52" ht="14.25" customHeight="1" x14ac:dyDescent="0.2">
      <c r="A15" s="5" t="s">
        <v>44</v>
      </c>
      <c r="B15" s="13">
        <f>Cal!B35</f>
        <v>6.4</v>
      </c>
      <c r="C15" s="5">
        <f t="shared" si="6"/>
        <v>6.7</v>
      </c>
      <c r="D15" s="5">
        <f t="shared" si="6"/>
        <v>7</v>
      </c>
      <c r="E15" s="19">
        <f>Cal!C35</f>
        <v>7.3</v>
      </c>
      <c r="F15" s="5">
        <f t="shared" si="3"/>
        <v>7.234285714285714</v>
      </c>
      <c r="G15" s="5">
        <f t="shared" si="3"/>
        <v>7.1685714285714282</v>
      </c>
      <c r="H15" s="5">
        <f t="shared" si="3"/>
        <v>7.1028571428571423</v>
      </c>
      <c r="I15" s="5">
        <f t="shared" si="3"/>
        <v>7.0371428571428574</v>
      </c>
      <c r="J15" s="5">
        <f t="shared" si="3"/>
        <v>6.9714285714285715</v>
      </c>
      <c r="K15" s="5">
        <f t="shared" si="3"/>
        <v>6.9057142857142857</v>
      </c>
      <c r="L15" s="19">
        <f>Cal!D35</f>
        <v>6.84</v>
      </c>
      <c r="M15" s="5">
        <f t="shared" si="4"/>
        <v>6.8285</v>
      </c>
      <c r="N15" s="5">
        <f t="shared" si="1"/>
        <v>6.8170000000000002</v>
      </c>
      <c r="O15" s="5">
        <f t="shared" si="1"/>
        <v>6.8055000000000003</v>
      </c>
      <c r="P15" s="5">
        <f t="shared" si="1"/>
        <v>6.7939999999999996</v>
      </c>
      <c r="Q15" s="5">
        <f t="shared" si="1"/>
        <v>6.7824999999999998</v>
      </c>
      <c r="R15" s="5">
        <f t="shared" si="1"/>
        <v>6.7709999999999999</v>
      </c>
      <c r="S15" s="5">
        <f t="shared" si="1"/>
        <v>6.7595000000000001</v>
      </c>
      <c r="T15" s="5">
        <f t="shared" si="1"/>
        <v>6.7480000000000002</v>
      </c>
      <c r="U15" s="5">
        <f t="shared" si="1"/>
        <v>6.7365000000000004</v>
      </c>
      <c r="V15" s="5">
        <f t="shared" si="1"/>
        <v>6.7249999999999996</v>
      </c>
      <c r="W15" s="5">
        <f t="shared" si="1"/>
        <v>6.7134999999999998</v>
      </c>
      <c r="X15" s="5">
        <f t="shared" si="1"/>
        <v>6.702</v>
      </c>
      <c r="Y15" s="5">
        <f t="shared" si="1"/>
        <v>6.6905000000000001</v>
      </c>
      <c r="Z15" s="5">
        <f t="shared" si="1"/>
        <v>6.6790000000000003</v>
      </c>
      <c r="AA15" s="5">
        <f t="shared" si="1"/>
        <v>6.6675000000000004</v>
      </c>
      <c r="AB15" s="5">
        <f t="shared" si="1"/>
        <v>6.6560000000000006</v>
      </c>
      <c r="AC15" s="5">
        <f t="shared" si="1"/>
        <v>6.6444999999999999</v>
      </c>
      <c r="AD15" s="5">
        <f t="shared" si="1"/>
        <v>6.633</v>
      </c>
      <c r="AE15" s="5">
        <f t="shared" si="1"/>
        <v>6.6215000000000002</v>
      </c>
      <c r="AF15" s="19">
        <f>Cal!E35</f>
        <v>6.61</v>
      </c>
      <c r="AG15" s="45">
        <f t="shared" si="5"/>
        <v>6.61</v>
      </c>
      <c r="AH15" s="45">
        <f t="shared" si="2"/>
        <v>6.61</v>
      </c>
      <c r="AI15" s="45">
        <f t="shared" si="2"/>
        <v>6.61</v>
      </c>
      <c r="AJ15" s="45">
        <f t="shared" si="2"/>
        <v>6.61</v>
      </c>
      <c r="AK15" s="45">
        <f t="shared" si="2"/>
        <v>6.61</v>
      </c>
      <c r="AL15" s="45">
        <f t="shared" si="2"/>
        <v>6.61</v>
      </c>
      <c r="AM15" s="45">
        <f t="shared" si="2"/>
        <v>6.61</v>
      </c>
      <c r="AN15" s="45">
        <f t="shared" si="2"/>
        <v>6.61</v>
      </c>
      <c r="AO15" s="45">
        <f t="shared" si="2"/>
        <v>6.61</v>
      </c>
      <c r="AP15" s="45">
        <f t="shared" si="2"/>
        <v>6.61</v>
      </c>
      <c r="AQ15" s="45">
        <f t="shared" si="2"/>
        <v>6.61</v>
      </c>
      <c r="AR15" s="45">
        <f t="shared" si="2"/>
        <v>6.61</v>
      </c>
      <c r="AS15" s="45">
        <f t="shared" si="2"/>
        <v>6.61</v>
      </c>
      <c r="AT15" s="45">
        <f t="shared" si="2"/>
        <v>6.61</v>
      </c>
      <c r="AU15" s="45">
        <f t="shared" si="2"/>
        <v>6.61</v>
      </c>
      <c r="AV15" s="45">
        <f t="shared" si="2"/>
        <v>6.61</v>
      </c>
      <c r="AW15" s="45">
        <f t="shared" si="2"/>
        <v>6.61</v>
      </c>
      <c r="AX15" s="45">
        <f t="shared" si="2"/>
        <v>6.61</v>
      </c>
      <c r="AY15" s="45">
        <f t="shared" si="2"/>
        <v>6.61</v>
      </c>
      <c r="AZ15" s="45">
        <f t="shared" si="2"/>
        <v>6.61</v>
      </c>
    </row>
    <row r="16" spans="1:52" ht="14.25" customHeight="1" x14ac:dyDescent="0.2">
      <c r="A16" s="5" t="s">
        <v>45</v>
      </c>
      <c r="B16" s="13">
        <f>Cal!B36</f>
        <v>6.4</v>
      </c>
      <c r="C16" s="5">
        <f t="shared" si="6"/>
        <v>6.7</v>
      </c>
      <c r="D16" s="5">
        <f t="shared" si="6"/>
        <v>7</v>
      </c>
      <c r="E16" s="19">
        <f>Cal!C36</f>
        <v>7.3</v>
      </c>
      <c r="F16" s="5">
        <f t="shared" si="3"/>
        <v>7.234285714285714</v>
      </c>
      <c r="G16" s="5">
        <f t="shared" si="3"/>
        <v>7.1685714285714282</v>
      </c>
      <c r="H16" s="5">
        <f t="shared" si="3"/>
        <v>7.1028571428571423</v>
      </c>
      <c r="I16" s="5">
        <f t="shared" si="3"/>
        <v>7.0371428571428574</v>
      </c>
      <c r="J16" s="5">
        <f t="shared" si="3"/>
        <v>6.9714285714285715</v>
      </c>
      <c r="K16" s="5">
        <f t="shared" si="3"/>
        <v>6.9057142857142857</v>
      </c>
      <c r="L16" s="19">
        <f>Cal!D36</f>
        <v>6.84</v>
      </c>
      <c r="M16" s="5">
        <f t="shared" si="4"/>
        <v>6.8285</v>
      </c>
      <c r="N16" s="5">
        <f t="shared" si="1"/>
        <v>6.8170000000000002</v>
      </c>
      <c r="O16" s="5">
        <f t="shared" si="1"/>
        <v>6.8055000000000003</v>
      </c>
      <c r="P16" s="5">
        <f t="shared" si="1"/>
        <v>6.7939999999999996</v>
      </c>
      <c r="Q16" s="5">
        <f t="shared" si="1"/>
        <v>6.7824999999999998</v>
      </c>
      <c r="R16" s="5">
        <f t="shared" si="1"/>
        <v>6.7709999999999999</v>
      </c>
      <c r="S16" s="5">
        <f t="shared" si="1"/>
        <v>6.7595000000000001</v>
      </c>
      <c r="T16" s="5">
        <f t="shared" si="1"/>
        <v>6.7480000000000002</v>
      </c>
      <c r="U16" s="5">
        <f t="shared" si="1"/>
        <v>6.7365000000000004</v>
      </c>
      <c r="V16" s="5">
        <f t="shared" si="1"/>
        <v>6.7249999999999996</v>
      </c>
      <c r="W16" s="5">
        <f t="shared" si="1"/>
        <v>6.7134999999999998</v>
      </c>
      <c r="X16" s="5">
        <f t="shared" si="1"/>
        <v>6.702</v>
      </c>
      <c r="Y16" s="5">
        <f t="shared" si="1"/>
        <v>6.6905000000000001</v>
      </c>
      <c r="Z16" s="5">
        <f t="shared" si="1"/>
        <v>6.6790000000000003</v>
      </c>
      <c r="AA16" s="5">
        <f t="shared" si="1"/>
        <v>6.6675000000000004</v>
      </c>
      <c r="AB16" s="5">
        <f t="shared" si="1"/>
        <v>6.6560000000000006</v>
      </c>
      <c r="AC16" s="5">
        <f t="shared" si="1"/>
        <v>6.6444999999999999</v>
      </c>
      <c r="AD16" s="5">
        <f t="shared" si="1"/>
        <v>6.633</v>
      </c>
      <c r="AE16" s="5">
        <f t="shared" si="1"/>
        <v>6.6215000000000002</v>
      </c>
      <c r="AF16" s="19">
        <f>Cal!E36</f>
        <v>6.61</v>
      </c>
      <c r="AG16" s="45">
        <f t="shared" si="5"/>
        <v>6.61</v>
      </c>
      <c r="AH16" s="45">
        <f t="shared" si="2"/>
        <v>6.61</v>
      </c>
      <c r="AI16" s="45">
        <f t="shared" si="2"/>
        <v>6.61</v>
      </c>
      <c r="AJ16" s="45">
        <f t="shared" si="2"/>
        <v>6.61</v>
      </c>
      <c r="AK16" s="45">
        <f t="shared" si="2"/>
        <v>6.61</v>
      </c>
      <c r="AL16" s="45">
        <f t="shared" ref="AH16:AZ17" si="7">AK16</f>
        <v>6.61</v>
      </c>
      <c r="AM16" s="45">
        <f t="shared" si="7"/>
        <v>6.61</v>
      </c>
      <c r="AN16" s="45">
        <f t="shared" si="7"/>
        <v>6.61</v>
      </c>
      <c r="AO16" s="45">
        <f t="shared" si="7"/>
        <v>6.61</v>
      </c>
      <c r="AP16" s="45">
        <f t="shared" si="7"/>
        <v>6.61</v>
      </c>
      <c r="AQ16" s="45">
        <f t="shared" si="7"/>
        <v>6.61</v>
      </c>
      <c r="AR16" s="45">
        <f t="shared" si="7"/>
        <v>6.61</v>
      </c>
      <c r="AS16" s="45">
        <f t="shared" si="7"/>
        <v>6.61</v>
      </c>
      <c r="AT16" s="45">
        <f t="shared" si="7"/>
        <v>6.61</v>
      </c>
      <c r="AU16" s="45">
        <f t="shared" si="7"/>
        <v>6.61</v>
      </c>
      <c r="AV16" s="45">
        <f t="shared" si="7"/>
        <v>6.61</v>
      </c>
      <c r="AW16" s="45">
        <f t="shared" si="7"/>
        <v>6.61</v>
      </c>
      <c r="AX16" s="45">
        <f t="shared" si="7"/>
        <v>6.61</v>
      </c>
      <c r="AY16" s="45">
        <f t="shared" si="7"/>
        <v>6.61</v>
      </c>
      <c r="AZ16" s="45">
        <f t="shared" si="7"/>
        <v>6.61</v>
      </c>
    </row>
    <row r="17" spans="1:52" ht="14.25" customHeight="1" x14ac:dyDescent="0.2">
      <c r="A17" s="5" t="s">
        <v>46</v>
      </c>
      <c r="B17" s="13">
        <f>Cal!B37</f>
        <v>3</v>
      </c>
      <c r="C17" s="5">
        <f t="shared" si="6"/>
        <v>7.1333333333333337</v>
      </c>
      <c r="D17" s="5">
        <f t="shared" si="6"/>
        <v>11.266666666666667</v>
      </c>
      <c r="E17" s="19">
        <f>Cal!C37</f>
        <v>15.4</v>
      </c>
      <c r="F17" s="5">
        <f t="shared" si="3"/>
        <v>15.4</v>
      </c>
      <c r="G17" s="5">
        <f t="shared" si="3"/>
        <v>15.4</v>
      </c>
      <c r="H17" s="5">
        <f t="shared" si="3"/>
        <v>15.4</v>
      </c>
      <c r="I17" s="5">
        <f t="shared" si="3"/>
        <v>15.4</v>
      </c>
      <c r="J17" s="5">
        <f t="shared" si="3"/>
        <v>15.4</v>
      </c>
      <c r="K17" s="5">
        <f t="shared" si="3"/>
        <v>15.4</v>
      </c>
      <c r="L17" s="19">
        <f>Cal!D37</f>
        <v>15.4</v>
      </c>
      <c r="M17" s="5">
        <f t="shared" si="4"/>
        <v>15.4</v>
      </c>
      <c r="N17" s="5">
        <f t="shared" si="4"/>
        <v>15.4</v>
      </c>
      <c r="O17" s="5">
        <f t="shared" si="4"/>
        <v>15.4</v>
      </c>
      <c r="P17" s="5">
        <f t="shared" si="4"/>
        <v>15.4</v>
      </c>
      <c r="Q17" s="5">
        <f t="shared" si="4"/>
        <v>15.4</v>
      </c>
      <c r="R17" s="5">
        <f t="shared" si="4"/>
        <v>15.4</v>
      </c>
      <c r="S17" s="5">
        <f t="shared" si="4"/>
        <v>15.4</v>
      </c>
      <c r="T17" s="5">
        <f t="shared" si="4"/>
        <v>15.4</v>
      </c>
      <c r="U17" s="5">
        <f t="shared" si="4"/>
        <v>15.4</v>
      </c>
      <c r="V17" s="5">
        <f t="shared" si="4"/>
        <v>15.4</v>
      </c>
      <c r="W17" s="5">
        <f t="shared" si="4"/>
        <v>15.4</v>
      </c>
      <c r="X17" s="5">
        <f t="shared" si="4"/>
        <v>15.4</v>
      </c>
      <c r="Y17" s="5">
        <f t="shared" si="4"/>
        <v>15.4</v>
      </c>
      <c r="Z17" s="5">
        <f t="shared" si="4"/>
        <v>15.4</v>
      </c>
      <c r="AA17" s="5">
        <f t="shared" si="4"/>
        <v>15.4</v>
      </c>
      <c r="AB17" s="5">
        <f t="shared" si="4"/>
        <v>15.4</v>
      </c>
      <c r="AC17" s="5">
        <f t="shared" ref="AC17:AE17" si="8">$L17+(($AF17-$L17)/($AF$1-$L$1))*(AC$1-$L$1)</f>
        <v>15.4</v>
      </c>
      <c r="AD17" s="5">
        <f t="shared" si="8"/>
        <v>15.4</v>
      </c>
      <c r="AE17" s="5">
        <f t="shared" si="8"/>
        <v>15.4</v>
      </c>
      <c r="AF17" s="19">
        <f>Cal!E37</f>
        <v>15.4</v>
      </c>
      <c r="AG17" s="45">
        <f t="shared" si="5"/>
        <v>15.4</v>
      </c>
      <c r="AH17" s="45">
        <f t="shared" si="7"/>
        <v>15.4</v>
      </c>
      <c r="AI17" s="45">
        <f t="shared" si="7"/>
        <v>15.4</v>
      </c>
      <c r="AJ17" s="45">
        <f t="shared" si="7"/>
        <v>15.4</v>
      </c>
      <c r="AK17" s="45">
        <f t="shared" si="7"/>
        <v>15.4</v>
      </c>
      <c r="AL17" s="45">
        <f t="shared" si="7"/>
        <v>15.4</v>
      </c>
      <c r="AM17" s="45">
        <f t="shared" si="7"/>
        <v>15.4</v>
      </c>
      <c r="AN17" s="45">
        <f t="shared" si="7"/>
        <v>15.4</v>
      </c>
      <c r="AO17" s="45">
        <f t="shared" si="7"/>
        <v>15.4</v>
      </c>
      <c r="AP17" s="45">
        <f t="shared" si="7"/>
        <v>15.4</v>
      </c>
      <c r="AQ17" s="45">
        <f t="shared" si="7"/>
        <v>15.4</v>
      </c>
      <c r="AR17" s="45">
        <f t="shared" si="7"/>
        <v>15.4</v>
      </c>
      <c r="AS17" s="45">
        <f t="shared" si="7"/>
        <v>15.4</v>
      </c>
      <c r="AT17" s="45">
        <f t="shared" si="7"/>
        <v>15.4</v>
      </c>
      <c r="AU17" s="45">
        <f t="shared" si="7"/>
        <v>15.4</v>
      </c>
      <c r="AV17" s="45">
        <f t="shared" si="7"/>
        <v>15.4</v>
      </c>
      <c r="AW17" s="45">
        <f t="shared" si="7"/>
        <v>15.4</v>
      </c>
      <c r="AX17" s="45">
        <f t="shared" si="7"/>
        <v>15.4</v>
      </c>
      <c r="AY17" s="45">
        <f t="shared" si="7"/>
        <v>15.4</v>
      </c>
      <c r="AZ17" s="45">
        <f t="shared" si="7"/>
        <v>15.4</v>
      </c>
    </row>
    <row r="18" spans="1:52" ht="14.25" customHeight="1" x14ac:dyDescent="0.2">
      <c r="C18" s="5"/>
      <c r="AF18" s="19"/>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ht="14.25" customHeight="1" x14ac:dyDescent="0.2">
      <c r="A1" s="17" t="s">
        <v>50</v>
      </c>
      <c r="B1" s="18">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5" t="s">
        <v>51</v>
      </c>
      <c r="B2" s="5">
        <v>0</v>
      </c>
      <c r="C2" s="5">
        <f t="shared" ref="C2:AZ2" si="0">$B$2</f>
        <v>0</v>
      </c>
      <c r="D2" s="5">
        <f t="shared" si="0"/>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c r="AG2" s="5">
        <f t="shared" si="0"/>
        <v>0</v>
      </c>
      <c r="AH2" s="5">
        <f t="shared" si="0"/>
        <v>0</v>
      </c>
      <c r="AI2" s="5">
        <f t="shared" si="0"/>
        <v>0</v>
      </c>
      <c r="AJ2" s="5">
        <f t="shared" si="0"/>
        <v>0</v>
      </c>
      <c r="AK2" s="5">
        <f t="shared" si="0"/>
        <v>0</v>
      </c>
      <c r="AL2" s="5">
        <f t="shared" si="0"/>
        <v>0</v>
      </c>
      <c r="AM2" s="5">
        <f t="shared" si="0"/>
        <v>0</v>
      </c>
      <c r="AN2" s="5">
        <f t="shared" si="0"/>
        <v>0</v>
      </c>
      <c r="AO2" s="5">
        <f t="shared" si="0"/>
        <v>0</v>
      </c>
      <c r="AP2" s="5">
        <f t="shared" si="0"/>
        <v>0</v>
      </c>
      <c r="AQ2" s="5">
        <f t="shared" si="0"/>
        <v>0</v>
      </c>
      <c r="AR2" s="5">
        <f t="shared" si="0"/>
        <v>0</v>
      </c>
      <c r="AS2" s="5">
        <f t="shared" si="0"/>
        <v>0</v>
      </c>
      <c r="AT2" s="5">
        <f t="shared" si="0"/>
        <v>0</v>
      </c>
      <c r="AU2" s="5">
        <f t="shared" si="0"/>
        <v>0</v>
      </c>
      <c r="AV2" s="5">
        <f t="shared" si="0"/>
        <v>0</v>
      </c>
      <c r="AW2" s="5">
        <f t="shared" si="0"/>
        <v>0</v>
      </c>
      <c r="AX2" s="5">
        <f t="shared" si="0"/>
        <v>0</v>
      </c>
      <c r="AY2" s="5">
        <f t="shared" si="0"/>
        <v>0</v>
      </c>
      <c r="AZ2" s="5">
        <f t="shared" si="0"/>
        <v>0</v>
      </c>
    </row>
    <row r="3" spans="1:52" ht="14.25" customHeight="1" x14ac:dyDescent="0.2">
      <c r="A3" s="5" t="s">
        <v>34</v>
      </c>
      <c r="B3" s="5">
        <v>0</v>
      </c>
      <c r="C3" s="5">
        <f t="shared" ref="C3:AZ3" si="1">$B$3</f>
        <v>0</v>
      </c>
      <c r="D3" s="5">
        <f t="shared" si="1"/>
        <v>0</v>
      </c>
      <c r="E3" s="5">
        <f t="shared" si="1"/>
        <v>0</v>
      </c>
      <c r="F3" s="5">
        <f t="shared" si="1"/>
        <v>0</v>
      </c>
      <c r="G3" s="5">
        <f t="shared" si="1"/>
        <v>0</v>
      </c>
      <c r="H3" s="5">
        <f t="shared" si="1"/>
        <v>0</v>
      </c>
      <c r="I3" s="5">
        <f t="shared" si="1"/>
        <v>0</v>
      </c>
      <c r="J3" s="5">
        <f t="shared" si="1"/>
        <v>0</v>
      </c>
      <c r="K3" s="5">
        <f t="shared" si="1"/>
        <v>0</v>
      </c>
      <c r="L3" s="5">
        <f t="shared" si="1"/>
        <v>0</v>
      </c>
      <c r="M3" s="5">
        <f t="shared" si="1"/>
        <v>0</v>
      </c>
      <c r="N3" s="5">
        <f t="shared" si="1"/>
        <v>0</v>
      </c>
      <c r="O3" s="5">
        <f t="shared" si="1"/>
        <v>0</v>
      </c>
      <c r="P3" s="5">
        <f t="shared" si="1"/>
        <v>0</v>
      </c>
      <c r="Q3" s="5">
        <f t="shared" si="1"/>
        <v>0</v>
      </c>
      <c r="R3" s="5">
        <f t="shared" si="1"/>
        <v>0</v>
      </c>
      <c r="S3" s="5">
        <f t="shared" si="1"/>
        <v>0</v>
      </c>
      <c r="T3" s="5">
        <f t="shared" si="1"/>
        <v>0</v>
      </c>
      <c r="U3" s="5">
        <f t="shared" si="1"/>
        <v>0</v>
      </c>
      <c r="V3" s="5">
        <f t="shared" si="1"/>
        <v>0</v>
      </c>
      <c r="W3" s="5">
        <f t="shared" si="1"/>
        <v>0</v>
      </c>
      <c r="X3" s="5">
        <f t="shared" si="1"/>
        <v>0</v>
      </c>
      <c r="Y3" s="5">
        <f t="shared" si="1"/>
        <v>0</v>
      </c>
      <c r="Z3" s="5">
        <f t="shared" si="1"/>
        <v>0</v>
      </c>
      <c r="AA3" s="5">
        <f t="shared" si="1"/>
        <v>0</v>
      </c>
      <c r="AB3" s="5">
        <f t="shared" si="1"/>
        <v>0</v>
      </c>
      <c r="AC3" s="5">
        <f t="shared" si="1"/>
        <v>0</v>
      </c>
      <c r="AD3" s="5">
        <f t="shared" si="1"/>
        <v>0</v>
      </c>
      <c r="AE3" s="5">
        <f t="shared" si="1"/>
        <v>0</v>
      </c>
      <c r="AF3" s="5">
        <f t="shared" si="1"/>
        <v>0</v>
      </c>
      <c r="AG3" s="5">
        <f t="shared" si="1"/>
        <v>0</v>
      </c>
      <c r="AH3" s="5">
        <f t="shared" si="1"/>
        <v>0</v>
      </c>
      <c r="AI3" s="5">
        <f t="shared" si="1"/>
        <v>0</v>
      </c>
      <c r="AJ3" s="5">
        <f t="shared" si="1"/>
        <v>0</v>
      </c>
      <c r="AK3" s="5">
        <f t="shared" si="1"/>
        <v>0</v>
      </c>
      <c r="AL3" s="5">
        <f t="shared" si="1"/>
        <v>0</v>
      </c>
      <c r="AM3" s="5">
        <f t="shared" si="1"/>
        <v>0</v>
      </c>
      <c r="AN3" s="5">
        <f t="shared" si="1"/>
        <v>0</v>
      </c>
      <c r="AO3" s="5">
        <f t="shared" si="1"/>
        <v>0</v>
      </c>
      <c r="AP3" s="5">
        <f t="shared" si="1"/>
        <v>0</v>
      </c>
      <c r="AQ3" s="5">
        <f t="shared" si="1"/>
        <v>0</v>
      </c>
      <c r="AR3" s="5">
        <f t="shared" si="1"/>
        <v>0</v>
      </c>
      <c r="AS3" s="5">
        <f t="shared" si="1"/>
        <v>0</v>
      </c>
      <c r="AT3" s="5">
        <f t="shared" si="1"/>
        <v>0</v>
      </c>
      <c r="AU3" s="5">
        <f t="shared" si="1"/>
        <v>0</v>
      </c>
      <c r="AV3" s="5">
        <f t="shared" si="1"/>
        <v>0</v>
      </c>
      <c r="AW3" s="5">
        <f t="shared" si="1"/>
        <v>0</v>
      </c>
      <c r="AX3" s="5">
        <f t="shared" si="1"/>
        <v>0</v>
      </c>
      <c r="AY3" s="5">
        <f t="shared" si="1"/>
        <v>0</v>
      </c>
      <c r="AZ3" s="5">
        <f t="shared" si="1"/>
        <v>0</v>
      </c>
    </row>
    <row r="4" spans="1:52" ht="14.25" customHeight="1" x14ac:dyDescent="0.2">
      <c r="A4" s="5" t="s">
        <v>32</v>
      </c>
      <c r="B4" s="5">
        <v>0</v>
      </c>
      <c r="C4" s="5">
        <f t="shared" ref="C4:AZ4" si="2">$B$4</f>
        <v>0</v>
      </c>
      <c r="D4" s="5">
        <f t="shared" si="2"/>
        <v>0</v>
      </c>
      <c r="E4" s="5">
        <f t="shared" si="2"/>
        <v>0</v>
      </c>
      <c r="F4" s="5">
        <f t="shared" si="2"/>
        <v>0</v>
      </c>
      <c r="G4" s="5">
        <f t="shared" si="2"/>
        <v>0</v>
      </c>
      <c r="H4" s="5">
        <f t="shared" si="2"/>
        <v>0</v>
      </c>
      <c r="I4" s="5">
        <f t="shared" si="2"/>
        <v>0</v>
      </c>
      <c r="J4" s="5">
        <f t="shared" si="2"/>
        <v>0</v>
      </c>
      <c r="K4" s="5">
        <f t="shared" si="2"/>
        <v>0</v>
      </c>
      <c r="L4" s="5">
        <f t="shared" si="2"/>
        <v>0</v>
      </c>
      <c r="M4" s="5">
        <f t="shared" si="2"/>
        <v>0</v>
      </c>
      <c r="N4" s="5">
        <f t="shared" si="2"/>
        <v>0</v>
      </c>
      <c r="O4" s="5">
        <f t="shared" si="2"/>
        <v>0</v>
      </c>
      <c r="P4" s="5">
        <f t="shared" si="2"/>
        <v>0</v>
      </c>
      <c r="Q4" s="5">
        <f t="shared" si="2"/>
        <v>0</v>
      </c>
      <c r="R4" s="5">
        <f t="shared" si="2"/>
        <v>0</v>
      </c>
      <c r="S4" s="5">
        <f t="shared" si="2"/>
        <v>0</v>
      </c>
      <c r="T4" s="5">
        <f t="shared" si="2"/>
        <v>0</v>
      </c>
      <c r="U4" s="5">
        <f t="shared" si="2"/>
        <v>0</v>
      </c>
      <c r="V4" s="5">
        <f t="shared" si="2"/>
        <v>0</v>
      </c>
      <c r="W4" s="5">
        <f t="shared" si="2"/>
        <v>0</v>
      </c>
      <c r="X4" s="5">
        <f t="shared" si="2"/>
        <v>0</v>
      </c>
      <c r="Y4" s="5">
        <f t="shared" si="2"/>
        <v>0</v>
      </c>
      <c r="Z4" s="5">
        <f t="shared" si="2"/>
        <v>0</v>
      </c>
      <c r="AA4" s="5">
        <f t="shared" si="2"/>
        <v>0</v>
      </c>
      <c r="AB4" s="5">
        <f t="shared" si="2"/>
        <v>0</v>
      </c>
      <c r="AC4" s="5">
        <f t="shared" si="2"/>
        <v>0</v>
      </c>
      <c r="AD4" s="5">
        <f t="shared" si="2"/>
        <v>0</v>
      </c>
      <c r="AE4" s="5">
        <f t="shared" si="2"/>
        <v>0</v>
      </c>
      <c r="AF4" s="5">
        <f t="shared" si="2"/>
        <v>0</v>
      </c>
      <c r="AG4" s="5">
        <f t="shared" si="2"/>
        <v>0</v>
      </c>
      <c r="AH4" s="5">
        <f t="shared" si="2"/>
        <v>0</v>
      </c>
      <c r="AI4" s="5">
        <f t="shared" si="2"/>
        <v>0</v>
      </c>
      <c r="AJ4" s="5">
        <f t="shared" si="2"/>
        <v>0</v>
      </c>
      <c r="AK4" s="5">
        <f t="shared" si="2"/>
        <v>0</v>
      </c>
      <c r="AL4" s="5">
        <f t="shared" si="2"/>
        <v>0</v>
      </c>
      <c r="AM4" s="5">
        <f t="shared" si="2"/>
        <v>0</v>
      </c>
      <c r="AN4" s="5">
        <f t="shared" si="2"/>
        <v>0</v>
      </c>
      <c r="AO4" s="5">
        <f t="shared" si="2"/>
        <v>0</v>
      </c>
      <c r="AP4" s="5">
        <f t="shared" si="2"/>
        <v>0</v>
      </c>
      <c r="AQ4" s="5">
        <f t="shared" si="2"/>
        <v>0</v>
      </c>
      <c r="AR4" s="5">
        <f t="shared" si="2"/>
        <v>0</v>
      </c>
      <c r="AS4" s="5">
        <f t="shared" si="2"/>
        <v>0</v>
      </c>
      <c r="AT4" s="5">
        <f t="shared" si="2"/>
        <v>0</v>
      </c>
      <c r="AU4" s="5">
        <f t="shared" si="2"/>
        <v>0</v>
      </c>
      <c r="AV4" s="5">
        <f t="shared" si="2"/>
        <v>0</v>
      </c>
      <c r="AW4" s="5">
        <f t="shared" si="2"/>
        <v>0</v>
      </c>
      <c r="AX4" s="5">
        <f t="shared" si="2"/>
        <v>0</v>
      </c>
      <c r="AY4" s="5">
        <f t="shared" si="2"/>
        <v>0</v>
      </c>
      <c r="AZ4" s="5">
        <f t="shared" si="2"/>
        <v>0</v>
      </c>
    </row>
    <row r="5" spans="1:52" ht="14.25" customHeight="1" x14ac:dyDescent="0.2">
      <c r="A5" s="5" t="s">
        <v>35</v>
      </c>
      <c r="B5" s="5">
        <v>0</v>
      </c>
      <c r="C5" s="5">
        <f t="shared" ref="C5:AZ5" si="3">$B$5</f>
        <v>0</v>
      </c>
      <c r="D5" s="5">
        <f t="shared" si="3"/>
        <v>0</v>
      </c>
      <c r="E5" s="5">
        <f t="shared" si="3"/>
        <v>0</v>
      </c>
      <c r="F5" s="5">
        <f t="shared" si="3"/>
        <v>0</v>
      </c>
      <c r="G5" s="5">
        <f t="shared" si="3"/>
        <v>0</v>
      </c>
      <c r="H5" s="5">
        <f t="shared" si="3"/>
        <v>0</v>
      </c>
      <c r="I5" s="5">
        <f t="shared" si="3"/>
        <v>0</v>
      </c>
      <c r="J5" s="5">
        <f t="shared" si="3"/>
        <v>0</v>
      </c>
      <c r="K5" s="5">
        <f t="shared" si="3"/>
        <v>0</v>
      </c>
      <c r="L5" s="5">
        <f t="shared" si="3"/>
        <v>0</v>
      </c>
      <c r="M5" s="5">
        <f t="shared" si="3"/>
        <v>0</v>
      </c>
      <c r="N5" s="5">
        <f t="shared" si="3"/>
        <v>0</v>
      </c>
      <c r="O5" s="5">
        <f t="shared" si="3"/>
        <v>0</v>
      </c>
      <c r="P5" s="5">
        <f t="shared" si="3"/>
        <v>0</v>
      </c>
      <c r="Q5" s="5">
        <f t="shared" si="3"/>
        <v>0</v>
      </c>
      <c r="R5" s="5">
        <f t="shared" si="3"/>
        <v>0</v>
      </c>
      <c r="S5" s="5">
        <f t="shared" si="3"/>
        <v>0</v>
      </c>
      <c r="T5" s="5">
        <f t="shared" si="3"/>
        <v>0</v>
      </c>
      <c r="U5" s="5">
        <f t="shared" si="3"/>
        <v>0</v>
      </c>
      <c r="V5" s="5">
        <f t="shared" si="3"/>
        <v>0</v>
      </c>
      <c r="W5" s="5">
        <f t="shared" si="3"/>
        <v>0</v>
      </c>
      <c r="X5" s="5">
        <f t="shared" si="3"/>
        <v>0</v>
      </c>
      <c r="Y5" s="5">
        <f t="shared" si="3"/>
        <v>0</v>
      </c>
      <c r="Z5" s="5">
        <f t="shared" si="3"/>
        <v>0</v>
      </c>
      <c r="AA5" s="5">
        <f t="shared" si="3"/>
        <v>0</v>
      </c>
      <c r="AB5" s="5">
        <f t="shared" si="3"/>
        <v>0</v>
      </c>
      <c r="AC5" s="5">
        <f t="shared" si="3"/>
        <v>0</v>
      </c>
      <c r="AD5" s="5">
        <f t="shared" si="3"/>
        <v>0</v>
      </c>
      <c r="AE5" s="5">
        <f t="shared" si="3"/>
        <v>0</v>
      </c>
      <c r="AF5" s="5">
        <f t="shared" si="3"/>
        <v>0</v>
      </c>
      <c r="AG5" s="5">
        <f t="shared" si="3"/>
        <v>0</v>
      </c>
      <c r="AH5" s="5">
        <f t="shared" si="3"/>
        <v>0</v>
      </c>
      <c r="AI5" s="5">
        <f t="shared" si="3"/>
        <v>0</v>
      </c>
      <c r="AJ5" s="5">
        <f t="shared" si="3"/>
        <v>0</v>
      </c>
      <c r="AK5" s="5">
        <f t="shared" si="3"/>
        <v>0</v>
      </c>
      <c r="AL5" s="5">
        <f t="shared" si="3"/>
        <v>0</v>
      </c>
      <c r="AM5" s="5">
        <f t="shared" si="3"/>
        <v>0</v>
      </c>
      <c r="AN5" s="5">
        <f t="shared" si="3"/>
        <v>0</v>
      </c>
      <c r="AO5" s="5">
        <f t="shared" si="3"/>
        <v>0</v>
      </c>
      <c r="AP5" s="5">
        <f t="shared" si="3"/>
        <v>0</v>
      </c>
      <c r="AQ5" s="5">
        <f t="shared" si="3"/>
        <v>0</v>
      </c>
      <c r="AR5" s="5">
        <f t="shared" si="3"/>
        <v>0</v>
      </c>
      <c r="AS5" s="5">
        <f t="shared" si="3"/>
        <v>0</v>
      </c>
      <c r="AT5" s="5">
        <f t="shared" si="3"/>
        <v>0</v>
      </c>
      <c r="AU5" s="5">
        <f t="shared" si="3"/>
        <v>0</v>
      </c>
      <c r="AV5" s="5">
        <f t="shared" si="3"/>
        <v>0</v>
      </c>
      <c r="AW5" s="5">
        <f t="shared" si="3"/>
        <v>0</v>
      </c>
      <c r="AX5" s="5">
        <f t="shared" si="3"/>
        <v>0</v>
      </c>
      <c r="AY5" s="5">
        <f t="shared" si="3"/>
        <v>0</v>
      </c>
      <c r="AZ5" s="5">
        <f t="shared" si="3"/>
        <v>0</v>
      </c>
    </row>
    <row r="6" spans="1:52" ht="14.25" customHeight="1" x14ac:dyDescent="0.2">
      <c r="A6" s="5" t="s">
        <v>36</v>
      </c>
      <c r="B6" s="5">
        <v>0</v>
      </c>
      <c r="C6" s="5">
        <f t="shared" ref="C6:AZ6" si="4">$B$6</f>
        <v>0</v>
      </c>
      <c r="D6" s="5">
        <f t="shared" si="4"/>
        <v>0</v>
      </c>
      <c r="E6" s="5">
        <f t="shared" si="4"/>
        <v>0</v>
      </c>
      <c r="F6" s="5">
        <f t="shared" si="4"/>
        <v>0</v>
      </c>
      <c r="G6" s="5">
        <f t="shared" si="4"/>
        <v>0</v>
      </c>
      <c r="H6" s="5">
        <f t="shared" si="4"/>
        <v>0</v>
      </c>
      <c r="I6" s="5">
        <f t="shared" si="4"/>
        <v>0</v>
      </c>
      <c r="J6" s="5">
        <f t="shared" si="4"/>
        <v>0</v>
      </c>
      <c r="K6" s="5">
        <f t="shared" si="4"/>
        <v>0</v>
      </c>
      <c r="L6" s="5">
        <f t="shared" si="4"/>
        <v>0</v>
      </c>
      <c r="M6" s="5">
        <f t="shared" si="4"/>
        <v>0</v>
      </c>
      <c r="N6" s="5">
        <f t="shared" si="4"/>
        <v>0</v>
      </c>
      <c r="O6" s="5">
        <f t="shared" si="4"/>
        <v>0</v>
      </c>
      <c r="P6" s="5">
        <f t="shared" si="4"/>
        <v>0</v>
      </c>
      <c r="Q6" s="5">
        <f t="shared" si="4"/>
        <v>0</v>
      </c>
      <c r="R6" s="5">
        <f t="shared" si="4"/>
        <v>0</v>
      </c>
      <c r="S6" s="5">
        <f t="shared" si="4"/>
        <v>0</v>
      </c>
      <c r="T6" s="5">
        <f t="shared" si="4"/>
        <v>0</v>
      </c>
      <c r="U6" s="5">
        <f t="shared" si="4"/>
        <v>0</v>
      </c>
      <c r="V6" s="5">
        <f t="shared" si="4"/>
        <v>0</v>
      </c>
      <c r="W6" s="5">
        <f t="shared" si="4"/>
        <v>0</v>
      </c>
      <c r="X6" s="5">
        <f t="shared" si="4"/>
        <v>0</v>
      </c>
      <c r="Y6" s="5">
        <f t="shared" si="4"/>
        <v>0</v>
      </c>
      <c r="Z6" s="5">
        <f t="shared" si="4"/>
        <v>0</v>
      </c>
      <c r="AA6" s="5">
        <f t="shared" si="4"/>
        <v>0</v>
      </c>
      <c r="AB6" s="5">
        <f t="shared" si="4"/>
        <v>0</v>
      </c>
      <c r="AC6" s="5">
        <f t="shared" si="4"/>
        <v>0</v>
      </c>
      <c r="AD6" s="5">
        <f t="shared" si="4"/>
        <v>0</v>
      </c>
      <c r="AE6" s="5">
        <f t="shared" si="4"/>
        <v>0</v>
      </c>
      <c r="AF6" s="5">
        <f t="shared" si="4"/>
        <v>0</v>
      </c>
      <c r="AG6" s="5">
        <f t="shared" si="4"/>
        <v>0</v>
      </c>
      <c r="AH6" s="5">
        <f t="shared" si="4"/>
        <v>0</v>
      </c>
      <c r="AI6" s="5">
        <f t="shared" si="4"/>
        <v>0</v>
      </c>
      <c r="AJ6" s="5">
        <f t="shared" si="4"/>
        <v>0</v>
      </c>
      <c r="AK6" s="5">
        <f t="shared" si="4"/>
        <v>0</v>
      </c>
      <c r="AL6" s="5">
        <f t="shared" si="4"/>
        <v>0</v>
      </c>
      <c r="AM6" s="5">
        <f t="shared" si="4"/>
        <v>0</v>
      </c>
      <c r="AN6" s="5">
        <f t="shared" si="4"/>
        <v>0</v>
      </c>
      <c r="AO6" s="5">
        <f t="shared" si="4"/>
        <v>0</v>
      </c>
      <c r="AP6" s="5">
        <f t="shared" si="4"/>
        <v>0</v>
      </c>
      <c r="AQ6" s="5">
        <f t="shared" si="4"/>
        <v>0</v>
      </c>
      <c r="AR6" s="5">
        <f t="shared" si="4"/>
        <v>0</v>
      </c>
      <c r="AS6" s="5">
        <f t="shared" si="4"/>
        <v>0</v>
      </c>
      <c r="AT6" s="5">
        <f t="shared" si="4"/>
        <v>0</v>
      </c>
      <c r="AU6" s="5">
        <f t="shared" si="4"/>
        <v>0</v>
      </c>
      <c r="AV6" s="5">
        <f t="shared" si="4"/>
        <v>0</v>
      </c>
      <c r="AW6" s="5">
        <f t="shared" si="4"/>
        <v>0</v>
      </c>
      <c r="AX6" s="5">
        <f t="shared" si="4"/>
        <v>0</v>
      </c>
      <c r="AY6" s="5">
        <f t="shared" si="4"/>
        <v>0</v>
      </c>
      <c r="AZ6" s="5">
        <f t="shared" si="4"/>
        <v>0</v>
      </c>
    </row>
    <row r="7" spans="1:52" ht="14.25" customHeight="1" x14ac:dyDescent="0.2">
      <c r="A7" s="5" t="s">
        <v>37</v>
      </c>
      <c r="B7" s="5">
        <v>0</v>
      </c>
      <c r="C7" s="5">
        <f t="shared" ref="C7:AZ7" si="5">$B$7</f>
        <v>0</v>
      </c>
      <c r="D7" s="5">
        <f t="shared" si="5"/>
        <v>0</v>
      </c>
      <c r="E7" s="5">
        <f t="shared" si="5"/>
        <v>0</v>
      </c>
      <c r="F7" s="5">
        <f t="shared" si="5"/>
        <v>0</v>
      </c>
      <c r="G7" s="5">
        <f t="shared" si="5"/>
        <v>0</v>
      </c>
      <c r="H7" s="5">
        <f t="shared" si="5"/>
        <v>0</v>
      </c>
      <c r="I7" s="5">
        <f t="shared" si="5"/>
        <v>0</v>
      </c>
      <c r="J7" s="5">
        <f t="shared" si="5"/>
        <v>0</v>
      </c>
      <c r="K7" s="5">
        <f t="shared" si="5"/>
        <v>0</v>
      </c>
      <c r="L7" s="5">
        <f t="shared" si="5"/>
        <v>0</v>
      </c>
      <c r="M7" s="5">
        <f t="shared" si="5"/>
        <v>0</v>
      </c>
      <c r="N7" s="5">
        <f t="shared" si="5"/>
        <v>0</v>
      </c>
      <c r="O7" s="5">
        <f t="shared" si="5"/>
        <v>0</v>
      </c>
      <c r="P7" s="5">
        <f t="shared" si="5"/>
        <v>0</v>
      </c>
      <c r="Q7" s="5">
        <f t="shared" si="5"/>
        <v>0</v>
      </c>
      <c r="R7" s="5">
        <f t="shared" si="5"/>
        <v>0</v>
      </c>
      <c r="S7" s="5">
        <f t="shared" si="5"/>
        <v>0</v>
      </c>
      <c r="T7" s="5">
        <f t="shared" si="5"/>
        <v>0</v>
      </c>
      <c r="U7" s="5">
        <f t="shared" si="5"/>
        <v>0</v>
      </c>
      <c r="V7" s="5">
        <f t="shared" si="5"/>
        <v>0</v>
      </c>
      <c r="W7" s="5">
        <f t="shared" si="5"/>
        <v>0</v>
      </c>
      <c r="X7" s="5">
        <f t="shared" si="5"/>
        <v>0</v>
      </c>
      <c r="Y7" s="5">
        <f t="shared" si="5"/>
        <v>0</v>
      </c>
      <c r="Z7" s="5">
        <f t="shared" si="5"/>
        <v>0</v>
      </c>
      <c r="AA7" s="5">
        <f t="shared" si="5"/>
        <v>0</v>
      </c>
      <c r="AB7" s="5">
        <f t="shared" si="5"/>
        <v>0</v>
      </c>
      <c r="AC7" s="5">
        <f t="shared" si="5"/>
        <v>0</v>
      </c>
      <c r="AD7" s="5">
        <f t="shared" si="5"/>
        <v>0</v>
      </c>
      <c r="AE7" s="5">
        <f t="shared" si="5"/>
        <v>0</v>
      </c>
      <c r="AF7" s="5">
        <f t="shared" si="5"/>
        <v>0</v>
      </c>
      <c r="AG7" s="5">
        <f t="shared" si="5"/>
        <v>0</v>
      </c>
      <c r="AH7" s="5">
        <f t="shared" si="5"/>
        <v>0</v>
      </c>
      <c r="AI7" s="5">
        <f t="shared" si="5"/>
        <v>0</v>
      </c>
      <c r="AJ7" s="5">
        <f t="shared" si="5"/>
        <v>0</v>
      </c>
      <c r="AK7" s="5">
        <f t="shared" si="5"/>
        <v>0</v>
      </c>
      <c r="AL7" s="5">
        <f t="shared" si="5"/>
        <v>0</v>
      </c>
      <c r="AM7" s="5">
        <f t="shared" si="5"/>
        <v>0</v>
      </c>
      <c r="AN7" s="5">
        <f t="shared" si="5"/>
        <v>0</v>
      </c>
      <c r="AO7" s="5">
        <f t="shared" si="5"/>
        <v>0</v>
      </c>
      <c r="AP7" s="5">
        <f t="shared" si="5"/>
        <v>0</v>
      </c>
      <c r="AQ7" s="5">
        <f t="shared" si="5"/>
        <v>0</v>
      </c>
      <c r="AR7" s="5">
        <f t="shared" si="5"/>
        <v>0</v>
      </c>
      <c r="AS7" s="5">
        <f t="shared" si="5"/>
        <v>0</v>
      </c>
      <c r="AT7" s="5">
        <f t="shared" si="5"/>
        <v>0</v>
      </c>
      <c r="AU7" s="5">
        <f t="shared" si="5"/>
        <v>0</v>
      </c>
      <c r="AV7" s="5">
        <f t="shared" si="5"/>
        <v>0</v>
      </c>
      <c r="AW7" s="5">
        <f t="shared" si="5"/>
        <v>0</v>
      </c>
      <c r="AX7" s="5">
        <f t="shared" si="5"/>
        <v>0</v>
      </c>
      <c r="AY7" s="5">
        <f t="shared" si="5"/>
        <v>0</v>
      </c>
      <c r="AZ7" s="5">
        <f t="shared" si="5"/>
        <v>0</v>
      </c>
    </row>
    <row r="8" spans="1:52" ht="14.25" customHeight="1" x14ac:dyDescent="0.2">
      <c r="A8" s="5" t="s">
        <v>48</v>
      </c>
      <c r="B8" s="5">
        <v>0</v>
      </c>
      <c r="C8" s="5">
        <f t="shared" ref="C8:AZ8" si="6">$B$8</f>
        <v>0</v>
      </c>
      <c r="D8" s="5">
        <f t="shared" si="6"/>
        <v>0</v>
      </c>
      <c r="E8" s="5">
        <f t="shared" si="6"/>
        <v>0</v>
      </c>
      <c r="F8" s="5">
        <f t="shared" si="6"/>
        <v>0</v>
      </c>
      <c r="G8" s="5">
        <f t="shared" si="6"/>
        <v>0</v>
      </c>
      <c r="H8" s="5">
        <f t="shared" si="6"/>
        <v>0</v>
      </c>
      <c r="I8" s="5">
        <f t="shared" si="6"/>
        <v>0</v>
      </c>
      <c r="J8" s="5">
        <f t="shared" si="6"/>
        <v>0</v>
      </c>
      <c r="K8" s="5">
        <f t="shared" si="6"/>
        <v>0</v>
      </c>
      <c r="L8" s="5">
        <f t="shared" si="6"/>
        <v>0</v>
      </c>
      <c r="M8" s="5">
        <f t="shared" si="6"/>
        <v>0</v>
      </c>
      <c r="N8" s="5">
        <f t="shared" si="6"/>
        <v>0</v>
      </c>
      <c r="O8" s="5">
        <f t="shared" si="6"/>
        <v>0</v>
      </c>
      <c r="P8" s="5">
        <f t="shared" si="6"/>
        <v>0</v>
      </c>
      <c r="Q8" s="5">
        <f t="shared" si="6"/>
        <v>0</v>
      </c>
      <c r="R8" s="5">
        <f t="shared" si="6"/>
        <v>0</v>
      </c>
      <c r="S8" s="5">
        <f t="shared" si="6"/>
        <v>0</v>
      </c>
      <c r="T8" s="5">
        <f t="shared" si="6"/>
        <v>0</v>
      </c>
      <c r="U8" s="5">
        <f t="shared" si="6"/>
        <v>0</v>
      </c>
      <c r="V8" s="5">
        <f t="shared" si="6"/>
        <v>0</v>
      </c>
      <c r="W8" s="5">
        <f t="shared" si="6"/>
        <v>0</v>
      </c>
      <c r="X8" s="5">
        <f t="shared" si="6"/>
        <v>0</v>
      </c>
      <c r="Y8" s="5">
        <f t="shared" si="6"/>
        <v>0</v>
      </c>
      <c r="Z8" s="5">
        <f t="shared" si="6"/>
        <v>0</v>
      </c>
      <c r="AA8" s="5">
        <f t="shared" si="6"/>
        <v>0</v>
      </c>
      <c r="AB8" s="5">
        <f t="shared" si="6"/>
        <v>0</v>
      </c>
      <c r="AC8" s="5">
        <f t="shared" si="6"/>
        <v>0</v>
      </c>
      <c r="AD8" s="5">
        <f t="shared" si="6"/>
        <v>0</v>
      </c>
      <c r="AE8" s="5">
        <f t="shared" si="6"/>
        <v>0</v>
      </c>
      <c r="AF8" s="5">
        <f t="shared" si="6"/>
        <v>0</v>
      </c>
      <c r="AG8" s="5">
        <f t="shared" si="6"/>
        <v>0</v>
      </c>
      <c r="AH8" s="5">
        <f t="shared" si="6"/>
        <v>0</v>
      </c>
      <c r="AI8" s="5">
        <f t="shared" si="6"/>
        <v>0</v>
      </c>
      <c r="AJ8" s="5">
        <f t="shared" si="6"/>
        <v>0</v>
      </c>
      <c r="AK8" s="5">
        <f t="shared" si="6"/>
        <v>0</v>
      </c>
      <c r="AL8" s="5">
        <f t="shared" si="6"/>
        <v>0</v>
      </c>
      <c r="AM8" s="5">
        <f t="shared" si="6"/>
        <v>0</v>
      </c>
      <c r="AN8" s="5">
        <f t="shared" si="6"/>
        <v>0</v>
      </c>
      <c r="AO8" s="5">
        <f t="shared" si="6"/>
        <v>0</v>
      </c>
      <c r="AP8" s="5">
        <f t="shared" si="6"/>
        <v>0</v>
      </c>
      <c r="AQ8" s="5">
        <f t="shared" si="6"/>
        <v>0</v>
      </c>
      <c r="AR8" s="5">
        <f t="shared" si="6"/>
        <v>0</v>
      </c>
      <c r="AS8" s="5">
        <f t="shared" si="6"/>
        <v>0</v>
      </c>
      <c r="AT8" s="5">
        <f t="shared" si="6"/>
        <v>0</v>
      </c>
      <c r="AU8" s="5">
        <f t="shared" si="6"/>
        <v>0</v>
      </c>
      <c r="AV8" s="5">
        <f t="shared" si="6"/>
        <v>0</v>
      </c>
      <c r="AW8" s="5">
        <f t="shared" si="6"/>
        <v>0</v>
      </c>
      <c r="AX8" s="5">
        <f t="shared" si="6"/>
        <v>0</v>
      </c>
      <c r="AY8" s="5">
        <f t="shared" si="6"/>
        <v>0</v>
      </c>
      <c r="AZ8" s="5">
        <f t="shared" si="6"/>
        <v>0</v>
      </c>
    </row>
    <row r="9" spans="1:52" ht="14.25" customHeight="1" x14ac:dyDescent="0.2">
      <c r="A9" s="5" t="s">
        <v>38</v>
      </c>
      <c r="B9" s="5">
        <v>0</v>
      </c>
      <c r="C9" s="5">
        <f t="shared" ref="C9:AZ9" si="7">$B$9</f>
        <v>0</v>
      </c>
      <c r="D9" s="5">
        <f t="shared" si="7"/>
        <v>0</v>
      </c>
      <c r="E9" s="5">
        <f t="shared" si="7"/>
        <v>0</v>
      </c>
      <c r="F9" s="5">
        <f t="shared" si="7"/>
        <v>0</v>
      </c>
      <c r="G9" s="5">
        <f t="shared" si="7"/>
        <v>0</v>
      </c>
      <c r="H9" s="5">
        <f t="shared" si="7"/>
        <v>0</v>
      </c>
      <c r="I9" s="5">
        <f t="shared" si="7"/>
        <v>0</v>
      </c>
      <c r="J9" s="5">
        <f t="shared" si="7"/>
        <v>0</v>
      </c>
      <c r="K9" s="5">
        <f t="shared" si="7"/>
        <v>0</v>
      </c>
      <c r="L9" s="5">
        <f t="shared" si="7"/>
        <v>0</v>
      </c>
      <c r="M9" s="5">
        <f t="shared" si="7"/>
        <v>0</v>
      </c>
      <c r="N9" s="5">
        <f t="shared" si="7"/>
        <v>0</v>
      </c>
      <c r="O9" s="5">
        <f t="shared" si="7"/>
        <v>0</v>
      </c>
      <c r="P9" s="5">
        <f t="shared" si="7"/>
        <v>0</v>
      </c>
      <c r="Q9" s="5">
        <f t="shared" si="7"/>
        <v>0</v>
      </c>
      <c r="R9" s="5">
        <f t="shared" si="7"/>
        <v>0</v>
      </c>
      <c r="S9" s="5">
        <f t="shared" si="7"/>
        <v>0</v>
      </c>
      <c r="T9" s="5">
        <f t="shared" si="7"/>
        <v>0</v>
      </c>
      <c r="U9" s="5">
        <f t="shared" si="7"/>
        <v>0</v>
      </c>
      <c r="V9" s="5">
        <f t="shared" si="7"/>
        <v>0</v>
      </c>
      <c r="W9" s="5">
        <f t="shared" si="7"/>
        <v>0</v>
      </c>
      <c r="X9" s="5">
        <f t="shared" si="7"/>
        <v>0</v>
      </c>
      <c r="Y9" s="5">
        <f t="shared" si="7"/>
        <v>0</v>
      </c>
      <c r="Z9" s="5">
        <f t="shared" si="7"/>
        <v>0</v>
      </c>
      <c r="AA9" s="5">
        <f t="shared" si="7"/>
        <v>0</v>
      </c>
      <c r="AB9" s="5">
        <f t="shared" si="7"/>
        <v>0</v>
      </c>
      <c r="AC9" s="5">
        <f t="shared" si="7"/>
        <v>0</v>
      </c>
      <c r="AD9" s="5">
        <f t="shared" si="7"/>
        <v>0</v>
      </c>
      <c r="AE9" s="5">
        <f t="shared" si="7"/>
        <v>0</v>
      </c>
      <c r="AF9" s="5">
        <f t="shared" si="7"/>
        <v>0</v>
      </c>
      <c r="AG9" s="5">
        <f t="shared" si="7"/>
        <v>0</v>
      </c>
      <c r="AH9" s="5">
        <f t="shared" si="7"/>
        <v>0</v>
      </c>
      <c r="AI9" s="5">
        <f t="shared" si="7"/>
        <v>0</v>
      </c>
      <c r="AJ9" s="5">
        <f t="shared" si="7"/>
        <v>0</v>
      </c>
      <c r="AK9" s="5">
        <f t="shared" si="7"/>
        <v>0</v>
      </c>
      <c r="AL9" s="5">
        <f t="shared" si="7"/>
        <v>0</v>
      </c>
      <c r="AM9" s="5">
        <f t="shared" si="7"/>
        <v>0</v>
      </c>
      <c r="AN9" s="5">
        <f t="shared" si="7"/>
        <v>0</v>
      </c>
      <c r="AO9" s="5">
        <f t="shared" si="7"/>
        <v>0</v>
      </c>
      <c r="AP9" s="5">
        <f t="shared" si="7"/>
        <v>0</v>
      </c>
      <c r="AQ9" s="5">
        <f t="shared" si="7"/>
        <v>0</v>
      </c>
      <c r="AR9" s="5">
        <f t="shared" si="7"/>
        <v>0</v>
      </c>
      <c r="AS9" s="5">
        <f t="shared" si="7"/>
        <v>0</v>
      </c>
      <c r="AT9" s="5">
        <f t="shared" si="7"/>
        <v>0</v>
      </c>
      <c r="AU9" s="5">
        <f t="shared" si="7"/>
        <v>0</v>
      </c>
      <c r="AV9" s="5">
        <f t="shared" si="7"/>
        <v>0</v>
      </c>
      <c r="AW9" s="5">
        <f t="shared" si="7"/>
        <v>0</v>
      </c>
      <c r="AX9" s="5">
        <f t="shared" si="7"/>
        <v>0</v>
      </c>
      <c r="AY9" s="5">
        <f t="shared" si="7"/>
        <v>0</v>
      </c>
      <c r="AZ9" s="5">
        <f t="shared" si="7"/>
        <v>0</v>
      </c>
    </row>
    <row r="10" spans="1:52" ht="14.25" customHeight="1" x14ac:dyDescent="0.2">
      <c r="A10" s="5" t="s">
        <v>39</v>
      </c>
      <c r="B10" s="5">
        <v>0</v>
      </c>
      <c r="C10" s="5">
        <f t="shared" ref="C10:AZ10" si="8">$B10</f>
        <v>0</v>
      </c>
      <c r="D10" s="5">
        <f t="shared" si="8"/>
        <v>0</v>
      </c>
      <c r="E10" s="5">
        <f t="shared" si="8"/>
        <v>0</v>
      </c>
      <c r="F10" s="5">
        <f t="shared" si="8"/>
        <v>0</v>
      </c>
      <c r="G10" s="5">
        <f t="shared" si="8"/>
        <v>0</v>
      </c>
      <c r="H10" s="5">
        <f t="shared" si="8"/>
        <v>0</v>
      </c>
      <c r="I10" s="5">
        <f t="shared" si="8"/>
        <v>0</v>
      </c>
      <c r="J10" s="5">
        <f t="shared" si="8"/>
        <v>0</v>
      </c>
      <c r="K10" s="5">
        <f t="shared" si="8"/>
        <v>0</v>
      </c>
      <c r="L10" s="5">
        <f t="shared" si="8"/>
        <v>0</v>
      </c>
      <c r="M10" s="5">
        <f t="shared" si="8"/>
        <v>0</v>
      </c>
      <c r="N10" s="5">
        <f t="shared" si="8"/>
        <v>0</v>
      </c>
      <c r="O10" s="5">
        <f t="shared" si="8"/>
        <v>0</v>
      </c>
      <c r="P10" s="5">
        <f t="shared" si="8"/>
        <v>0</v>
      </c>
      <c r="Q10" s="5">
        <f t="shared" si="8"/>
        <v>0</v>
      </c>
      <c r="R10" s="5">
        <f t="shared" si="8"/>
        <v>0</v>
      </c>
      <c r="S10" s="5">
        <f t="shared" si="8"/>
        <v>0</v>
      </c>
      <c r="T10" s="5">
        <f t="shared" si="8"/>
        <v>0</v>
      </c>
      <c r="U10" s="5">
        <f t="shared" si="8"/>
        <v>0</v>
      </c>
      <c r="V10" s="5">
        <f t="shared" si="8"/>
        <v>0</v>
      </c>
      <c r="W10" s="5">
        <f t="shared" si="8"/>
        <v>0</v>
      </c>
      <c r="X10" s="5">
        <f t="shared" si="8"/>
        <v>0</v>
      </c>
      <c r="Y10" s="5">
        <f t="shared" si="8"/>
        <v>0</v>
      </c>
      <c r="Z10" s="5">
        <f t="shared" si="8"/>
        <v>0</v>
      </c>
      <c r="AA10" s="5">
        <f t="shared" si="8"/>
        <v>0</v>
      </c>
      <c r="AB10" s="5">
        <f t="shared" si="8"/>
        <v>0</v>
      </c>
      <c r="AC10" s="5">
        <f t="shared" si="8"/>
        <v>0</v>
      </c>
      <c r="AD10" s="5">
        <f t="shared" si="8"/>
        <v>0</v>
      </c>
      <c r="AE10" s="5">
        <f t="shared" si="8"/>
        <v>0</v>
      </c>
      <c r="AF10" s="5">
        <f t="shared" si="8"/>
        <v>0</v>
      </c>
      <c r="AG10" s="5">
        <f t="shared" si="8"/>
        <v>0</v>
      </c>
      <c r="AH10" s="5">
        <f t="shared" si="8"/>
        <v>0</v>
      </c>
      <c r="AI10" s="5">
        <f t="shared" si="8"/>
        <v>0</v>
      </c>
      <c r="AJ10" s="5">
        <f t="shared" si="8"/>
        <v>0</v>
      </c>
      <c r="AK10" s="5">
        <f t="shared" si="8"/>
        <v>0</v>
      </c>
      <c r="AL10" s="5">
        <f t="shared" si="8"/>
        <v>0</v>
      </c>
      <c r="AM10" s="5">
        <f t="shared" si="8"/>
        <v>0</v>
      </c>
      <c r="AN10" s="5">
        <f t="shared" si="8"/>
        <v>0</v>
      </c>
      <c r="AO10" s="5">
        <f t="shared" si="8"/>
        <v>0</v>
      </c>
      <c r="AP10" s="5">
        <f t="shared" si="8"/>
        <v>0</v>
      </c>
      <c r="AQ10" s="5">
        <f t="shared" si="8"/>
        <v>0</v>
      </c>
      <c r="AR10" s="5">
        <f t="shared" si="8"/>
        <v>0</v>
      </c>
      <c r="AS10" s="5">
        <f t="shared" si="8"/>
        <v>0</v>
      </c>
      <c r="AT10" s="5">
        <f t="shared" si="8"/>
        <v>0</v>
      </c>
      <c r="AU10" s="5">
        <f t="shared" si="8"/>
        <v>0</v>
      </c>
      <c r="AV10" s="5">
        <f t="shared" si="8"/>
        <v>0</v>
      </c>
      <c r="AW10" s="5">
        <f t="shared" si="8"/>
        <v>0</v>
      </c>
      <c r="AX10" s="5">
        <f t="shared" si="8"/>
        <v>0</v>
      </c>
      <c r="AY10" s="5">
        <f t="shared" si="8"/>
        <v>0</v>
      </c>
      <c r="AZ10" s="5">
        <f t="shared" si="8"/>
        <v>0</v>
      </c>
    </row>
    <row r="11" spans="1:52" ht="14.25" customHeight="1" x14ac:dyDescent="0.2">
      <c r="A11" s="5" t="s">
        <v>40</v>
      </c>
      <c r="B11" s="5">
        <v>0</v>
      </c>
      <c r="C11" s="5">
        <f t="shared" ref="C11:AZ11" si="9">$B11</f>
        <v>0</v>
      </c>
      <c r="D11" s="5">
        <f t="shared" si="9"/>
        <v>0</v>
      </c>
      <c r="E11" s="5">
        <f t="shared" si="9"/>
        <v>0</v>
      </c>
      <c r="F11" s="5">
        <f t="shared" si="9"/>
        <v>0</v>
      </c>
      <c r="G11" s="5">
        <f t="shared" si="9"/>
        <v>0</v>
      </c>
      <c r="H11" s="5">
        <f t="shared" si="9"/>
        <v>0</v>
      </c>
      <c r="I11" s="5">
        <f t="shared" si="9"/>
        <v>0</v>
      </c>
      <c r="J11" s="5">
        <f t="shared" si="9"/>
        <v>0</v>
      </c>
      <c r="K11" s="5">
        <f t="shared" si="9"/>
        <v>0</v>
      </c>
      <c r="L11" s="5">
        <f t="shared" si="9"/>
        <v>0</v>
      </c>
      <c r="M11" s="5">
        <f t="shared" si="9"/>
        <v>0</v>
      </c>
      <c r="N11" s="5">
        <f t="shared" si="9"/>
        <v>0</v>
      </c>
      <c r="O11" s="5">
        <f t="shared" si="9"/>
        <v>0</v>
      </c>
      <c r="P11" s="5">
        <f t="shared" si="9"/>
        <v>0</v>
      </c>
      <c r="Q11" s="5">
        <f t="shared" si="9"/>
        <v>0</v>
      </c>
      <c r="R11" s="5">
        <f t="shared" si="9"/>
        <v>0</v>
      </c>
      <c r="S11" s="5">
        <f t="shared" si="9"/>
        <v>0</v>
      </c>
      <c r="T11" s="5">
        <f t="shared" si="9"/>
        <v>0</v>
      </c>
      <c r="U11" s="5">
        <f t="shared" si="9"/>
        <v>0</v>
      </c>
      <c r="V11" s="5">
        <f t="shared" si="9"/>
        <v>0</v>
      </c>
      <c r="W11" s="5">
        <f t="shared" si="9"/>
        <v>0</v>
      </c>
      <c r="X11" s="5">
        <f t="shared" si="9"/>
        <v>0</v>
      </c>
      <c r="Y11" s="5">
        <f t="shared" si="9"/>
        <v>0</v>
      </c>
      <c r="Z11" s="5">
        <f t="shared" si="9"/>
        <v>0</v>
      </c>
      <c r="AA11" s="5">
        <f t="shared" si="9"/>
        <v>0</v>
      </c>
      <c r="AB11" s="5">
        <f t="shared" si="9"/>
        <v>0</v>
      </c>
      <c r="AC11" s="5">
        <f t="shared" si="9"/>
        <v>0</v>
      </c>
      <c r="AD11" s="5">
        <f t="shared" si="9"/>
        <v>0</v>
      </c>
      <c r="AE11" s="5">
        <f t="shared" si="9"/>
        <v>0</v>
      </c>
      <c r="AF11" s="5">
        <f t="shared" si="9"/>
        <v>0</v>
      </c>
      <c r="AG11" s="5">
        <f t="shared" si="9"/>
        <v>0</v>
      </c>
      <c r="AH11" s="5">
        <f t="shared" si="9"/>
        <v>0</v>
      </c>
      <c r="AI11" s="5">
        <f t="shared" si="9"/>
        <v>0</v>
      </c>
      <c r="AJ11" s="5">
        <f t="shared" si="9"/>
        <v>0</v>
      </c>
      <c r="AK11" s="5">
        <f t="shared" si="9"/>
        <v>0</v>
      </c>
      <c r="AL11" s="5">
        <f t="shared" si="9"/>
        <v>0</v>
      </c>
      <c r="AM11" s="5">
        <f t="shared" si="9"/>
        <v>0</v>
      </c>
      <c r="AN11" s="5">
        <f t="shared" si="9"/>
        <v>0</v>
      </c>
      <c r="AO11" s="5">
        <f t="shared" si="9"/>
        <v>0</v>
      </c>
      <c r="AP11" s="5">
        <f t="shared" si="9"/>
        <v>0</v>
      </c>
      <c r="AQ11" s="5">
        <f t="shared" si="9"/>
        <v>0</v>
      </c>
      <c r="AR11" s="5">
        <f t="shared" si="9"/>
        <v>0</v>
      </c>
      <c r="AS11" s="5">
        <f t="shared" si="9"/>
        <v>0</v>
      </c>
      <c r="AT11" s="5">
        <f t="shared" si="9"/>
        <v>0</v>
      </c>
      <c r="AU11" s="5">
        <f t="shared" si="9"/>
        <v>0</v>
      </c>
      <c r="AV11" s="5">
        <f t="shared" si="9"/>
        <v>0</v>
      </c>
      <c r="AW11" s="5">
        <f t="shared" si="9"/>
        <v>0</v>
      </c>
      <c r="AX11" s="5">
        <f t="shared" si="9"/>
        <v>0</v>
      </c>
      <c r="AY11" s="5">
        <f t="shared" si="9"/>
        <v>0</v>
      </c>
      <c r="AZ11" s="5">
        <f t="shared" si="9"/>
        <v>0</v>
      </c>
    </row>
    <row r="12" spans="1:52" ht="14.25" customHeight="1" x14ac:dyDescent="0.2">
      <c r="A12" s="5" t="s">
        <v>41</v>
      </c>
      <c r="B12" s="5">
        <v>0</v>
      </c>
      <c r="C12" s="5">
        <f t="shared" ref="C12:AZ12" si="10">$B12</f>
        <v>0</v>
      </c>
      <c r="D12" s="5">
        <f t="shared" si="10"/>
        <v>0</v>
      </c>
      <c r="E12" s="5">
        <f t="shared" si="10"/>
        <v>0</v>
      </c>
      <c r="F12" s="5">
        <f t="shared" si="10"/>
        <v>0</v>
      </c>
      <c r="G12" s="5">
        <f t="shared" si="10"/>
        <v>0</v>
      </c>
      <c r="H12" s="5">
        <f t="shared" si="10"/>
        <v>0</v>
      </c>
      <c r="I12" s="5">
        <f t="shared" si="10"/>
        <v>0</v>
      </c>
      <c r="J12" s="5">
        <f t="shared" si="10"/>
        <v>0</v>
      </c>
      <c r="K12" s="5">
        <f t="shared" si="10"/>
        <v>0</v>
      </c>
      <c r="L12" s="5">
        <f t="shared" si="10"/>
        <v>0</v>
      </c>
      <c r="M12" s="5">
        <f t="shared" si="10"/>
        <v>0</v>
      </c>
      <c r="N12" s="5">
        <f t="shared" si="10"/>
        <v>0</v>
      </c>
      <c r="O12" s="5">
        <f t="shared" si="10"/>
        <v>0</v>
      </c>
      <c r="P12" s="5">
        <f t="shared" si="10"/>
        <v>0</v>
      </c>
      <c r="Q12" s="5">
        <f t="shared" si="10"/>
        <v>0</v>
      </c>
      <c r="R12" s="5">
        <f t="shared" si="10"/>
        <v>0</v>
      </c>
      <c r="S12" s="5">
        <f t="shared" si="10"/>
        <v>0</v>
      </c>
      <c r="T12" s="5">
        <f t="shared" si="10"/>
        <v>0</v>
      </c>
      <c r="U12" s="5">
        <f t="shared" si="10"/>
        <v>0</v>
      </c>
      <c r="V12" s="5">
        <f t="shared" si="10"/>
        <v>0</v>
      </c>
      <c r="W12" s="5">
        <f t="shared" si="10"/>
        <v>0</v>
      </c>
      <c r="X12" s="5">
        <f t="shared" si="10"/>
        <v>0</v>
      </c>
      <c r="Y12" s="5">
        <f t="shared" si="10"/>
        <v>0</v>
      </c>
      <c r="Z12" s="5">
        <f t="shared" si="10"/>
        <v>0</v>
      </c>
      <c r="AA12" s="5">
        <f t="shared" si="10"/>
        <v>0</v>
      </c>
      <c r="AB12" s="5">
        <f t="shared" si="10"/>
        <v>0</v>
      </c>
      <c r="AC12" s="5">
        <f t="shared" si="10"/>
        <v>0</v>
      </c>
      <c r="AD12" s="5">
        <f t="shared" si="10"/>
        <v>0</v>
      </c>
      <c r="AE12" s="5">
        <f t="shared" si="10"/>
        <v>0</v>
      </c>
      <c r="AF12" s="5">
        <f t="shared" si="10"/>
        <v>0</v>
      </c>
      <c r="AG12" s="5">
        <f t="shared" si="10"/>
        <v>0</v>
      </c>
      <c r="AH12" s="5">
        <f t="shared" si="10"/>
        <v>0</v>
      </c>
      <c r="AI12" s="5">
        <f t="shared" si="10"/>
        <v>0</v>
      </c>
      <c r="AJ12" s="5">
        <f t="shared" si="10"/>
        <v>0</v>
      </c>
      <c r="AK12" s="5">
        <f t="shared" si="10"/>
        <v>0</v>
      </c>
      <c r="AL12" s="5">
        <f t="shared" si="10"/>
        <v>0</v>
      </c>
      <c r="AM12" s="5">
        <f t="shared" si="10"/>
        <v>0</v>
      </c>
      <c r="AN12" s="5">
        <f t="shared" si="10"/>
        <v>0</v>
      </c>
      <c r="AO12" s="5">
        <f t="shared" si="10"/>
        <v>0</v>
      </c>
      <c r="AP12" s="5">
        <f t="shared" si="10"/>
        <v>0</v>
      </c>
      <c r="AQ12" s="5">
        <f t="shared" si="10"/>
        <v>0</v>
      </c>
      <c r="AR12" s="5">
        <f t="shared" si="10"/>
        <v>0</v>
      </c>
      <c r="AS12" s="5">
        <f t="shared" si="10"/>
        <v>0</v>
      </c>
      <c r="AT12" s="5">
        <f t="shared" si="10"/>
        <v>0</v>
      </c>
      <c r="AU12" s="5">
        <f t="shared" si="10"/>
        <v>0</v>
      </c>
      <c r="AV12" s="5">
        <f t="shared" si="10"/>
        <v>0</v>
      </c>
      <c r="AW12" s="5">
        <f t="shared" si="10"/>
        <v>0</v>
      </c>
      <c r="AX12" s="5">
        <f t="shared" si="10"/>
        <v>0</v>
      </c>
      <c r="AY12" s="5">
        <f t="shared" si="10"/>
        <v>0</v>
      </c>
      <c r="AZ12" s="5">
        <f t="shared" si="10"/>
        <v>0</v>
      </c>
    </row>
    <row r="13" spans="1:52" ht="14.25" customHeight="1" x14ac:dyDescent="0.2">
      <c r="A13" s="5" t="s">
        <v>42</v>
      </c>
      <c r="B13" s="14">
        <v>0</v>
      </c>
      <c r="C13" s="16">
        <f t="shared" ref="C13:AZ13" si="11">$B13</f>
        <v>0</v>
      </c>
      <c r="D13" s="16">
        <f t="shared" si="11"/>
        <v>0</v>
      </c>
      <c r="E13" s="16">
        <f t="shared" si="11"/>
        <v>0</v>
      </c>
      <c r="F13" s="16">
        <f t="shared" si="11"/>
        <v>0</v>
      </c>
      <c r="G13" s="16">
        <f t="shared" si="11"/>
        <v>0</v>
      </c>
      <c r="H13" s="16">
        <f t="shared" si="11"/>
        <v>0</v>
      </c>
      <c r="I13" s="16">
        <f t="shared" si="11"/>
        <v>0</v>
      </c>
      <c r="J13" s="16">
        <f t="shared" si="11"/>
        <v>0</v>
      </c>
      <c r="K13" s="16">
        <f t="shared" si="11"/>
        <v>0</v>
      </c>
      <c r="L13" s="16">
        <f t="shared" si="11"/>
        <v>0</v>
      </c>
      <c r="M13" s="16">
        <f t="shared" si="11"/>
        <v>0</v>
      </c>
      <c r="N13" s="16">
        <f t="shared" si="11"/>
        <v>0</v>
      </c>
      <c r="O13" s="16">
        <f t="shared" si="11"/>
        <v>0</v>
      </c>
      <c r="P13" s="16">
        <f t="shared" si="11"/>
        <v>0</v>
      </c>
      <c r="Q13" s="16">
        <f t="shared" si="11"/>
        <v>0</v>
      </c>
      <c r="R13" s="16">
        <f t="shared" si="11"/>
        <v>0</v>
      </c>
      <c r="S13" s="16">
        <f t="shared" si="11"/>
        <v>0</v>
      </c>
      <c r="T13" s="16">
        <f t="shared" si="11"/>
        <v>0</v>
      </c>
      <c r="U13" s="16">
        <f t="shared" si="11"/>
        <v>0</v>
      </c>
      <c r="V13" s="16">
        <f t="shared" si="11"/>
        <v>0</v>
      </c>
      <c r="W13" s="16">
        <f t="shared" si="11"/>
        <v>0</v>
      </c>
      <c r="X13" s="16">
        <f t="shared" si="11"/>
        <v>0</v>
      </c>
      <c r="Y13" s="16">
        <f t="shared" si="11"/>
        <v>0</v>
      </c>
      <c r="Z13" s="16">
        <f t="shared" si="11"/>
        <v>0</v>
      </c>
      <c r="AA13" s="16">
        <f t="shared" si="11"/>
        <v>0</v>
      </c>
      <c r="AB13" s="16">
        <f t="shared" si="11"/>
        <v>0</v>
      </c>
      <c r="AC13" s="16">
        <f t="shared" si="11"/>
        <v>0</v>
      </c>
      <c r="AD13" s="16">
        <f t="shared" si="11"/>
        <v>0</v>
      </c>
      <c r="AE13" s="16">
        <f t="shared" si="11"/>
        <v>0</v>
      </c>
      <c r="AF13" s="16">
        <f t="shared" si="11"/>
        <v>0</v>
      </c>
      <c r="AG13" s="16">
        <f t="shared" si="11"/>
        <v>0</v>
      </c>
      <c r="AH13" s="16">
        <f t="shared" si="11"/>
        <v>0</v>
      </c>
      <c r="AI13" s="16">
        <f t="shared" si="11"/>
        <v>0</v>
      </c>
      <c r="AJ13" s="16">
        <f t="shared" si="11"/>
        <v>0</v>
      </c>
      <c r="AK13" s="16">
        <f t="shared" si="11"/>
        <v>0</v>
      </c>
      <c r="AL13" s="16">
        <f t="shared" si="11"/>
        <v>0</v>
      </c>
      <c r="AM13" s="16">
        <f t="shared" si="11"/>
        <v>0</v>
      </c>
      <c r="AN13" s="16">
        <f t="shared" si="11"/>
        <v>0</v>
      </c>
      <c r="AO13" s="16">
        <f t="shared" si="11"/>
        <v>0</v>
      </c>
      <c r="AP13" s="16">
        <f t="shared" si="11"/>
        <v>0</v>
      </c>
      <c r="AQ13" s="16">
        <f t="shared" si="11"/>
        <v>0</v>
      </c>
      <c r="AR13" s="16">
        <f t="shared" si="11"/>
        <v>0</v>
      </c>
      <c r="AS13" s="16">
        <f t="shared" si="11"/>
        <v>0</v>
      </c>
      <c r="AT13" s="16">
        <f t="shared" si="11"/>
        <v>0</v>
      </c>
      <c r="AU13" s="16">
        <f t="shared" si="11"/>
        <v>0</v>
      </c>
      <c r="AV13" s="16">
        <f t="shared" si="11"/>
        <v>0</v>
      </c>
      <c r="AW13" s="16">
        <f t="shared" si="11"/>
        <v>0</v>
      </c>
      <c r="AX13" s="16">
        <f t="shared" si="11"/>
        <v>0</v>
      </c>
      <c r="AY13" s="16">
        <f t="shared" si="11"/>
        <v>0</v>
      </c>
      <c r="AZ13" s="16">
        <f t="shared" si="11"/>
        <v>0</v>
      </c>
    </row>
    <row r="14" spans="1:52" ht="14.25" customHeight="1" x14ac:dyDescent="0.2">
      <c r="A14" s="5" t="s">
        <v>43</v>
      </c>
      <c r="B14" s="5">
        <v>0</v>
      </c>
      <c r="C14" s="5">
        <f t="shared" ref="C14:AZ14" si="12">$B14</f>
        <v>0</v>
      </c>
      <c r="D14" s="5">
        <f t="shared" si="12"/>
        <v>0</v>
      </c>
      <c r="E14" s="5">
        <f t="shared" si="12"/>
        <v>0</v>
      </c>
      <c r="F14" s="5">
        <f t="shared" si="12"/>
        <v>0</v>
      </c>
      <c r="G14" s="5">
        <f t="shared" si="12"/>
        <v>0</v>
      </c>
      <c r="H14" s="5">
        <f t="shared" si="12"/>
        <v>0</v>
      </c>
      <c r="I14" s="5">
        <f t="shared" si="12"/>
        <v>0</v>
      </c>
      <c r="J14" s="5">
        <f t="shared" si="12"/>
        <v>0</v>
      </c>
      <c r="K14" s="5">
        <f t="shared" si="12"/>
        <v>0</v>
      </c>
      <c r="L14" s="5">
        <f t="shared" si="12"/>
        <v>0</v>
      </c>
      <c r="M14" s="5">
        <f t="shared" si="12"/>
        <v>0</v>
      </c>
      <c r="N14" s="5">
        <f t="shared" si="12"/>
        <v>0</v>
      </c>
      <c r="O14" s="5">
        <f t="shared" si="12"/>
        <v>0</v>
      </c>
      <c r="P14" s="5">
        <f t="shared" si="12"/>
        <v>0</v>
      </c>
      <c r="Q14" s="5">
        <f t="shared" si="12"/>
        <v>0</v>
      </c>
      <c r="R14" s="5">
        <f t="shared" si="12"/>
        <v>0</v>
      </c>
      <c r="S14" s="5">
        <f t="shared" si="12"/>
        <v>0</v>
      </c>
      <c r="T14" s="5">
        <f t="shared" si="12"/>
        <v>0</v>
      </c>
      <c r="U14" s="5">
        <f t="shared" si="12"/>
        <v>0</v>
      </c>
      <c r="V14" s="5">
        <f t="shared" si="12"/>
        <v>0</v>
      </c>
      <c r="W14" s="5">
        <f t="shared" si="12"/>
        <v>0</v>
      </c>
      <c r="X14" s="5">
        <f t="shared" si="12"/>
        <v>0</v>
      </c>
      <c r="Y14" s="5">
        <f t="shared" si="12"/>
        <v>0</v>
      </c>
      <c r="Z14" s="5">
        <f t="shared" si="12"/>
        <v>0</v>
      </c>
      <c r="AA14" s="5">
        <f t="shared" si="12"/>
        <v>0</v>
      </c>
      <c r="AB14" s="5">
        <f t="shared" si="12"/>
        <v>0</v>
      </c>
      <c r="AC14" s="5">
        <f t="shared" si="12"/>
        <v>0</v>
      </c>
      <c r="AD14" s="5">
        <f t="shared" si="12"/>
        <v>0</v>
      </c>
      <c r="AE14" s="5">
        <f t="shared" si="12"/>
        <v>0</v>
      </c>
      <c r="AF14" s="5">
        <f t="shared" si="12"/>
        <v>0</v>
      </c>
      <c r="AG14" s="5">
        <f t="shared" si="12"/>
        <v>0</v>
      </c>
      <c r="AH14" s="5">
        <f t="shared" si="12"/>
        <v>0</v>
      </c>
      <c r="AI14" s="5">
        <f t="shared" si="12"/>
        <v>0</v>
      </c>
      <c r="AJ14" s="5">
        <f t="shared" si="12"/>
        <v>0</v>
      </c>
      <c r="AK14" s="5">
        <f t="shared" si="12"/>
        <v>0</v>
      </c>
      <c r="AL14" s="5">
        <f t="shared" si="12"/>
        <v>0</v>
      </c>
      <c r="AM14" s="5">
        <f t="shared" si="12"/>
        <v>0</v>
      </c>
      <c r="AN14" s="5">
        <f t="shared" si="12"/>
        <v>0</v>
      </c>
      <c r="AO14" s="5">
        <f t="shared" si="12"/>
        <v>0</v>
      </c>
      <c r="AP14" s="5">
        <f t="shared" si="12"/>
        <v>0</v>
      </c>
      <c r="AQ14" s="5">
        <f t="shared" si="12"/>
        <v>0</v>
      </c>
      <c r="AR14" s="5">
        <f t="shared" si="12"/>
        <v>0</v>
      </c>
      <c r="AS14" s="5">
        <f t="shared" si="12"/>
        <v>0</v>
      </c>
      <c r="AT14" s="5">
        <f t="shared" si="12"/>
        <v>0</v>
      </c>
      <c r="AU14" s="5">
        <f t="shared" si="12"/>
        <v>0</v>
      </c>
      <c r="AV14" s="5">
        <f t="shared" si="12"/>
        <v>0</v>
      </c>
      <c r="AW14" s="5">
        <f t="shared" si="12"/>
        <v>0</v>
      </c>
      <c r="AX14" s="5">
        <f t="shared" si="12"/>
        <v>0</v>
      </c>
      <c r="AY14" s="5">
        <f t="shared" si="12"/>
        <v>0</v>
      </c>
      <c r="AZ14" s="5">
        <f t="shared" si="12"/>
        <v>0</v>
      </c>
    </row>
    <row r="15" spans="1:52" ht="14.25" customHeight="1" x14ac:dyDescent="0.2">
      <c r="A15" s="5" t="s">
        <v>44</v>
      </c>
      <c r="B15" s="5">
        <v>0</v>
      </c>
      <c r="C15" s="5">
        <f t="shared" ref="C15:AZ15" si="13">$B15</f>
        <v>0</v>
      </c>
      <c r="D15" s="5">
        <f t="shared" si="13"/>
        <v>0</v>
      </c>
      <c r="E15" s="5">
        <f t="shared" si="13"/>
        <v>0</v>
      </c>
      <c r="F15" s="5">
        <f t="shared" si="13"/>
        <v>0</v>
      </c>
      <c r="G15" s="5">
        <f t="shared" si="13"/>
        <v>0</v>
      </c>
      <c r="H15" s="5">
        <f t="shared" si="13"/>
        <v>0</v>
      </c>
      <c r="I15" s="5">
        <f t="shared" si="13"/>
        <v>0</v>
      </c>
      <c r="J15" s="5">
        <f t="shared" si="13"/>
        <v>0</v>
      </c>
      <c r="K15" s="5">
        <f t="shared" si="13"/>
        <v>0</v>
      </c>
      <c r="L15" s="5">
        <f t="shared" si="13"/>
        <v>0</v>
      </c>
      <c r="M15" s="5">
        <f t="shared" si="13"/>
        <v>0</v>
      </c>
      <c r="N15" s="5">
        <f t="shared" si="13"/>
        <v>0</v>
      </c>
      <c r="O15" s="5">
        <f t="shared" si="13"/>
        <v>0</v>
      </c>
      <c r="P15" s="5">
        <f t="shared" si="13"/>
        <v>0</v>
      </c>
      <c r="Q15" s="5">
        <f t="shared" si="13"/>
        <v>0</v>
      </c>
      <c r="R15" s="5">
        <f t="shared" si="13"/>
        <v>0</v>
      </c>
      <c r="S15" s="5">
        <f t="shared" si="13"/>
        <v>0</v>
      </c>
      <c r="T15" s="5">
        <f t="shared" si="13"/>
        <v>0</v>
      </c>
      <c r="U15" s="5">
        <f t="shared" si="13"/>
        <v>0</v>
      </c>
      <c r="V15" s="5">
        <f t="shared" si="13"/>
        <v>0</v>
      </c>
      <c r="W15" s="5">
        <f t="shared" si="13"/>
        <v>0</v>
      </c>
      <c r="X15" s="5">
        <f t="shared" si="13"/>
        <v>0</v>
      </c>
      <c r="Y15" s="5">
        <f t="shared" si="13"/>
        <v>0</v>
      </c>
      <c r="Z15" s="5">
        <f t="shared" si="13"/>
        <v>0</v>
      </c>
      <c r="AA15" s="5">
        <f t="shared" si="13"/>
        <v>0</v>
      </c>
      <c r="AB15" s="5">
        <f t="shared" si="13"/>
        <v>0</v>
      </c>
      <c r="AC15" s="5">
        <f t="shared" si="13"/>
        <v>0</v>
      </c>
      <c r="AD15" s="5">
        <f t="shared" si="13"/>
        <v>0</v>
      </c>
      <c r="AE15" s="5">
        <f t="shared" si="13"/>
        <v>0</v>
      </c>
      <c r="AF15" s="5">
        <f t="shared" si="13"/>
        <v>0</v>
      </c>
      <c r="AG15" s="5">
        <f t="shared" si="13"/>
        <v>0</v>
      </c>
      <c r="AH15" s="5">
        <f t="shared" si="13"/>
        <v>0</v>
      </c>
      <c r="AI15" s="5">
        <f t="shared" si="13"/>
        <v>0</v>
      </c>
      <c r="AJ15" s="5">
        <f t="shared" si="13"/>
        <v>0</v>
      </c>
      <c r="AK15" s="5">
        <f t="shared" si="13"/>
        <v>0</v>
      </c>
      <c r="AL15" s="5">
        <f t="shared" si="13"/>
        <v>0</v>
      </c>
      <c r="AM15" s="5">
        <f t="shared" si="13"/>
        <v>0</v>
      </c>
      <c r="AN15" s="5">
        <f t="shared" si="13"/>
        <v>0</v>
      </c>
      <c r="AO15" s="5">
        <f t="shared" si="13"/>
        <v>0</v>
      </c>
      <c r="AP15" s="5">
        <f t="shared" si="13"/>
        <v>0</v>
      </c>
      <c r="AQ15" s="5">
        <f t="shared" si="13"/>
        <v>0</v>
      </c>
      <c r="AR15" s="5">
        <f t="shared" si="13"/>
        <v>0</v>
      </c>
      <c r="AS15" s="5">
        <f t="shared" si="13"/>
        <v>0</v>
      </c>
      <c r="AT15" s="5">
        <f t="shared" si="13"/>
        <v>0</v>
      </c>
      <c r="AU15" s="5">
        <f t="shared" si="13"/>
        <v>0</v>
      </c>
      <c r="AV15" s="5">
        <f t="shared" si="13"/>
        <v>0</v>
      </c>
      <c r="AW15" s="5">
        <f t="shared" si="13"/>
        <v>0</v>
      </c>
      <c r="AX15" s="5">
        <f t="shared" si="13"/>
        <v>0</v>
      </c>
      <c r="AY15" s="5">
        <f t="shared" si="13"/>
        <v>0</v>
      </c>
      <c r="AZ15" s="5">
        <f t="shared" si="13"/>
        <v>0</v>
      </c>
    </row>
    <row r="16" spans="1:52" ht="14.25" customHeight="1" x14ac:dyDescent="0.2">
      <c r="A16" s="5" t="s">
        <v>45</v>
      </c>
      <c r="B16" s="5">
        <v>0</v>
      </c>
      <c r="C16" s="5">
        <f t="shared" ref="C16:AZ16" si="14">$B16</f>
        <v>0</v>
      </c>
      <c r="D16" s="5">
        <f t="shared" si="14"/>
        <v>0</v>
      </c>
      <c r="E16" s="5">
        <f t="shared" si="14"/>
        <v>0</v>
      </c>
      <c r="F16" s="5">
        <f t="shared" si="14"/>
        <v>0</v>
      </c>
      <c r="G16" s="5">
        <f t="shared" si="14"/>
        <v>0</v>
      </c>
      <c r="H16" s="5">
        <f t="shared" si="14"/>
        <v>0</v>
      </c>
      <c r="I16" s="5">
        <f t="shared" si="14"/>
        <v>0</v>
      </c>
      <c r="J16" s="5">
        <f t="shared" si="14"/>
        <v>0</v>
      </c>
      <c r="K16" s="5">
        <f t="shared" si="14"/>
        <v>0</v>
      </c>
      <c r="L16" s="5">
        <f t="shared" si="14"/>
        <v>0</v>
      </c>
      <c r="M16" s="5">
        <f t="shared" si="14"/>
        <v>0</v>
      </c>
      <c r="N16" s="5">
        <f t="shared" si="14"/>
        <v>0</v>
      </c>
      <c r="O16" s="5">
        <f t="shared" si="14"/>
        <v>0</v>
      </c>
      <c r="P16" s="5">
        <f t="shared" si="14"/>
        <v>0</v>
      </c>
      <c r="Q16" s="5">
        <f t="shared" si="14"/>
        <v>0</v>
      </c>
      <c r="R16" s="5">
        <f t="shared" si="14"/>
        <v>0</v>
      </c>
      <c r="S16" s="5">
        <f t="shared" si="14"/>
        <v>0</v>
      </c>
      <c r="T16" s="5">
        <f t="shared" si="14"/>
        <v>0</v>
      </c>
      <c r="U16" s="5">
        <f t="shared" si="14"/>
        <v>0</v>
      </c>
      <c r="V16" s="5">
        <f t="shared" si="14"/>
        <v>0</v>
      </c>
      <c r="W16" s="5">
        <f t="shared" si="14"/>
        <v>0</v>
      </c>
      <c r="X16" s="5">
        <f t="shared" si="14"/>
        <v>0</v>
      </c>
      <c r="Y16" s="5">
        <f t="shared" si="14"/>
        <v>0</v>
      </c>
      <c r="Z16" s="5">
        <f t="shared" si="14"/>
        <v>0</v>
      </c>
      <c r="AA16" s="5">
        <f t="shared" si="14"/>
        <v>0</v>
      </c>
      <c r="AB16" s="5">
        <f t="shared" si="14"/>
        <v>0</v>
      </c>
      <c r="AC16" s="5">
        <f t="shared" si="14"/>
        <v>0</v>
      </c>
      <c r="AD16" s="5">
        <f t="shared" si="14"/>
        <v>0</v>
      </c>
      <c r="AE16" s="5">
        <f t="shared" si="14"/>
        <v>0</v>
      </c>
      <c r="AF16" s="5">
        <f t="shared" si="14"/>
        <v>0</v>
      </c>
      <c r="AG16" s="5">
        <f t="shared" si="14"/>
        <v>0</v>
      </c>
      <c r="AH16" s="5">
        <f t="shared" si="14"/>
        <v>0</v>
      </c>
      <c r="AI16" s="5">
        <f t="shared" si="14"/>
        <v>0</v>
      </c>
      <c r="AJ16" s="5">
        <f t="shared" si="14"/>
        <v>0</v>
      </c>
      <c r="AK16" s="5">
        <f t="shared" si="14"/>
        <v>0</v>
      </c>
      <c r="AL16" s="5">
        <f t="shared" si="14"/>
        <v>0</v>
      </c>
      <c r="AM16" s="5">
        <f t="shared" si="14"/>
        <v>0</v>
      </c>
      <c r="AN16" s="5">
        <f t="shared" si="14"/>
        <v>0</v>
      </c>
      <c r="AO16" s="5">
        <f t="shared" si="14"/>
        <v>0</v>
      </c>
      <c r="AP16" s="5">
        <f t="shared" si="14"/>
        <v>0</v>
      </c>
      <c r="AQ16" s="5">
        <f t="shared" si="14"/>
        <v>0</v>
      </c>
      <c r="AR16" s="5">
        <f t="shared" si="14"/>
        <v>0</v>
      </c>
      <c r="AS16" s="5">
        <f t="shared" si="14"/>
        <v>0</v>
      </c>
      <c r="AT16" s="5">
        <f t="shared" si="14"/>
        <v>0</v>
      </c>
      <c r="AU16" s="5">
        <f t="shared" si="14"/>
        <v>0</v>
      </c>
      <c r="AV16" s="5">
        <f t="shared" si="14"/>
        <v>0</v>
      </c>
      <c r="AW16" s="5">
        <f t="shared" si="14"/>
        <v>0</v>
      </c>
      <c r="AX16" s="5">
        <f t="shared" si="14"/>
        <v>0</v>
      </c>
      <c r="AY16" s="5">
        <f t="shared" si="14"/>
        <v>0</v>
      </c>
      <c r="AZ16" s="5">
        <f t="shared" si="14"/>
        <v>0</v>
      </c>
    </row>
    <row r="17" spans="1:52" ht="14.25" customHeight="1" x14ac:dyDescent="0.2">
      <c r="A17" s="5" t="s">
        <v>46</v>
      </c>
      <c r="B17" s="5">
        <v>0</v>
      </c>
      <c r="C17" s="5">
        <f t="shared" ref="C17:AZ17" si="15">$B17</f>
        <v>0</v>
      </c>
      <c r="D17" s="5">
        <f t="shared" si="15"/>
        <v>0</v>
      </c>
      <c r="E17" s="5">
        <f t="shared" si="15"/>
        <v>0</v>
      </c>
      <c r="F17" s="5">
        <f t="shared" si="15"/>
        <v>0</v>
      </c>
      <c r="G17" s="5">
        <f t="shared" si="15"/>
        <v>0</v>
      </c>
      <c r="H17" s="5">
        <f t="shared" si="15"/>
        <v>0</v>
      </c>
      <c r="I17" s="5">
        <f t="shared" si="15"/>
        <v>0</v>
      </c>
      <c r="J17" s="5">
        <f t="shared" si="15"/>
        <v>0</v>
      </c>
      <c r="K17" s="5">
        <f t="shared" si="15"/>
        <v>0</v>
      </c>
      <c r="L17" s="5">
        <f t="shared" si="15"/>
        <v>0</v>
      </c>
      <c r="M17" s="5">
        <f t="shared" si="15"/>
        <v>0</v>
      </c>
      <c r="N17" s="5">
        <f t="shared" si="15"/>
        <v>0</v>
      </c>
      <c r="O17" s="5">
        <f t="shared" si="15"/>
        <v>0</v>
      </c>
      <c r="P17" s="5">
        <f t="shared" si="15"/>
        <v>0</v>
      </c>
      <c r="Q17" s="5">
        <f t="shared" si="15"/>
        <v>0</v>
      </c>
      <c r="R17" s="5">
        <f t="shared" si="15"/>
        <v>0</v>
      </c>
      <c r="S17" s="5">
        <f t="shared" si="15"/>
        <v>0</v>
      </c>
      <c r="T17" s="5">
        <f t="shared" si="15"/>
        <v>0</v>
      </c>
      <c r="U17" s="5">
        <f t="shared" si="15"/>
        <v>0</v>
      </c>
      <c r="V17" s="5">
        <f t="shared" si="15"/>
        <v>0</v>
      </c>
      <c r="W17" s="5">
        <f t="shared" si="15"/>
        <v>0</v>
      </c>
      <c r="X17" s="5">
        <f t="shared" si="15"/>
        <v>0</v>
      </c>
      <c r="Y17" s="5">
        <f t="shared" si="15"/>
        <v>0</v>
      </c>
      <c r="Z17" s="5">
        <f t="shared" si="15"/>
        <v>0</v>
      </c>
      <c r="AA17" s="5">
        <f t="shared" si="15"/>
        <v>0</v>
      </c>
      <c r="AB17" s="5">
        <f t="shared" si="15"/>
        <v>0</v>
      </c>
      <c r="AC17" s="5">
        <f t="shared" si="15"/>
        <v>0</v>
      </c>
      <c r="AD17" s="5">
        <f t="shared" si="15"/>
        <v>0</v>
      </c>
      <c r="AE17" s="5">
        <f t="shared" si="15"/>
        <v>0</v>
      </c>
      <c r="AF17" s="5">
        <f t="shared" si="15"/>
        <v>0</v>
      </c>
      <c r="AG17" s="5">
        <f t="shared" si="15"/>
        <v>0</v>
      </c>
      <c r="AH17" s="5">
        <f t="shared" si="15"/>
        <v>0</v>
      </c>
      <c r="AI17" s="5">
        <f t="shared" si="15"/>
        <v>0</v>
      </c>
      <c r="AJ17" s="5">
        <f t="shared" si="15"/>
        <v>0</v>
      </c>
      <c r="AK17" s="5">
        <f t="shared" si="15"/>
        <v>0</v>
      </c>
      <c r="AL17" s="5">
        <f t="shared" si="15"/>
        <v>0</v>
      </c>
      <c r="AM17" s="5">
        <f t="shared" si="15"/>
        <v>0</v>
      </c>
      <c r="AN17" s="5">
        <f t="shared" si="15"/>
        <v>0</v>
      </c>
      <c r="AO17" s="5">
        <f t="shared" si="15"/>
        <v>0</v>
      </c>
      <c r="AP17" s="5">
        <f t="shared" si="15"/>
        <v>0</v>
      </c>
      <c r="AQ17" s="5">
        <f t="shared" si="15"/>
        <v>0</v>
      </c>
      <c r="AR17" s="5">
        <f t="shared" si="15"/>
        <v>0</v>
      </c>
      <c r="AS17" s="5">
        <f t="shared" si="15"/>
        <v>0</v>
      </c>
      <c r="AT17" s="5">
        <f t="shared" si="15"/>
        <v>0</v>
      </c>
      <c r="AU17" s="5">
        <f t="shared" si="15"/>
        <v>0</v>
      </c>
      <c r="AV17" s="5">
        <f t="shared" si="15"/>
        <v>0</v>
      </c>
      <c r="AW17" s="5">
        <f t="shared" si="15"/>
        <v>0</v>
      </c>
      <c r="AX17" s="5">
        <f t="shared" si="15"/>
        <v>0</v>
      </c>
      <c r="AY17" s="5">
        <f t="shared" si="15"/>
        <v>0</v>
      </c>
      <c r="AZ17" s="5">
        <f t="shared" si="15"/>
        <v>0</v>
      </c>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Z1000"/>
  <sheetViews>
    <sheetView topLeftCell="V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ht="14.25" customHeight="1" x14ac:dyDescent="0.2">
      <c r="A1" s="17" t="s">
        <v>52</v>
      </c>
      <c r="B1" s="18">
        <v>2020</v>
      </c>
      <c r="C1" s="15">
        <v>2021</v>
      </c>
      <c r="D1" s="15">
        <v>2022</v>
      </c>
      <c r="E1" s="15">
        <v>2023</v>
      </c>
      <c r="F1" s="15">
        <v>2024</v>
      </c>
      <c r="G1" s="15">
        <v>2025</v>
      </c>
      <c r="H1" s="15">
        <v>2026</v>
      </c>
      <c r="I1" s="15">
        <v>2027</v>
      </c>
      <c r="J1" s="15">
        <v>2028</v>
      </c>
      <c r="K1" s="15">
        <v>2029</v>
      </c>
      <c r="L1" s="15">
        <v>2030</v>
      </c>
      <c r="M1" s="15">
        <v>2031</v>
      </c>
      <c r="N1" s="15">
        <v>2032</v>
      </c>
      <c r="O1" s="15">
        <v>2033</v>
      </c>
      <c r="P1" s="15">
        <v>2034</v>
      </c>
      <c r="Q1" s="15">
        <v>2035</v>
      </c>
      <c r="R1" s="15">
        <v>2036</v>
      </c>
      <c r="S1" s="15">
        <v>2037</v>
      </c>
      <c r="T1" s="15">
        <v>2038</v>
      </c>
      <c r="U1" s="15">
        <v>2039</v>
      </c>
      <c r="V1" s="15">
        <v>2040</v>
      </c>
      <c r="W1" s="15">
        <v>2041</v>
      </c>
      <c r="X1" s="15">
        <v>2042</v>
      </c>
      <c r="Y1" s="15">
        <v>2043</v>
      </c>
      <c r="Z1" s="15">
        <v>2044</v>
      </c>
      <c r="AA1" s="15">
        <v>2045</v>
      </c>
      <c r="AB1" s="15">
        <v>2046</v>
      </c>
      <c r="AC1" s="15">
        <v>2047</v>
      </c>
      <c r="AD1" s="15">
        <v>2048</v>
      </c>
      <c r="AE1" s="15">
        <v>2049</v>
      </c>
      <c r="AF1" s="15">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ht="14.25" customHeight="1" x14ac:dyDescent="0.2">
      <c r="A2" s="5" t="s">
        <v>51</v>
      </c>
      <c r="B2" s="13">
        <f>'CCaMC-VOaMCpUC-pre-ret'!B2</f>
        <v>0.11</v>
      </c>
      <c r="C2" s="13">
        <f>'CCaMC-VOaMCpUC-pre-ret'!C2</f>
        <v>0.48999999999999994</v>
      </c>
      <c r="D2" s="13">
        <f>'CCaMC-VOaMCpUC-pre-ret'!D2</f>
        <v>0.86999999999999988</v>
      </c>
      <c r="E2" s="13">
        <f>'CCaMC-VOaMCpUC-pre-ret'!E2</f>
        <v>1.25</v>
      </c>
      <c r="F2" s="13">
        <f>'CCaMC-VOaMCpUC-pre-ret'!F2</f>
        <v>1.2428571428571429</v>
      </c>
      <c r="G2" s="13">
        <f>'CCaMC-VOaMCpUC-pre-ret'!G2</f>
        <v>1.2357142857142858</v>
      </c>
      <c r="H2" s="13">
        <f>'CCaMC-VOaMCpUC-pre-ret'!H2</f>
        <v>1.2285714285714286</v>
      </c>
      <c r="I2" s="13">
        <f>'CCaMC-VOaMCpUC-pre-ret'!I2</f>
        <v>1.2214285714285713</v>
      </c>
      <c r="J2" s="13">
        <f>'CCaMC-VOaMCpUC-pre-ret'!J2</f>
        <v>1.2142857142857142</v>
      </c>
      <c r="K2" s="13">
        <f>'CCaMC-VOaMCpUC-pre-ret'!K2</f>
        <v>1.2071428571428571</v>
      </c>
      <c r="L2" s="13">
        <f>'CCaMC-VOaMCpUC-pre-ret'!L2</f>
        <v>1.2</v>
      </c>
      <c r="M2" s="13">
        <f>'CCaMC-VOaMCpUC-pre-ret'!M2</f>
        <v>1.1975</v>
      </c>
      <c r="N2" s="13">
        <f>'CCaMC-VOaMCpUC-pre-ret'!N2</f>
        <v>1.1949999999999998</v>
      </c>
      <c r="O2" s="13">
        <f>'CCaMC-VOaMCpUC-pre-ret'!O2</f>
        <v>1.1924999999999999</v>
      </c>
      <c r="P2" s="13">
        <f>'CCaMC-VOaMCpUC-pre-ret'!P2</f>
        <v>1.19</v>
      </c>
      <c r="Q2" s="13">
        <f>'CCaMC-VOaMCpUC-pre-ret'!Q2</f>
        <v>1.1875</v>
      </c>
      <c r="R2" s="13">
        <f>'CCaMC-VOaMCpUC-pre-ret'!R2</f>
        <v>1.1850000000000001</v>
      </c>
      <c r="S2" s="13">
        <f>'CCaMC-VOaMCpUC-pre-ret'!S2</f>
        <v>1.1824999999999999</v>
      </c>
      <c r="T2" s="13">
        <f>'CCaMC-VOaMCpUC-pre-ret'!T2</f>
        <v>1.18</v>
      </c>
      <c r="U2" s="13">
        <f>'CCaMC-VOaMCpUC-pre-ret'!U2</f>
        <v>1.1775</v>
      </c>
      <c r="V2" s="13">
        <f>'CCaMC-VOaMCpUC-pre-ret'!V2</f>
        <v>1.1749999999999998</v>
      </c>
      <c r="W2" s="13">
        <f>'CCaMC-VOaMCpUC-pre-ret'!W2</f>
        <v>1.1724999999999999</v>
      </c>
      <c r="X2" s="13">
        <f>'CCaMC-VOaMCpUC-pre-ret'!X2</f>
        <v>1.17</v>
      </c>
      <c r="Y2" s="13">
        <f>'CCaMC-VOaMCpUC-pre-ret'!Y2</f>
        <v>1.1675</v>
      </c>
      <c r="Z2" s="13">
        <f>'CCaMC-VOaMCpUC-pre-ret'!Z2</f>
        <v>1.165</v>
      </c>
      <c r="AA2" s="13">
        <f>'CCaMC-VOaMCpUC-pre-ret'!AA2</f>
        <v>1.1624999999999999</v>
      </c>
      <c r="AB2" s="13">
        <f>'CCaMC-VOaMCpUC-pre-ret'!AB2</f>
        <v>1.1599999999999999</v>
      </c>
      <c r="AC2" s="13">
        <f>'CCaMC-VOaMCpUC-pre-ret'!AC2</f>
        <v>1.1575</v>
      </c>
      <c r="AD2" s="13">
        <f>'CCaMC-VOaMCpUC-pre-ret'!AD2</f>
        <v>1.1549999999999998</v>
      </c>
      <c r="AE2" s="13">
        <f>'CCaMC-VOaMCpUC-pre-ret'!AE2</f>
        <v>1.1524999999999999</v>
      </c>
      <c r="AF2" s="13">
        <f>'CCaMC-VOaMCpUC-pre-ret'!AF2</f>
        <v>1.1499999999999999</v>
      </c>
      <c r="AG2" s="13">
        <f>'CCaMC-VOaMCpUC-pre-ret'!AG2</f>
        <v>1.1499999999999999</v>
      </c>
      <c r="AH2" s="13">
        <f>'CCaMC-VOaMCpUC-pre-ret'!AH2</f>
        <v>1.1499999999999999</v>
      </c>
      <c r="AI2" s="13">
        <f>'CCaMC-VOaMCpUC-pre-ret'!AI2</f>
        <v>1.1499999999999999</v>
      </c>
      <c r="AJ2" s="13">
        <f>'CCaMC-VOaMCpUC-pre-ret'!AJ2</f>
        <v>1.1499999999999999</v>
      </c>
      <c r="AK2" s="13">
        <f>'CCaMC-VOaMCpUC-pre-ret'!AK2</f>
        <v>1.1499999999999999</v>
      </c>
      <c r="AL2" s="13">
        <f>'CCaMC-VOaMCpUC-pre-ret'!AL2</f>
        <v>1.1499999999999999</v>
      </c>
      <c r="AM2" s="13">
        <f>'CCaMC-VOaMCpUC-pre-ret'!AM2</f>
        <v>1.1499999999999999</v>
      </c>
      <c r="AN2" s="13">
        <f>'CCaMC-VOaMCpUC-pre-ret'!AN2</f>
        <v>1.1499999999999999</v>
      </c>
      <c r="AO2" s="13">
        <f>'CCaMC-VOaMCpUC-pre-ret'!AO2</f>
        <v>1.1499999999999999</v>
      </c>
      <c r="AP2" s="13">
        <f>'CCaMC-VOaMCpUC-pre-ret'!AP2</f>
        <v>1.1499999999999999</v>
      </c>
      <c r="AQ2" s="13">
        <f>'CCaMC-VOaMCpUC-pre-ret'!AQ2</f>
        <v>1.1499999999999999</v>
      </c>
      <c r="AR2" s="13">
        <f>'CCaMC-VOaMCpUC-pre-ret'!AR2</f>
        <v>1.1499999999999999</v>
      </c>
      <c r="AS2" s="13">
        <f>'CCaMC-VOaMCpUC-pre-ret'!AS2</f>
        <v>1.1499999999999999</v>
      </c>
      <c r="AT2" s="13">
        <f>'CCaMC-VOaMCpUC-pre-ret'!AT2</f>
        <v>1.1499999999999999</v>
      </c>
      <c r="AU2" s="13">
        <f>'CCaMC-VOaMCpUC-pre-ret'!AU2</f>
        <v>1.1499999999999999</v>
      </c>
      <c r="AV2" s="13">
        <f>'CCaMC-VOaMCpUC-pre-ret'!AV2</f>
        <v>1.1499999999999999</v>
      </c>
      <c r="AW2" s="13">
        <f>'CCaMC-VOaMCpUC-pre-ret'!AW2</f>
        <v>1.1499999999999999</v>
      </c>
      <c r="AX2" s="13">
        <f>'CCaMC-VOaMCpUC-pre-ret'!AX2</f>
        <v>1.1499999999999999</v>
      </c>
      <c r="AY2" s="13">
        <f>'CCaMC-VOaMCpUC-pre-ret'!AY2</f>
        <v>1.1499999999999999</v>
      </c>
      <c r="AZ2" s="13">
        <f>'CCaMC-VOaMCpUC-pre-ret'!AZ2</f>
        <v>1.1499999999999999</v>
      </c>
    </row>
    <row r="3" spans="1:52" ht="14.25" customHeight="1" x14ac:dyDescent="0.2">
      <c r="A3" s="5" t="s">
        <v>34</v>
      </c>
      <c r="B3" s="13">
        <f>'CCaMC-VOaMCpUC-pre-ret'!B3</f>
        <v>0.11</v>
      </c>
      <c r="C3" s="13">
        <f>'CCaMC-VOaMCpUC-pre-ret'!C3</f>
        <v>1.2733333333333334</v>
      </c>
      <c r="D3" s="13">
        <f>'CCaMC-VOaMCpUC-pre-ret'!D3</f>
        <v>2.4366666666666665</v>
      </c>
      <c r="E3" s="13">
        <f>'CCaMC-VOaMCpUC-pre-ret'!E3</f>
        <v>3.6</v>
      </c>
      <c r="F3" s="13">
        <f>'CCaMC-VOaMCpUC-pre-ret'!F3</f>
        <v>3.5857142857142859</v>
      </c>
      <c r="G3" s="13">
        <f>'CCaMC-VOaMCpUC-pre-ret'!G3</f>
        <v>3.5714285714285716</v>
      </c>
      <c r="H3" s="13">
        <f>'CCaMC-VOaMCpUC-pre-ret'!H3</f>
        <v>3.5571428571428574</v>
      </c>
      <c r="I3" s="13">
        <f>'CCaMC-VOaMCpUC-pre-ret'!I3</f>
        <v>3.5428571428571427</v>
      </c>
      <c r="J3" s="13">
        <f>'CCaMC-VOaMCpUC-pre-ret'!J3</f>
        <v>3.5285714285714285</v>
      </c>
      <c r="K3" s="13">
        <f>'CCaMC-VOaMCpUC-pre-ret'!K3</f>
        <v>3.5142857142857142</v>
      </c>
      <c r="L3" s="13">
        <f>'CCaMC-VOaMCpUC-pre-ret'!L3</f>
        <v>3.5</v>
      </c>
      <c r="M3" s="13">
        <f>'CCaMC-VOaMCpUC-pre-ret'!M3</f>
        <v>3.4950000000000001</v>
      </c>
      <c r="N3" s="13">
        <f>'CCaMC-VOaMCpUC-pre-ret'!N3</f>
        <v>3.49</v>
      </c>
      <c r="O3" s="13">
        <f>'CCaMC-VOaMCpUC-pre-ret'!O3</f>
        <v>3.4849999999999999</v>
      </c>
      <c r="P3" s="13">
        <f>'CCaMC-VOaMCpUC-pre-ret'!P3</f>
        <v>3.48</v>
      </c>
      <c r="Q3" s="13">
        <f>'CCaMC-VOaMCpUC-pre-ret'!Q3</f>
        <v>3.4750000000000001</v>
      </c>
      <c r="R3" s="13">
        <f>'CCaMC-VOaMCpUC-pre-ret'!R3</f>
        <v>3.4699999999999998</v>
      </c>
      <c r="S3" s="13">
        <f>'CCaMC-VOaMCpUC-pre-ret'!S3</f>
        <v>3.4649999999999999</v>
      </c>
      <c r="T3" s="13">
        <f>'CCaMC-VOaMCpUC-pre-ret'!T3</f>
        <v>3.46</v>
      </c>
      <c r="U3" s="13">
        <f>'CCaMC-VOaMCpUC-pre-ret'!U3</f>
        <v>3.4550000000000001</v>
      </c>
      <c r="V3" s="13">
        <f>'CCaMC-VOaMCpUC-pre-ret'!V3</f>
        <v>3.45</v>
      </c>
      <c r="W3" s="13">
        <f>'CCaMC-VOaMCpUC-pre-ret'!W3</f>
        <v>3.4449999999999998</v>
      </c>
      <c r="X3" s="13">
        <f>'CCaMC-VOaMCpUC-pre-ret'!X3</f>
        <v>3.44</v>
      </c>
      <c r="Y3" s="13">
        <f>'CCaMC-VOaMCpUC-pre-ret'!Y3</f>
        <v>3.4350000000000001</v>
      </c>
      <c r="Z3" s="13">
        <f>'CCaMC-VOaMCpUC-pre-ret'!Z3</f>
        <v>3.4299999999999997</v>
      </c>
      <c r="AA3" s="13">
        <f>'CCaMC-VOaMCpUC-pre-ret'!AA3</f>
        <v>3.4249999999999998</v>
      </c>
      <c r="AB3" s="13">
        <f>'CCaMC-VOaMCpUC-pre-ret'!AB3</f>
        <v>3.42</v>
      </c>
      <c r="AC3" s="13">
        <f>'CCaMC-VOaMCpUC-pre-ret'!AC3</f>
        <v>3.415</v>
      </c>
      <c r="AD3" s="13">
        <f>'CCaMC-VOaMCpUC-pre-ret'!AD3</f>
        <v>3.41</v>
      </c>
      <c r="AE3" s="13">
        <f>'CCaMC-VOaMCpUC-pre-ret'!AE3</f>
        <v>3.4049999999999998</v>
      </c>
      <c r="AF3" s="13">
        <f>'CCaMC-VOaMCpUC-pre-ret'!AF3</f>
        <v>3.4</v>
      </c>
      <c r="AG3" s="13">
        <f>'CCaMC-VOaMCpUC-pre-ret'!AG3</f>
        <v>3.4</v>
      </c>
      <c r="AH3" s="13">
        <f>'CCaMC-VOaMCpUC-pre-ret'!AH3</f>
        <v>3.4</v>
      </c>
      <c r="AI3" s="13">
        <f>'CCaMC-VOaMCpUC-pre-ret'!AI3</f>
        <v>3.4</v>
      </c>
      <c r="AJ3" s="13">
        <f>'CCaMC-VOaMCpUC-pre-ret'!AJ3</f>
        <v>3.4</v>
      </c>
      <c r="AK3" s="13">
        <f>'CCaMC-VOaMCpUC-pre-ret'!AK3</f>
        <v>3.4</v>
      </c>
      <c r="AL3" s="13">
        <f>'CCaMC-VOaMCpUC-pre-ret'!AL3</f>
        <v>3.4</v>
      </c>
      <c r="AM3" s="13">
        <f>'CCaMC-VOaMCpUC-pre-ret'!AM3</f>
        <v>3.4</v>
      </c>
      <c r="AN3" s="13">
        <f>'CCaMC-VOaMCpUC-pre-ret'!AN3</f>
        <v>3.4</v>
      </c>
      <c r="AO3" s="13">
        <f>'CCaMC-VOaMCpUC-pre-ret'!AO3</f>
        <v>3.4</v>
      </c>
      <c r="AP3" s="13">
        <f>'CCaMC-VOaMCpUC-pre-ret'!AP3</f>
        <v>3.4</v>
      </c>
      <c r="AQ3" s="13">
        <f>'CCaMC-VOaMCpUC-pre-ret'!AQ3</f>
        <v>3.4</v>
      </c>
      <c r="AR3" s="13">
        <f>'CCaMC-VOaMCpUC-pre-ret'!AR3</f>
        <v>3.4</v>
      </c>
      <c r="AS3" s="13">
        <f>'CCaMC-VOaMCpUC-pre-ret'!AS3</f>
        <v>3.4</v>
      </c>
      <c r="AT3" s="13">
        <f>'CCaMC-VOaMCpUC-pre-ret'!AT3</f>
        <v>3.4</v>
      </c>
      <c r="AU3" s="13">
        <f>'CCaMC-VOaMCpUC-pre-ret'!AU3</f>
        <v>3.4</v>
      </c>
      <c r="AV3" s="13">
        <f>'CCaMC-VOaMCpUC-pre-ret'!AV3</f>
        <v>3.4</v>
      </c>
      <c r="AW3" s="13">
        <f>'CCaMC-VOaMCpUC-pre-ret'!AW3</f>
        <v>3.4</v>
      </c>
      <c r="AX3" s="13">
        <f>'CCaMC-VOaMCpUC-pre-ret'!AX3</f>
        <v>3.4</v>
      </c>
      <c r="AY3" s="13">
        <f>'CCaMC-VOaMCpUC-pre-ret'!AY3</f>
        <v>3.4</v>
      </c>
      <c r="AZ3" s="13">
        <f>'CCaMC-VOaMCpUC-pre-ret'!AZ3</f>
        <v>3.4</v>
      </c>
    </row>
    <row r="4" spans="1:52" ht="14.25" customHeight="1" x14ac:dyDescent="0.2">
      <c r="A4" s="5" t="s">
        <v>32</v>
      </c>
      <c r="B4" s="13">
        <f>'CCaMC-VOaMCpUC-pre-ret'!B4</f>
        <v>3</v>
      </c>
      <c r="C4" s="13">
        <f>'CCaMC-VOaMCpUC-pre-ret'!C4</f>
        <v>7.1333333333333337</v>
      </c>
      <c r="D4" s="13">
        <f>'CCaMC-VOaMCpUC-pre-ret'!D4</f>
        <v>11.266666666666667</v>
      </c>
      <c r="E4" s="13">
        <f>'CCaMC-VOaMCpUC-pre-ret'!E4</f>
        <v>15.4</v>
      </c>
      <c r="F4" s="13">
        <f>'CCaMC-VOaMCpUC-pre-ret'!F4</f>
        <v>15.4</v>
      </c>
      <c r="G4" s="13">
        <f>'CCaMC-VOaMCpUC-pre-ret'!G4</f>
        <v>15.4</v>
      </c>
      <c r="H4" s="13">
        <f>'CCaMC-VOaMCpUC-pre-ret'!H4</f>
        <v>15.4</v>
      </c>
      <c r="I4" s="13">
        <f>'CCaMC-VOaMCpUC-pre-ret'!I4</f>
        <v>15.4</v>
      </c>
      <c r="J4" s="13">
        <f>'CCaMC-VOaMCpUC-pre-ret'!J4</f>
        <v>15.4</v>
      </c>
      <c r="K4" s="13">
        <f>'CCaMC-VOaMCpUC-pre-ret'!K4</f>
        <v>15.4</v>
      </c>
      <c r="L4" s="13">
        <f>'CCaMC-VOaMCpUC-pre-ret'!L4</f>
        <v>15.4</v>
      </c>
      <c r="M4" s="13">
        <f>'CCaMC-VOaMCpUC-pre-ret'!M4</f>
        <v>15.4</v>
      </c>
      <c r="N4" s="13">
        <f>'CCaMC-VOaMCpUC-pre-ret'!N4</f>
        <v>15.4</v>
      </c>
      <c r="O4" s="13">
        <f>'CCaMC-VOaMCpUC-pre-ret'!O4</f>
        <v>15.4</v>
      </c>
      <c r="P4" s="13">
        <f>'CCaMC-VOaMCpUC-pre-ret'!P4</f>
        <v>15.4</v>
      </c>
      <c r="Q4" s="13">
        <f>'CCaMC-VOaMCpUC-pre-ret'!Q4</f>
        <v>15.4</v>
      </c>
      <c r="R4" s="13">
        <f>'CCaMC-VOaMCpUC-pre-ret'!R4</f>
        <v>15.4</v>
      </c>
      <c r="S4" s="13">
        <f>'CCaMC-VOaMCpUC-pre-ret'!S4</f>
        <v>15.4</v>
      </c>
      <c r="T4" s="13">
        <f>'CCaMC-VOaMCpUC-pre-ret'!T4</f>
        <v>15.4</v>
      </c>
      <c r="U4" s="13">
        <f>'CCaMC-VOaMCpUC-pre-ret'!U4</f>
        <v>15.4</v>
      </c>
      <c r="V4" s="13">
        <f>'CCaMC-VOaMCpUC-pre-ret'!V4</f>
        <v>15.4</v>
      </c>
      <c r="W4" s="13">
        <f>'CCaMC-VOaMCpUC-pre-ret'!W4</f>
        <v>15.4</v>
      </c>
      <c r="X4" s="13">
        <f>'CCaMC-VOaMCpUC-pre-ret'!X4</f>
        <v>15.4</v>
      </c>
      <c r="Y4" s="13">
        <f>'CCaMC-VOaMCpUC-pre-ret'!Y4</f>
        <v>15.4</v>
      </c>
      <c r="Z4" s="13">
        <f>'CCaMC-VOaMCpUC-pre-ret'!Z4</f>
        <v>15.4</v>
      </c>
      <c r="AA4" s="13">
        <f>'CCaMC-VOaMCpUC-pre-ret'!AA4</f>
        <v>15.4</v>
      </c>
      <c r="AB4" s="13">
        <f>'CCaMC-VOaMCpUC-pre-ret'!AB4</f>
        <v>15.4</v>
      </c>
      <c r="AC4" s="13">
        <f>'CCaMC-VOaMCpUC-pre-ret'!AC4</f>
        <v>15.4</v>
      </c>
      <c r="AD4" s="13">
        <f>'CCaMC-VOaMCpUC-pre-ret'!AD4</f>
        <v>15.4</v>
      </c>
      <c r="AE4" s="13">
        <f>'CCaMC-VOaMCpUC-pre-ret'!AE4</f>
        <v>15.4</v>
      </c>
      <c r="AF4" s="13">
        <f>'CCaMC-VOaMCpUC-pre-ret'!AF4</f>
        <v>15.4</v>
      </c>
      <c r="AG4" s="13">
        <f>'CCaMC-VOaMCpUC-pre-ret'!AG4</f>
        <v>15.4</v>
      </c>
      <c r="AH4" s="13">
        <f>'CCaMC-VOaMCpUC-pre-ret'!AH4</f>
        <v>15.4</v>
      </c>
      <c r="AI4" s="13">
        <f>'CCaMC-VOaMCpUC-pre-ret'!AI4</f>
        <v>15.4</v>
      </c>
      <c r="AJ4" s="13">
        <f>'CCaMC-VOaMCpUC-pre-ret'!AJ4</f>
        <v>15.4</v>
      </c>
      <c r="AK4" s="13">
        <f>'CCaMC-VOaMCpUC-pre-ret'!AK4</f>
        <v>15.4</v>
      </c>
      <c r="AL4" s="13">
        <f>'CCaMC-VOaMCpUC-pre-ret'!AL4</f>
        <v>15.4</v>
      </c>
      <c r="AM4" s="13">
        <f>'CCaMC-VOaMCpUC-pre-ret'!AM4</f>
        <v>15.4</v>
      </c>
      <c r="AN4" s="13">
        <f>'CCaMC-VOaMCpUC-pre-ret'!AN4</f>
        <v>15.4</v>
      </c>
      <c r="AO4" s="13">
        <f>'CCaMC-VOaMCpUC-pre-ret'!AO4</f>
        <v>15.4</v>
      </c>
      <c r="AP4" s="13">
        <f>'CCaMC-VOaMCpUC-pre-ret'!AP4</f>
        <v>15.4</v>
      </c>
      <c r="AQ4" s="13">
        <f>'CCaMC-VOaMCpUC-pre-ret'!AQ4</f>
        <v>15.4</v>
      </c>
      <c r="AR4" s="13">
        <f>'CCaMC-VOaMCpUC-pre-ret'!AR4</f>
        <v>15.4</v>
      </c>
      <c r="AS4" s="13">
        <f>'CCaMC-VOaMCpUC-pre-ret'!AS4</f>
        <v>15.4</v>
      </c>
      <c r="AT4" s="13">
        <f>'CCaMC-VOaMCpUC-pre-ret'!AT4</f>
        <v>15.4</v>
      </c>
      <c r="AU4" s="13">
        <f>'CCaMC-VOaMCpUC-pre-ret'!AU4</f>
        <v>15.4</v>
      </c>
      <c r="AV4" s="13">
        <f>'CCaMC-VOaMCpUC-pre-ret'!AV4</f>
        <v>15.4</v>
      </c>
      <c r="AW4" s="13">
        <f>'CCaMC-VOaMCpUC-pre-ret'!AW4</f>
        <v>15.4</v>
      </c>
      <c r="AX4" s="13">
        <f>'CCaMC-VOaMCpUC-pre-ret'!AX4</f>
        <v>15.4</v>
      </c>
      <c r="AY4" s="13">
        <f>'CCaMC-VOaMCpUC-pre-ret'!AY4</f>
        <v>15.4</v>
      </c>
      <c r="AZ4" s="13">
        <f>'CCaMC-VOaMCpUC-pre-ret'!AZ4</f>
        <v>15.4</v>
      </c>
    </row>
    <row r="5" spans="1:52" ht="14.25" customHeight="1" x14ac:dyDescent="0.2">
      <c r="A5" s="5" t="s">
        <v>35</v>
      </c>
      <c r="B5" s="13">
        <f>'CCaMC-VOaMCpUC-pre-ret'!B5</f>
        <v>0.65</v>
      </c>
      <c r="C5" s="13">
        <f>'CCaMC-VOaMCpUC-pre-ret'!C5</f>
        <v>0.68</v>
      </c>
      <c r="D5" s="13">
        <f>'CCaMC-VOaMCpUC-pre-ret'!D5</f>
        <v>0.71</v>
      </c>
      <c r="E5" s="13">
        <f>'CCaMC-VOaMCpUC-pre-ret'!E5</f>
        <v>0.74</v>
      </c>
      <c r="F5" s="13">
        <f>'CCaMC-VOaMCpUC-pre-ret'!F5</f>
        <v>0.73571428571428565</v>
      </c>
      <c r="G5" s="13">
        <f>'CCaMC-VOaMCpUC-pre-ret'!G5</f>
        <v>0.73142857142857143</v>
      </c>
      <c r="H5" s="13">
        <f>'CCaMC-VOaMCpUC-pre-ret'!H5</f>
        <v>0.72714285714285709</v>
      </c>
      <c r="I5" s="13">
        <f>'CCaMC-VOaMCpUC-pre-ret'!I5</f>
        <v>0.72285714285714286</v>
      </c>
      <c r="J5" s="13">
        <f>'CCaMC-VOaMCpUC-pre-ret'!J5</f>
        <v>0.71857142857142853</v>
      </c>
      <c r="K5" s="13">
        <f>'CCaMC-VOaMCpUC-pre-ret'!K5</f>
        <v>0.7142857142857143</v>
      </c>
      <c r="L5" s="13">
        <f>'CCaMC-VOaMCpUC-pre-ret'!L5</f>
        <v>0.71</v>
      </c>
      <c r="M5" s="13">
        <f>'CCaMC-VOaMCpUC-pre-ret'!M5</f>
        <v>0.70750000000000002</v>
      </c>
      <c r="N5" s="13">
        <f>'CCaMC-VOaMCpUC-pre-ret'!N5</f>
        <v>0.70499999999999996</v>
      </c>
      <c r="O5" s="13">
        <f>'CCaMC-VOaMCpUC-pre-ret'!O5</f>
        <v>0.70250000000000001</v>
      </c>
      <c r="P5" s="13">
        <f>'CCaMC-VOaMCpUC-pre-ret'!P5</f>
        <v>0.7</v>
      </c>
      <c r="Q5" s="13">
        <f>'CCaMC-VOaMCpUC-pre-ret'!Q5</f>
        <v>0.69750000000000001</v>
      </c>
      <c r="R5" s="13">
        <f>'CCaMC-VOaMCpUC-pre-ret'!R5</f>
        <v>0.69499999999999995</v>
      </c>
      <c r="S5" s="13">
        <f>'CCaMC-VOaMCpUC-pre-ret'!S5</f>
        <v>0.6925</v>
      </c>
      <c r="T5" s="13">
        <f>'CCaMC-VOaMCpUC-pre-ret'!T5</f>
        <v>0.69</v>
      </c>
      <c r="U5" s="13">
        <f>'CCaMC-VOaMCpUC-pre-ret'!U5</f>
        <v>0.6875</v>
      </c>
      <c r="V5" s="13">
        <f>'CCaMC-VOaMCpUC-pre-ret'!V5</f>
        <v>0.68500000000000005</v>
      </c>
      <c r="W5" s="13">
        <f>'CCaMC-VOaMCpUC-pre-ret'!W5</f>
        <v>0.6825</v>
      </c>
      <c r="X5" s="13">
        <f>'CCaMC-VOaMCpUC-pre-ret'!X5</f>
        <v>0.68</v>
      </c>
      <c r="Y5" s="13">
        <f>'CCaMC-VOaMCpUC-pre-ret'!Y5</f>
        <v>0.67749999999999999</v>
      </c>
      <c r="Z5" s="13">
        <f>'CCaMC-VOaMCpUC-pre-ret'!Z5</f>
        <v>0.67500000000000004</v>
      </c>
      <c r="AA5" s="13">
        <f>'CCaMC-VOaMCpUC-pre-ret'!AA5</f>
        <v>0.67249999999999999</v>
      </c>
      <c r="AB5" s="13">
        <f>'CCaMC-VOaMCpUC-pre-ret'!AB5</f>
        <v>0.67</v>
      </c>
      <c r="AC5" s="13">
        <f>'CCaMC-VOaMCpUC-pre-ret'!AC5</f>
        <v>0.66749999999999998</v>
      </c>
      <c r="AD5" s="13">
        <f>'CCaMC-VOaMCpUC-pre-ret'!AD5</f>
        <v>0.66500000000000004</v>
      </c>
      <c r="AE5" s="13">
        <f>'CCaMC-VOaMCpUC-pre-ret'!AE5</f>
        <v>0.66249999999999998</v>
      </c>
      <c r="AF5" s="13">
        <f>'CCaMC-VOaMCpUC-pre-ret'!AF5</f>
        <v>0.66</v>
      </c>
      <c r="AG5" s="13">
        <f>'CCaMC-VOaMCpUC-pre-ret'!AG5</f>
        <v>0.66</v>
      </c>
      <c r="AH5" s="13">
        <f>'CCaMC-VOaMCpUC-pre-ret'!AH5</f>
        <v>0.66</v>
      </c>
      <c r="AI5" s="13">
        <f>'CCaMC-VOaMCpUC-pre-ret'!AI5</f>
        <v>0.66</v>
      </c>
      <c r="AJ5" s="13">
        <f>'CCaMC-VOaMCpUC-pre-ret'!AJ5</f>
        <v>0.66</v>
      </c>
      <c r="AK5" s="13">
        <f>'CCaMC-VOaMCpUC-pre-ret'!AK5</f>
        <v>0.66</v>
      </c>
      <c r="AL5" s="13">
        <f>'CCaMC-VOaMCpUC-pre-ret'!AL5</f>
        <v>0.66</v>
      </c>
      <c r="AM5" s="13">
        <f>'CCaMC-VOaMCpUC-pre-ret'!AM5</f>
        <v>0.66</v>
      </c>
      <c r="AN5" s="13">
        <f>'CCaMC-VOaMCpUC-pre-ret'!AN5</f>
        <v>0.66</v>
      </c>
      <c r="AO5" s="13">
        <f>'CCaMC-VOaMCpUC-pre-ret'!AO5</f>
        <v>0.66</v>
      </c>
      <c r="AP5" s="13">
        <f>'CCaMC-VOaMCpUC-pre-ret'!AP5</f>
        <v>0.66</v>
      </c>
      <c r="AQ5" s="13">
        <f>'CCaMC-VOaMCpUC-pre-ret'!AQ5</f>
        <v>0.66</v>
      </c>
      <c r="AR5" s="13">
        <f>'CCaMC-VOaMCpUC-pre-ret'!AR5</f>
        <v>0.66</v>
      </c>
      <c r="AS5" s="13">
        <f>'CCaMC-VOaMCpUC-pre-ret'!AS5</f>
        <v>0.66</v>
      </c>
      <c r="AT5" s="13">
        <f>'CCaMC-VOaMCpUC-pre-ret'!AT5</f>
        <v>0.66</v>
      </c>
      <c r="AU5" s="13">
        <f>'CCaMC-VOaMCpUC-pre-ret'!AU5</f>
        <v>0.66</v>
      </c>
      <c r="AV5" s="13">
        <f>'CCaMC-VOaMCpUC-pre-ret'!AV5</f>
        <v>0.66</v>
      </c>
      <c r="AW5" s="13">
        <f>'CCaMC-VOaMCpUC-pre-ret'!AW5</f>
        <v>0.66</v>
      </c>
      <c r="AX5" s="13">
        <f>'CCaMC-VOaMCpUC-pre-ret'!AX5</f>
        <v>0.66</v>
      </c>
      <c r="AY5" s="13">
        <f>'CCaMC-VOaMCpUC-pre-ret'!AY5</f>
        <v>0.66</v>
      </c>
      <c r="AZ5" s="13">
        <f>'CCaMC-VOaMCpUC-pre-ret'!AZ5</f>
        <v>0.66</v>
      </c>
    </row>
    <row r="6" spans="1:52" ht="14.25" customHeight="1" x14ac:dyDescent="0.2">
      <c r="A6" s="5" t="s">
        <v>36</v>
      </c>
      <c r="B6" s="13">
        <f>'CCaMC-VOaMCpUC-pre-ret'!B6</f>
        <v>0</v>
      </c>
      <c r="C6" s="13">
        <f>'CCaMC-VOaMCpUC-pre-ret'!C6</f>
        <v>0</v>
      </c>
      <c r="D6" s="13">
        <f>'CCaMC-VOaMCpUC-pre-ret'!D6</f>
        <v>0</v>
      </c>
      <c r="E6" s="13">
        <f>'CCaMC-VOaMCpUC-pre-ret'!E6</f>
        <v>0</v>
      </c>
      <c r="F6" s="13">
        <f>'CCaMC-VOaMCpUC-pre-ret'!F6</f>
        <v>0</v>
      </c>
      <c r="G6" s="13">
        <f>'CCaMC-VOaMCpUC-pre-ret'!G6</f>
        <v>0</v>
      </c>
      <c r="H6" s="13">
        <f>'CCaMC-VOaMCpUC-pre-ret'!H6</f>
        <v>0</v>
      </c>
      <c r="I6" s="13">
        <f>'CCaMC-VOaMCpUC-pre-ret'!I6</f>
        <v>0</v>
      </c>
      <c r="J6" s="13">
        <f>'CCaMC-VOaMCpUC-pre-ret'!J6</f>
        <v>0</v>
      </c>
      <c r="K6" s="13">
        <f>'CCaMC-VOaMCpUC-pre-ret'!K6</f>
        <v>0</v>
      </c>
      <c r="L6" s="13">
        <f>'CCaMC-VOaMCpUC-pre-ret'!L6</f>
        <v>0</v>
      </c>
      <c r="M6" s="13">
        <f>'CCaMC-VOaMCpUC-pre-ret'!M6</f>
        <v>0</v>
      </c>
      <c r="N6" s="13">
        <f>'CCaMC-VOaMCpUC-pre-ret'!N6</f>
        <v>0</v>
      </c>
      <c r="O6" s="13">
        <f>'CCaMC-VOaMCpUC-pre-ret'!O6</f>
        <v>0</v>
      </c>
      <c r="P6" s="13">
        <f>'CCaMC-VOaMCpUC-pre-ret'!P6</f>
        <v>0</v>
      </c>
      <c r="Q6" s="13">
        <f>'CCaMC-VOaMCpUC-pre-ret'!Q6</f>
        <v>0</v>
      </c>
      <c r="R6" s="13">
        <f>'CCaMC-VOaMCpUC-pre-ret'!R6</f>
        <v>0</v>
      </c>
      <c r="S6" s="13">
        <f>'CCaMC-VOaMCpUC-pre-ret'!S6</f>
        <v>0</v>
      </c>
      <c r="T6" s="13">
        <f>'CCaMC-VOaMCpUC-pre-ret'!T6</f>
        <v>0</v>
      </c>
      <c r="U6" s="13">
        <f>'CCaMC-VOaMCpUC-pre-ret'!U6</f>
        <v>0</v>
      </c>
      <c r="V6" s="13">
        <f>'CCaMC-VOaMCpUC-pre-ret'!V6</f>
        <v>0</v>
      </c>
      <c r="W6" s="13">
        <f>'CCaMC-VOaMCpUC-pre-ret'!W6</f>
        <v>0</v>
      </c>
      <c r="X6" s="13">
        <f>'CCaMC-VOaMCpUC-pre-ret'!X6</f>
        <v>0</v>
      </c>
      <c r="Y6" s="13">
        <f>'CCaMC-VOaMCpUC-pre-ret'!Y6</f>
        <v>0</v>
      </c>
      <c r="Z6" s="13">
        <f>'CCaMC-VOaMCpUC-pre-ret'!Z6</f>
        <v>0</v>
      </c>
      <c r="AA6" s="13">
        <f>'CCaMC-VOaMCpUC-pre-ret'!AA6</f>
        <v>0</v>
      </c>
      <c r="AB6" s="13">
        <f>'CCaMC-VOaMCpUC-pre-ret'!AB6</f>
        <v>0</v>
      </c>
      <c r="AC6" s="13">
        <f>'CCaMC-VOaMCpUC-pre-ret'!AC6</f>
        <v>0</v>
      </c>
      <c r="AD6" s="13">
        <f>'CCaMC-VOaMCpUC-pre-ret'!AD6</f>
        <v>0</v>
      </c>
      <c r="AE6" s="13">
        <f>'CCaMC-VOaMCpUC-pre-ret'!AE6</f>
        <v>0</v>
      </c>
      <c r="AF6" s="13">
        <f>'CCaMC-VOaMCpUC-pre-ret'!AF6</f>
        <v>0</v>
      </c>
      <c r="AG6" s="13">
        <f>'CCaMC-VOaMCpUC-pre-ret'!AG6</f>
        <v>0</v>
      </c>
      <c r="AH6" s="13">
        <f>'CCaMC-VOaMCpUC-pre-ret'!AH6</f>
        <v>0</v>
      </c>
      <c r="AI6" s="13">
        <f>'CCaMC-VOaMCpUC-pre-ret'!AI6</f>
        <v>0</v>
      </c>
      <c r="AJ6" s="13">
        <f>'CCaMC-VOaMCpUC-pre-ret'!AJ6</f>
        <v>0</v>
      </c>
      <c r="AK6" s="13">
        <f>'CCaMC-VOaMCpUC-pre-ret'!AK6</f>
        <v>0</v>
      </c>
      <c r="AL6" s="13">
        <f>'CCaMC-VOaMCpUC-pre-ret'!AL6</f>
        <v>0</v>
      </c>
      <c r="AM6" s="13">
        <f>'CCaMC-VOaMCpUC-pre-ret'!AM6</f>
        <v>0</v>
      </c>
      <c r="AN6" s="13">
        <f>'CCaMC-VOaMCpUC-pre-ret'!AN6</f>
        <v>0</v>
      </c>
      <c r="AO6" s="13">
        <f>'CCaMC-VOaMCpUC-pre-ret'!AO6</f>
        <v>0</v>
      </c>
      <c r="AP6" s="13">
        <f>'CCaMC-VOaMCpUC-pre-ret'!AP6</f>
        <v>0</v>
      </c>
      <c r="AQ6" s="13">
        <f>'CCaMC-VOaMCpUC-pre-ret'!AQ6</f>
        <v>0</v>
      </c>
      <c r="AR6" s="13">
        <f>'CCaMC-VOaMCpUC-pre-ret'!AR6</f>
        <v>0</v>
      </c>
      <c r="AS6" s="13">
        <f>'CCaMC-VOaMCpUC-pre-ret'!AS6</f>
        <v>0</v>
      </c>
      <c r="AT6" s="13">
        <f>'CCaMC-VOaMCpUC-pre-ret'!AT6</f>
        <v>0</v>
      </c>
      <c r="AU6" s="13">
        <f>'CCaMC-VOaMCpUC-pre-ret'!AU6</f>
        <v>0</v>
      </c>
      <c r="AV6" s="13">
        <f>'CCaMC-VOaMCpUC-pre-ret'!AV6</f>
        <v>0</v>
      </c>
      <c r="AW6" s="13">
        <f>'CCaMC-VOaMCpUC-pre-ret'!AW6</f>
        <v>0</v>
      </c>
      <c r="AX6" s="13">
        <f>'CCaMC-VOaMCpUC-pre-ret'!AX6</f>
        <v>0</v>
      </c>
      <c r="AY6" s="13">
        <f>'CCaMC-VOaMCpUC-pre-ret'!AY6</f>
        <v>0</v>
      </c>
      <c r="AZ6" s="13">
        <f>'CCaMC-VOaMCpUC-pre-ret'!AZ6</f>
        <v>0</v>
      </c>
    </row>
    <row r="7" spans="1:52" ht="14.25" customHeight="1" x14ac:dyDescent="0.2">
      <c r="A7" s="5" t="s">
        <v>37</v>
      </c>
      <c r="B7" s="13">
        <f>'CCaMC-VOaMCpUC-pre-ret'!B7</f>
        <v>0</v>
      </c>
      <c r="C7" s="13">
        <f>'CCaMC-VOaMCpUC-pre-ret'!C7</f>
        <v>0</v>
      </c>
      <c r="D7" s="13">
        <f>'CCaMC-VOaMCpUC-pre-ret'!D7</f>
        <v>0</v>
      </c>
      <c r="E7" s="13">
        <f>'CCaMC-VOaMCpUC-pre-ret'!E7</f>
        <v>0</v>
      </c>
      <c r="F7" s="13">
        <f>'CCaMC-VOaMCpUC-pre-ret'!F7</f>
        <v>0</v>
      </c>
      <c r="G7" s="13">
        <f>'CCaMC-VOaMCpUC-pre-ret'!G7</f>
        <v>0</v>
      </c>
      <c r="H7" s="13">
        <f>'CCaMC-VOaMCpUC-pre-ret'!H7</f>
        <v>0</v>
      </c>
      <c r="I7" s="13">
        <f>'CCaMC-VOaMCpUC-pre-ret'!I7</f>
        <v>0</v>
      </c>
      <c r="J7" s="13">
        <f>'CCaMC-VOaMCpUC-pre-ret'!J7</f>
        <v>0</v>
      </c>
      <c r="K7" s="13">
        <f>'CCaMC-VOaMCpUC-pre-ret'!K7</f>
        <v>0</v>
      </c>
      <c r="L7" s="13">
        <f>'CCaMC-VOaMCpUC-pre-ret'!L7</f>
        <v>0</v>
      </c>
      <c r="M7" s="13">
        <f>'CCaMC-VOaMCpUC-pre-ret'!M7</f>
        <v>0</v>
      </c>
      <c r="N7" s="13">
        <f>'CCaMC-VOaMCpUC-pre-ret'!N7</f>
        <v>0</v>
      </c>
      <c r="O7" s="13">
        <f>'CCaMC-VOaMCpUC-pre-ret'!O7</f>
        <v>0</v>
      </c>
      <c r="P7" s="13">
        <f>'CCaMC-VOaMCpUC-pre-ret'!P7</f>
        <v>0</v>
      </c>
      <c r="Q7" s="13">
        <f>'CCaMC-VOaMCpUC-pre-ret'!Q7</f>
        <v>0</v>
      </c>
      <c r="R7" s="13">
        <f>'CCaMC-VOaMCpUC-pre-ret'!R7</f>
        <v>0</v>
      </c>
      <c r="S7" s="13">
        <f>'CCaMC-VOaMCpUC-pre-ret'!S7</f>
        <v>0</v>
      </c>
      <c r="T7" s="13">
        <f>'CCaMC-VOaMCpUC-pre-ret'!T7</f>
        <v>0</v>
      </c>
      <c r="U7" s="13">
        <f>'CCaMC-VOaMCpUC-pre-ret'!U7</f>
        <v>0</v>
      </c>
      <c r="V7" s="13">
        <f>'CCaMC-VOaMCpUC-pre-ret'!V7</f>
        <v>0</v>
      </c>
      <c r="W7" s="13">
        <f>'CCaMC-VOaMCpUC-pre-ret'!W7</f>
        <v>0</v>
      </c>
      <c r="X7" s="13">
        <f>'CCaMC-VOaMCpUC-pre-ret'!X7</f>
        <v>0</v>
      </c>
      <c r="Y7" s="13">
        <f>'CCaMC-VOaMCpUC-pre-ret'!Y7</f>
        <v>0</v>
      </c>
      <c r="Z7" s="13">
        <f>'CCaMC-VOaMCpUC-pre-ret'!Z7</f>
        <v>0</v>
      </c>
      <c r="AA7" s="13">
        <f>'CCaMC-VOaMCpUC-pre-ret'!AA7</f>
        <v>0</v>
      </c>
      <c r="AB7" s="13">
        <f>'CCaMC-VOaMCpUC-pre-ret'!AB7</f>
        <v>0</v>
      </c>
      <c r="AC7" s="13">
        <f>'CCaMC-VOaMCpUC-pre-ret'!AC7</f>
        <v>0</v>
      </c>
      <c r="AD7" s="13">
        <f>'CCaMC-VOaMCpUC-pre-ret'!AD7</f>
        <v>0</v>
      </c>
      <c r="AE7" s="13">
        <f>'CCaMC-VOaMCpUC-pre-ret'!AE7</f>
        <v>0</v>
      </c>
      <c r="AF7" s="13">
        <f>'CCaMC-VOaMCpUC-pre-ret'!AF7</f>
        <v>0</v>
      </c>
      <c r="AG7" s="13">
        <f>'CCaMC-VOaMCpUC-pre-ret'!AG7</f>
        <v>0</v>
      </c>
      <c r="AH7" s="13">
        <f>'CCaMC-VOaMCpUC-pre-ret'!AH7</f>
        <v>0</v>
      </c>
      <c r="AI7" s="13">
        <f>'CCaMC-VOaMCpUC-pre-ret'!AI7</f>
        <v>0</v>
      </c>
      <c r="AJ7" s="13">
        <f>'CCaMC-VOaMCpUC-pre-ret'!AJ7</f>
        <v>0</v>
      </c>
      <c r="AK7" s="13">
        <f>'CCaMC-VOaMCpUC-pre-ret'!AK7</f>
        <v>0</v>
      </c>
      <c r="AL7" s="13">
        <f>'CCaMC-VOaMCpUC-pre-ret'!AL7</f>
        <v>0</v>
      </c>
      <c r="AM7" s="13">
        <f>'CCaMC-VOaMCpUC-pre-ret'!AM7</f>
        <v>0</v>
      </c>
      <c r="AN7" s="13">
        <f>'CCaMC-VOaMCpUC-pre-ret'!AN7</f>
        <v>0</v>
      </c>
      <c r="AO7" s="13">
        <f>'CCaMC-VOaMCpUC-pre-ret'!AO7</f>
        <v>0</v>
      </c>
      <c r="AP7" s="13">
        <f>'CCaMC-VOaMCpUC-pre-ret'!AP7</f>
        <v>0</v>
      </c>
      <c r="AQ7" s="13">
        <f>'CCaMC-VOaMCpUC-pre-ret'!AQ7</f>
        <v>0</v>
      </c>
      <c r="AR7" s="13">
        <f>'CCaMC-VOaMCpUC-pre-ret'!AR7</f>
        <v>0</v>
      </c>
      <c r="AS7" s="13">
        <f>'CCaMC-VOaMCpUC-pre-ret'!AS7</f>
        <v>0</v>
      </c>
      <c r="AT7" s="13">
        <f>'CCaMC-VOaMCpUC-pre-ret'!AT7</f>
        <v>0</v>
      </c>
      <c r="AU7" s="13">
        <f>'CCaMC-VOaMCpUC-pre-ret'!AU7</f>
        <v>0</v>
      </c>
      <c r="AV7" s="13">
        <f>'CCaMC-VOaMCpUC-pre-ret'!AV7</f>
        <v>0</v>
      </c>
      <c r="AW7" s="13">
        <f>'CCaMC-VOaMCpUC-pre-ret'!AW7</f>
        <v>0</v>
      </c>
      <c r="AX7" s="13">
        <f>'CCaMC-VOaMCpUC-pre-ret'!AX7</f>
        <v>0</v>
      </c>
      <c r="AY7" s="13">
        <f>'CCaMC-VOaMCpUC-pre-ret'!AY7</f>
        <v>0</v>
      </c>
      <c r="AZ7" s="13">
        <f>'CCaMC-VOaMCpUC-pre-ret'!AZ7</f>
        <v>0</v>
      </c>
    </row>
    <row r="8" spans="1:52" ht="14.25" customHeight="1" x14ac:dyDescent="0.2">
      <c r="A8" s="5" t="s">
        <v>48</v>
      </c>
      <c r="B8" s="13">
        <f>'CCaMC-VOaMCpUC-pre-ret'!B8</f>
        <v>0</v>
      </c>
      <c r="C8" s="13">
        <f>'CCaMC-VOaMCpUC-pre-ret'!C8</f>
        <v>0</v>
      </c>
      <c r="D8" s="13">
        <f>'CCaMC-VOaMCpUC-pre-ret'!D8</f>
        <v>0</v>
      </c>
      <c r="E8" s="13">
        <f>'CCaMC-VOaMCpUC-pre-ret'!E8</f>
        <v>0</v>
      </c>
      <c r="F8" s="13">
        <f>'CCaMC-VOaMCpUC-pre-ret'!F8</f>
        <v>0</v>
      </c>
      <c r="G8" s="13">
        <f>'CCaMC-VOaMCpUC-pre-ret'!G8</f>
        <v>0</v>
      </c>
      <c r="H8" s="13">
        <f>'CCaMC-VOaMCpUC-pre-ret'!H8</f>
        <v>0</v>
      </c>
      <c r="I8" s="13">
        <f>'CCaMC-VOaMCpUC-pre-ret'!I8</f>
        <v>0</v>
      </c>
      <c r="J8" s="13">
        <f>'CCaMC-VOaMCpUC-pre-ret'!J8</f>
        <v>0</v>
      </c>
      <c r="K8" s="13">
        <f>'CCaMC-VOaMCpUC-pre-ret'!K8</f>
        <v>0</v>
      </c>
      <c r="L8" s="13">
        <f>'CCaMC-VOaMCpUC-pre-ret'!L8</f>
        <v>0</v>
      </c>
      <c r="M8" s="13">
        <f>'CCaMC-VOaMCpUC-pre-ret'!M8</f>
        <v>0</v>
      </c>
      <c r="N8" s="13">
        <f>'CCaMC-VOaMCpUC-pre-ret'!N8</f>
        <v>0</v>
      </c>
      <c r="O8" s="13">
        <f>'CCaMC-VOaMCpUC-pre-ret'!O8</f>
        <v>0</v>
      </c>
      <c r="P8" s="13">
        <f>'CCaMC-VOaMCpUC-pre-ret'!P8</f>
        <v>0</v>
      </c>
      <c r="Q8" s="13">
        <f>'CCaMC-VOaMCpUC-pre-ret'!Q8</f>
        <v>0</v>
      </c>
      <c r="R8" s="13">
        <f>'CCaMC-VOaMCpUC-pre-ret'!R8</f>
        <v>0</v>
      </c>
      <c r="S8" s="13">
        <f>'CCaMC-VOaMCpUC-pre-ret'!S8</f>
        <v>0</v>
      </c>
      <c r="T8" s="13">
        <f>'CCaMC-VOaMCpUC-pre-ret'!T8</f>
        <v>0</v>
      </c>
      <c r="U8" s="13">
        <f>'CCaMC-VOaMCpUC-pre-ret'!U8</f>
        <v>0</v>
      </c>
      <c r="V8" s="13">
        <f>'CCaMC-VOaMCpUC-pre-ret'!V8</f>
        <v>0</v>
      </c>
      <c r="W8" s="13">
        <f>'CCaMC-VOaMCpUC-pre-ret'!W8</f>
        <v>0</v>
      </c>
      <c r="X8" s="13">
        <f>'CCaMC-VOaMCpUC-pre-ret'!X8</f>
        <v>0</v>
      </c>
      <c r="Y8" s="13">
        <f>'CCaMC-VOaMCpUC-pre-ret'!Y8</f>
        <v>0</v>
      </c>
      <c r="Z8" s="13">
        <f>'CCaMC-VOaMCpUC-pre-ret'!Z8</f>
        <v>0</v>
      </c>
      <c r="AA8" s="13">
        <f>'CCaMC-VOaMCpUC-pre-ret'!AA8</f>
        <v>0</v>
      </c>
      <c r="AB8" s="13">
        <f>'CCaMC-VOaMCpUC-pre-ret'!AB8</f>
        <v>0</v>
      </c>
      <c r="AC8" s="13">
        <f>'CCaMC-VOaMCpUC-pre-ret'!AC8</f>
        <v>0</v>
      </c>
      <c r="AD8" s="13">
        <f>'CCaMC-VOaMCpUC-pre-ret'!AD8</f>
        <v>0</v>
      </c>
      <c r="AE8" s="13">
        <f>'CCaMC-VOaMCpUC-pre-ret'!AE8</f>
        <v>0</v>
      </c>
      <c r="AF8" s="13">
        <f>'CCaMC-VOaMCpUC-pre-ret'!AF8</f>
        <v>0</v>
      </c>
      <c r="AG8" s="13">
        <f>'CCaMC-VOaMCpUC-pre-ret'!AG8</f>
        <v>0</v>
      </c>
      <c r="AH8" s="13">
        <f>'CCaMC-VOaMCpUC-pre-ret'!AH8</f>
        <v>0</v>
      </c>
      <c r="AI8" s="13">
        <f>'CCaMC-VOaMCpUC-pre-ret'!AI8</f>
        <v>0</v>
      </c>
      <c r="AJ8" s="13">
        <f>'CCaMC-VOaMCpUC-pre-ret'!AJ8</f>
        <v>0</v>
      </c>
      <c r="AK8" s="13">
        <f>'CCaMC-VOaMCpUC-pre-ret'!AK8</f>
        <v>0</v>
      </c>
      <c r="AL8" s="13">
        <f>'CCaMC-VOaMCpUC-pre-ret'!AL8</f>
        <v>0</v>
      </c>
      <c r="AM8" s="13">
        <f>'CCaMC-VOaMCpUC-pre-ret'!AM8</f>
        <v>0</v>
      </c>
      <c r="AN8" s="13">
        <f>'CCaMC-VOaMCpUC-pre-ret'!AN8</f>
        <v>0</v>
      </c>
      <c r="AO8" s="13">
        <f>'CCaMC-VOaMCpUC-pre-ret'!AO8</f>
        <v>0</v>
      </c>
      <c r="AP8" s="13">
        <f>'CCaMC-VOaMCpUC-pre-ret'!AP8</f>
        <v>0</v>
      </c>
      <c r="AQ8" s="13">
        <f>'CCaMC-VOaMCpUC-pre-ret'!AQ8</f>
        <v>0</v>
      </c>
      <c r="AR8" s="13">
        <f>'CCaMC-VOaMCpUC-pre-ret'!AR8</f>
        <v>0</v>
      </c>
      <c r="AS8" s="13">
        <f>'CCaMC-VOaMCpUC-pre-ret'!AS8</f>
        <v>0</v>
      </c>
      <c r="AT8" s="13">
        <f>'CCaMC-VOaMCpUC-pre-ret'!AT8</f>
        <v>0</v>
      </c>
      <c r="AU8" s="13">
        <f>'CCaMC-VOaMCpUC-pre-ret'!AU8</f>
        <v>0</v>
      </c>
      <c r="AV8" s="13">
        <f>'CCaMC-VOaMCpUC-pre-ret'!AV8</f>
        <v>0</v>
      </c>
      <c r="AW8" s="13">
        <f>'CCaMC-VOaMCpUC-pre-ret'!AW8</f>
        <v>0</v>
      </c>
      <c r="AX8" s="13">
        <f>'CCaMC-VOaMCpUC-pre-ret'!AX8</f>
        <v>0</v>
      </c>
      <c r="AY8" s="13">
        <f>'CCaMC-VOaMCpUC-pre-ret'!AY8</f>
        <v>0</v>
      </c>
      <c r="AZ8" s="13">
        <f>'CCaMC-VOaMCpUC-pre-ret'!AZ8</f>
        <v>0</v>
      </c>
    </row>
    <row r="9" spans="1:52" ht="14.25" customHeight="1" x14ac:dyDescent="0.2">
      <c r="A9" s="5" t="s">
        <v>38</v>
      </c>
      <c r="B9" s="13">
        <f>'CCaMC-VOaMCpUC-pre-ret'!B9</f>
        <v>3</v>
      </c>
      <c r="C9" s="13">
        <f>'CCaMC-VOaMCpUC-pre-ret'!C9</f>
        <v>3.1333333333333333</v>
      </c>
      <c r="D9" s="13">
        <f>'CCaMC-VOaMCpUC-pre-ret'!D9</f>
        <v>3.2666666666666666</v>
      </c>
      <c r="E9" s="13">
        <f>'CCaMC-VOaMCpUC-pre-ret'!E9</f>
        <v>3.4</v>
      </c>
      <c r="F9" s="13">
        <f>'CCaMC-VOaMCpUC-pre-ret'!F9</f>
        <v>3.3614285714285712</v>
      </c>
      <c r="G9" s="13">
        <f>'CCaMC-VOaMCpUC-pre-ret'!G9</f>
        <v>3.322857142857143</v>
      </c>
      <c r="H9" s="13">
        <f>'CCaMC-VOaMCpUC-pre-ret'!H9</f>
        <v>3.2842857142857143</v>
      </c>
      <c r="I9" s="13">
        <f>'CCaMC-VOaMCpUC-pre-ret'!I9</f>
        <v>3.2457142857142856</v>
      </c>
      <c r="J9" s="13">
        <f>'CCaMC-VOaMCpUC-pre-ret'!J9</f>
        <v>3.2071428571428569</v>
      </c>
      <c r="K9" s="13">
        <f>'CCaMC-VOaMCpUC-pre-ret'!K9</f>
        <v>3.1685714285714286</v>
      </c>
      <c r="L9" s="13">
        <f>'CCaMC-VOaMCpUC-pre-ret'!L9</f>
        <v>3.13</v>
      </c>
      <c r="M9" s="13">
        <f>'CCaMC-VOaMCpUC-pre-ret'!M9</f>
        <v>3.1094999999999997</v>
      </c>
      <c r="N9" s="13">
        <f>'CCaMC-VOaMCpUC-pre-ret'!N9</f>
        <v>3.089</v>
      </c>
      <c r="O9" s="13">
        <f>'CCaMC-VOaMCpUC-pre-ret'!O9</f>
        <v>3.0684999999999998</v>
      </c>
      <c r="P9" s="13">
        <f>'CCaMC-VOaMCpUC-pre-ret'!P9</f>
        <v>3.048</v>
      </c>
      <c r="Q9" s="13">
        <f>'CCaMC-VOaMCpUC-pre-ret'!Q9</f>
        <v>3.0274999999999999</v>
      </c>
      <c r="R9" s="13">
        <f>'CCaMC-VOaMCpUC-pre-ret'!R9</f>
        <v>3.0070000000000001</v>
      </c>
      <c r="S9" s="13">
        <f>'CCaMC-VOaMCpUC-pre-ret'!S9</f>
        <v>2.9864999999999999</v>
      </c>
      <c r="T9" s="13">
        <f>'CCaMC-VOaMCpUC-pre-ret'!T9</f>
        <v>2.9660000000000002</v>
      </c>
      <c r="U9" s="13">
        <f>'CCaMC-VOaMCpUC-pre-ret'!U9</f>
        <v>2.9455</v>
      </c>
      <c r="V9" s="13">
        <f>'CCaMC-VOaMCpUC-pre-ret'!V9</f>
        <v>2.9249999999999998</v>
      </c>
      <c r="W9" s="13">
        <f>'CCaMC-VOaMCpUC-pre-ret'!W9</f>
        <v>2.9045000000000001</v>
      </c>
      <c r="X9" s="13">
        <f>'CCaMC-VOaMCpUC-pre-ret'!X9</f>
        <v>2.8839999999999999</v>
      </c>
      <c r="Y9" s="13">
        <f>'CCaMC-VOaMCpUC-pre-ret'!Y9</f>
        <v>2.8635000000000002</v>
      </c>
      <c r="Z9" s="13">
        <f>'CCaMC-VOaMCpUC-pre-ret'!Z9</f>
        <v>2.843</v>
      </c>
      <c r="AA9" s="13">
        <f>'CCaMC-VOaMCpUC-pre-ret'!AA9</f>
        <v>2.8225000000000002</v>
      </c>
      <c r="AB9" s="13">
        <f>'CCaMC-VOaMCpUC-pre-ret'!AB9</f>
        <v>2.802</v>
      </c>
      <c r="AC9" s="13">
        <f>'CCaMC-VOaMCpUC-pre-ret'!AC9</f>
        <v>2.7815000000000003</v>
      </c>
      <c r="AD9" s="13">
        <f>'CCaMC-VOaMCpUC-pre-ret'!AD9</f>
        <v>2.7610000000000001</v>
      </c>
      <c r="AE9" s="13">
        <f>'CCaMC-VOaMCpUC-pre-ret'!AE9</f>
        <v>2.7405000000000004</v>
      </c>
      <c r="AF9" s="13">
        <f>'CCaMC-VOaMCpUC-pre-ret'!AF9</f>
        <v>2.72</v>
      </c>
      <c r="AG9" s="13">
        <f>'CCaMC-VOaMCpUC-pre-ret'!AG9</f>
        <v>2.72</v>
      </c>
      <c r="AH9" s="13">
        <f>'CCaMC-VOaMCpUC-pre-ret'!AH9</f>
        <v>2.72</v>
      </c>
      <c r="AI9" s="13">
        <f>'CCaMC-VOaMCpUC-pre-ret'!AI9</f>
        <v>2.72</v>
      </c>
      <c r="AJ9" s="13">
        <f>'CCaMC-VOaMCpUC-pre-ret'!AJ9</f>
        <v>2.72</v>
      </c>
      <c r="AK9" s="13">
        <f>'CCaMC-VOaMCpUC-pre-ret'!AK9</f>
        <v>2.72</v>
      </c>
      <c r="AL9" s="13">
        <f>'CCaMC-VOaMCpUC-pre-ret'!AL9</f>
        <v>2.72</v>
      </c>
      <c r="AM9" s="13">
        <f>'CCaMC-VOaMCpUC-pre-ret'!AM9</f>
        <v>2.72</v>
      </c>
      <c r="AN9" s="13">
        <f>'CCaMC-VOaMCpUC-pre-ret'!AN9</f>
        <v>2.72</v>
      </c>
      <c r="AO9" s="13">
        <f>'CCaMC-VOaMCpUC-pre-ret'!AO9</f>
        <v>2.72</v>
      </c>
      <c r="AP9" s="13">
        <f>'CCaMC-VOaMCpUC-pre-ret'!AP9</f>
        <v>2.72</v>
      </c>
      <c r="AQ9" s="13">
        <f>'CCaMC-VOaMCpUC-pre-ret'!AQ9</f>
        <v>2.72</v>
      </c>
      <c r="AR9" s="13">
        <f>'CCaMC-VOaMCpUC-pre-ret'!AR9</f>
        <v>2.72</v>
      </c>
      <c r="AS9" s="13">
        <f>'CCaMC-VOaMCpUC-pre-ret'!AS9</f>
        <v>2.72</v>
      </c>
      <c r="AT9" s="13">
        <f>'CCaMC-VOaMCpUC-pre-ret'!AT9</f>
        <v>2.72</v>
      </c>
      <c r="AU9" s="13">
        <f>'CCaMC-VOaMCpUC-pre-ret'!AU9</f>
        <v>2.72</v>
      </c>
      <c r="AV9" s="13">
        <f>'CCaMC-VOaMCpUC-pre-ret'!AV9</f>
        <v>2.72</v>
      </c>
      <c r="AW9" s="13">
        <f>'CCaMC-VOaMCpUC-pre-ret'!AW9</f>
        <v>2.72</v>
      </c>
      <c r="AX9" s="13">
        <f>'CCaMC-VOaMCpUC-pre-ret'!AX9</f>
        <v>2.72</v>
      </c>
      <c r="AY9" s="13">
        <f>'CCaMC-VOaMCpUC-pre-ret'!AY9</f>
        <v>2.72</v>
      </c>
      <c r="AZ9" s="13">
        <f>'CCaMC-VOaMCpUC-pre-ret'!AZ9</f>
        <v>2.72</v>
      </c>
    </row>
    <row r="10" spans="1:52" ht="14.25" customHeight="1" x14ac:dyDescent="0.2">
      <c r="A10" s="5" t="s">
        <v>39</v>
      </c>
      <c r="B10" s="13">
        <f>'CCaMC-VOaMCpUC-pre-ret'!B10</f>
        <v>0.25</v>
      </c>
      <c r="C10" s="13">
        <f>'CCaMC-VOaMCpUC-pre-ret'!C10</f>
        <v>0.25666666666666665</v>
      </c>
      <c r="D10" s="13">
        <f>'CCaMC-VOaMCpUC-pre-ret'!D10</f>
        <v>0.26333333333333336</v>
      </c>
      <c r="E10" s="13">
        <f>'CCaMC-VOaMCpUC-pre-ret'!E10</f>
        <v>0.27</v>
      </c>
      <c r="F10" s="13">
        <f>'CCaMC-VOaMCpUC-pre-ret'!F10</f>
        <v>0.27</v>
      </c>
      <c r="G10" s="13">
        <f>'CCaMC-VOaMCpUC-pre-ret'!G10</f>
        <v>0.27</v>
      </c>
      <c r="H10" s="13">
        <f>'CCaMC-VOaMCpUC-pre-ret'!H10</f>
        <v>0.27</v>
      </c>
      <c r="I10" s="13">
        <f>'CCaMC-VOaMCpUC-pre-ret'!I10</f>
        <v>0.27</v>
      </c>
      <c r="J10" s="13">
        <f>'CCaMC-VOaMCpUC-pre-ret'!J10</f>
        <v>0.27</v>
      </c>
      <c r="K10" s="13">
        <f>'CCaMC-VOaMCpUC-pre-ret'!K10</f>
        <v>0.27</v>
      </c>
      <c r="L10" s="13">
        <f>'CCaMC-VOaMCpUC-pre-ret'!L10</f>
        <v>0.27</v>
      </c>
      <c r="M10" s="13">
        <f>'CCaMC-VOaMCpUC-pre-ret'!M10</f>
        <v>0.26850000000000002</v>
      </c>
      <c r="N10" s="13">
        <f>'CCaMC-VOaMCpUC-pre-ret'!N10</f>
        <v>0.26700000000000002</v>
      </c>
      <c r="O10" s="13">
        <f>'CCaMC-VOaMCpUC-pre-ret'!O10</f>
        <v>0.26550000000000001</v>
      </c>
      <c r="P10" s="13">
        <f>'CCaMC-VOaMCpUC-pre-ret'!P10</f>
        <v>0.26400000000000001</v>
      </c>
      <c r="Q10" s="13">
        <f>'CCaMC-VOaMCpUC-pre-ret'!Q10</f>
        <v>0.26250000000000001</v>
      </c>
      <c r="R10" s="13">
        <f>'CCaMC-VOaMCpUC-pre-ret'!R10</f>
        <v>0.26100000000000001</v>
      </c>
      <c r="S10" s="13">
        <f>'CCaMC-VOaMCpUC-pre-ret'!S10</f>
        <v>0.25950000000000001</v>
      </c>
      <c r="T10" s="13">
        <f>'CCaMC-VOaMCpUC-pre-ret'!T10</f>
        <v>0.25800000000000001</v>
      </c>
      <c r="U10" s="13">
        <f>'CCaMC-VOaMCpUC-pre-ret'!U10</f>
        <v>0.25650000000000001</v>
      </c>
      <c r="V10" s="13">
        <f>'CCaMC-VOaMCpUC-pre-ret'!V10</f>
        <v>0.255</v>
      </c>
      <c r="W10" s="13">
        <f>'CCaMC-VOaMCpUC-pre-ret'!W10</f>
        <v>0.2535</v>
      </c>
      <c r="X10" s="13">
        <f>'CCaMC-VOaMCpUC-pre-ret'!X10</f>
        <v>0.252</v>
      </c>
      <c r="Y10" s="13">
        <f>'CCaMC-VOaMCpUC-pre-ret'!Y10</f>
        <v>0.2505</v>
      </c>
      <c r="Z10" s="13">
        <f>'CCaMC-VOaMCpUC-pre-ret'!Z10</f>
        <v>0.249</v>
      </c>
      <c r="AA10" s="13">
        <f>'CCaMC-VOaMCpUC-pre-ret'!AA10</f>
        <v>0.2475</v>
      </c>
      <c r="AB10" s="13">
        <f>'CCaMC-VOaMCpUC-pre-ret'!AB10</f>
        <v>0.246</v>
      </c>
      <c r="AC10" s="13">
        <f>'CCaMC-VOaMCpUC-pre-ret'!AC10</f>
        <v>0.2445</v>
      </c>
      <c r="AD10" s="13">
        <f>'CCaMC-VOaMCpUC-pre-ret'!AD10</f>
        <v>0.24299999999999999</v>
      </c>
      <c r="AE10" s="13">
        <f>'CCaMC-VOaMCpUC-pre-ret'!AE10</f>
        <v>0.24149999999999999</v>
      </c>
      <c r="AF10" s="13">
        <f>'CCaMC-VOaMCpUC-pre-ret'!AF10</f>
        <v>0.24</v>
      </c>
      <c r="AG10" s="13">
        <f>'CCaMC-VOaMCpUC-pre-ret'!AG10</f>
        <v>0.24</v>
      </c>
      <c r="AH10" s="13">
        <f>'CCaMC-VOaMCpUC-pre-ret'!AH10</f>
        <v>0.24</v>
      </c>
      <c r="AI10" s="13">
        <f>'CCaMC-VOaMCpUC-pre-ret'!AI10</f>
        <v>0.24</v>
      </c>
      <c r="AJ10" s="13">
        <f>'CCaMC-VOaMCpUC-pre-ret'!AJ10</f>
        <v>0.24</v>
      </c>
      <c r="AK10" s="13">
        <f>'CCaMC-VOaMCpUC-pre-ret'!AK10</f>
        <v>0.24</v>
      </c>
      <c r="AL10" s="13">
        <f>'CCaMC-VOaMCpUC-pre-ret'!AL10</f>
        <v>0.24</v>
      </c>
      <c r="AM10" s="13">
        <f>'CCaMC-VOaMCpUC-pre-ret'!AM10</f>
        <v>0.24</v>
      </c>
      <c r="AN10" s="13">
        <f>'CCaMC-VOaMCpUC-pre-ret'!AN10</f>
        <v>0.24</v>
      </c>
      <c r="AO10" s="13">
        <f>'CCaMC-VOaMCpUC-pre-ret'!AO10</f>
        <v>0.24</v>
      </c>
      <c r="AP10" s="13">
        <f>'CCaMC-VOaMCpUC-pre-ret'!AP10</f>
        <v>0.24</v>
      </c>
      <c r="AQ10" s="13">
        <f>'CCaMC-VOaMCpUC-pre-ret'!AQ10</f>
        <v>0.24</v>
      </c>
      <c r="AR10" s="13">
        <f>'CCaMC-VOaMCpUC-pre-ret'!AR10</f>
        <v>0.24</v>
      </c>
      <c r="AS10" s="13">
        <f>'CCaMC-VOaMCpUC-pre-ret'!AS10</f>
        <v>0.24</v>
      </c>
      <c r="AT10" s="13">
        <f>'CCaMC-VOaMCpUC-pre-ret'!AT10</f>
        <v>0.24</v>
      </c>
      <c r="AU10" s="13">
        <f>'CCaMC-VOaMCpUC-pre-ret'!AU10</f>
        <v>0.24</v>
      </c>
      <c r="AV10" s="13">
        <f>'CCaMC-VOaMCpUC-pre-ret'!AV10</f>
        <v>0.24</v>
      </c>
      <c r="AW10" s="13">
        <f>'CCaMC-VOaMCpUC-pre-ret'!AW10</f>
        <v>0.24</v>
      </c>
      <c r="AX10" s="13">
        <f>'CCaMC-VOaMCpUC-pre-ret'!AX10</f>
        <v>0.24</v>
      </c>
      <c r="AY10" s="13">
        <f>'CCaMC-VOaMCpUC-pre-ret'!AY10</f>
        <v>0.24</v>
      </c>
      <c r="AZ10" s="13">
        <f>'CCaMC-VOaMCpUC-pre-ret'!AZ10</f>
        <v>0.24</v>
      </c>
    </row>
    <row r="11" spans="1:52" ht="14.25" customHeight="1" x14ac:dyDescent="0.2">
      <c r="A11" s="5" t="s">
        <v>40</v>
      </c>
      <c r="B11" s="13">
        <f>'CCaMC-VOaMCpUC-pre-ret'!B11</f>
        <v>6.4</v>
      </c>
      <c r="C11" s="13">
        <f>'CCaMC-VOaMCpUC-pre-ret'!C11</f>
        <v>6.7</v>
      </c>
      <c r="D11" s="13">
        <f>'CCaMC-VOaMCpUC-pre-ret'!D11</f>
        <v>7</v>
      </c>
      <c r="E11" s="13">
        <f>'CCaMC-VOaMCpUC-pre-ret'!E11</f>
        <v>7.3</v>
      </c>
      <c r="F11" s="13">
        <f>'CCaMC-VOaMCpUC-pre-ret'!F11</f>
        <v>7.234285714285714</v>
      </c>
      <c r="G11" s="13">
        <f>'CCaMC-VOaMCpUC-pre-ret'!G11</f>
        <v>7.1685714285714282</v>
      </c>
      <c r="H11" s="13">
        <f>'CCaMC-VOaMCpUC-pre-ret'!H11</f>
        <v>7.1028571428571423</v>
      </c>
      <c r="I11" s="13">
        <f>'CCaMC-VOaMCpUC-pre-ret'!I11</f>
        <v>7.0371428571428574</v>
      </c>
      <c r="J11" s="13">
        <f>'CCaMC-VOaMCpUC-pre-ret'!J11</f>
        <v>6.9714285714285715</v>
      </c>
      <c r="K11" s="13">
        <f>'CCaMC-VOaMCpUC-pre-ret'!K11</f>
        <v>6.9057142857142857</v>
      </c>
      <c r="L11" s="13">
        <f>'CCaMC-VOaMCpUC-pre-ret'!L11</f>
        <v>6.84</v>
      </c>
      <c r="M11" s="13">
        <f>'CCaMC-VOaMCpUC-pre-ret'!M11</f>
        <v>6.8285</v>
      </c>
      <c r="N11" s="13">
        <f>'CCaMC-VOaMCpUC-pre-ret'!N11</f>
        <v>6.8170000000000002</v>
      </c>
      <c r="O11" s="13">
        <f>'CCaMC-VOaMCpUC-pre-ret'!O11</f>
        <v>6.8055000000000003</v>
      </c>
      <c r="P11" s="13">
        <f>'CCaMC-VOaMCpUC-pre-ret'!P11</f>
        <v>6.7939999999999996</v>
      </c>
      <c r="Q11" s="13">
        <f>'CCaMC-VOaMCpUC-pre-ret'!Q11</f>
        <v>6.7824999999999998</v>
      </c>
      <c r="R11" s="13">
        <f>'CCaMC-VOaMCpUC-pre-ret'!R11</f>
        <v>6.7709999999999999</v>
      </c>
      <c r="S11" s="13">
        <f>'CCaMC-VOaMCpUC-pre-ret'!S11</f>
        <v>6.7595000000000001</v>
      </c>
      <c r="T11" s="13">
        <f>'CCaMC-VOaMCpUC-pre-ret'!T11</f>
        <v>6.7480000000000002</v>
      </c>
      <c r="U11" s="13">
        <f>'CCaMC-VOaMCpUC-pre-ret'!U11</f>
        <v>6.7365000000000004</v>
      </c>
      <c r="V11" s="13">
        <f>'CCaMC-VOaMCpUC-pre-ret'!V11</f>
        <v>6.7249999999999996</v>
      </c>
      <c r="W11" s="13">
        <f>'CCaMC-VOaMCpUC-pre-ret'!W11</f>
        <v>6.7134999999999998</v>
      </c>
      <c r="X11" s="13">
        <f>'CCaMC-VOaMCpUC-pre-ret'!X11</f>
        <v>6.702</v>
      </c>
      <c r="Y11" s="13">
        <f>'CCaMC-VOaMCpUC-pre-ret'!Y11</f>
        <v>6.6905000000000001</v>
      </c>
      <c r="Z11" s="13">
        <f>'CCaMC-VOaMCpUC-pre-ret'!Z11</f>
        <v>6.6790000000000003</v>
      </c>
      <c r="AA11" s="13">
        <f>'CCaMC-VOaMCpUC-pre-ret'!AA11</f>
        <v>6.6675000000000004</v>
      </c>
      <c r="AB11" s="13">
        <f>'CCaMC-VOaMCpUC-pre-ret'!AB11</f>
        <v>6.6560000000000006</v>
      </c>
      <c r="AC11" s="13">
        <f>'CCaMC-VOaMCpUC-pre-ret'!AC11</f>
        <v>6.6444999999999999</v>
      </c>
      <c r="AD11" s="13">
        <f>'CCaMC-VOaMCpUC-pre-ret'!AD11</f>
        <v>6.633</v>
      </c>
      <c r="AE11" s="13">
        <f>'CCaMC-VOaMCpUC-pre-ret'!AE11</f>
        <v>6.6215000000000002</v>
      </c>
      <c r="AF11" s="13">
        <f>'CCaMC-VOaMCpUC-pre-ret'!AF11</f>
        <v>6.61</v>
      </c>
      <c r="AG11" s="13">
        <f>'CCaMC-VOaMCpUC-pre-ret'!AG11</f>
        <v>6.61</v>
      </c>
      <c r="AH11" s="13">
        <f>'CCaMC-VOaMCpUC-pre-ret'!AH11</f>
        <v>6.61</v>
      </c>
      <c r="AI11" s="13">
        <f>'CCaMC-VOaMCpUC-pre-ret'!AI11</f>
        <v>6.61</v>
      </c>
      <c r="AJ11" s="13">
        <f>'CCaMC-VOaMCpUC-pre-ret'!AJ11</f>
        <v>6.61</v>
      </c>
      <c r="AK11" s="13">
        <f>'CCaMC-VOaMCpUC-pre-ret'!AK11</f>
        <v>6.61</v>
      </c>
      <c r="AL11" s="13">
        <f>'CCaMC-VOaMCpUC-pre-ret'!AL11</f>
        <v>6.61</v>
      </c>
      <c r="AM11" s="13">
        <f>'CCaMC-VOaMCpUC-pre-ret'!AM11</f>
        <v>6.61</v>
      </c>
      <c r="AN11" s="13">
        <f>'CCaMC-VOaMCpUC-pre-ret'!AN11</f>
        <v>6.61</v>
      </c>
      <c r="AO11" s="13">
        <f>'CCaMC-VOaMCpUC-pre-ret'!AO11</f>
        <v>6.61</v>
      </c>
      <c r="AP11" s="13">
        <f>'CCaMC-VOaMCpUC-pre-ret'!AP11</f>
        <v>6.61</v>
      </c>
      <c r="AQ11" s="13">
        <f>'CCaMC-VOaMCpUC-pre-ret'!AQ11</f>
        <v>6.61</v>
      </c>
      <c r="AR11" s="13">
        <f>'CCaMC-VOaMCpUC-pre-ret'!AR11</f>
        <v>6.61</v>
      </c>
      <c r="AS11" s="13">
        <f>'CCaMC-VOaMCpUC-pre-ret'!AS11</f>
        <v>6.61</v>
      </c>
      <c r="AT11" s="13">
        <f>'CCaMC-VOaMCpUC-pre-ret'!AT11</f>
        <v>6.61</v>
      </c>
      <c r="AU11" s="13">
        <f>'CCaMC-VOaMCpUC-pre-ret'!AU11</f>
        <v>6.61</v>
      </c>
      <c r="AV11" s="13">
        <f>'CCaMC-VOaMCpUC-pre-ret'!AV11</f>
        <v>6.61</v>
      </c>
      <c r="AW11" s="13">
        <f>'CCaMC-VOaMCpUC-pre-ret'!AW11</f>
        <v>6.61</v>
      </c>
      <c r="AX11" s="13">
        <f>'CCaMC-VOaMCpUC-pre-ret'!AX11</f>
        <v>6.61</v>
      </c>
      <c r="AY11" s="13">
        <f>'CCaMC-VOaMCpUC-pre-ret'!AY11</f>
        <v>6.61</v>
      </c>
      <c r="AZ11" s="13">
        <f>'CCaMC-VOaMCpUC-pre-ret'!AZ11</f>
        <v>6.61</v>
      </c>
    </row>
    <row r="12" spans="1:52" ht="14.25" customHeight="1" x14ac:dyDescent="0.2">
      <c r="A12" s="5" t="s">
        <v>41</v>
      </c>
      <c r="B12" s="13">
        <f>'CCaMC-VOaMCpUC-pre-ret'!B12</f>
        <v>0.13</v>
      </c>
      <c r="C12" s="13">
        <f>'CCaMC-VOaMCpUC-pre-ret'!C12</f>
        <v>0.95333333333333337</v>
      </c>
      <c r="D12" s="13">
        <f>'CCaMC-VOaMCpUC-pre-ret'!D12</f>
        <v>1.7766666666666668</v>
      </c>
      <c r="E12" s="13">
        <f>'CCaMC-VOaMCpUC-pre-ret'!E12</f>
        <v>2.6</v>
      </c>
      <c r="F12" s="13">
        <f>'CCaMC-VOaMCpUC-pre-ret'!F12</f>
        <v>2.5857142857142859</v>
      </c>
      <c r="G12" s="13">
        <f>'CCaMC-VOaMCpUC-pre-ret'!G12</f>
        <v>2.5714285714285716</v>
      </c>
      <c r="H12" s="13">
        <f>'CCaMC-VOaMCpUC-pre-ret'!H12</f>
        <v>2.5571428571428574</v>
      </c>
      <c r="I12" s="13">
        <f>'CCaMC-VOaMCpUC-pre-ret'!I12</f>
        <v>2.5428571428571427</v>
      </c>
      <c r="J12" s="13">
        <f>'CCaMC-VOaMCpUC-pre-ret'!J12</f>
        <v>2.5285714285714285</v>
      </c>
      <c r="K12" s="13">
        <f>'CCaMC-VOaMCpUC-pre-ret'!K12</f>
        <v>2.5142857142857142</v>
      </c>
      <c r="L12" s="13">
        <f>'CCaMC-VOaMCpUC-pre-ret'!L12</f>
        <v>2.5</v>
      </c>
      <c r="M12" s="13">
        <f>'CCaMC-VOaMCpUC-pre-ret'!M12</f>
        <v>2.4950000000000001</v>
      </c>
      <c r="N12" s="13">
        <f>'CCaMC-VOaMCpUC-pre-ret'!N12</f>
        <v>2.4900000000000002</v>
      </c>
      <c r="O12" s="13">
        <f>'CCaMC-VOaMCpUC-pre-ret'!O12</f>
        <v>2.4849999999999999</v>
      </c>
      <c r="P12" s="13">
        <f>'CCaMC-VOaMCpUC-pre-ret'!P12</f>
        <v>2.48</v>
      </c>
      <c r="Q12" s="13">
        <f>'CCaMC-VOaMCpUC-pre-ret'!Q12</f>
        <v>2.4750000000000001</v>
      </c>
      <c r="R12" s="13">
        <f>'CCaMC-VOaMCpUC-pre-ret'!R12</f>
        <v>2.4699999999999998</v>
      </c>
      <c r="S12" s="13">
        <f>'CCaMC-VOaMCpUC-pre-ret'!S12</f>
        <v>2.4649999999999999</v>
      </c>
      <c r="T12" s="13">
        <f>'CCaMC-VOaMCpUC-pre-ret'!T12</f>
        <v>2.46</v>
      </c>
      <c r="U12" s="13">
        <f>'CCaMC-VOaMCpUC-pre-ret'!U12</f>
        <v>2.4550000000000001</v>
      </c>
      <c r="V12" s="13">
        <f>'CCaMC-VOaMCpUC-pre-ret'!V12</f>
        <v>2.4500000000000002</v>
      </c>
      <c r="W12" s="13">
        <f>'CCaMC-VOaMCpUC-pre-ret'!W12</f>
        <v>2.4449999999999998</v>
      </c>
      <c r="X12" s="13">
        <f>'CCaMC-VOaMCpUC-pre-ret'!X12</f>
        <v>2.44</v>
      </c>
      <c r="Y12" s="13">
        <f>'CCaMC-VOaMCpUC-pre-ret'!Y12</f>
        <v>2.4350000000000001</v>
      </c>
      <c r="Z12" s="13">
        <f>'CCaMC-VOaMCpUC-pre-ret'!Z12</f>
        <v>2.4299999999999997</v>
      </c>
      <c r="AA12" s="13">
        <f>'CCaMC-VOaMCpUC-pre-ret'!AA12</f>
        <v>2.4249999999999998</v>
      </c>
      <c r="AB12" s="13">
        <f>'CCaMC-VOaMCpUC-pre-ret'!AB12</f>
        <v>2.42</v>
      </c>
      <c r="AC12" s="13">
        <f>'CCaMC-VOaMCpUC-pre-ret'!AC12</f>
        <v>2.415</v>
      </c>
      <c r="AD12" s="13">
        <f>'CCaMC-VOaMCpUC-pre-ret'!AD12</f>
        <v>2.41</v>
      </c>
      <c r="AE12" s="13">
        <f>'CCaMC-VOaMCpUC-pre-ret'!AE12</f>
        <v>2.4049999999999998</v>
      </c>
      <c r="AF12" s="13">
        <f>'CCaMC-VOaMCpUC-pre-ret'!AF12</f>
        <v>2.4</v>
      </c>
      <c r="AG12" s="13">
        <f>'CCaMC-VOaMCpUC-pre-ret'!AG12</f>
        <v>2.4</v>
      </c>
      <c r="AH12" s="13">
        <f>'CCaMC-VOaMCpUC-pre-ret'!AH12</f>
        <v>2.4</v>
      </c>
      <c r="AI12" s="13">
        <f>'CCaMC-VOaMCpUC-pre-ret'!AI12</f>
        <v>2.4</v>
      </c>
      <c r="AJ12" s="13">
        <f>'CCaMC-VOaMCpUC-pre-ret'!AJ12</f>
        <v>2.4</v>
      </c>
      <c r="AK12" s="13">
        <f>'CCaMC-VOaMCpUC-pre-ret'!AK12</f>
        <v>2.4</v>
      </c>
      <c r="AL12" s="13">
        <f>'CCaMC-VOaMCpUC-pre-ret'!AL12</f>
        <v>2.4</v>
      </c>
      <c r="AM12" s="13">
        <f>'CCaMC-VOaMCpUC-pre-ret'!AM12</f>
        <v>2.4</v>
      </c>
      <c r="AN12" s="13">
        <f>'CCaMC-VOaMCpUC-pre-ret'!AN12</f>
        <v>2.4</v>
      </c>
      <c r="AO12" s="13">
        <f>'CCaMC-VOaMCpUC-pre-ret'!AO12</f>
        <v>2.4</v>
      </c>
      <c r="AP12" s="13">
        <f>'CCaMC-VOaMCpUC-pre-ret'!AP12</f>
        <v>2.4</v>
      </c>
      <c r="AQ12" s="13">
        <f>'CCaMC-VOaMCpUC-pre-ret'!AQ12</f>
        <v>2.4</v>
      </c>
      <c r="AR12" s="13">
        <f>'CCaMC-VOaMCpUC-pre-ret'!AR12</f>
        <v>2.4</v>
      </c>
      <c r="AS12" s="13">
        <f>'CCaMC-VOaMCpUC-pre-ret'!AS12</f>
        <v>2.4</v>
      </c>
      <c r="AT12" s="13">
        <f>'CCaMC-VOaMCpUC-pre-ret'!AT12</f>
        <v>2.4</v>
      </c>
      <c r="AU12" s="13">
        <f>'CCaMC-VOaMCpUC-pre-ret'!AU12</f>
        <v>2.4</v>
      </c>
      <c r="AV12" s="13">
        <f>'CCaMC-VOaMCpUC-pre-ret'!AV12</f>
        <v>2.4</v>
      </c>
      <c r="AW12" s="13">
        <f>'CCaMC-VOaMCpUC-pre-ret'!AW12</f>
        <v>2.4</v>
      </c>
      <c r="AX12" s="13">
        <f>'CCaMC-VOaMCpUC-pre-ret'!AX12</f>
        <v>2.4</v>
      </c>
      <c r="AY12" s="13">
        <f>'CCaMC-VOaMCpUC-pre-ret'!AY12</f>
        <v>2.4</v>
      </c>
      <c r="AZ12" s="13">
        <f>'CCaMC-VOaMCpUC-pre-ret'!AZ12</f>
        <v>2.4</v>
      </c>
    </row>
    <row r="13" spans="1:52" ht="14.25" customHeight="1" x14ac:dyDescent="0.2">
      <c r="A13" s="5" t="s">
        <v>42</v>
      </c>
      <c r="B13" s="13">
        <f>'CCaMC-VOaMCpUC-pre-ret'!B13</f>
        <v>0.11</v>
      </c>
      <c r="C13" s="13">
        <f>'CCaMC-VOaMCpUC-pre-ret'!C13</f>
        <v>0.48999999999999994</v>
      </c>
      <c r="D13" s="13">
        <f>'CCaMC-VOaMCpUC-pre-ret'!D13</f>
        <v>0.86999999999999988</v>
      </c>
      <c r="E13" s="13">
        <f>'CCaMC-VOaMCpUC-pre-ret'!E13</f>
        <v>1.25</v>
      </c>
      <c r="F13" s="13">
        <f>'CCaMC-VOaMCpUC-pre-ret'!F13</f>
        <v>1.2428571428571429</v>
      </c>
      <c r="G13" s="13">
        <f>'CCaMC-VOaMCpUC-pre-ret'!G13</f>
        <v>1.2357142857142858</v>
      </c>
      <c r="H13" s="13">
        <f>'CCaMC-VOaMCpUC-pre-ret'!H13</f>
        <v>1.2285714285714286</v>
      </c>
      <c r="I13" s="13">
        <f>'CCaMC-VOaMCpUC-pre-ret'!I13</f>
        <v>1.2214285714285713</v>
      </c>
      <c r="J13" s="13">
        <f>'CCaMC-VOaMCpUC-pre-ret'!J13</f>
        <v>1.2142857142857142</v>
      </c>
      <c r="K13" s="13">
        <f>'CCaMC-VOaMCpUC-pre-ret'!K13</f>
        <v>1.2071428571428571</v>
      </c>
      <c r="L13" s="13">
        <f>'CCaMC-VOaMCpUC-pre-ret'!L13</f>
        <v>1.2</v>
      </c>
      <c r="M13" s="13">
        <f>'CCaMC-VOaMCpUC-pre-ret'!M13</f>
        <v>1.1975</v>
      </c>
      <c r="N13" s="13">
        <f>'CCaMC-VOaMCpUC-pre-ret'!N13</f>
        <v>1.1949999999999998</v>
      </c>
      <c r="O13" s="13">
        <f>'CCaMC-VOaMCpUC-pre-ret'!O13</f>
        <v>1.1924999999999999</v>
      </c>
      <c r="P13" s="13">
        <f>'CCaMC-VOaMCpUC-pre-ret'!P13</f>
        <v>1.19</v>
      </c>
      <c r="Q13" s="13">
        <f>'CCaMC-VOaMCpUC-pre-ret'!Q13</f>
        <v>1.1875</v>
      </c>
      <c r="R13" s="13">
        <f>'CCaMC-VOaMCpUC-pre-ret'!R13</f>
        <v>1.1850000000000001</v>
      </c>
      <c r="S13" s="13">
        <f>'CCaMC-VOaMCpUC-pre-ret'!S13</f>
        <v>1.1824999999999999</v>
      </c>
      <c r="T13" s="13">
        <f>'CCaMC-VOaMCpUC-pre-ret'!T13</f>
        <v>1.18</v>
      </c>
      <c r="U13" s="13">
        <f>'CCaMC-VOaMCpUC-pre-ret'!U13</f>
        <v>1.1775</v>
      </c>
      <c r="V13" s="13">
        <f>'CCaMC-VOaMCpUC-pre-ret'!V13</f>
        <v>1.1749999999999998</v>
      </c>
      <c r="W13" s="13">
        <f>'CCaMC-VOaMCpUC-pre-ret'!W13</f>
        <v>1.1724999999999999</v>
      </c>
      <c r="X13" s="13">
        <f>'CCaMC-VOaMCpUC-pre-ret'!X13</f>
        <v>1.17</v>
      </c>
      <c r="Y13" s="13">
        <f>'CCaMC-VOaMCpUC-pre-ret'!Y13</f>
        <v>1.1675</v>
      </c>
      <c r="Z13" s="13">
        <f>'CCaMC-VOaMCpUC-pre-ret'!Z13</f>
        <v>1.165</v>
      </c>
      <c r="AA13" s="13">
        <f>'CCaMC-VOaMCpUC-pre-ret'!AA13</f>
        <v>1.1624999999999999</v>
      </c>
      <c r="AB13" s="13">
        <f>'CCaMC-VOaMCpUC-pre-ret'!AB13</f>
        <v>1.1599999999999999</v>
      </c>
      <c r="AC13" s="13">
        <f>'CCaMC-VOaMCpUC-pre-ret'!AC13</f>
        <v>1.1575</v>
      </c>
      <c r="AD13" s="13">
        <f>'CCaMC-VOaMCpUC-pre-ret'!AD13</f>
        <v>1.1549999999999998</v>
      </c>
      <c r="AE13" s="13">
        <f>'CCaMC-VOaMCpUC-pre-ret'!AE13</f>
        <v>1.1524999999999999</v>
      </c>
      <c r="AF13" s="13">
        <f>'CCaMC-VOaMCpUC-pre-ret'!AF13</f>
        <v>1.1499999999999999</v>
      </c>
      <c r="AG13" s="13">
        <f>'CCaMC-VOaMCpUC-pre-ret'!AG13</f>
        <v>1.1499999999999999</v>
      </c>
      <c r="AH13" s="13">
        <f>'CCaMC-VOaMCpUC-pre-ret'!AH13</f>
        <v>1.1499999999999999</v>
      </c>
      <c r="AI13" s="13">
        <f>'CCaMC-VOaMCpUC-pre-ret'!AI13</f>
        <v>1.1499999999999999</v>
      </c>
      <c r="AJ13" s="13">
        <f>'CCaMC-VOaMCpUC-pre-ret'!AJ13</f>
        <v>1.1499999999999999</v>
      </c>
      <c r="AK13" s="13">
        <f>'CCaMC-VOaMCpUC-pre-ret'!AK13</f>
        <v>1.1499999999999999</v>
      </c>
      <c r="AL13" s="13">
        <f>'CCaMC-VOaMCpUC-pre-ret'!AL13</f>
        <v>1.1499999999999999</v>
      </c>
      <c r="AM13" s="13">
        <f>'CCaMC-VOaMCpUC-pre-ret'!AM13</f>
        <v>1.1499999999999999</v>
      </c>
      <c r="AN13" s="13">
        <f>'CCaMC-VOaMCpUC-pre-ret'!AN13</f>
        <v>1.1499999999999999</v>
      </c>
      <c r="AO13" s="13">
        <f>'CCaMC-VOaMCpUC-pre-ret'!AO13</f>
        <v>1.1499999999999999</v>
      </c>
      <c r="AP13" s="13">
        <f>'CCaMC-VOaMCpUC-pre-ret'!AP13</f>
        <v>1.1499999999999999</v>
      </c>
      <c r="AQ13" s="13">
        <f>'CCaMC-VOaMCpUC-pre-ret'!AQ13</f>
        <v>1.1499999999999999</v>
      </c>
      <c r="AR13" s="13">
        <f>'CCaMC-VOaMCpUC-pre-ret'!AR13</f>
        <v>1.1499999999999999</v>
      </c>
      <c r="AS13" s="13">
        <f>'CCaMC-VOaMCpUC-pre-ret'!AS13</f>
        <v>1.1499999999999999</v>
      </c>
      <c r="AT13" s="13">
        <f>'CCaMC-VOaMCpUC-pre-ret'!AT13</f>
        <v>1.1499999999999999</v>
      </c>
      <c r="AU13" s="13">
        <f>'CCaMC-VOaMCpUC-pre-ret'!AU13</f>
        <v>1.1499999999999999</v>
      </c>
      <c r="AV13" s="13">
        <f>'CCaMC-VOaMCpUC-pre-ret'!AV13</f>
        <v>1.1499999999999999</v>
      </c>
      <c r="AW13" s="13">
        <f>'CCaMC-VOaMCpUC-pre-ret'!AW13</f>
        <v>1.1499999999999999</v>
      </c>
      <c r="AX13" s="13">
        <f>'CCaMC-VOaMCpUC-pre-ret'!AX13</f>
        <v>1.1499999999999999</v>
      </c>
      <c r="AY13" s="13">
        <f>'CCaMC-VOaMCpUC-pre-ret'!AY13</f>
        <v>1.1499999999999999</v>
      </c>
      <c r="AZ13" s="13">
        <f>'CCaMC-VOaMCpUC-pre-ret'!AZ13</f>
        <v>1.1499999999999999</v>
      </c>
    </row>
    <row r="14" spans="1:52" ht="14.25" customHeight="1" x14ac:dyDescent="0.2">
      <c r="A14" s="5" t="s">
        <v>43</v>
      </c>
      <c r="B14" s="13">
        <f>'CCaMC-VOaMCpUC-pre-ret'!B14</f>
        <v>0</v>
      </c>
      <c r="C14" s="13">
        <f>'CCaMC-VOaMCpUC-pre-ret'!C14</f>
        <v>0</v>
      </c>
      <c r="D14" s="13">
        <f>'CCaMC-VOaMCpUC-pre-ret'!D14</f>
        <v>0</v>
      </c>
      <c r="E14" s="13">
        <f>'CCaMC-VOaMCpUC-pre-ret'!E14</f>
        <v>0</v>
      </c>
      <c r="F14" s="13">
        <f>'CCaMC-VOaMCpUC-pre-ret'!F14</f>
        <v>0</v>
      </c>
      <c r="G14" s="13">
        <f>'CCaMC-VOaMCpUC-pre-ret'!G14</f>
        <v>0</v>
      </c>
      <c r="H14" s="13">
        <f>'CCaMC-VOaMCpUC-pre-ret'!H14</f>
        <v>0</v>
      </c>
      <c r="I14" s="13">
        <f>'CCaMC-VOaMCpUC-pre-ret'!I14</f>
        <v>0</v>
      </c>
      <c r="J14" s="13">
        <f>'CCaMC-VOaMCpUC-pre-ret'!J14</f>
        <v>0</v>
      </c>
      <c r="K14" s="13">
        <f>'CCaMC-VOaMCpUC-pre-ret'!K14</f>
        <v>0</v>
      </c>
      <c r="L14" s="13">
        <f>'CCaMC-VOaMCpUC-pre-ret'!L14</f>
        <v>0</v>
      </c>
      <c r="M14" s="13">
        <f>'CCaMC-VOaMCpUC-pre-ret'!M14</f>
        <v>0</v>
      </c>
      <c r="N14" s="13">
        <f>'CCaMC-VOaMCpUC-pre-ret'!N14</f>
        <v>0</v>
      </c>
      <c r="O14" s="13">
        <f>'CCaMC-VOaMCpUC-pre-ret'!O14</f>
        <v>0</v>
      </c>
      <c r="P14" s="13">
        <f>'CCaMC-VOaMCpUC-pre-ret'!P14</f>
        <v>0</v>
      </c>
      <c r="Q14" s="13">
        <f>'CCaMC-VOaMCpUC-pre-ret'!Q14</f>
        <v>0</v>
      </c>
      <c r="R14" s="13">
        <f>'CCaMC-VOaMCpUC-pre-ret'!R14</f>
        <v>0</v>
      </c>
      <c r="S14" s="13">
        <f>'CCaMC-VOaMCpUC-pre-ret'!S14</f>
        <v>0</v>
      </c>
      <c r="T14" s="13">
        <f>'CCaMC-VOaMCpUC-pre-ret'!T14</f>
        <v>0</v>
      </c>
      <c r="U14" s="13">
        <f>'CCaMC-VOaMCpUC-pre-ret'!U14</f>
        <v>0</v>
      </c>
      <c r="V14" s="13">
        <f>'CCaMC-VOaMCpUC-pre-ret'!V14</f>
        <v>0</v>
      </c>
      <c r="W14" s="13">
        <f>'CCaMC-VOaMCpUC-pre-ret'!W14</f>
        <v>0</v>
      </c>
      <c r="X14" s="13">
        <f>'CCaMC-VOaMCpUC-pre-ret'!X14</f>
        <v>0</v>
      </c>
      <c r="Y14" s="13">
        <f>'CCaMC-VOaMCpUC-pre-ret'!Y14</f>
        <v>0</v>
      </c>
      <c r="Z14" s="13">
        <f>'CCaMC-VOaMCpUC-pre-ret'!Z14</f>
        <v>0</v>
      </c>
      <c r="AA14" s="13">
        <f>'CCaMC-VOaMCpUC-pre-ret'!AA14</f>
        <v>0</v>
      </c>
      <c r="AB14" s="13">
        <f>'CCaMC-VOaMCpUC-pre-ret'!AB14</f>
        <v>0</v>
      </c>
      <c r="AC14" s="13">
        <f>'CCaMC-VOaMCpUC-pre-ret'!AC14</f>
        <v>0</v>
      </c>
      <c r="AD14" s="13">
        <f>'CCaMC-VOaMCpUC-pre-ret'!AD14</f>
        <v>0</v>
      </c>
      <c r="AE14" s="13">
        <f>'CCaMC-VOaMCpUC-pre-ret'!AE14</f>
        <v>0</v>
      </c>
      <c r="AF14" s="13">
        <f>'CCaMC-VOaMCpUC-pre-ret'!AF14</f>
        <v>0</v>
      </c>
      <c r="AG14" s="13">
        <f>'CCaMC-VOaMCpUC-pre-ret'!AG14</f>
        <v>0</v>
      </c>
      <c r="AH14" s="13">
        <f>'CCaMC-VOaMCpUC-pre-ret'!AH14</f>
        <v>0</v>
      </c>
      <c r="AI14" s="13">
        <f>'CCaMC-VOaMCpUC-pre-ret'!AI14</f>
        <v>0</v>
      </c>
      <c r="AJ14" s="13">
        <f>'CCaMC-VOaMCpUC-pre-ret'!AJ14</f>
        <v>0</v>
      </c>
      <c r="AK14" s="13">
        <f>'CCaMC-VOaMCpUC-pre-ret'!AK14</f>
        <v>0</v>
      </c>
      <c r="AL14" s="13">
        <f>'CCaMC-VOaMCpUC-pre-ret'!AL14</f>
        <v>0</v>
      </c>
      <c r="AM14" s="13">
        <f>'CCaMC-VOaMCpUC-pre-ret'!AM14</f>
        <v>0</v>
      </c>
      <c r="AN14" s="13">
        <f>'CCaMC-VOaMCpUC-pre-ret'!AN14</f>
        <v>0</v>
      </c>
      <c r="AO14" s="13">
        <f>'CCaMC-VOaMCpUC-pre-ret'!AO14</f>
        <v>0</v>
      </c>
      <c r="AP14" s="13">
        <f>'CCaMC-VOaMCpUC-pre-ret'!AP14</f>
        <v>0</v>
      </c>
      <c r="AQ14" s="13">
        <f>'CCaMC-VOaMCpUC-pre-ret'!AQ14</f>
        <v>0</v>
      </c>
      <c r="AR14" s="13">
        <f>'CCaMC-VOaMCpUC-pre-ret'!AR14</f>
        <v>0</v>
      </c>
      <c r="AS14" s="13">
        <f>'CCaMC-VOaMCpUC-pre-ret'!AS14</f>
        <v>0</v>
      </c>
      <c r="AT14" s="13">
        <f>'CCaMC-VOaMCpUC-pre-ret'!AT14</f>
        <v>0</v>
      </c>
      <c r="AU14" s="13">
        <f>'CCaMC-VOaMCpUC-pre-ret'!AU14</f>
        <v>0</v>
      </c>
      <c r="AV14" s="13">
        <f>'CCaMC-VOaMCpUC-pre-ret'!AV14</f>
        <v>0</v>
      </c>
      <c r="AW14" s="13">
        <f>'CCaMC-VOaMCpUC-pre-ret'!AW14</f>
        <v>0</v>
      </c>
      <c r="AX14" s="13">
        <f>'CCaMC-VOaMCpUC-pre-ret'!AX14</f>
        <v>0</v>
      </c>
      <c r="AY14" s="13">
        <f>'CCaMC-VOaMCpUC-pre-ret'!AY14</f>
        <v>0</v>
      </c>
      <c r="AZ14" s="13">
        <f>'CCaMC-VOaMCpUC-pre-ret'!AZ14</f>
        <v>0</v>
      </c>
    </row>
    <row r="15" spans="1:52" ht="14.25" customHeight="1" x14ac:dyDescent="0.2">
      <c r="A15" s="5" t="s">
        <v>44</v>
      </c>
      <c r="B15" s="13">
        <f>'CCaMC-VOaMCpUC-pre-ret'!B15</f>
        <v>6.4</v>
      </c>
      <c r="C15" s="13">
        <f>'CCaMC-VOaMCpUC-pre-ret'!C15</f>
        <v>6.7</v>
      </c>
      <c r="D15" s="13">
        <f>'CCaMC-VOaMCpUC-pre-ret'!D15</f>
        <v>7</v>
      </c>
      <c r="E15" s="13">
        <f>'CCaMC-VOaMCpUC-pre-ret'!E15</f>
        <v>7.3</v>
      </c>
      <c r="F15" s="13">
        <f>'CCaMC-VOaMCpUC-pre-ret'!F15</f>
        <v>7.234285714285714</v>
      </c>
      <c r="G15" s="13">
        <f>'CCaMC-VOaMCpUC-pre-ret'!G15</f>
        <v>7.1685714285714282</v>
      </c>
      <c r="H15" s="13">
        <f>'CCaMC-VOaMCpUC-pre-ret'!H15</f>
        <v>7.1028571428571423</v>
      </c>
      <c r="I15" s="13">
        <f>'CCaMC-VOaMCpUC-pre-ret'!I15</f>
        <v>7.0371428571428574</v>
      </c>
      <c r="J15" s="13">
        <f>'CCaMC-VOaMCpUC-pre-ret'!J15</f>
        <v>6.9714285714285715</v>
      </c>
      <c r="K15" s="13">
        <f>'CCaMC-VOaMCpUC-pre-ret'!K15</f>
        <v>6.9057142857142857</v>
      </c>
      <c r="L15" s="13">
        <f>'CCaMC-VOaMCpUC-pre-ret'!L15</f>
        <v>6.84</v>
      </c>
      <c r="M15" s="13">
        <f>'CCaMC-VOaMCpUC-pre-ret'!M15</f>
        <v>6.8285</v>
      </c>
      <c r="N15" s="13">
        <f>'CCaMC-VOaMCpUC-pre-ret'!N15</f>
        <v>6.8170000000000002</v>
      </c>
      <c r="O15" s="13">
        <f>'CCaMC-VOaMCpUC-pre-ret'!O15</f>
        <v>6.8055000000000003</v>
      </c>
      <c r="P15" s="13">
        <f>'CCaMC-VOaMCpUC-pre-ret'!P15</f>
        <v>6.7939999999999996</v>
      </c>
      <c r="Q15" s="13">
        <f>'CCaMC-VOaMCpUC-pre-ret'!Q15</f>
        <v>6.7824999999999998</v>
      </c>
      <c r="R15" s="13">
        <f>'CCaMC-VOaMCpUC-pre-ret'!R15</f>
        <v>6.7709999999999999</v>
      </c>
      <c r="S15" s="13">
        <f>'CCaMC-VOaMCpUC-pre-ret'!S15</f>
        <v>6.7595000000000001</v>
      </c>
      <c r="T15" s="13">
        <f>'CCaMC-VOaMCpUC-pre-ret'!T15</f>
        <v>6.7480000000000002</v>
      </c>
      <c r="U15" s="13">
        <f>'CCaMC-VOaMCpUC-pre-ret'!U15</f>
        <v>6.7365000000000004</v>
      </c>
      <c r="V15" s="13">
        <f>'CCaMC-VOaMCpUC-pre-ret'!V15</f>
        <v>6.7249999999999996</v>
      </c>
      <c r="W15" s="13">
        <f>'CCaMC-VOaMCpUC-pre-ret'!W15</f>
        <v>6.7134999999999998</v>
      </c>
      <c r="X15" s="13">
        <f>'CCaMC-VOaMCpUC-pre-ret'!X15</f>
        <v>6.702</v>
      </c>
      <c r="Y15" s="13">
        <f>'CCaMC-VOaMCpUC-pre-ret'!Y15</f>
        <v>6.6905000000000001</v>
      </c>
      <c r="Z15" s="13">
        <f>'CCaMC-VOaMCpUC-pre-ret'!Z15</f>
        <v>6.6790000000000003</v>
      </c>
      <c r="AA15" s="13">
        <f>'CCaMC-VOaMCpUC-pre-ret'!AA15</f>
        <v>6.6675000000000004</v>
      </c>
      <c r="AB15" s="13">
        <f>'CCaMC-VOaMCpUC-pre-ret'!AB15</f>
        <v>6.6560000000000006</v>
      </c>
      <c r="AC15" s="13">
        <f>'CCaMC-VOaMCpUC-pre-ret'!AC15</f>
        <v>6.6444999999999999</v>
      </c>
      <c r="AD15" s="13">
        <f>'CCaMC-VOaMCpUC-pre-ret'!AD15</f>
        <v>6.633</v>
      </c>
      <c r="AE15" s="13">
        <f>'CCaMC-VOaMCpUC-pre-ret'!AE15</f>
        <v>6.6215000000000002</v>
      </c>
      <c r="AF15" s="13">
        <f>'CCaMC-VOaMCpUC-pre-ret'!AF15</f>
        <v>6.61</v>
      </c>
      <c r="AG15" s="13">
        <f>'CCaMC-VOaMCpUC-pre-ret'!AG15</f>
        <v>6.61</v>
      </c>
      <c r="AH15" s="13">
        <f>'CCaMC-VOaMCpUC-pre-ret'!AH15</f>
        <v>6.61</v>
      </c>
      <c r="AI15" s="13">
        <f>'CCaMC-VOaMCpUC-pre-ret'!AI15</f>
        <v>6.61</v>
      </c>
      <c r="AJ15" s="13">
        <f>'CCaMC-VOaMCpUC-pre-ret'!AJ15</f>
        <v>6.61</v>
      </c>
      <c r="AK15" s="13">
        <f>'CCaMC-VOaMCpUC-pre-ret'!AK15</f>
        <v>6.61</v>
      </c>
      <c r="AL15" s="13">
        <f>'CCaMC-VOaMCpUC-pre-ret'!AL15</f>
        <v>6.61</v>
      </c>
      <c r="AM15" s="13">
        <f>'CCaMC-VOaMCpUC-pre-ret'!AM15</f>
        <v>6.61</v>
      </c>
      <c r="AN15" s="13">
        <f>'CCaMC-VOaMCpUC-pre-ret'!AN15</f>
        <v>6.61</v>
      </c>
      <c r="AO15" s="13">
        <f>'CCaMC-VOaMCpUC-pre-ret'!AO15</f>
        <v>6.61</v>
      </c>
      <c r="AP15" s="13">
        <f>'CCaMC-VOaMCpUC-pre-ret'!AP15</f>
        <v>6.61</v>
      </c>
      <c r="AQ15" s="13">
        <f>'CCaMC-VOaMCpUC-pre-ret'!AQ15</f>
        <v>6.61</v>
      </c>
      <c r="AR15" s="13">
        <f>'CCaMC-VOaMCpUC-pre-ret'!AR15</f>
        <v>6.61</v>
      </c>
      <c r="AS15" s="13">
        <f>'CCaMC-VOaMCpUC-pre-ret'!AS15</f>
        <v>6.61</v>
      </c>
      <c r="AT15" s="13">
        <f>'CCaMC-VOaMCpUC-pre-ret'!AT15</f>
        <v>6.61</v>
      </c>
      <c r="AU15" s="13">
        <f>'CCaMC-VOaMCpUC-pre-ret'!AU15</f>
        <v>6.61</v>
      </c>
      <c r="AV15" s="13">
        <f>'CCaMC-VOaMCpUC-pre-ret'!AV15</f>
        <v>6.61</v>
      </c>
      <c r="AW15" s="13">
        <f>'CCaMC-VOaMCpUC-pre-ret'!AW15</f>
        <v>6.61</v>
      </c>
      <c r="AX15" s="13">
        <f>'CCaMC-VOaMCpUC-pre-ret'!AX15</f>
        <v>6.61</v>
      </c>
      <c r="AY15" s="13">
        <f>'CCaMC-VOaMCpUC-pre-ret'!AY15</f>
        <v>6.61</v>
      </c>
      <c r="AZ15" s="13">
        <f>'CCaMC-VOaMCpUC-pre-ret'!AZ15</f>
        <v>6.61</v>
      </c>
    </row>
    <row r="16" spans="1:52" ht="14.25" customHeight="1" x14ac:dyDescent="0.2">
      <c r="A16" s="5" t="s">
        <v>45</v>
      </c>
      <c r="B16" s="13">
        <f>'CCaMC-VOaMCpUC-pre-ret'!B16</f>
        <v>6.4</v>
      </c>
      <c r="C16" s="13">
        <f>'CCaMC-VOaMCpUC-pre-ret'!C16</f>
        <v>6.7</v>
      </c>
      <c r="D16" s="13">
        <f>'CCaMC-VOaMCpUC-pre-ret'!D16</f>
        <v>7</v>
      </c>
      <c r="E16" s="13">
        <f>'CCaMC-VOaMCpUC-pre-ret'!E16</f>
        <v>7.3</v>
      </c>
      <c r="F16" s="13">
        <f>'CCaMC-VOaMCpUC-pre-ret'!F16</f>
        <v>7.234285714285714</v>
      </c>
      <c r="G16" s="13">
        <f>'CCaMC-VOaMCpUC-pre-ret'!G16</f>
        <v>7.1685714285714282</v>
      </c>
      <c r="H16" s="13">
        <f>'CCaMC-VOaMCpUC-pre-ret'!H16</f>
        <v>7.1028571428571423</v>
      </c>
      <c r="I16" s="13">
        <f>'CCaMC-VOaMCpUC-pre-ret'!I16</f>
        <v>7.0371428571428574</v>
      </c>
      <c r="J16" s="13">
        <f>'CCaMC-VOaMCpUC-pre-ret'!J16</f>
        <v>6.9714285714285715</v>
      </c>
      <c r="K16" s="13">
        <f>'CCaMC-VOaMCpUC-pre-ret'!K16</f>
        <v>6.9057142857142857</v>
      </c>
      <c r="L16" s="13">
        <f>'CCaMC-VOaMCpUC-pre-ret'!L16</f>
        <v>6.84</v>
      </c>
      <c r="M16" s="13">
        <f>'CCaMC-VOaMCpUC-pre-ret'!M16</f>
        <v>6.8285</v>
      </c>
      <c r="N16" s="13">
        <f>'CCaMC-VOaMCpUC-pre-ret'!N16</f>
        <v>6.8170000000000002</v>
      </c>
      <c r="O16" s="13">
        <f>'CCaMC-VOaMCpUC-pre-ret'!O16</f>
        <v>6.8055000000000003</v>
      </c>
      <c r="P16" s="13">
        <f>'CCaMC-VOaMCpUC-pre-ret'!P16</f>
        <v>6.7939999999999996</v>
      </c>
      <c r="Q16" s="13">
        <f>'CCaMC-VOaMCpUC-pre-ret'!Q16</f>
        <v>6.7824999999999998</v>
      </c>
      <c r="R16" s="13">
        <f>'CCaMC-VOaMCpUC-pre-ret'!R16</f>
        <v>6.7709999999999999</v>
      </c>
      <c r="S16" s="13">
        <f>'CCaMC-VOaMCpUC-pre-ret'!S16</f>
        <v>6.7595000000000001</v>
      </c>
      <c r="T16" s="13">
        <f>'CCaMC-VOaMCpUC-pre-ret'!T16</f>
        <v>6.7480000000000002</v>
      </c>
      <c r="U16" s="13">
        <f>'CCaMC-VOaMCpUC-pre-ret'!U16</f>
        <v>6.7365000000000004</v>
      </c>
      <c r="V16" s="13">
        <f>'CCaMC-VOaMCpUC-pre-ret'!V16</f>
        <v>6.7249999999999996</v>
      </c>
      <c r="W16" s="13">
        <f>'CCaMC-VOaMCpUC-pre-ret'!W16</f>
        <v>6.7134999999999998</v>
      </c>
      <c r="X16" s="13">
        <f>'CCaMC-VOaMCpUC-pre-ret'!X16</f>
        <v>6.702</v>
      </c>
      <c r="Y16" s="13">
        <f>'CCaMC-VOaMCpUC-pre-ret'!Y16</f>
        <v>6.6905000000000001</v>
      </c>
      <c r="Z16" s="13">
        <f>'CCaMC-VOaMCpUC-pre-ret'!Z16</f>
        <v>6.6790000000000003</v>
      </c>
      <c r="AA16" s="13">
        <f>'CCaMC-VOaMCpUC-pre-ret'!AA16</f>
        <v>6.6675000000000004</v>
      </c>
      <c r="AB16" s="13">
        <f>'CCaMC-VOaMCpUC-pre-ret'!AB16</f>
        <v>6.6560000000000006</v>
      </c>
      <c r="AC16" s="13">
        <f>'CCaMC-VOaMCpUC-pre-ret'!AC16</f>
        <v>6.6444999999999999</v>
      </c>
      <c r="AD16" s="13">
        <f>'CCaMC-VOaMCpUC-pre-ret'!AD16</f>
        <v>6.633</v>
      </c>
      <c r="AE16" s="13">
        <f>'CCaMC-VOaMCpUC-pre-ret'!AE16</f>
        <v>6.6215000000000002</v>
      </c>
      <c r="AF16" s="13">
        <f>'CCaMC-VOaMCpUC-pre-ret'!AF16</f>
        <v>6.61</v>
      </c>
      <c r="AG16" s="13">
        <f>'CCaMC-VOaMCpUC-pre-ret'!AG16</f>
        <v>6.61</v>
      </c>
      <c r="AH16" s="13">
        <f>'CCaMC-VOaMCpUC-pre-ret'!AH16</f>
        <v>6.61</v>
      </c>
      <c r="AI16" s="13">
        <f>'CCaMC-VOaMCpUC-pre-ret'!AI16</f>
        <v>6.61</v>
      </c>
      <c r="AJ16" s="13">
        <f>'CCaMC-VOaMCpUC-pre-ret'!AJ16</f>
        <v>6.61</v>
      </c>
      <c r="AK16" s="13">
        <f>'CCaMC-VOaMCpUC-pre-ret'!AK16</f>
        <v>6.61</v>
      </c>
      <c r="AL16" s="13">
        <f>'CCaMC-VOaMCpUC-pre-ret'!AL16</f>
        <v>6.61</v>
      </c>
      <c r="AM16" s="13">
        <f>'CCaMC-VOaMCpUC-pre-ret'!AM16</f>
        <v>6.61</v>
      </c>
      <c r="AN16" s="13">
        <f>'CCaMC-VOaMCpUC-pre-ret'!AN16</f>
        <v>6.61</v>
      </c>
      <c r="AO16" s="13">
        <f>'CCaMC-VOaMCpUC-pre-ret'!AO16</f>
        <v>6.61</v>
      </c>
      <c r="AP16" s="13">
        <f>'CCaMC-VOaMCpUC-pre-ret'!AP16</f>
        <v>6.61</v>
      </c>
      <c r="AQ16" s="13">
        <f>'CCaMC-VOaMCpUC-pre-ret'!AQ16</f>
        <v>6.61</v>
      </c>
      <c r="AR16" s="13">
        <f>'CCaMC-VOaMCpUC-pre-ret'!AR16</f>
        <v>6.61</v>
      </c>
      <c r="AS16" s="13">
        <f>'CCaMC-VOaMCpUC-pre-ret'!AS16</f>
        <v>6.61</v>
      </c>
      <c r="AT16" s="13">
        <f>'CCaMC-VOaMCpUC-pre-ret'!AT16</f>
        <v>6.61</v>
      </c>
      <c r="AU16" s="13">
        <f>'CCaMC-VOaMCpUC-pre-ret'!AU16</f>
        <v>6.61</v>
      </c>
      <c r="AV16" s="13">
        <f>'CCaMC-VOaMCpUC-pre-ret'!AV16</f>
        <v>6.61</v>
      </c>
      <c r="AW16" s="13">
        <f>'CCaMC-VOaMCpUC-pre-ret'!AW16</f>
        <v>6.61</v>
      </c>
      <c r="AX16" s="13">
        <f>'CCaMC-VOaMCpUC-pre-ret'!AX16</f>
        <v>6.61</v>
      </c>
      <c r="AY16" s="13">
        <f>'CCaMC-VOaMCpUC-pre-ret'!AY16</f>
        <v>6.61</v>
      </c>
      <c r="AZ16" s="13">
        <f>'CCaMC-VOaMCpUC-pre-ret'!AZ16</f>
        <v>6.61</v>
      </c>
    </row>
    <row r="17" spans="1:52" ht="14.25" customHeight="1" x14ac:dyDescent="0.2">
      <c r="A17" s="5" t="s">
        <v>46</v>
      </c>
      <c r="B17" s="13">
        <f>'CCaMC-VOaMCpUC-pre-ret'!B17</f>
        <v>3</v>
      </c>
      <c r="C17" s="13">
        <f>'CCaMC-VOaMCpUC-pre-ret'!C17</f>
        <v>7.1333333333333337</v>
      </c>
      <c r="D17" s="13">
        <f>'CCaMC-VOaMCpUC-pre-ret'!D17</f>
        <v>11.266666666666667</v>
      </c>
      <c r="E17" s="13">
        <f>'CCaMC-VOaMCpUC-pre-ret'!E17</f>
        <v>15.4</v>
      </c>
      <c r="F17" s="13">
        <f>'CCaMC-VOaMCpUC-pre-ret'!F17</f>
        <v>15.4</v>
      </c>
      <c r="G17" s="13">
        <f>'CCaMC-VOaMCpUC-pre-ret'!G17</f>
        <v>15.4</v>
      </c>
      <c r="H17" s="13">
        <f>'CCaMC-VOaMCpUC-pre-ret'!H17</f>
        <v>15.4</v>
      </c>
      <c r="I17" s="13">
        <f>'CCaMC-VOaMCpUC-pre-ret'!I17</f>
        <v>15.4</v>
      </c>
      <c r="J17" s="13">
        <f>'CCaMC-VOaMCpUC-pre-ret'!J17</f>
        <v>15.4</v>
      </c>
      <c r="K17" s="13">
        <f>'CCaMC-VOaMCpUC-pre-ret'!K17</f>
        <v>15.4</v>
      </c>
      <c r="L17" s="13">
        <f>'CCaMC-VOaMCpUC-pre-ret'!L17</f>
        <v>15.4</v>
      </c>
      <c r="M17" s="13">
        <f>'CCaMC-VOaMCpUC-pre-ret'!M17</f>
        <v>15.4</v>
      </c>
      <c r="N17" s="13">
        <f>'CCaMC-VOaMCpUC-pre-ret'!N17</f>
        <v>15.4</v>
      </c>
      <c r="O17" s="13">
        <f>'CCaMC-VOaMCpUC-pre-ret'!O17</f>
        <v>15.4</v>
      </c>
      <c r="P17" s="13">
        <f>'CCaMC-VOaMCpUC-pre-ret'!P17</f>
        <v>15.4</v>
      </c>
      <c r="Q17" s="13">
        <f>'CCaMC-VOaMCpUC-pre-ret'!Q17</f>
        <v>15.4</v>
      </c>
      <c r="R17" s="13">
        <f>'CCaMC-VOaMCpUC-pre-ret'!R17</f>
        <v>15.4</v>
      </c>
      <c r="S17" s="13">
        <f>'CCaMC-VOaMCpUC-pre-ret'!S17</f>
        <v>15.4</v>
      </c>
      <c r="T17" s="13">
        <f>'CCaMC-VOaMCpUC-pre-ret'!T17</f>
        <v>15.4</v>
      </c>
      <c r="U17" s="13">
        <f>'CCaMC-VOaMCpUC-pre-ret'!U17</f>
        <v>15.4</v>
      </c>
      <c r="V17" s="13">
        <f>'CCaMC-VOaMCpUC-pre-ret'!V17</f>
        <v>15.4</v>
      </c>
      <c r="W17" s="13">
        <f>'CCaMC-VOaMCpUC-pre-ret'!W17</f>
        <v>15.4</v>
      </c>
      <c r="X17" s="13">
        <f>'CCaMC-VOaMCpUC-pre-ret'!X17</f>
        <v>15.4</v>
      </c>
      <c r="Y17" s="13">
        <f>'CCaMC-VOaMCpUC-pre-ret'!Y17</f>
        <v>15.4</v>
      </c>
      <c r="Z17" s="13">
        <f>'CCaMC-VOaMCpUC-pre-ret'!Z17</f>
        <v>15.4</v>
      </c>
      <c r="AA17" s="13">
        <f>'CCaMC-VOaMCpUC-pre-ret'!AA17</f>
        <v>15.4</v>
      </c>
      <c r="AB17" s="13">
        <f>'CCaMC-VOaMCpUC-pre-ret'!AB17</f>
        <v>15.4</v>
      </c>
      <c r="AC17" s="13">
        <f>'CCaMC-VOaMCpUC-pre-ret'!AC17</f>
        <v>15.4</v>
      </c>
      <c r="AD17" s="13">
        <f>'CCaMC-VOaMCpUC-pre-ret'!AD17</f>
        <v>15.4</v>
      </c>
      <c r="AE17" s="13">
        <f>'CCaMC-VOaMCpUC-pre-ret'!AE17</f>
        <v>15.4</v>
      </c>
      <c r="AF17" s="13">
        <f>'CCaMC-VOaMCpUC-pre-ret'!AF17</f>
        <v>15.4</v>
      </c>
      <c r="AG17" s="13">
        <f>'CCaMC-VOaMCpUC-pre-ret'!AG17</f>
        <v>15.4</v>
      </c>
      <c r="AH17" s="13">
        <f>'CCaMC-VOaMCpUC-pre-ret'!AH17</f>
        <v>15.4</v>
      </c>
      <c r="AI17" s="13">
        <f>'CCaMC-VOaMCpUC-pre-ret'!AI17</f>
        <v>15.4</v>
      </c>
      <c r="AJ17" s="13">
        <f>'CCaMC-VOaMCpUC-pre-ret'!AJ17</f>
        <v>15.4</v>
      </c>
      <c r="AK17" s="13">
        <f>'CCaMC-VOaMCpUC-pre-ret'!AK17</f>
        <v>15.4</v>
      </c>
      <c r="AL17" s="13">
        <f>'CCaMC-VOaMCpUC-pre-ret'!AL17</f>
        <v>15.4</v>
      </c>
      <c r="AM17" s="13">
        <f>'CCaMC-VOaMCpUC-pre-ret'!AM17</f>
        <v>15.4</v>
      </c>
      <c r="AN17" s="13">
        <f>'CCaMC-VOaMCpUC-pre-ret'!AN17</f>
        <v>15.4</v>
      </c>
      <c r="AO17" s="13">
        <f>'CCaMC-VOaMCpUC-pre-ret'!AO17</f>
        <v>15.4</v>
      </c>
      <c r="AP17" s="13">
        <f>'CCaMC-VOaMCpUC-pre-ret'!AP17</f>
        <v>15.4</v>
      </c>
      <c r="AQ17" s="13">
        <f>'CCaMC-VOaMCpUC-pre-ret'!AQ17</f>
        <v>15.4</v>
      </c>
      <c r="AR17" s="13">
        <f>'CCaMC-VOaMCpUC-pre-ret'!AR17</f>
        <v>15.4</v>
      </c>
      <c r="AS17" s="13">
        <f>'CCaMC-VOaMCpUC-pre-ret'!AS17</f>
        <v>15.4</v>
      </c>
      <c r="AT17" s="13">
        <f>'CCaMC-VOaMCpUC-pre-ret'!AT17</f>
        <v>15.4</v>
      </c>
      <c r="AU17" s="13">
        <f>'CCaMC-VOaMCpUC-pre-ret'!AU17</f>
        <v>15.4</v>
      </c>
      <c r="AV17" s="13">
        <f>'CCaMC-VOaMCpUC-pre-ret'!AV17</f>
        <v>15.4</v>
      </c>
      <c r="AW17" s="13">
        <f>'CCaMC-VOaMCpUC-pre-ret'!AW17</f>
        <v>15.4</v>
      </c>
      <c r="AX17" s="13">
        <f>'CCaMC-VOaMCpUC-pre-ret'!AX17</f>
        <v>15.4</v>
      </c>
      <c r="AY17" s="13">
        <f>'CCaMC-VOaMCpUC-pre-ret'!AY17</f>
        <v>15.4</v>
      </c>
      <c r="AZ17" s="13">
        <f>'CCaMC-VOaMCpUC-pre-ret'!AZ17</f>
        <v>15.4</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BA1000"/>
  <sheetViews>
    <sheetView topLeftCell="AJ1" workbookViewId="0">
      <selection activeCell="AG2" sqref="AG2:BA17"/>
    </sheetView>
  </sheetViews>
  <sheetFormatPr baseColWidth="10" defaultColWidth="14.5" defaultRowHeight="15" customHeight="1" x14ac:dyDescent="0.2"/>
  <cols>
    <col min="1" max="1" width="28.1640625" customWidth="1"/>
    <col min="2" max="2" width="10.33203125" customWidth="1"/>
    <col min="3" max="33" width="9.1640625" customWidth="1"/>
  </cols>
  <sheetData>
    <row r="1" spans="1:53" ht="14.25" customHeight="1" x14ac:dyDescent="0.2">
      <c r="A1" s="20" t="s">
        <v>53</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ht="14.25" customHeight="1" x14ac:dyDescent="0.2">
      <c r="A2" s="1" t="s">
        <v>54</v>
      </c>
      <c r="B2" s="29" cm="1">
        <f t="array" ref="B2">TREND('capital processing'!$B$3:$D$3,'capital processing'!$B$2:$D$2,'CCaMC-BCCpUC'!B1)</f>
        <v>1646071.4285714282</v>
      </c>
      <c r="C2" s="29" cm="1">
        <f t="array" ref="C2">TREND('capital processing'!$B$3:$D$3,'capital processing'!$B$2:$D$2,'CCaMC-BCCpUC'!C1)</f>
        <v>1642857.1428571427</v>
      </c>
      <c r="D2" s="29" cm="1">
        <f t="array" ref="D2">TREND('capital processing'!$B$3:$D$3,'capital processing'!$B$2:$D$2,'CCaMC-BCCpUC'!D1)</f>
        <v>1639642.8571428573</v>
      </c>
      <c r="E2" s="29" cm="1">
        <f t="array" ref="E2">TREND('capital processing'!$B$3:$D$3,'capital processing'!$B$2:$D$2,'CCaMC-BCCpUC'!E1)</f>
        <v>1636428.5714285709</v>
      </c>
      <c r="F2" s="29" cm="1">
        <f t="array" ref="F2">TREND('capital processing'!$B$3:$D$3,'capital processing'!$B$2:$D$2,'CCaMC-BCCpUC'!F1)</f>
        <v>1633214.2857142854</v>
      </c>
      <c r="G2" s="29" cm="1">
        <f t="array" ref="G2">TREND('capital processing'!$B$3:$D$3,'capital processing'!$B$2:$D$2,'CCaMC-BCCpUC'!G1)</f>
        <v>1630000</v>
      </c>
      <c r="H2" s="29" cm="1">
        <f t="array" ref="H2">TREND('capital processing'!$B$3:$D$3,'capital processing'!$B$2:$D$2,'CCaMC-BCCpUC'!H1)</f>
        <v>1626785.7142857146</v>
      </c>
      <c r="I2" s="29" cm="1">
        <f t="array" ref="I2">TREND('capital processing'!$B$3:$D$3,'capital processing'!$B$2:$D$2,'CCaMC-BCCpUC'!I1)</f>
        <v>1623571.4285714282</v>
      </c>
      <c r="J2" s="29" cm="1">
        <f t="array" ref="J2">TREND('capital processing'!$B$3:$D$3,'capital processing'!$B$2:$D$2,'CCaMC-BCCpUC'!J1)</f>
        <v>1620357.1428571427</v>
      </c>
      <c r="K2" s="29" cm="1">
        <f t="array" ref="K2">TREND('capital processing'!$B$3:$D$3,'capital processing'!$B$2:$D$2,'CCaMC-BCCpUC'!K1)</f>
        <v>1617142.8571428573</v>
      </c>
      <c r="L2" s="29" cm="1">
        <f t="array" ref="L2">TREND('capital processing'!$B$3:$D$3,'capital processing'!$B$2:$D$2,'CCaMC-BCCpUC'!L1)</f>
        <v>1613928.5714285709</v>
      </c>
      <c r="M2" s="29" cm="1">
        <f t="array" ref="M2">TREND('capital processing'!$B$3:$D$3,'capital processing'!$B$2:$D$2,'CCaMC-BCCpUC'!M1)</f>
        <v>1610714.2857142854</v>
      </c>
      <c r="N2" s="29" cm="1">
        <f t="array" ref="N2">TREND('capital processing'!$B$3:$D$3,'capital processing'!$B$2:$D$2,'CCaMC-BCCpUC'!N1)</f>
        <v>1607500</v>
      </c>
      <c r="O2" s="29" cm="1">
        <f t="array" ref="O2">TREND('capital processing'!$B$3:$D$3,'capital processing'!$B$2:$D$2,'CCaMC-BCCpUC'!O1)</f>
        <v>1604285.7142857146</v>
      </c>
      <c r="P2" s="29" cm="1">
        <f t="array" ref="P2">TREND('capital processing'!$B$3:$D$3,'capital processing'!$B$2:$D$2,'CCaMC-BCCpUC'!P1)</f>
        <v>1601071.4285714282</v>
      </c>
      <c r="Q2" s="29" cm="1">
        <f t="array" ref="Q2">TREND('capital processing'!$B$3:$D$3,'capital processing'!$B$2:$D$2,'CCaMC-BCCpUC'!Q1)</f>
        <v>1597857.1428571427</v>
      </c>
      <c r="R2" s="29" cm="1">
        <f t="array" ref="R2">TREND('capital processing'!$B$3:$D$3,'capital processing'!$B$2:$D$2,'CCaMC-BCCpUC'!R1)</f>
        <v>1594642.8571428573</v>
      </c>
      <c r="S2" s="29" cm="1">
        <f t="array" ref="S2">TREND('capital processing'!$B$3:$D$3,'capital processing'!$B$2:$D$2,'CCaMC-BCCpUC'!S1)</f>
        <v>1591428.5714285709</v>
      </c>
      <c r="T2" s="29" cm="1">
        <f t="array" ref="T2">TREND('capital processing'!$B$3:$D$3,'capital processing'!$B$2:$D$2,'CCaMC-BCCpUC'!T1)</f>
        <v>1588214.2857142854</v>
      </c>
      <c r="U2" s="29" cm="1">
        <f t="array" ref="U2">TREND('capital processing'!$B$3:$D$3,'capital processing'!$B$2:$D$2,'CCaMC-BCCpUC'!U1)</f>
        <v>1585000</v>
      </c>
      <c r="V2" s="29" cm="1">
        <f t="array" ref="V2">TREND('capital processing'!$B$3:$D$3,'capital processing'!$B$2:$D$2,'CCaMC-BCCpUC'!V1)</f>
        <v>1581785.7142857146</v>
      </c>
      <c r="W2" s="29" cm="1">
        <f t="array" ref="W2">TREND('capital processing'!$B$3:$D$3,'capital processing'!$B$2:$D$2,'CCaMC-BCCpUC'!W1)</f>
        <v>1578571.4285714282</v>
      </c>
      <c r="X2" s="29" cm="1">
        <f t="array" ref="X2">TREND('capital processing'!$B$3:$D$3,'capital processing'!$B$2:$D$2,'CCaMC-BCCpUC'!X1)</f>
        <v>1575357.1428571427</v>
      </c>
      <c r="Y2" s="29" cm="1">
        <f t="array" ref="Y2">TREND('capital processing'!$B$3:$D$3,'capital processing'!$B$2:$D$2,'CCaMC-BCCpUC'!Y1)</f>
        <v>1572142.8571428573</v>
      </c>
      <c r="Z2" s="29" cm="1">
        <f t="array" ref="Z2">TREND('capital processing'!$B$3:$D$3,'capital processing'!$B$2:$D$2,'CCaMC-BCCpUC'!Z1)</f>
        <v>1568928.5714285709</v>
      </c>
      <c r="AA2" s="29" cm="1">
        <f t="array" ref="AA2">TREND('capital processing'!$B$3:$D$3,'capital processing'!$B$2:$D$2,'CCaMC-BCCpUC'!AA1)</f>
        <v>1565714.2857142854</v>
      </c>
      <c r="AB2" s="29" cm="1">
        <f t="array" ref="AB2">TREND('capital processing'!$B$3:$D$3,'capital processing'!$B$2:$D$2,'CCaMC-BCCpUC'!AB1)</f>
        <v>1562500</v>
      </c>
      <c r="AC2" s="29" cm="1">
        <f t="array" ref="AC2">TREND('capital processing'!$B$3:$D$3,'capital processing'!$B$2:$D$2,'CCaMC-BCCpUC'!AC1)</f>
        <v>1559285.7142857146</v>
      </c>
      <c r="AD2" s="29" cm="1">
        <f t="array" ref="AD2">TREND('capital processing'!$B$3:$D$3,'capital processing'!$B$2:$D$2,'CCaMC-BCCpUC'!AD1)</f>
        <v>1556071.4285714282</v>
      </c>
      <c r="AE2" s="29" cm="1">
        <f t="array" ref="AE2">TREND('capital processing'!$B$3:$D$3,'capital processing'!$B$2:$D$2,'CCaMC-BCCpUC'!AE1)</f>
        <v>1552857.1428571427</v>
      </c>
      <c r="AF2" s="29" cm="1">
        <f t="array" ref="AF2">TREND('capital processing'!$B$3:$D$3,'capital processing'!$B$2:$D$2,'CCaMC-BCCpUC'!AF1)</f>
        <v>1549642.8571428573</v>
      </c>
      <c r="AG2" s="29" cm="1">
        <f t="array" ref="AG2">TREND('capital processing'!$B$3:$D$3,'capital processing'!$B$2:$D$2,'CCaMC-BCCpUC'!AG1)</f>
        <v>1546428.5714285709</v>
      </c>
      <c r="AH2" s="29" cm="1">
        <f t="array" ref="AH2">TREND('capital processing'!$B$3:$D$3,'capital processing'!$B$2:$D$2,'CCaMC-BCCpUC'!AH1)</f>
        <v>1543214.2857142854</v>
      </c>
      <c r="AI2" s="29" cm="1">
        <f t="array" ref="AI2">TREND('capital processing'!$B$3:$D$3,'capital processing'!$B$2:$D$2,'CCaMC-BCCpUC'!AI1)</f>
        <v>1540000</v>
      </c>
      <c r="AJ2" s="29" cm="1">
        <f t="array" ref="AJ2">TREND('capital processing'!$B$3:$D$3,'capital processing'!$B$2:$D$2,'CCaMC-BCCpUC'!AJ1)</f>
        <v>1536785.7142857146</v>
      </c>
      <c r="AK2" s="29" cm="1">
        <f t="array" ref="AK2">TREND('capital processing'!$B$3:$D$3,'capital processing'!$B$2:$D$2,'CCaMC-BCCpUC'!AK1)</f>
        <v>1533571.4285714282</v>
      </c>
      <c r="AL2" s="29" cm="1">
        <f t="array" ref="AL2">TREND('capital processing'!$B$3:$D$3,'capital processing'!$B$2:$D$2,'CCaMC-BCCpUC'!AL1)</f>
        <v>1530357.1428571427</v>
      </c>
      <c r="AM2" s="29" cm="1">
        <f t="array" ref="AM2">TREND('capital processing'!$B$3:$D$3,'capital processing'!$B$2:$D$2,'CCaMC-BCCpUC'!AM1)</f>
        <v>1527142.8571428573</v>
      </c>
      <c r="AN2" s="29" cm="1">
        <f t="array" ref="AN2">TREND('capital processing'!$B$3:$D$3,'capital processing'!$B$2:$D$2,'CCaMC-BCCpUC'!AN1)</f>
        <v>1523928.5714285709</v>
      </c>
      <c r="AO2" s="29" cm="1">
        <f t="array" ref="AO2">TREND('capital processing'!$B$3:$D$3,'capital processing'!$B$2:$D$2,'CCaMC-BCCpUC'!AO1)</f>
        <v>1520714.2857142854</v>
      </c>
      <c r="AP2" s="29" cm="1">
        <f t="array" ref="AP2">TREND('capital processing'!$B$3:$D$3,'capital processing'!$B$2:$D$2,'CCaMC-BCCpUC'!AP1)</f>
        <v>1517500</v>
      </c>
      <c r="AQ2" s="29" cm="1">
        <f t="array" ref="AQ2">TREND('capital processing'!$B$3:$D$3,'capital processing'!$B$2:$D$2,'CCaMC-BCCpUC'!AQ1)</f>
        <v>1514285.7142857146</v>
      </c>
      <c r="AR2" s="29" cm="1">
        <f t="array" ref="AR2">TREND('capital processing'!$B$3:$D$3,'capital processing'!$B$2:$D$2,'CCaMC-BCCpUC'!AR1)</f>
        <v>1511071.4285714282</v>
      </c>
      <c r="AS2" s="29" cm="1">
        <f t="array" ref="AS2">TREND('capital processing'!$B$3:$D$3,'capital processing'!$B$2:$D$2,'CCaMC-BCCpUC'!AS1)</f>
        <v>1507857.1428571427</v>
      </c>
      <c r="AT2" s="29" cm="1">
        <f t="array" ref="AT2">TREND('capital processing'!$B$3:$D$3,'capital processing'!$B$2:$D$2,'CCaMC-BCCpUC'!AT1)</f>
        <v>1504642.8571428573</v>
      </c>
      <c r="AU2" s="29" cm="1">
        <f t="array" ref="AU2">TREND('capital processing'!$B$3:$D$3,'capital processing'!$B$2:$D$2,'CCaMC-BCCpUC'!AU1)</f>
        <v>1501428.5714285709</v>
      </c>
      <c r="AV2" s="29" cm="1">
        <f t="array" ref="AV2">TREND('capital processing'!$B$3:$D$3,'capital processing'!$B$2:$D$2,'CCaMC-BCCpUC'!AV1)</f>
        <v>1498214.2857142854</v>
      </c>
      <c r="AW2" s="29" cm="1">
        <f t="array" ref="AW2">TREND('capital processing'!$B$3:$D$3,'capital processing'!$B$2:$D$2,'CCaMC-BCCpUC'!AW1)</f>
        <v>1495000</v>
      </c>
      <c r="AX2" s="29" cm="1">
        <f t="array" ref="AX2">TREND('capital processing'!$B$3:$D$3,'capital processing'!$B$2:$D$2,'CCaMC-BCCpUC'!AX1)</f>
        <v>1491785.7142857146</v>
      </c>
      <c r="AY2" s="29" cm="1">
        <f t="array" ref="AY2">TREND('capital processing'!$B$3:$D$3,'capital processing'!$B$2:$D$2,'CCaMC-BCCpUC'!AY1)</f>
        <v>1488571.4285714282</v>
      </c>
      <c r="AZ2" s="29" cm="1">
        <f t="array" ref="AZ2">TREND('capital processing'!$B$3:$D$3,'capital processing'!$B$2:$D$2,'CCaMC-BCCpUC'!AZ1)</f>
        <v>1485357.1428571427</v>
      </c>
      <c r="BA2" s="29" cm="1">
        <f t="array" ref="BA2">TREND('capital processing'!$B$3:$D$3,'capital processing'!$B$2:$D$2,'CCaMC-BCCpUC'!BA1)</f>
        <v>1482142.8571428573</v>
      </c>
    </row>
    <row r="3" spans="1:53" ht="14.25" customHeight="1" x14ac:dyDescent="0.2">
      <c r="A3" s="1" t="s">
        <v>55</v>
      </c>
      <c r="B3" s="29" cm="1">
        <f t="array" ref="B3">TREND('capital processing'!$B$4:$D$4,'capital processing'!$B$2:$D$2,'CCaMC-BCCpUC'!B1)</f>
        <v>768642.85714285728</v>
      </c>
      <c r="C3" s="29" cm="1">
        <f t="array" ref="C3">TREND('capital processing'!$B$4:$D$4,'capital processing'!$B$2:$D$2,'CCaMC-BCCpUC'!C1)</f>
        <v>765714.28571428545</v>
      </c>
      <c r="D3" s="29" cm="1">
        <f t="array" ref="D3">TREND('capital processing'!$B$4:$D$4,'capital processing'!$B$2:$D$2,'CCaMC-BCCpUC'!D1)</f>
        <v>762785.71428571362</v>
      </c>
      <c r="E3" s="29" cm="1">
        <f t="array" ref="E3">TREND('capital processing'!$B$4:$D$4,'capital processing'!$B$2:$D$2,'CCaMC-BCCpUC'!E1)</f>
        <v>759857.14285714272</v>
      </c>
      <c r="F3" s="29" cm="1">
        <f t="array" ref="F3">TREND('capital processing'!$B$4:$D$4,'capital processing'!$B$2:$D$2,'CCaMC-BCCpUC'!F1)</f>
        <v>756928.5714285709</v>
      </c>
      <c r="G3" s="29" cm="1">
        <f t="array" ref="G3">TREND('capital processing'!$B$4:$D$4,'capital processing'!$B$2:$D$2,'CCaMC-BCCpUC'!G1)</f>
        <v>754000</v>
      </c>
      <c r="H3" s="29" cm="1">
        <f t="array" ref="H3">TREND('capital processing'!$B$4:$D$4,'capital processing'!$B$2:$D$2,'CCaMC-BCCpUC'!H1)</f>
        <v>751071.42857142817</v>
      </c>
      <c r="I3" s="29" cm="1">
        <f t="array" ref="I3">TREND('capital processing'!$B$4:$D$4,'capital processing'!$B$2:$D$2,'CCaMC-BCCpUC'!I1)</f>
        <v>748142.85714285728</v>
      </c>
      <c r="J3" s="29" cm="1">
        <f t="array" ref="J3">TREND('capital processing'!$B$4:$D$4,'capital processing'!$B$2:$D$2,'CCaMC-BCCpUC'!J1)</f>
        <v>745214.28571428545</v>
      </c>
      <c r="K3" s="29" cm="1">
        <f t="array" ref="K3">TREND('capital processing'!$B$4:$D$4,'capital processing'!$B$2:$D$2,'CCaMC-BCCpUC'!K1)</f>
        <v>742285.71428571362</v>
      </c>
      <c r="L3" s="29" cm="1">
        <f t="array" ref="L3">TREND('capital processing'!$B$4:$D$4,'capital processing'!$B$2:$D$2,'CCaMC-BCCpUC'!L1)</f>
        <v>739357.14285714272</v>
      </c>
      <c r="M3" s="29" cm="1">
        <f t="array" ref="M3">TREND('capital processing'!$B$4:$D$4,'capital processing'!$B$2:$D$2,'CCaMC-BCCpUC'!M1)</f>
        <v>736428.5714285709</v>
      </c>
      <c r="N3" s="29" cm="1">
        <f t="array" ref="N3">TREND('capital processing'!$B$4:$D$4,'capital processing'!$B$2:$D$2,'CCaMC-BCCpUC'!N1)</f>
        <v>733500</v>
      </c>
      <c r="O3" s="29" cm="1">
        <f t="array" ref="O3">TREND('capital processing'!$B$4:$D$4,'capital processing'!$B$2:$D$2,'CCaMC-BCCpUC'!O1)</f>
        <v>730571.42857142817</v>
      </c>
      <c r="P3" s="29" cm="1">
        <f t="array" ref="P3">TREND('capital processing'!$B$4:$D$4,'capital processing'!$B$2:$D$2,'CCaMC-BCCpUC'!P1)</f>
        <v>727642.85714285728</v>
      </c>
      <c r="Q3" s="29" cm="1">
        <f t="array" ref="Q3">TREND('capital processing'!$B$4:$D$4,'capital processing'!$B$2:$D$2,'CCaMC-BCCpUC'!Q1)</f>
        <v>724714.28571428545</v>
      </c>
      <c r="R3" s="29" cm="1">
        <f t="array" ref="R3">TREND('capital processing'!$B$4:$D$4,'capital processing'!$B$2:$D$2,'CCaMC-BCCpUC'!R1)</f>
        <v>721785.71428571362</v>
      </c>
      <c r="S3" s="29" cm="1">
        <f t="array" ref="S3">TREND('capital processing'!$B$4:$D$4,'capital processing'!$B$2:$D$2,'CCaMC-BCCpUC'!S1)</f>
        <v>718857.14285714272</v>
      </c>
      <c r="T3" s="29" cm="1">
        <f t="array" ref="T3">TREND('capital processing'!$B$4:$D$4,'capital processing'!$B$2:$D$2,'CCaMC-BCCpUC'!T1)</f>
        <v>715928.5714285709</v>
      </c>
      <c r="U3" s="29" cm="1">
        <f t="array" ref="U3">TREND('capital processing'!$B$4:$D$4,'capital processing'!$B$2:$D$2,'CCaMC-BCCpUC'!U1)</f>
        <v>713000</v>
      </c>
      <c r="V3" s="29" cm="1">
        <f t="array" ref="V3">TREND('capital processing'!$B$4:$D$4,'capital processing'!$B$2:$D$2,'CCaMC-BCCpUC'!V1)</f>
        <v>710071.42857142817</v>
      </c>
      <c r="W3" s="29" cm="1">
        <f t="array" ref="W3">TREND('capital processing'!$B$4:$D$4,'capital processing'!$B$2:$D$2,'CCaMC-BCCpUC'!W1)</f>
        <v>707142.85714285728</v>
      </c>
      <c r="X3" s="29" cm="1">
        <f t="array" ref="X3">TREND('capital processing'!$B$4:$D$4,'capital processing'!$B$2:$D$2,'CCaMC-BCCpUC'!X1)</f>
        <v>704214.28571428545</v>
      </c>
      <c r="Y3" s="29" cm="1">
        <f t="array" ref="Y3">TREND('capital processing'!$B$4:$D$4,'capital processing'!$B$2:$D$2,'CCaMC-BCCpUC'!Y1)</f>
        <v>701285.71428571362</v>
      </c>
      <c r="Z3" s="29" cm="1">
        <f t="array" ref="Z3">TREND('capital processing'!$B$4:$D$4,'capital processing'!$B$2:$D$2,'CCaMC-BCCpUC'!Z1)</f>
        <v>698357.14285714272</v>
      </c>
      <c r="AA3" s="29" cm="1">
        <f t="array" ref="AA3">TREND('capital processing'!$B$4:$D$4,'capital processing'!$B$2:$D$2,'CCaMC-BCCpUC'!AA1)</f>
        <v>695428.5714285709</v>
      </c>
      <c r="AB3" s="29" cm="1">
        <f t="array" ref="AB3">TREND('capital processing'!$B$4:$D$4,'capital processing'!$B$2:$D$2,'CCaMC-BCCpUC'!AB1)</f>
        <v>692500</v>
      </c>
      <c r="AC3" s="29" cm="1">
        <f t="array" ref="AC3">TREND('capital processing'!$B$4:$D$4,'capital processing'!$B$2:$D$2,'CCaMC-BCCpUC'!AC1)</f>
        <v>689571.42857142817</v>
      </c>
      <c r="AD3" s="29" cm="1">
        <f t="array" ref="AD3">TREND('capital processing'!$B$4:$D$4,'capital processing'!$B$2:$D$2,'CCaMC-BCCpUC'!AD1)</f>
        <v>686642.85714285728</v>
      </c>
      <c r="AE3" s="29" cm="1">
        <f t="array" ref="AE3">TREND('capital processing'!$B$4:$D$4,'capital processing'!$B$2:$D$2,'CCaMC-BCCpUC'!AE1)</f>
        <v>683714.28571428545</v>
      </c>
      <c r="AF3" s="29" cm="1">
        <f t="array" ref="AF3">TREND('capital processing'!$B$4:$D$4,'capital processing'!$B$2:$D$2,'CCaMC-BCCpUC'!AF1)</f>
        <v>680785.71428571362</v>
      </c>
      <c r="AG3" s="29" cm="1">
        <f t="array" ref="AG3">TREND('capital processing'!$B$4:$D$4,'capital processing'!$B$2:$D$2,'CCaMC-BCCpUC'!AG1)</f>
        <v>677857.14285714272</v>
      </c>
      <c r="AH3" s="29" cm="1">
        <f t="array" ref="AH3">TREND('capital processing'!$B$4:$D$4,'capital processing'!$B$2:$D$2,'CCaMC-BCCpUC'!AH1)</f>
        <v>674928.5714285709</v>
      </c>
      <c r="AI3" s="29" cm="1">
        <f t="array" ref="AI3">TREND('capital processing'!$B$4:$D$4,'capital processing'!$B$2:$D$2,'CCaMC-BCCpUC'!AI1)</f>
        <v>672000</v>
      </c>
      <c r="AJ3" s="29" cm="1">
        <f t="array" ref="AJ3">TREND('capital processing'!$B$4:$D$4,'capital processing'!$B$2:$D$2,'CCaMC-BCCpUC'!AJ1)</f>
        <v>669071.42857142817</v>
      </c>
      <c r="AK3" s="29" cm="1">
        <f t="array" ref="AK3">TREND('capital processing'!$B$4:$D$4,'capital processing'!$B$2:$D$2,'CCaMC-BCCpUC'!AK1)</f>
        <v>666142.85714285728</v>
      </c>
      <c r="AL3" s="29" cm="1">
        <f t="array" ref="AL3">TREND('capital processing'!$B$4:$D$4,'capital processing'!$B$2:$D$2,'CCaMC-BCCpUC'!AL1)</f>
        <v>663214.28571428545</v>
      </c>
      <c r="AM3" s="29" cm="1">
        <f t="array" ref="AM3">TREND('capital processing'!$B$4:$D$4,'capital processing'!$B$2:$D$2,'CCaMC-BCCpUC'!AM1)</f>
        <v>660285.71428571362</v>
      </c>
      <c r="AN3" s="29" cm="1">
        <f t="array" ref="AN3">TREND('capital processing'!$B$4:$D$4,'capital processing'!$B$2:$D$2,'CCaMC-BCCpUC'!AN1)</f>
        <v>657357.14285714272</v>
      </c>
      <c r="AO3" s="29" cm="1">
        <f t="array" ref="AO3">TREND('capital processing'!$B$4:$D$4,'capital processing'!$B$2:$D$2,'CCaMC-BCCpUC'!AO1)</f>
        <v>654428.5714285709</v>
      </c>
      <c r="AP3" s="29" cm="1">
        <f t="array" ref="AP3">TREND('capital processing'!$B$4:$D$4,'capital processing'!$B$2:$D$2,'CCaMC-BCCpUC'!AP1)</f>
        <v>651500</v>
      </c>
      <c r="AQ3" s="29" cm="1">
        <f t="array" ref="AQ3">TREND('capital processing'!$B$4:$D$4,'capital processing'!$B$2:$D$2,'CCaMC-BCCpUC'!AQ1)</f>
        <v>648571.42857142817</v>
      </c>
      <c r="AR3" s="29" cm="1">
        <f t="array" ref="AR3">TREND('capital processing'!$B$4:$D$4,'capital processing'!$B$2:$D$2,'CCaMC-BCCpUC'!AR1)</f>
        <v>645642.85714285728</v>
      </c>
      <c r="AS3" s="29" cm="1">
        <f t="array" ref="AS3">TREND('capital processing'!$B$4:$D$4,'capital processing'!$B$2:$D$2,'CCaMC-BCCpUC'!AS1)</f>
        <v>642714.28571428545</v>
      </c>
      <c r="AT3" s="29" cm="1">
        <f t="array" ref="AT3">TREND('capital processing'!$B$4:$D$4,'capital processing'!$B$2:$D$2,'CCaMC-BCCpUC'!AT1)</f>
        <v>639785.71428571362</v>
      </c>
      <c r="AU3" s="29" cm="1">
        <f t="array" ref="AU3">TREND('capital processing'!$B$4:$D$4,'capital processing'!$B$2:$D$2,'CCaMC-BCCpUC'!AU1)</f>
        <v>636857.14285714272</v>
      </c>
      <c r="AV3" s="29" cm="1">
        <f t="array" ref="AV3">TREND('capital processing'!$B$4:$D$4,'capital processing'!$B$2:$D$2,'CCaMC-BCCpUC'!AV1)</f>
        <v>633928.5714285709</v>
      </c>
      <c r="AW3" s="29" cm="1">
        <f t="array" ref="AW3">TREND('capital processing'!$B$4:$D$4,'capital processing'!$B$2:$D$2,'CCaMC-BCCpUC'!AW1)</f>
        <v>631000</v>
      </c>
      <c r="AX3" s="29" cm="1">
        <f t="array" ref="AX3">TREND('capital processing'!$B$4:$D$4,'capital processing'!$B$2:$D$2,'CCaMC-BCCpUC'!AX1)</f>
        <v>628071.42857142817</v>
      </c>
      <c r="AY3" s="29" cm="1">
        <f t="array" ref="AY3">TREND('capital processing'!$B$4:$D$4,'capital processing'!$B$2:$D$2,'CCaMC-BCCpUC'!AY1)</f>
        <v>625142.85714285728</v>
      </c>
      <c r="AZ3" s="29" cm="1">
        <f t="array" ref="AZ3">TREND('capital processing'!$B$4:$D$4,'capital processing'!$B$2:$D$2,'CCaMC-BCCpUC'!AZ1)</f>
        <v>622214.28571428545</v>
      </c>
      <c r="BA3" s="29" cm="1">
        <f t="array" ref="BA3">TREND('capital processing'!$B$4:$D$4,'capital processing'!$B$2:$D$2,'CCaMC-BCCpUC'!BA1)</f>
        <v>619285.71428571362</v>
      </c>
    </row>
    <row r="4" spans="1:53" ht="14.25" customHeight="1" x14ac:dyDescent="0.2">
      <c r="A4" s="1" t="s">
        <v>56</v>
      </c>
      <c r="B4" s="29">
        <f>nuclear!D3*About!$A$34</f>
        <v>7291.9504746640278</v>
      </c>
      <c r="C4" s="29">
        <f>nuclear!E3*About!$A$34</f>
        <v>7254.5327840907339</v>
      </c>
      <c r="D4" s="29">
        <f>nuclear!F3*About!$A$34</f>
        <v>7217.1150935174401</v>
      </c>
      <c r="E4" s="29">
        <f>nuclear!G3*About!$A$34</f>
        <v>7179.6974029441462</v>
      </c>
      <c r="F4" s="29">
        <f>nuclear!H3*About!$A$34</f>
        <v>7142.2797123708524</v>
      </c>
      <c r="G4" s="29">
        <f>nuclear!I3*About!$A$34</f>
        <v>7104.8620217975586</v>
      </c>
      <c r="H4" s="29">
        <f>nuclear!J3*About!$A$34</f>
        <v>7067.4443312242647</v>
      </c>
      <c r="I4" s="29">
        <f>nuclear!K3*About!$A$34</f>
        <v>7030.02664065097</v>
      </c>
      <c r="J4" s="29">
        <f>nuclear!L3*About!$A$34</f>
        <v>6988.2841390042568</v>
      </c>
      <c r="K4" s="29">
        <f>nuclear!M3*About!$A$34</f>
        <v>6949.9003590008879</v>
      </c>
      <c r="L4" s="29">
        <f>nuclear!N3*About!$A$34</f>
        <v>6909.6370323190122</v>
      </c>
      <c r="M4" s="29">
        <f>nuclear!O3*About!$A$34</f>
        <v>6862.3557971572072</v>
      </c>
      <c r="N4" s="29">
        <f>nuclear!P3*About!$A$34</f>
        <v>6816.8599648889194</v>
      </c>
      <c r="O4" s="29">
        <f>nuclear!Q3*About!$A$34</f>
        <v>6769.0812891003889</v>
      </c>
      <c r="P4" s="29">
        <f>nuclear!R3*About!$A$34</f>
        <v>6720.2886687967093</v>
      </c>
      <c r="Q4" s="29">
        <f>nuclear!S3*About!$A$34</f>
        <v>6678.7305550713145</v>
      </c>
      <c r="R4" s="29">
        <f>nuclear!T3*About!$A$34</f>
        <v>6635.2191510538241</v>
      </c>
      <c r="S4" s="29">
        <f>nuclear!U3*About!$A$34</f>
        <v>6582.4912432184638</v>
      </c>
      <c r="T4" s="29">
        <f>nuclear!V3*About!$A$34</f>
        <v>6539.3926935866475</v>
      </c>
      <c r="U4" s="29">
        <f>nuclear!W3*About!$A$34</f>
        <v>6493.8011904769601</v>
      </c>
      <c r="V4" s="29">
        <f>nuclear!X3*About!$A$34</f>
        <v>6443.1665279171784</v>
      </c>
      <c r="W4" s="29">
        <f>nuclear!Y3*About!$A$34</f>
        <v>6391.3325159169017</v>
      </c>
      <c r="X4" s="29">
        <f>nuclear!Z3*About!$A$34</f>
        <v>6350.6892332333946</v>
      </c>
      <c r="Y4" s="29">
        <f>nuclear!AA3*About!$A$34</f>
        <v>6301.298847499208</v>
      </c>
      <c r="Z4" s="29">
        <f>nuclear!AB3*About!$A$34</f>
        <v>6256.247468381549</v>
      </c>
      <c r="AA4" s="29">
        <f>nuclear!AC3*About!$A$34</f>
        <v>6210.8926827012865</v>
      </c>
      <c r="AB4" s="29">
        <f>nuclear!AD3*About!$A$34</f>
        <v>6169.0029165539481</v>
      </c>
      <c r="AC4" s="29">
        <f>nuclear!AE3*About!$A$34</f>
        <v>6115.8731479106109</v>
      </c>
      <c r="AD4" s="29">
        <f>nuclear!AF3*About!$A$34</f>
        <v>6070.8464173785005</v>
      </c>
      <c r="AE4" s="29">
        <f>nuclear!AG3*About!$A$34</f>
        <v>6025.5582786131754</v>
      </c>
      <c r="AF4" s="29">
        <f>nuclear!AH3*About!$A$34</f>
        <v>5980.1364734247509</v>
      </c>
      <c r="AG4" s="29">
        <f>nuclear!AI3*About!$A$34</f>
        <v>5883.4503554028424</v>
      </c>
      <c r="AH4" s="29">
        <f>nuclear!AJ3*About!$A$34</f>
        <v>0</v>
      </c>
      <c r="AI4" s="29">
        <f>nuclear!AK3*About!$A$34</f>
        <v>0</v>
      </c>
      <c r="AJ4" s="29">
        <f>nuclear!AL3*About!$A$34</f>
        <v>0</v>
      </c>
      <c r="AK4" s="29">
        <f>nuclear!AM3*About!$A$34</f>
        <v>0</v>
      </c>
      <c r="AL4" s="29">
        <f>nuclear!AN3*About!$A$34</f>
        <v>0</v>
      </c>
      <c r="AM4" s="29">
        <f>nuclear!AO3*About!$A$34</f>
        <v>0</v>
      </c>
      <c r="AN4" s="29">
        <f>nuclear!AP3*About!$A$34</f>
        <v>0</v>
      </c>
      <c r="AO4" s="29">
        <f>nuclear!AQ3*About!$A$34</f>
        <v>0</v>
      </c>
      <c r="AP4" s="29">
        <f>nuclear!AR3*About!$A$34</f>
        <v>0</v>
      </c>
      <c r="AQ4" s="29">
        <f>nuclear!AS3*About!$A$34</f>
        <v>0</v>
      </c>
      <c r="AR4" s="29">
        <f>nuclear!AT3*About!$A$34</f>
        <v>0</v>
      </c>
      <c r="AS4" s="29">
        <f>nuclear!AU3*About!$A$34</f>
        <v>0</v>
      </c>
      <c r="AT4" s="29">
        <f>nuclear!AV3*About!$A$34</f>
        <v>0</v>
      </c>
      <c r="AU4" s="29">
        <f>nuclear!AW3*About!$A$34</f>
        <v>0</v>
      </c>
      <c r="AV4" s="29">
        <f>nuclear!AX3*About!$A$34</f>
        <v>0</v>
      </c>
      <c r="AW4" s="29">
        <f>nuclear!AY3*About!$A$34</f>
        <v>0</v>
      </c>
      <c r="AX4" s="29">
        <f>nuclear!AZ3*About!$A$34</f>
        <v>0</v>
      </c>
      <c r="AY4" s="29">
        <f>nuclear!BA3*About!$A$34</f>
        <v>0</v>
      </c>
      <c r="AZ4" s="29">
        <f>nuclear!BB3*About!$A$34</f>
        <v>0</v>
      </c>
      <c r="BA4" s="29">
        <f>nuclear!BC3*About!$A$34</f>
        <v>0</v>
      </c>
    </row>
    <row r="5" spans="1:53" ht="14.25" customHeight="1" x14ac:dyDescent="0.2">
      <c r="A5" s="1" t="s">
        <v>57</v>
      </c>
      <c r="B5" s="29" cm="1">
        <f t="array" ref="B5">TREND('capital processing'!$B$5:$D$5,'capital processing'!$B$2:$D$2,'CCaMC-BCCpUC'!B1)</f>
        <v>2086214.2857142854</v>
      </c>
      <c r="C5" s="29" cm="1">
        <f t="array" ref="C5">TREND('capital processing'!$B$5:$D$5,'capital processing'!$B$2:$D$2,'CCaMC-BCCpUC'!C1)</f>
        <v>2078571.4285714291</v>
      </c>
      <c r="D5" s="29" cm="1">
        <f t="array" ref="D5">TREND('capital processing'!$B$5:$D$5,'capital processing'!$B$2:$D$2,'CCaMC-BCCpUC'!D1)</f>
        <v>2070928.5714285728</v>
      </c>
      <c r="E5" s="29" cm="1">
        <f t="array" ref="E5">TREND('capital processing'!$B$5:$D$5,'capital processing'!$B$2:$D$2,'CCaMC-BCCpUC'!E1)</f>
        <v>2063285.7142857146</v>
      </c>
      <c r="F5" s="29" cm="1">
        <f t="array" ref="F5">TREND('capital processing'!$B$5:$D$5,'capital processing'!$B$2:$D$2,'CCaMC-BCCpUC'!F1)</f>
        <v>2055642.8571428582</v>
      </c>
      <c r="G5" s="29" cm="1">
        <f t="array" ref="G5">TREND('capital processing'!$B$5:$D$5,'capital processing'!$B$2:$D$2,'CCaMC-BCCpUC'!G1)</f>
        <v>2048000</v>
      </c>
      <c r="H5" s="29" cm="1">
        <f t="array" ref="H5">TREND('capital processing'!$B$5:$D$5,'capital processing'!$B$2:$D$2,'CCaMC-BCCpUC'!H1)</f>
        <v>2040357.1428571437</v>
      </c>
      <c r="I5" s="29" cm="1">
        <f t="array" ref="I5">TREND('capital processing'!$B$5:$D$5,'capital processing'!$B$2:$D$2,'CCaMC-BCCpUC'!I1)</f>
        <v>2032714.2857142854</v>
      </c>
      <c r="J5" s="29" cm="1">
        <f t="array" ref="J5">TREND('capital processing'!$B$5:$D$5,'capital processing'!$B$2:$D$2,'CCaMC-BCCpUC'!J1)</f>
        <v>2025071.4285714291</v>
      </c>
      <c r="K5" s="29" cm="1">
        <f t="array" ref="K5">TREND('capital processing'!$B$5:$D$5,'capital processing'!$B$2:$D$2,'CCaMC-BCCpUC'!K1)</f>
        <v>2017428.5714285728</v>
      </c>
      <c r="L5" s="29" cm="1">
        <f t="array" ref="L5">TREND('capital processing'!$B$5:$D$5,'capital processing'!$B$2:$D$2,'CCaMC-BCCpUC'!L1)</f>
        <v>2009785.7142857146</v>
      </c>
      <c r="M5" s="29" cm="1">
        <f t="array" ref="M5">TREND('capital processing'!$B$5:$D$5,'capital processing'!$B$2:$D$2,'CCaMC-BCCpUC'!M1)</f>
        <v>2002142.8571428582</v>
      </c>
      <c r="N5" s="29" cm="1">
        <f t="array" ref="N5">TREND('capital processing'!$B$5:$D$5,'capital processing'!$B$2:$D$2,'CCaMC-BCCpUC'!N1)</f>
        <v>1994500</v>
      </c>
      <c r="O5" s="29" cm="1">
        <f t="array" ref="O5">TREND('capital processing'!$B$5:$D$5,'capital processing'!$B$2:$D$2,'CCaMC-BCCpUC'!O1)</f>
        <v>1986857.1428571437</v>
      </c>
      <c r="P5" s="29" cm="1">
        <f t="array" ref="P5">TREND('capital processing'!$B$5:$D$5,'capital processing'!$B$2:$D$2,'CCaMC-BCCpUC'!P1)</f>
        <v>1979214.2857142854</v>
      </c>
      <c r="Q5" s="29" cm="1">
        <f t="array" ref="Q5">TREND('capital processing'!$B$5:$D$5,'capital processing'!$B$2:$D$2,'CCaMC-BCCpUC'!Q1)</f>
        <v>1971571.4285714291</v>
      </c>
      <c r="R5" s="29" cm="1">
        <f t="array" ref="R5">TREND('capital processing'!$B$5:$D$5,'capital processing'!$B$2:$D$2,'CCaMC-BCCpUC'!R1)</f>
        <v>1963928.5714285728</v>
      </c>
      <c r="S5" s="29" cm="1">
        <f t="array" ref="S5">TREND('capital processing'!$B$5:$D$5,'capital processing'!$B$2:$D$2,'CCaMC-BCCpUC'!S1)</f>
        <v>1956285.7142857146</v>
      </c>
      <c r="T5" s="29" cm="1">
        <f t="array" ref="T5">TREND('capital processing'!$B$5:$D$5,'capital processing'!$B$2:$D$2,'CCaMC-BCCpUC'!T1)</f>
        <v>1948642.8571428582</v>
      </c>
      <c r="U5" s="29" cm="1">
        <f t="array" ref="U5">TREND('capital processing'!$B$5:$D$5,'capital processing'!$B$2:$D$2,'CCaMC-BCCpUC'!U1)</f>
        <v>1941000</v>
      </c>
      <c r="V5" s="29" cm="1">
        <f t="array" ref="V5">TREND('capital processing'!$B$5:$D$5,'capital processing'!$B$2:$D$2,'CCaMC-BCCpUC'!V1)</f>
        <v>1933357.1428571437</v>
      </c>
      <c r="W5" s="29" cm="1">
        <f t="array" ref="W5">TREND('capital processing'!$B$5:$D$5,'capital processing'!$B$2:$D$2,'CCaMC-BCCpUC'!W1)</f>
        <v>1925714.2857142854</v>
      </c>
      <c r="X5" s="29" cm="1">
        <f t="array" ref="X5">TREND('capital processing'!$B$5:$D$5,'capital processing'!$B$2:$D$2,'CCaMC-BCCpUC'!X1)</f>
        <v>1918071.4285714291</v>
      </c>
      <c r="Y5" s="29" cm="1">
        <f t="array" ref="Y5">TREND('capital processing'!$B$5:$D$5,'capital processing'!$B$2:$D$2,'CCaMC-BCCpUC'!Y1)</f>
        <v>1910428.5714285728</v>
      </c>
      <c r="Z5" s="29" cm="1">
        <f t="array" ref="Z5">TREND('capital processing'!$B$5:$D$5,'capital processing'!$B$2:$D$2,'CCaMC-BCCpUC'!Z1)</f>
        <v>1902785.7142857146</v>
      </c>
      <c r="AA5" s="29" cm="1">
        <f t="array" ref="AA5">TREND('capital processing'!$B$5:$D$5,'capital processing'!$B$2:$D$2,'CCaMC-BCCpUC'!AA1)</f>
        <v>1895142.8571428582</v>
      </c>
      <c r="AB5" s="29" cm="1">
        <f t="array" ref="AB5">TREND('capital processing'!$B$5:$D$5,'capital processing'!$B$2:$D$2,'CCaMC-BCCpUC'!AB1)</f>
        <v>1887500</v>
      </c>
      <c r="AC5" s="29" cm="1">
        <f t="array" ref="AC5">TREND('capital processing'!$B$5:$D$5,'capital processing'!$B$2:$D$2,'CCaMC-BCCpUC'!AC1)</f>
        <v>1879857.1428571437</v>
      </c>
      <c r="AD5" s="29" cm="1">
        <f t="array" ref="AD5">TREND('capital processing'!$B$5:$D$5,'capital processing'!$B$2:$D$2,'CCaMC-BCCpUC'!AD1)</f>
        <v>1872214.2857142854</v>
      </c>
      <c r="AE5" s="29" cm="1">
        <f t="array" ref="AE5">TREND('capital processing'!$B$5:$D$5,'capital processing'!$B$2:$D$2,'CCaMC-BCCpUC'!AE1)</f>
        <v>1864571.4285714291</v>
      </c>
      <c r="AF5" s="29" cm="1">
        <f t="array" ref="AF5">TREND('capital processing'!$B$5:$D$5,'capital processing'!$B$2:$D$2,'CCaMC-BCCpUC'!AF1)</f>
        <v>1856928.5714285728</v>
      </c>
      <c r="AG5" s="29" cm="1">
        <f t="array" ref="AG5">TREND('capital processing'!$B$5:$D$5,'capital processing'!$B$2:$D$2,'CCaMC-BCCpUC'!AG1)</f>
        <v>1849285.7142857146</v>
      </c>
      <c r="AH5" s="29" cm="1">
        <f t="array" ref="AH5">TREND('capital processing'!$B$5:$D$5,'capital processing'!$B$2:$D$2,'CCaMC-BCCpUC'!AH1)</f>
        <v>1841642.8571428582</v>
      </c>
      <c r="AI5" s="29" cm="1">
        <f t="array" ref="AI5">TREND('capital processing'!$B$5:$D$5,'capital processing'!$B$2:$D$2,'CCaMC-BCCpUC'!AI1)</f>
        <v>1834000</v>
      </c>
      <c r="AJ5" s="29" cm="1">
        <f t="array" ref="AJ5">TREND('capital processing'!$B$5:$D$5,'capital processing'!$B$2:$D$2,'CCaMC-BCCpUC'!AJ1)</f>
        <v>1826357.1428571437</v>
      </c>
      <c r="AK5" s="29" cm="1">
        <f t="array" ref="AK5">TREND('capital processing'!$B$5:$D$5,'capital processing'!$B$2:$D$2,'CCaMC-BCCpUC'!AK1)</f>
        <v>1818714.2857142854</v>
      </c>
      <c r="AL5" s="29" cm="1">
        <f t="array" ref="AL5">TREND('capital processing'!$B$5:$D$5,'capital processing'!$B$2:$D$2,'CCaMC-BCCpUC'!AL1)</f>
        <v>1811071.4285714291</v>
      </c>
      <c r="AM5" s="29" cm="1">
        <f t="array" ref="AM5">TREND('capital processing'!$B$5:$D$5,'capital processing'!$B$2:$D$2,'CCaMC-BCCpUC'!AM1)</f>
        <v>1803428.5714285728</v>
      </c>
      <c r="AN5" s="29" cm="1">
        <f t="array" ref="AN5">TREND('capital processing'!$B$5:$D$5,'capital processing'!$B$2:$D$2,'CCaMC-BCCpUC'!AN1)</f>
        <v>1795785.7142857146</v>
      </c>
      <c r="AO5" s="29" cm="1">
        <f t="array" ref="AO5">TREND('capital processing'!$B$5:$D$5,'capital processing'!$B$2:$D$2,'CCaMC-BCCpUC'!AO1)</f>
        <v>1788142.8571428582</v>
      </c>
      <c r="AP5" s="29" cm="1">
        <f t="array" ref="AP5">TREND('capital processing'!$B$5:$D$5,'capital processing'!$B$2:$D$2,'CCaMC-BCCpUC'!AP1)</f>
        <v>1780500</v>
      </c>
      <c r="AQ5" s="29" cm="1">
        <f t="array" ref="AQ5">TREND('capital processing'!$B$5:$D$5,'capital processing'!$B$2:$D$2,'CCaMC-BCCpUC'!AQ1)</f>
        <v>1772857.1428571437</v>
      </c>
      <c r="AR5" s="29" cm="1">
        <f t="array" ref="AR5">TREND('capital processing'!$B$5:$D$5,'capital processing'!$B$2:$D$2,'CCaMC-BCCpUC'!AR1)</f>
        <v>1765214.2857142854</v>
      </c>
      <c r="AS5" s="29" cm="1">
        <f t="array" ref="AS5">TREND('capital processing'!$B$5:$D$5,'capital processing'!$B$2:$D$2,'CCaMC-BCCpUC'!AS1)</f>
        <v>1757571.4285714291</v>
      </c>
      <c r="AT5" s="29" cm="1">
        <f t="array" ref="AT5">TREND('capital processing'!$B$5:$D$5,'capital processing'!$B$2:$D$2,'CCaMC-BCCpUC'!AT1)</f>
        <v>1749928.5714285728</v>
      </c>
      <c r="AU5" s="29" cm="1">
        <f t="array" ref="AU5">TREND('capital processing'!$B$5:$D$5,'capital processing'!$B$2:$D$2,'CCaMC-BCCpUC'!AU1)</f>
        <v>1742285.7142857146</v>
      </c>
      <c r="AV5" s="29" cm="1">
        <f t="array" ref="AV5">TREND('capital processing'!$B$5:$D$5,'capital processing'!$B$2:$D$2,'CCaMC-BCCpUC'!AV1)</f>
        <v>1734642.8571428582</v>
      </c>
      <c r="AW5" s="29" cm="1">
        <f t="array" ref="AW5">TREND('capital processing'!$B$5:$D$5,'capital processing'!$B$2:$D$2,'CCaMC-BCCpUC'!AW1)</f>
        <v>1727000</v>
      </c>
      <c r="AX5" s="29" cm="1">
        <f t="array" ref="AX5">TREND('capital processing'!$B$5:$D$5,'capital processing'!$B$2:$D$2,'CCaMC-BCCpUC'!AX1)</f>
        <v>1719357.1428571437</v>
      </c>
      <c r="AY5" s="29" cm="1">
        <f t="array" ref="AY5">TREND('capital processing'!$B$5:$D$5,'capital processing'!$B$2:$D$2,'CCaMC-BCCpUC'!AY1)</f>
        <v>1711714.2857142854</v>
      </c>
      <c r="AZ5" s="29" cm="1">
        <f t="array" ref="AZ5">TREND('capital processing'!$B$5:$D$5,'capital processing'!$B$2:$D$2,'CCaMC-BCCpUC'!AZ1)</f>
        <v>1704071.4285714291</v>
      </c>
      <c r="BA5" s="29" cm="1">
        <f t="array" ref="BA5">TREND('capital processing'!$B$5:$D$5,'capital processing'!$B$2:$D$2,'CCaMC-BCCpUC'!BA1)</f>
        <v>1696428.5714285728</v>
      </c>
    </row>
    <row r="6" spans="1:53" ht="14.25" customHeight="1" x14ac:dyDescent="0.2">
      <c r="A6" s="1" t="s">
        <v>58</v>
      </c>
      <c r="B6" s="29" cm="1">
        <f t="array" ref="B6">TREND('capital processing'!$B$6:$D$6,'capital processing'!$B$2:$D$2,'CCaMC-BCCpUC'!B1)</f>
        <v>1479142.8571428582</v>
      </c>
      <c r="C6" s="29" cm="1">
        <f t="array" ref="C6">TREND('capital processing'!$B$6:$D$6,'capital processing'!$B$2:$D$2,'CCaMC-BCCpUC'!C1)</f>
        <v>1465714.2857142873</v>
      </c>
      <c r="D6" s="29" cm="1">
        <f t="array" ref="D6">TREND('capital processing'!$B$6:$D$6,'capital processing'!$B$2:$D$2,'CCaMC-BCCpUC'!D1)</f>
        <v>1452285.7142857164</v>
      </c>
      <c r="E6" s="29" cm="1">
        <f t="array" ref="E6">TREND('capital processing'!$B$6:$D$6,'capital processing'!$B$2:$D$2,'CCaMC-BCCpUC'!E1)</f>
        <v>1438857.1428571455</v>
      </c>
      <c r="F6" s="29" cm="1">
        <f t="array" ref="F6">TREND('capital processing'!$B$6:$D$6,'capital processing'!$B$2:$D$2,'CCaMC-BCCpUC'!F1)</f>
        <v>1425428.5714285746</v>
      </c>
      <c r="G6" s="29" cm="1">
        <f t="array" ref="G6">TREND('capital processing'!$B$6:$D$6,'capital processing'!$B$2:$D$2,'CCaMC-BCCpUC'!G1)</f>
        <v>1412000</v>
      </c>
      <c r="H6" s="29" cm="1">
        <f t="array" ref="H6">TREND('capital processing'!$B$6:$D$6,'capital processing'!$B$2:$D$2,'CCaMC-BCCpUC'!H1)</f>
        <v>1398571.4285714291</v>
      </c>
      <c r="I6" s="29" cm="1">
        <f t="array" ref="I6">TREND('capital processing'!$B$6:$D$6,'capital processing'!$B$2:$D$2,'CCaMC-BCCpUC'!I1)</f>
        <v>1385142.8571428582</v>
      </c>
      <c r="J6" s="29" cm="1">
        <f t="array" ref="J6">TREND('capital processing'!$B$6:$D$6,'capital processing'!$B$2:$D$2,'CCaMC-BCCpUC'!J1)</f>
        <v>1371714.2857142873</v>
      </c>
      <c r="K6" s="29" cm="1">
        <f t="array" ref="K6">TREND('capital processing'!$B$6:$D$6,'capital processing'!$B$2:$D$2,'CCaMC-BCCpUC'!K1)</f>
        <v>1358285.7142857164</v>
      </c>
      <c r="L6" s="29" cm="1">
        <f t="array" ref="L6">TREND('capital processing'!$B$6:$D$6,'capital processing'!$B$2:$D$2,'CCaMC-BCCpUC'!L1)</f>
        <v>1344857.1428571455</v>
      </c>
      <c r="M6" s="29" cm="1">
        <f t="array" ref="M6">TREND('capital processing'!$B$6:$D$6,'capital processing'!$B$2:$D$2,'CCaMC-BCCpUC'!M1)</f>
        <v>1331428.5714285746</v>
      </c>
      <c r="N6" s="29" cm="1">
        <f t="array" ref="N6">TREND('capital processing'!$B$6:$D$6,'capital processing'!$B$2:$D$2,'CCaMC-BCCpUC'!N1)</f>
        <v>1318000</v>
      </c>
      <c r="O6" s="29" cm="1">
        <f t="array" ref="O6">TREND('capital processing'!$B$6:$D$6,'capital processing'!$B$2:$D$2,'CCaMC-BCCpUC'!O1)</f>
        <v>1304571.4285714291</v>
      </c>
      <c r="P6" s="29" cm="1">
        <f t="array" ref="P6">TREND('capital processing'!$B$6:$D$6,'capital processing'!$B$2:$D$2,'CCaMC-BCCpUC'!P1)</f>
        <v>1291142.8571428582</v>
      </c>
      <c r="Q6" s="29" cm="1">
        <f t="array" ref="Q6">TREND('capital processing'!$B$6:$D$6,'capital processing'!$B$2:$D$2,'CCaMC-BCCpUC'!Q1)</f>
        <v>1277714.2857142873</v>
      </c>
      <c r="R6" s="29" cm="1">
        <f t="array" ref="R6">TREND('capital processing'!$B$6:$D$6,'capital processing'!$B$2:$D$2,'CCaMC-BCCpUC'!R1)</f>
        <v>1264285.7142857164</v>
      </c>
      <c r="S6" s="29" cm="1">
        <f t="array" ref="S6">TREND('capital processing'!$B$6:$D$6,'capital processing'!$B$2:$D$2,'CCaMC-BCCpUC'!S1)</f>
        <v>1250857.1428571455</v>
      </c>
      <c r="T6" s="29" cm="1">
        <f t="array" ref="T6">TREND('capital processing'!$B$6:$D$6,'capital processing'!$B$2:$D$2,'CCaMC-BCCpUC'!T1)</f>
        <v>1237428.5714285746</v>
      </c>
      <c r="U6" s="29" cm="1">
        <f t="array" ref="U6">TREND('capital processing'!$B$6:$D$6,'capital processing'!$B$2:$D$2,'CCaMC-BCCpUC'!U1)</f>
        <v>1224000</v>
      </c>
      <c r="V6" s="29" cm="1">
        <f t="array" ref="V6">TREND('capital processing'!$B$6:$D$6,'capital processing'!$B$2:$D$2,'CCaMC-BCCpUC'!V1)</f>
        <v>1210571.4285714291</v>
      </c>
      <c r="W6" s="29" cm="1">
        <f t="array" ref="W6">TREND('capital processing'!$B$6:$D$6,'capital processing'!$B$2:$D$2,'CCaMC-BCCpUC'!W1)</f>
        <v>1197142.8571428582</v>
      </c>
      <c r="X6" s="29" cm="1">
        <f t="array" ref="X6">TREND('capital processing'!$B$6:$D$6,'capital processing'!$B$2:$D$2,'CCaMC-BCCpUC'!X1)</f>
        <v>1183714.2857142873</v>
      </c>
      <c r="Y6" s="29" cm="1">
        <f t="array" ref="Y6">TREND('capital processing'!$B$6:$D$6,'capital processing'!$B$2:$D$2,'CCaMC-BCCpUC'!Y1)</f>
        <v>1170285.7142857164</v>
      </c>
      <c r="Z6" s="29" cm="1">
        <f t="array" ref="Z6">TREND('capital processing'!$B$6:$D$6,'capital processing'!$B$2:$D$2,'CCaMC-BCCpUC'!Z1)</f>
        <v>1156857.1428571455</v>
      </c>
      <c r="AA6" s="29" cm="1">
        <f t="array" ref="AA6">TREND('capital processing'!$B$6:$D$6,'capital processing'!$B$2:$D$2,'CCaMC-BCCpUC'!AA1)</f>
        <v>1143428.5714285746</v>
      </c>
      <c r="AB6" s="29" cm="1">
        <f t="array" ref="AB6">TREND('capital processing'!$B$6:$D$6,'capital processing'!$B$2:$D$2,'CCaMC-BCCpUC'!AB1)</f>
        <v>1130000</v>
      </c>
      <c r="AC6" s="29" cm="1">
        <f t="array" ref="AC6">TREND('capital processing'!$B$6:$D$6,'capital processing'!$B$2:$D$2,'CCaMC-BCCpUC'!AC1)</f>
        <v>1116571.4285714291</v>
      </c>
      <c r="AD6" s="29" cm="1">
        <f t="array" ref="AD6">TREND('capital processing'!$B$6:$D$6,'capital processing'!$B$2:$D$2,'CCaMC-BCCpUC'!AD1)</f>
        <v>1103142.8571428582</v>
      </c>
      <c r="AE6" s="29" cm="1">
        <f t="array" ref="AE6">TREND('capital processing'!$B$6:$D$6,'capital processing'!$B$2:$D$2,'CCaMC-BCCpUC'!AE1)</f>
        <v>1089714.2857142873</v>
      </c>
      <c r="AF6" s="29" cm="1">
        <f t="array" ref="AF6">TREND('capital processing'!$B$6:$D$6,'capital processing'!$B$2:$D$2,'CCaMC-BCCpUC'!AF1)</f>
        <v>1076285.7142857164</v>
      </c>
      <c r="AG6" s="29" cm="1">
        <f t="array" ref="AG6">TREND('capital processing'!$B$6:$D$6,'capital processing'!$B$2:$D$2,'CCaMC-BCCpUC'!AG1)</f>
        <v>1062857.1428571455</v>
      </c>
      <c r="AH6" s="29" cm="1">
        <f t="array" ref="AH6">TREND('capital processing'!$B$6:$D$6,'capital processing'!$B$2:$D$2,'CCaMC-BCCpUC'!AH1)</f>
        <v>1049428.5714285746</v>
      </c>
      <c r="AI6" s="29" cm="1">
        <f t="array" ref="AI6">TREND('capital processing'!$B$6:$D$6,'capital processing'!$B$2:$D$2,'CCaMC-BCCpUC'!AI1)</f>
        <v>1036000</v>
      </c>
      <c r="AJ6" s="29" cm="1">
        <f t="array" ref="AJ6">TREND('capital processing'!$B$6:$D$6,'capital processing'!$B$2:$D$2,'CCaMC-BCCpUC'!AJ1)</f>
        <v>1022571.4285714291</v>
      </c>
      <c r="AK6" s="29" cm="1">
        <f t="array" ref="AK6">TREND('capital processing'!$B$6:$D$6,'capital processing'!$B$2:$D$2,'CCaMC-BCCpUC'!AK1)</f>
        <v>1009142.8571428582</v>
      </c>
      <c r="AL6" s="29" cm="1">
        <f t="array" ref="AL6">TREND('capital processing'!$B$6:$D$6,'capital processing'!$B$2:$D$2,'CCaMC-BCCpUC'!AL1)</f>
        <v>995714.28571428731</v>
      </c>
      <c r="AM6" s="29" cm="1">
        <f t="array" ref="AM6">TREND('capital processing'!$B$6:$D$6,'capital processing'!$B$2:$D$2,'CCaMC-BCCpUC'!AM1)</f>
        <v>982285.71428571641</v>
      </c>
      <c r="AN6" s="29" cm="1">
        <f t="array" ref="AN6">TREND('capital processing'!$B$6:$D$6,'capital processing'!$B$2:$D$2,'CCaMC-BCCpUC'!AN1)</f>
        <v>968857.14285714552</v>
      </c>
      <c r="AO6" s="29" cm="1">
        <f t="array" ref="AO6">TREND('capital processing'!$B$6:$D$6,'capital processing'!$B$2:$D$2,'CCaMC-BCCpUC'!AO1)</f>
        <v>955428.57142857462</v>
      </c>
      <c r="AP6" s="29" cm="1">
        <f t="array" ref="AP6">TREND('capital processing'!$B$6:$D$6,'capital processing'!$B$2:$D$2,'CCaMC-BCCpUC'!AP1)</f>
        <v>942000</v>
      </c>
      <c r="AQ6" s="29" cm="1">
        <f t="array" ref="AQ6">TREND('capital processing'!$B$6:$D$6,'capital processing'!$B$2:$D$2,'CCaMC-BCCpUC'!AQ1)</f>
        <v>928571.4285714291</v>
      </c>
      <c r="AR6" s="29" cm="1">
        <f t="array" ref="AR6">TREND('capital processing'!$B$6:$D$6,'capital processing'!$B$2:$D$2,'CCaMC-BCCpUC'!AR1)</f>
        <v>915142.85714285821</v>
      </c>
      <c r="AS6" s="29" cm="1">
        <f t="array" ref="AS6">TREND('capital processing'!$B$6:$D$6,'capital processing'!$B$2:$D$2,'CCaMC-BCCpUC'!AS1)</f>
        <v>901714.28571428731</v>
      </c>
      <c r="AT6" s="29" cm="1">
        <f t="array" ref="AT6">TREND('capital processing'!$B$6:$D$6,'capital processing'!$B$2:$D$2,'CCaMC-BCCpUC'!AT1)</f>
        <v>888285.71428571641</v>
      </c>
      <c r="AU6" s="29" cm="1">
        <f t="array" ref="AU6">TREND('capital processing'!$B$6:$D$6,'capital processing'!$B$2:$D$2,'CCaMC-BCCpUC'!AU1)</f>
        <v>874857.14285714552</v>
      </c>
      <c r="AV6" s="29" cm="1">
        <f t="array" ref="AV6">TREND('capital processing'!$B$6:$D$6,'capital processing'!$B$2:$D$2,'CCaMC-BCCpUC'!AV1)</f>
        <v>861428.57142857462</v>
      </c>
      <c r="AW6" s="29" cm="1">
        <f t="array" ref="AW6">TREND('capital processing'!$B$6:$D$6,'capital processing'!$B$2:$D$2,'CCaMC-BCCpUC'!AW1)</f>
        <v>848000</v>
      </c>
      <c r="AX6" s="29" cm="1">
        <f t="array" ref="AX6">TREND('capital processing'!$B$6:$D$6,'capital processing'!$B$2:$D$2,'CCaMC-BCCpUC'!AX1)</f>
        <v>834571.4285714291</v>
      </c>
      <c r="AY6" s="29" cm="1">
        <f t="array" ref="AY6">TREND('capital processing'!$B$6:$D$6,'capital processing'!$B$2:$D$2,'CCaMC-BCCpUC'!AY1)</f>
        <v>821142.85714285821</v>
      </c>
      <c r="AZ6" s="29" cm="1">
        <f t="array" ref="AZ6">TREND('capital processing'!$B$6:$D$6,'capital processing'!$B$2:$D$2,'CCaMC-BCCpUC'!AZ1)</f>
        <v>807714.28571428731</v>
      </c>
      <c r="BA6" s="29" cm="1">
        <f t="array" ref="BA6">TREND('capital processing'!$B$6:$D$6,'capital processing'!$B$2:$D$2,'CCaMC-BCCpUC'!BA1)</f>
        <v>794285.71428571641</v>
      </c>
    </row>
    <row r="7" spans="1:53" ht="14.25" customHeight="1" x14ac:dyDescent="0.2">
      <c r="A7" s="1" t="s">
        <v>29</v>
      </c>
      <c r="B7" s="29" cm="1">
        <f t="array" ref="B7">TREND('capital processing'!$B$7:$D$7,'capital processing'!$B$2:$D$2,'CCaMC-BCCpUC'!B1)</f>
        <v>757642.85714285821</v>
      </c>
      <c r="C7" s="29" cm="1">
        <f t="array" ref="C7">TREND('capital processing'!$B$7:$D$7,'capital processing'!$B$2:$D$2,'CCaMC-BCCpUC'!C1)</f>
        <v>745714.28571428731</v>
      </c>
      <c r="D7" s="29" cm="1">
        <f t="array" ref="D7">TREND('capital processing'!$B$7:$D$7,'capital processing'!$B$2:$D$2,'CCaMC-BCCpUC'!D1)</f>
        <v>733785.71428571641</v>
      </c>
      <c r="E7" s="29" cm="1">
        <f t="array" ref="E7">TREND('capital processing'!$B$7:$D$7,'capital processing'!$B$2:$D$2,'CCaMC-BCCpUC'!E1)</f>
        <v>721857.14285714552</v>
      </c>
      <c r="F7" s="29" cm="1">
        <f t="array" ref="F7">TREND('capital processing'!$B$7:$D$7,'capital processing'!$B$2:$D$2,'CCaMC-BCCpUC'!F1)</f>
        <v>709928.57142857462</v>
      </c>
      <c r="G7" s="29" cm="1">
        <f t="array" ref="G7">TREND('capital processing'!$B$7:$D$7,'capital processing'!$B$2:$D$2,'CCaMC-BCCpUC'!G1)</f>
        <v>698000</v>
      </c>
      <c r="H7" s="29" cm="1">
        <f t="array" ref="H7">TREND('capital processing'!$B$7:$D$7,'capital processing'!$B$2:$D$2,'CCaMC-BCCpUC'!H1)</f>
        <v>686071.4285714291</v>
      </c>
      <c r="I7" s="29" cm="1">
        <f t="array" ref="I7">TREND('capital processing'!$B$7:$D$7,'capital processing'!$B$2:$D$2,'CCaMC-BCCpUC'!I1)</f>
        <v>674142.85714285821</v>
      </c>
      <c r="J7" s="29" cm="1">
        <f t="array" ref="J7">TREND('capital processing'!$B$7:$D$7,'capital processing'!$B$2:$D$2,'CCaMC-BCCpUC'!J1)</f>
        <v>662214.28571428731</v>
      </c>
      <c r="K7" s="29" cm="1">
        <f t="array" ref="K7">TREND('capital processing'!$B$7:$D$7,'capital processing'!$B$2:$D$2,'CCaMC-BCCpUC'!K1)</f>
        <v>650285.71428571641</v>
      </c>
      <c r="L7" s="29" cm="1">
        <f t="array" ref="L7">TREND('capital processing'!$B$7:$D$7,'capital processing'!$B$2:$D$2,'CCaMC-BCCpUC'!L1)</f>
        <v>638357.14285714552</v>
      </c>
      <c r="M7" s="29" cm="1">
        <f t="array" ref="M7">TREND('capital processing'!$B$7:$D$7,'capital processing'!$B$2:$D$2,'CCaMC-BCCpUC'!M1)</f>
        <v>626428.57142857462</v>
      </c>
      <c r="N7" s="29" cm="1">
        <f t="array" ref="N7">TREND('capital processing'!$B$7:$D$7,'capital processing'!$B$2:$D$2,'CCaMC-BCCpUC'!N1)</f>
        <v>614500</v>
      </c>
      <c r="O7" s="29" cm="1">
        <f t="array" ref="O7">TREND('capital processing'!$B$7:$D$7,'capital processing'!$B$2:$D$2,'CCaMC-BCCpUC'!O1)</f>
        <v>602571.4285714291</v>
      </c>
      <c r="P7" s="29" cm="1">
        <f t="array" ref="P7">TREND('capital processing'!$B$7:$D$7,'capital processing'!$B$2:$D$2,'CCaMC-BCCpUC'!P1)</f>
        <v>590642.85714285821</v>
      </c>
      <c r="Q7" s="29" cm="1">
        <f t="array" ref="Q7">TREND('capital processing'!$B$7:$D$7,'capital processing'!$B$2:$D$2,'CCaMC-BCCpUC'!Q1)</f>
        <v>578714.28571428731</v>
      </c>
      <c r="R7" s="29" cm="1">
        <f t="array" ref="R7">TREND('capital processing'!$B$7:$D$7,'capital processing'!$B$2:$D$2,'CCaMC-BCCpUC'!R1)</f>
        <v>566785.71428571641</v>
      </c>
      <c r="S7" s="29" cm="1">
        <f t="array" ref="S7">TREND('capital processing'!$B$7:$D$7,'capital processing'!$B$2:$D$2,'CCaMC-BCCpUC'!S1)</f>
        <v>554857.14285714552</v>
      </c>
      <c r="T7" s="29" cm="1">
        <f t="array" ref="T7">TREND('capital processing'!$B$7:$D$7,'capital processing'!$B$2:$D$2,'CCaMC-BCCpUC'!T1)</f>
        <v>542928.57142857462</v>
      </c>
      <c r="U7" s="29" cm="1">
        <f t="array" ref="U7">TREND('capital processing'!$B$7:$D$7,'capital processing'!$B$2:$D$2,'CCaMC-BCCpUC'!U1)</f>
        <v>531000</v>
      </c>
      <c r="V7" s="29" cm="1">
        <f t="array" ref="V7">TREND('capital processing'!$B$7:$D$7,'capital processing'!$B$2:$D$2,'CCaMC-BCCpUC'!V1)</f>
        <v>519071.4285714291</v>
      </c>
      <c r="W7" s="29" cm="1">
        <f t="array" ref="W7">TREND('capital processing'!$B$7:$D$7,'capital processing'!$B$2:$D$2,'CCaMC-BCCpUC'!W1)</f>
        <v>507142.85714285821</v>
      </c>
      <c r="X7" s="29" cm="1">
        <f t="array" ref="X7">TREND('capital processing'!$B$7:$D$7,'capital processing'!$B$2:$D$2,'CCaMC-BCCpUC'!X1)</f>
        <v>495214.28571428731</v>
      </c>
      <c r="Y7" s="29" cm="1">
        <f t="array" ref="Y7">TREND('capital processing'!$B$7:$D$7,'capital processing'!$B$2:$D$2,'CCaMC-BCCpUC'!Y1)</f>
        <v>483285.71428571641</v>
      </c>
      <c r="Z7" s="29" cm="1">
        <f t="array" ref="Z7">TREND('capital processing'!$B$7:$D$7,'capital processing'!$B$2:$D$2,'CCaMC-BCCpUC'!Z1)</f>
        <v>471357.14285714552</v>
      </c>
      <c r="AA7" s="29" cm="1">
        <f t="array" ref="AA7">TREND('capital processing'!$B$7:$D$7,'capital processing'!$B$2:$D$2,'CCaMC-BCCpUC'!AA1)</f>
        <v>459428.57142857462</v>
      </c>
      <c r="AB7" s="29" cm="1">
        <f t="array" ref="AB7">TREND('capital processing'!$B$7:$D$7,'capital processing'!$B$2:$D$2,'CCaMC-BCCpUC'!AB1)</f>
        <v>447500</v>
      </c>
      <c r="AC7" s="29" cm="1">
        <f t="array" ref="AC7">TREND('capital processing'!$B$7:$D$7,'capital processing'!$B$2:$D$2,'CCaMC-BCCpUC'!AC1)</f>
        <v>435571.4285714291</v>
      </c>
      <c r="AD7" s="29" cm="1">
        <f t="array" ref="AD7">TREND('capital processing'!$B$7:$D$7,'capital processing'!$B$2:$D$2,'CCaMC-BCCpUC'!AD1)</f>
        <v>423642.85714285821</v>
      </c>
      <c r="AE7" s="29" cm="1">
        <f t="array" ref="AE7">TREND('capital processing'!$B$7:$D$7,'capital processing'!$B$2:$D$2,'CCaMC-BCCpUC'!AE1)</f>
        <v>411714.28571428731</v>
      </c>
      <c r="AF7" s="29" cm="1">
        <f t="array" ref="AF7">TREND('capital processing'!$B$7:$D$7,'capital processing'!$B$2:$D$2,'CCaMC-BCCpUC'!AF1)</f>
        <v>399785.71428571641</v>
      </c>
      <c r="AG7" s="29" cm="1">
        <f t="array" ref="AG7">TREND('capital processing'!$B$7:$D$7,'capital processing'!$B$2:$D$2,'CCaMC-BCCpUC'!AG1)</f>
        <v>387857.14285714552</v>
      </c>
      <c r="AH7" s="29" cm="1">
        <f t="array" ref="AH7">TREND('capital processing'!$B$7:$D$7,'capital processing'!$B$2:$D$2,'CCaMC-BCCpUC'!AH1)</f>
        <v>375928.57142857462</v>
      </c>
      <c r="AI7" s="29" cm="1">
        <f t="array" ref="AI7">TREND('capital processing'!$B$7:$D$7,'capital processing'!$B$2:$D$2,'CCaMC-BCCpUC'!AI1)</f>
        <v>364000</v>
      </c>
      <c r="AJ7" s="29" cm="1">
        <f t="array" ref="AJ7">TREND('capital processing'!$B$7:$D$7,'capital processing'!$B$2:$D$2,'CCaMC-BCCpUC'!AJ1)</f>
        <v>352071.4285714291</v>
      </c>
      <c r="AK7" s="29" cm="1">
        <f t="array" ref="AK7">TREND('capital processing'!$B$7:$D$7,'capital processing'!$B$2:$D$2,'CCaMC-BCCpUC'!AK1)</f>
        <v>340142.85714285821</v>
      </c>
      <c r="AL7" s="29" cm="1">
        <f t="array" ref="AL7">TREND('capital processing'!$B$7:$D$7,'capital processing'!$B$2:$D$2,'CCaMC-BCCpUC'!AL1)</f>
        <v>328214.28571428731</v>
      </c>
      <c r="AM7" s="29" cm="1">
        <f t="array" ref="AM7">TREND('capital processing'!$B$7:$D$7,'capital processing'!$B$2:$D$2,'CCaMC-BCCpUC'!AM1)</f>
        <v>316285.71428571641</v>
      </c>
      <c r="AN7" s="29" cm="1">
        <f t="array" ref="AN7">TREND('capital processing'!$B$7:$D$7,'capital processing'!$B$2:$D$2,'CCaMC-BCCpUC'!AN1)</f>
        <v>304357.14285714552</v>
      </c>
      <c r="AO7" s="29" cm="1">
        <f t="array" ref="AO7">TREND('capital processing'!$B$7:$D$7,'capital processing'!$B$2:$D$2,'CCaMC-BCCpUC'!AO1)</f>
        <v>292428.57142857462</v>
      </c>
      <c r="AP7" s="29" cm="1">
        <f t="array" ref="AP7">TREND('capital processing'!$B$7:$D$7,'capital processing'!$B$2:$D$2,'CCaMC-BCCpUC'!AP1)</f>
        <v>280500</v>
      </c>
      <c r="AQ7" s="29" cm="1">
        <f t="array" ref="AQ7">TREND('capital processing'!$B$7:$D$7,'capital processing'!$B$2:$D$2,'CCaMC-BCCpUC'!AQ1)</f>
        <v>268571.4285714291</v>
      </c>
      <c r="AR7" s="29" cm="1">
        <f t="array" ref="AR7">TREND('capital processing'!$B$7:$D$7,'capital processing'!$B$2:$D$2,'CCaMC-BCCpUC'!AR1)</f>
        <v>256642.85714285821</v>
      </c>
      <c r="AS7" s="29" cm="1">
        <f t="array" ref="AS7">TREND('capital processing'!$B$7:$D$7,'capital processing'!$B$2:$D$2,'CCaMC-BCCpUC'!AS1)</f>
        <v>244714.28571428731</v>
      </c>
      <c r="AT7" s="29" cm="1">
        <f t="array" ref="AT7">TREND('capital processing'!$B$7:$D$7,'capital processing'!$B$2:$D$2,'CCaMC-BCCpUC'!AT1)</f>
        <v>232785.71428571641</v>
      </c>
      <c r="AU7" s="29" cm="1">
        <f t="array" ref="AU7">TREND('capital processing'!$B$7:$D$7,'capital processing'!$B$2:$D$2,'CCaMC-BCCpUC'!AU1)</f>
        <v>220857.14285714552</v>
      </c>
      <c r="AV7" s="29" cm="1">
        <f t="array" ref="AV7">TREND('capital processing'!$B$7:$D$7,'capital processing'!$B$2:$D$2,'CCaMC-BCCpUC'!AV1)</f>
        <v>208928.57142857462</v>
      </c>
      <c r="AW7" s="29" cm="1">
        <f t="array" ref="AW7">TREND('capital processing'!$B$7:$D$7,'capital processing'!$B$2:$D$2,'CCaMC-BCCpUC'!AW1)</f>
        <v>197000</v>
      </c>
      <c r="AX7" s="29" cm="1">
        <f t="array" ref="AX7">TREND('capital processing'!$B$7:$D$7,'capital processing'!$B$2:$D$2,'CCaMC-BCCpUC'!AX1)</f>
        <v>185071.4285714291</v>
      </c>
      <c r="AY7" s="29" cm="1">
        <f t="array" ref="AY7">TREND('capital processing'!$B$7:$D$7,'capital processing'!$B$2:$D$2,'CCaMC-BCCpUC'!AY1)</f>
        <v>173142.85714285821</v>
      </c>
      <c r="AZ7" s="29" cm="1">
        <f t="array" ref="AZ7">TREND('capital processing'!$B$7:$D$7,'capital processing'!$B$2:$D$2,'CCaMC-BCCpUC'!AZ1)</f>
        <v>161214.28571428731</v>
      </c>
      <c r="BA7" s="29" cm="1">
        <f t="array" ref="BA7">TREND('capital processing'!$B$7:$D$7,'capital processing'!$B$2:$D$2,'CCaMC-BCCpUC'!BA1)</f>
        <v>149285.71428571641</v>
      </c>
    </row>
    <row r="8" spans="1:53" ht="14.25" customHeight="1" x14ac:dyDescent="0.2">
      <c r="A8" s="1" t="s">
        <v>59</v>
      </c>
      <c r="B8" s="29">
        <f>'solar thermal'!B11*About!$A$35</f>
        <v>5124426.12</v>
      </c>
      <c r="C8" s="29">
        <f>'solar thermal'!C11*About!$A$35</f>
        <v>5082142.2299999995</v>
      </c>
      <c r="D8" s="29">
        <f>'solar thermal'!D11*About!$A$35</f>
        <v>5039858.34</v>
      </c>
      <c r="E8" s="29">
        <f>'solar thermal'!E11*About!$A$35</f>
        <v>4997574.45</v>
      </c>
      <c r="F8" s="29">
        <f>'solar thermal'!F11*About!$A$35</f>
        <v>4955289.57</v>
      </c>
      <c r="G8" s="29">
        <f>'solar thermal'!G11*About!$A$35</f>
        <v>4913005.68</v>
      </c>
      <c r="H8" s="29">
        <f>'solar thermal'!H11*About!$A$35</f>
        <v>4870721.79</v>
      </c>
      <c r="I8" s="29">
        <f>'solar thermal'!I11*About!$A$35</f>
        <v>4828437.9000000004</v>
      </c>
      <c r="J8" s="29">
        <f>'solar thermal'!J11*About!$A$35</f>
        <v>4786153.0199999996</v>
      </c>
      <c r="K8" s="29">
        <f>'solar thermal'!K11*About!$A$35</f>
        <v>4743869.13</v>
      </c>
      <c r="L8" s="29">
        <f>'solar thermal'!L11*About!$A$35</f>
        <v>4701585.24</v>
      </c>
      <c r="M8" s="29">
        <f>'solar thermal'!M11*About!$A$35</f>
        <v>4659301.3499999996</v>
      </c>
      <c r="N8" s="29">
        <f>'solar thermal'!N11*About!$A$35</f>
        <v>4617017.46</v>
      </c>
      <c r="O8" s="29">
        <f>'solar thermal'!O11*About!$A$35</f>
        <v>4574732.58</v>
      </c>
      <c r="P8" s="29">
        <f>'solar thermal'!P11*About!$A$35</f>
        <v>4532448.6900000004</v>
      </c>
      <c r="Q8" s="29">
        <f>'solar thermal'!Q11*About!$A$35</f>
        <v>4490164.8</v>
      </c>
      <c r="R8" s="29">
        <f>'solar thermal'!R11*About!$A$35</f>
        <v>4447880.91</v>
      </c>
      <c r="S8" s="29">
        <f>'solar thermal'!S11*About!$A$35</f>
        <v>4405597.0199999996</v>
      </c>
      <c r="T8" s="29">
        <f>'solar thermal'!T11*About!$A$35</f>
        <v>4363312.1399999997</v>
      </c>
      <c r="U8" s="29">
        <f>'solar thermal'!U11*About!$A$35</f>
        <v>4321028.25</v>
      </c>
      <c r="V8" s="29">
        <f>'solar thermal'!V11*About!$A$35</f>
        <v>4278744.3600000003</v>
      </c>
      <c r="W8" s="29">
        <f>'solar thermal'!W11*About!$A$35</f>
        <v>4236460.47</v>
      </c>
      <c r="X8" s="29">
        <f>'solar thermal'!X11*About!$A$35</f>
        <v>4194176.58</v>
      </c>
      <c r="Y8" s="29">
        <f>'solar thermal'!Y11*About!$A$35</f>
        <v>4151891.7</v>
      </c>
      <c r="Z8" s="29">
        <f>'solar thermal'!Z11*About!$A$35</f>
        <v>4109607.81</v>
      </c>
      <c r="AA8" s="29">
        <f>'solar thermal'!AA11*About!$A$35</f>
        <v>4067323.92</v>
      </c>
      <c r="AB8" s="29">
        <f>'solar thermal'!AB11*About!$A$35</f>
        <v>4025040.03</v>
      </c>
      <c r="AC8" s="29">
        <f>'solar thermal'!AC11*About!$A$35</f>
        <v>3982755.15</v>
      </c>
      <c r="AD8" s="29">
        <f>'solar thermal'!AD11*About!$A$35</f>
        <v>3940471.26</v>
      </c>
      <c r="AE8" s="29">
        <f>'solar thermal'!AE11*About!$A$35</f>
        <v>3898187.37</v>
      </c>
      <c r="AF8" s="29">
        <f>'solar thermal'!AF11*About!$A$35</f>
        <v>3855903.48</v>
      </c>
      <c r="AG8" s="29">
        <f>'solar thermal'!AG11*About!$A$35</f>
        <v>3813619.59</v>
      </c>
      <c r="AH8" s="29">
        <f>'solar thermal'!AH11*About!$A$35</f>
        <v>0</v>
      </c>
      <c r="AI8" s="29">
        <f>'solar thermal'!AI11*About!$A$35</f>
        <v>0</v>
      </c>
      <c r="AJ8" s="29">
        <f>'solar thermal'!AJ11*About!$A$35</f>
        <v>0</v>
      </c>
      <c r="AK8" s="29">
        <f>'solar thermal'!AK11*About!$A$35</f>
        <v>0</v>
      </c>
      <c r="AL8" s="29">
        <f>'solar thermal'!AL11*About!$A$35</f>
        <v>0</v>
      </c>
      <c r="AM8" s="29">
        <f>'solar thermal'!AM11*About!$A$35</f>
        <v>0</v>
      </c>
      <c r="AN8" s="29">
        <f>'solar thermal'!AN11*About!$A$35</f>
        <v>0</v>
      </c>
      <c r="AO8" s="29">
        <f>'solar thermal'!AO11*About!$A$35</f>
        <v>0</v>
      </c>
      <c r="AP8" s="29">
        <f>'solar thermal'!AP11*About!$A$35</f>
        <v>0</v>
      </c>
      <c r="AQ8" s="29">
        <f>'solar thermal'!AQ11*About!$A$35</f>
        <v>0</v>
      </c>
      <c r="AR8" s="29">
        <f>'solar thermal'!AR11*About!$A$35</f>
        <v>0</v>
      </c>
      <c r="AS8" s="29">
        <f>'solar thermal'!AS11*About!$A$35</f>
        <v>0</v>
      </c>
      <c r="AT8" s="29">
        <f>'solar thermal'!AT11*About!$A$35</f>
        <v>0</v>
      </c>
      <c r="AU8" s="29">
        <f>'solar thermal'!AU11*About!$A$35</f>
        <v>0</v>
      </c>
      <c r="AV8" s="29">
        <f>'solar thermal'!AV11*About!$A$35</f>
        <v>0</v>
      </c>
      <c r="AW8" s="29">
        <f>'solar thermal'!AW11*About!$A$35</f>
        <v>0</v>
      </c>
      <c r="AX8" s="29">
        <f>'solar thermal'!AX11*About!$A$35</f>
        <v>0</v>
      </c>
      <c r="AY8" s="29">
        <f>'solar thermal'!AY11*About!$A$35</f>
        <v>0</v>
      </c>
      <c r="AZ8" s="29">
        <f>'solar thermal'!AZ11*About!$A$35</f>
        <v>0</v>
      </c>
      <c r="BA8" s="29">
        <f>'solar thermal'!BA11*About!$A$35</f>
        <v>0</v>
      </c>
    </row>
    <row r="9" spans="1:53" ht="14.25" customHeight="1" x14ac:dyDescent="0.2">
      <c r="A9" s="1" t="s">
        <v>31</v>
      </c>
      <c r="B9" s="29" cm="1">
        <f t="array" ref="B9">TREND('capital processing'!$B$8:$D$8,'capital processing'!$B$2:$D$2,'CCaMC-BCCpUC'!B1)</f>
        <v>1993000</v>
      </c>
      <c r="C9" s="29" cm="1">
        <f t="array" ref="C9">TREND('capital processing'!$B$8:$D$8,'capital processing'!$B$2:$D$2,'CCaMC-BCCpUC'!C1)</f>
        <v>1980000</v>
      </c>
      <c r="D9" s="29" cm="1">
        <f t="array" ref="D9">TREND('capital processing'!$B$8:$D$8,'capital processing'!$B$2:$D$2,'CCaMC-BCCpUC'!D1)</f>
        <v>1967000</v>
      </c>
      <c r="E9" s="29" cm="1">
        <f t="array" ref="E9">TREND('capital processing'!$B$8:$D$8,'capital processing'!$B$2:$D$2,'CCaMC-BCCpUC'!E1)</f>
        <v>1954000</v>
      </c>
      <c r="F9" s="29" cm="1">
        <f t="array" ref="F9">TREND('capital processing'!$B$8:$D$8,'capital processing'!$B$2:$D$2,'CCaMC-BCCpUC'!F1)</f>
        <v>1941000</v>
      </c>
      <c r="G9" s="29" cm="1">
        <f t="array" ref="G9">TREND('capital processing'!$B$8:$D$8,'capital processing'!$B$2:$D$2,'CCaMC-BCCpUC'!G1)</f>
        <v>1928000</v>
      </c>
      <c r="H9" s="29" cm="1">
        <f t="array" ref="H9">TREND('capital processing'!$B$8:$D$8,'capital processing'!$B$2:$D$2,'CCaMC-BCCpUC'!H1)</f>
        <v>1915000</v>
      </c>
      <c r="I9" s="29" cm="1">
        <f t="array" ref="I9">TREND('capital processing'!$B$8:$D$8,'capital processing'!$B$2:$D$2,'CCaMC-BCCpUC'!I1)</f>
        <v>1902000</v>
      </c>
      <c r="J9" s="29" cm="1">
        <f t="array" ref="J9">TREND('capital processing'!$B$8:$D$8,'capital processing'!$B$2:$D$2,'CCaMC-BCCpUC'!J1)</f>
        <v>1889000</v>
      </c>
      <c r="K9" s="29" cm="1">
        <f t="array" ref="K9">TREND('capital processing'!$B$8:$D$8,'capital processing'!$B$2:$D$2,'CCaMC-BCCpUC'!K1)</f>
        <v>1876000</v>
      </c>
      <c r="L9" s="29" cm="1">
        <f t="array" ref="L9">TREND('capital processing'!$B$8:$D$8,'capital processing'!$B$2:$D$2,'CCaMC-BCCpUC'!L1)</f>
        <v>1863000</v>
      </c>
      <c r="M9" s="29" cm="1">
        <f t="array" ref="M9">TREND('capital processing'!$B$8:$D$8,'capital processing'!$B$2:$D$2,'CCaMC-BCCpUC'!M1)</f>
        <v>1850000</v>
      </c>
      <c r="N9" s="29" cm="1">
        <f t="array" ref="N9">TREND('capital processing'!$B$8:$D$8,'capital processing'!$B$2:$D$2,'CCaMC-BCCpUC'!N1)</f>
        <v>1837000</v>
      </c>
      <c r="O9" s="29" cm="1">
        <f t="array" ref="O9">TREND('capital processing'!$B$8:$D$8,'capital processing'!$B$2:$D$2,'CCaMC-BCCpUC'!O1)</f>
        <v>1824000</v>
      </c>
      <c r="P9" s="29" cm="1">
        <f t="array" ref="P9">TREND('capital processing'!$B$8:$D$8,'capital processing'!$B$2:$D$2,'CCaMC-BCCpUC'!P1)</f>
        <v>1811000</v>
      </c>
      <c r="Q9" s="29" cm="1">
        <f t="array" ref="Q9">TREND('capital processing'!$B$8:$D$8,'capital processing'!$B$2:$D$2,'CCaMC-BCCpUC'!Q1)</f>
        <v>1798000</v>
      </c>
      <c r="R9" s="29" cm="1">
        <f t="array" ref="R9">TREND('capital processing'!$B$8:$D$8,'capital processing'!$B$2:$D$2,'CCaMC-BCCpUC'!R1)</f>
        <v>1785000</v>
      </c>
      <c r="S9" s="29" cm="1">
        <f t="array" ref="S9">TREND('capital processing'!$B$8:$D$8,'capital processing'!$B$2:$D$2,'CCaMC-BCCpUC'!S1)</f>
        <v>1772000</v>
      </c>
      <c r="T9" s="29" cm="1">
        <f t="array" ref="T9">TREND('capital processing'!$B$8:$D$8,'capital processing'!$B$2:$D$2,'CCaMC-BCCpUC'!T1)</f>
        <v>1759000</v>
      </c>
      <c r="U9" s="29" cm="1">
        <f t="array" ref="U9">TREND('capital processing'!$B$8:$D$8,'capital processing'!$B$2:$D$2,'CCaMC-BCCpUC'!U1)</f>
        <v>1746000</v>
      </c>
      <c r="V9" s="29" cm="1">
        <f t="array" ref="V9">TREND('capital processing'!$B$8:$D$8,'capital processing'!$B$2:$D$2,'CCaMC-BCCpUC'!V1)</f>
        <v>1733000</v>
      </c>
      <c r="W9" s="29" cm="1">
        <f t="array" ref="W9">TREND('capital processing'!$B$8:$D$8,'capital processing'!$B$2:$D$2,'CCaMC-BCCpUC'!W1)</f>
        <v>1720000</v>
      </c>
      <c r="X9" s="29" cm="1">
        <f t="array" ref="X9">TREND('capital processing'!$B$8:$D$8,'capital processing'!$B$2:$D$2,'CCaMC-BCCpUC'!X1)</f>
        <v>1707000</v>
      </c>
      <c r="Y9" s="29" cm="1">
        <f t="array" ref="Y9">TREND('capital processing'!$B$8:$D$8,'capital processing'!$B$2:$D$2,'CCaMC-BCCpUC'!Y1)</f>
        <v>1694000</v>
      </c>
      <c r="Z9" s="29" cm="1">
        <f t="array" ref="Z9">TREND('capital processing'!$B$8:$D$8,'capital processing'!$B$2:$D$2,'CCaMC-BCCpUC'!Z1)</f>
        <v>1681000</v>
      </c>
      <c r="AA9" s="29" cm="1">
        <f t="array" ref="AA9">TREND('capital processing'!$B$8:$D$8,'capital processing'!$B$2:$D$2,'CCaMC-BCCpUC'!AA1)</f>
        <v>1668000</v>
      </c>
      <c r="AB9" s="29" cm="1">
        <f t="array" ref="AB9">TREND('capital processing'!$B$8:$D$8,'capital processing'!$B$2:$D$2,'CCaMC-BCCpUC'!AB1)</f>
        <v>1655000</v>
      </c>
      <c r="AC9" s="29" cm="1">
        <f t="array" ref="AC9">TREND('capital processing'!$B$8:$D$8,'capital processing'!$B$2:$D$2,'CCaMC-BCCpUC'!AC1)</f>
        <v>1642000</v>
      </c>
      <c r="AD9" s="29" cm="1">
        <f t="array" ref="AD9">TREND('capital processing'!$B$8:$D$8,'capital processing'!$B$2:$D$2,'CCaMC-BCCpUC'!AD1)</f>
        <v>1629000</v>
      </c>
      <c r="AE9" s="29" cm="1">
        <f t="array" ref="AE9">TREND('capital processing'!$B$8:$D$8,'capital processing'!$B$2:$D$2,'CCaMC-BCCpUC'!AE1)</f>
        <v>1616000</v>
      </c>
      <c r="AF9" s="29" cm="1">
        <f t="array" ref="AF9">TREND('capital processing'!$B$8:$D$8,'capital processing'!$B$2:$D$2,'CCaMC-BCCpUC'!AF1)</f>
        <v>1603000</v>
      </c>
      <c r="AG9" s="29" cm="1">
        <f t="array" ref="AG9">TREND('capital processing'!$B$8:$D$8,'capital processing'!$B$2:$D$2,'CCaMC-BCCpUC'!AG1)</f>
        <v>1590000</v>
      </c>
      <c r="AH9" s="29" cm="1">
        <f t="array" ref="AH9">TREND('capital processing'!$B$8:$D$8,'capital processing'!$B$2:$D$2,'CCaMC-BCCpUC'!AH1)</f>
        <v>1577000</v>
      </c>
      <c r="AI9" s="29" cm="1">
        <f t="array" ref="AI9">TREND('capital processing'!$B$8:$D$8,'capital processing'!$B$2:$D$2,'CCaMC-BCCpUC'!AI1)</f>
        <v>1564000</v>
      </c>
      <c r="AJ9" s="29" cm="1">
        <f t="array" ref="AJ9">TREND('capital processing'!$B$8:$D$8,'capital processing'!$B$2:$D$2,'CCaMC-BCCpUC'!AJ1)</f>
        <v>1551000</v>
      </c>
      <c r="AK9" s="29" cm="1">
        <f t="array" ref="AK9">TREND('capital processing'!$B$8:$D$8,'capital processing'!$B$2:$D$2,'CCaMC-BCCpUC'!AK1)</f>
        <v>1538000</v>
      </c>
      <c r="AL9" s="29" cm="1">
        <f t="array" ref="AL9">TREND('capital processing'!$B$8:$D$8,'capital processing'!$B$2:$D$2,'CCaMC-BCCpUC'!AL1)</f>
        <v>1525000</v>
      </c>
      <c r="AM9" s="29" cm="1">
        <f t="array" ref="AM9">TREND('capital processing'!$B$8:$D$8,'capital processing'!$B$2:$D$2,'CCaMC-BCCpUC'!AM1)</f>
        <v>1512000</v>
      </c>
      <c r="AN9" s="29" cm="1">
        <f t="array" ref="AN9">TREND('capital processing'!$B$8:$D$8,'capital processing'!$B$2:$D$2,'CCaMC-BCCpUC'!AN1)</f>
        <v>1499000</v>
      </c>
      <c r="AO9" s="29" cm="1">
        <f t="array" ref="AO9">TREND('capital processing'!$B$8:$D$8,'capital processing'!$B$2:$D$2,'CCaMC-BCCpUC'!AO1)</f>
        <v>1486000</v>
      </c>
      <c r="AP9" s="29" cm="1">
        <f t="array" ref="AP9">TREND('capital processing'!$B$8:$D$8,'capital processing'!$B$2:$D$2,'CCaMC-BCCpUC'!AP1)</f>
        <v>1473000</v>
      </c>
      <c r="AQ9" s="29" cm="1">
        <f t="array" ref="AQ9">TREND('capital processing'!$B$8:$D$8,'capital processing'!$B$2:$D$2,'CCaMC-BCCpUC'!AQ1)</f>
        <v>1460000</v>
      </c>
      <c r="AR9" s="29" cm="1">
        <f t="array" ref="AR9">TREND('capital processing'!$B$8:$D$8,'capital processing'!$B$2:$D$2,'CCaMC-BCCpUC'!AR1)</f>
        <v>1447000</v>
      </c>
      <c r="AS9" s="29" cm="1">
        <f t="array" ref="AS9">TREND('capital processing'!$B$8:$D$8,'capital processing'!$B$2:$D$2,'CCaMC-BCCpUC'!AS1)</f>
        <v>1434000</v>
      </c>
      <c r="AT9" s="29" cm="1">
        <f t="array" ref="AT9">TREND('capital processing'!$B$8:$D$8,'capital processing'!$B$2:$D$2,'CCaMC-BCCpUC'!AT1)</f>
        <v>1421000</v>
      </c>
      <c r="AU9" s="29" cm="1">
        <f t="array" ref="AU9">TREND('capital processing'!$B$8:$D$8,'capital processing'!$B$2:$D$2,'CCaMC-BCCpUC'!AU1)</f>
        <v>1408000</v>
      </c>
      <c r="AV9" s="29" cm="1">
        <f t="array" ref="AV9">TREND('capital processing'!$B$8:$D$8,'capital processing'!$B$2:$D$2,'CCaMC-BCCpUC'!AV1)</f>
        <v>1395000</v>
      </c>
      <c r="AW9" s="29" cm="1">
        <f t="array" ref="AW9">TREND('capital processing'!$B$8:$D$8,'capital processing'!$B$2:$D$2,'CCaMC-BCCpUC'!AW1)</f>
        <v>1382000</v>
      </c>
      <c r="AX9" s="29" cm="1">
        <f t="array" ref="AX9">TREND('capital processing'!$B$8:$D$8,'capital processing'!$B$2:$D$2,'CCaMC-BCCpUC'!AX1)</f>
        <v>1369000</v>
      </c>
      <c r="AY9" s="29" cm="1">
        <f t="array" ref="AY9">TREND('capital processing'!$B$8:$D$8,'capital processing'!$B$2:$D$2,'CCaMC-BCCpUC'!AY1)</f>
        <v>1356000</v>
      </c>
      <c r="AZ9" s="29" cm="1">
        <f t="array" ref="AZ9">TREND('capital processing'!$B$8:$D$8,'capital processing'!$B$2:$D$2,'CCaMC-BCCpUC'!AZ1)</f>
        <v>1343000</v>
      </c>
      <c r="BA9" s="29" cm="1">
        <f t="array" ref="BA9">TREND('capital processing'!$B$8:$D$8,'capital processing'!$B$2:$D$2,'CCaMC-BCCpUC'!BA1)</f>
        <v>1330000</v>
      </c>
    </row>
    <row r="10" spans="1:53" ht="14.25" customHeight="1" x14ac:dyDescent="0.2">
      <c r="A10" s="1" t="s">
        <v>28</v>
      </c>
      <c r="B10" s="29" cm="1">
        <f t="array" ref="B10">TREND('capital processing'!$B$9:$D$9,'capital processing'!$B$2:$D$2,'CCaMC-BCCpUC'!B1)</f>
        <v>3963142.8571428508</v>
      </c>
      <c r="C10" s="29" cm="1">
        <f t="array" ref="C10">TREND('capital processing'!$B$9:$D$9,'capital processing'!$B$2:$D$2,'CCaMC-BCCpUC'!C1)</f>
        <v>3925714.2857142836</v>
      </c>
      <c r="D10" s="29" cm="1">
        <f t="array" ref="D10">TREND('capital processing'!$B$9:$D$9,'capital processing'!$B$2:$D$2,'CCaMC-BCCpUC'!D1)</f>
        <v>3888285.7142857164</v>
      </c>
      <c r="E10" s="29" cm="1">
        <f t="array" ref="E10">TREND('capital processing'!$B$9:$D$9,'capital processing'!$B$2:$D$2,'CCaMC-BCCpUC'!E1)</f>
        <v>3850857.1428571343</v>
      </c>
      <c r="F10" s="29" cm="1">
        <f t="array" ref="F10">TREND('capital processing'!$B$9:$D$9,'capital processing'!$B$2:$D$2,'CCaMC-BCCpUC'!F1)</f>
        <v>3813428.5714285672</v>
      </c>
      <c r="G10" s="29" cm="1">
        <f t="array" ref="G10">TREND('capital processing'!$B$9:$D$9,'capital processing'!$B$2:$D$2,'CCaMC-BCCpUC'!G1)</f>
        <v>3776000</v>
      </c>
      <c r="H10" s="29" cm="1">
        <f t="array" ref="H10">TREND('capital processing'!$B$9:$D$9,'capital processing'!$B$2:$D$2,'CCaMC-BCCpUC'!H1)</f>
        <v>3738571.4285714328</v>
      </c>
      <c r="I10" s="29" cm="1">
        <f t="array" ref="I10">TREND('capital processing'!$B$9:$D$9,'capital processing'!$B$2:$D$2,'CCaMC-BCCpUC'!I1)</f>
        <v>3701142.8571428508</v>
      </c>
      <c r="J10" s="29" cm="1">
        <f t="array" ref="J10">TREND('capital processing'!$B$9:$D$9,'capital processing'!$B$2:$D$2,'CCaMC-BCCpUC'!J1)</f>
        <v>3663714.2857142836</v>
      </c>
      <c r="K10" s="29" cm="1">
        <f t="array" ref="K10">TREND('capital processing'!$B$9:$D$9,'capital processing'!$B$2:$D$2,'CCaMC-BCCpUC'!K1)</f>
        <v>3626285.7142857164</v>
      </c>
      <c r="L10" s="29" cm="1">
        <f t="array" ref="L10">TREND('capital processing'!$B$9:$D$9,'capital processing'!$B$2:$D$2,'CCaMC-BCCpUC'!L1)</f>
        <v>3588857.1428571343</v>
      </c>
      <c r="M10" s="29" cm="1">
        <f t="array" ref="M10">TREND('capital processing'!$B$9:$D$9,'capital processing'!$B$2:$D$2,'CCaMC-BCCpUC'!M1)</f>
        <v>3551428.5714285672</v>
      </c>
      <c r="N10" s="29" cm="1">
        <f t="array" ref="N10">TREND('capital processing'!$B$9:$D$9,'capital processing'!$B$2:$D$2,'CCaMC-BCCpUC'!N1)</f>
        <v>3514000</v>
      </c>
      <c r="O10" s="29" cm="1">
        <f t="array" ref="O10">TREND('capital processing'!$B$9:$D$9,'capital processing'!$B$2:$D$2,'CCaMC-BCCpUC'!O1)</f>
        <v>3476571.4285714328</v>
      </c>
      <c r="P10" s="29" cm="1">
        <f t="array" ref="P10">TREND('capital processing'!$B$9:$D$9,'capital processing'!$B$2:$D$2,'CCaMC-BCCpUC'!P1)</f>
        <v>3439142.8571428508</v>
      </c>
      <c r="Q10" s="29" cm="1">
        <f t="array" ref="Q10">TREND('capital processing'!$B$9:$D$9,'capital processing'!$B$2:$D$2,'CCaMC-BCCpUC'!Q1)</f>
        <v>3401714.2857142836</v>
      </c>
      <c r="R10" s="29" cm="1">
        <f t="array" ref="R10">TREND('capital processing'!$B$9:$D$9,'capital processing'!$B$2:$D$2,'CCaMC-BCCpUC'!R1)</f>
        <v>3364285.7142857164</v>
      </c>
      <c r="S10" s="29" cm="1">
        <f t="array" ref="S10">TREND('capital processing'!$B$9:$D$9,'capital processing'!$B$2:$D$2,'CCaMC-BCCpUC'!S1)</f>
        <v>3326857.1428571343</v>
      </c>
      <c r="T10" s="29" cm="1">
        <f t="array" ref="T10">TREND('capital processing'!$B$9:$D$9,'capital processing'!$B$2:$D$2,'CCaMC-BCCpUC'!T1)</f>
        <v>3289428.5714285672</v>
      </c>
      <c r="U10" s="29" cm="1">
        <f t="array" ref="U10">TREND('capital processing'!$B$9:$D$9,'capital processing'!$B$2:$D$2,'CCaMC-BCCpUC'!U1)</f>
        <v>3252000</v>
      </c>
      <c r="V10" s="29" cm="1">
        <f t="array" ref="V10">TREND('capital processing'!$B$9:$D$9,'capital processing'!$B$2:$D$2,'CCaMC-BCCpUC'!V1)</f>
        <v>3214571.4285714328</v>
      </c>
      <c r="W10" s="29" cm="1">
        <f t="array" ref="W10">TREND('capital processing'!$B$9:$D$9,'capital processing'!$B$2:$D$2,'CCaMC-BCCpUC'!W1)</f>
        <v>3177142.8571428508</v>
      </c>
      <c r="X10" s="29" cm="1">
        <f t="array" ref="X10">TREND('capital processing'!$B$9:$D$9,'capital processing'!$B$2:$D$2,'CCaMC-BCCpUC'!X1)</f>
        <v>3139714.2857142836</v>
      </c>
      <c r="Y10" s="29" cm="1">
        <f t="array" ref="Y10">TREND('capital processing'!$B$9:$D$9,'capital processing'!$B$2:$D$2,'CCaMC-BCCpUC'!Y1)</f>
        <v>3102285.7142857164</v>
      </c>
      <c r="Z10" s="29" cm="1">
        <f t="array" ref="Z10">TREND('capital processing'!$B$9:$D$9,'capital processing'!$B$2:$D$2,'CCaMC-BCCpUC'!Z1)</f>
        <v>3064857.1428571343</v>
      </c>
      <c r="AA10" s="29" cm="1">
        <f t="array" ref="AA10">TREND('capital processing'!$B$9:$D$9,'capital processing'!$B$2:$D$2,'CCaMC-BCCpUC'!AA1)</f>
        <v>3027428.5714285672</v>
      </c>
      <c r="AB10" s="29" cm="1">
        <f t="array" ref="AB10">TREND('capital processing'!$B$9:$D$9,'capital processing'!$B$2:$D$2,'CCaMC-BCCpUC'!AB1)</f>
        <v>2990000</v>
      </c>
      <c r="AC10" s="29" cm="1">
        <f t="array" ref="AC10">TREND('capital processing'!$B$9:$D$9,'capital processing'!$B$2:$D$2,'CCaMC-BCCpUC'!AC1)</f>
        <v>2952571.4285714328</v>
      </c>
      <c r="AD10" s="29" cm="1">
        <f t="array" ref="AD10">TREND('capital processing'!$B$9:$D$9,'capital processing'!$B$2:$D$2,'CCaMC-BCCpUC'!AD1)</f>
        <v>2915142.8571428508</v>
      </c>
      <c r="AE10" s="29" cm="1">
        <f t="array" ref="AE10">TREND('capital processing'!$B$9:$D$9,'capital processing'!$B$2:$D$2,'CCaMC-BCCpUC'!AE1)</f>
        <v>2877714.2857142836</v>
      </c>
      <c r="AF10" s="29" cm="1">
        <f t="array" ref="AF10">TREND('capital processing'!$B$9:$D$9,'capital processing'!$B$2:$D$2,'CCaMC-BCCpUC'!AF1)</f>
        <v>2840285.7142857164</v>
      </c>
      <c r="AG10" s="29" cm="1">
        <f t="array" ref="AG10">TREND('capital processing'!$B$9:$D$9,'capital processing'!$B$2:$D$2,'CCaMC-BCCpUC'!AG1)</f>
        <v>2802857.1428571343</v>
      </c>
      <c r="AH10" s="29" cm="1">
        <f t="array" ref="AH10">TREND('capital processing'!$B$9:$D$9,'capital processing'!$B$2:$D$2,'CCaMC-BCCpUC'!AH1)</f>
        <v>2765428.5714285672</v>
      </c>
      <c r="AI10" s="29" cm="1">
        <f t="array" ref="AI10">TREND('capital processing'!$B$9:$D$9,'capital processing'!$B$2:$D$2,'CCaMC-BCCpUC'!AI1)</f>
        <v>2728000</v>
      </c>
      <c r="AJ10" s="29" cm="1">
        <f t="array" ref="AJ10">TREND('capital processing'!$B$9:$D$9,'capital processing'!$B$2:$D$2,'CCaMC-BCCpUC'!AJ1)</f>
        <v>2690571.4285714328</v>
      </c>
      <c r="AK10" s="29" cm="1">
        <f t="array" ref="AK10">TREND('capital processing'!$B$9:$D$9,'capital processing'!$B$2:$D$2,'CCaMC-BCCpUC'!AK1)</f>
        <v>2653142.8571428508</v>
      </c>
      <c r="AL10" s="29" cm="1">
        <f t="array" ref="AL10">TREND('capital processing'!$B$9:$D$9,'capital processing'!$B$2:$D$2,'CCaMC-BCCpUC'!AL1)</f>
        <v>2615714.2857142836</v>
      </c>
      <c r="AM10" s="29" cm="1">
        <f t="array" ref="AM10">TREND('capital processing'!$B$9:$D$9,'capital processing'!$B$2:$D$2,'CCaMC-BCCpUC'!AM1)</f>
        <v>2578285.7142857164</v>
      </c>
      <c r="AN10" s="29" cm="1">
        <f t="array" ref="AN10">TREND('capital processing'!$B$9:$D$9,'capital processing'!$B$2:$D$2,'CCaMC-BCCpUC'!AN1)</f>
        <v>2540857.1428571343</v>
      </c>
      <c r="AO10" s="29" cm="1">
        <f t="array" ref="AO10">TREND('capital processing'!$B$9:$D$9,'capital processing'!$B$2:$D$2,'CCaMC-BCCpUC'!AO1)</f>
        <v>2503428.5714285672</v>
      </c>
      <c r="AP10" s="29" cm="1">
        <f t="array" ref="AP10">TREND('capital processing'!$B$9:$D$9,'capital processing'!$B$2:$D$2,'CCaMC-BCCpUC'!AP1)</f>
        <v>2466000</v>
      </c>
      <c r="AQ10" s="29" cm="1">
        <f t="array" ref="AQ10">TREND('capital processing'!$B$9:$D$9,'capital processing'!$B$2:$D$2,'CCaMC-BCCpUC'!AQ1)</f>
        <v>2428571.4285714328</v>
      </c>
      <c r="AR10" s="29" cm="1">
        <f t="array" ref="AR10">TREND('capital processing'!$B$9:$D$9,'capital processing'!$B$2:$D$2,'CCaMC-BCCpUC'!AR1)</f>
        <v>2391142.8571428508</v>
      </c>
      <c r="AS10" s="29" cm="1">
        <f t="array" ref="AS10">TREND('capital processing'!$B$9:$D$9,'capital processing'!$B$2:$D$2,'CCaMC-BCCpUC'!AS1)</f>
        <v>2353714.2857142836</v>
      </c>
      <c r="AT10" s="29" cm="1">
        <f t="array" ref="AT10">TREND('capital processing'!$B$9:$D$9,'capital processing'!$B$2:$D$2,'CCaMC-BCCpUC'!AT1)</f>
        <v>2316285.7142857164</v>
      </c>
      <c r="AU10" s="29" cm="1">
        <f t="array" ref="AU10">TREND('capital processing'!$B$9:$D$9,'capital processing'!$B$2:$D$2,'CCaMC-BCCpUC'!AU1)</f>
        <v>2278857.1428571343</v>
      </c>
      <c r="AV10" s="29" cm="1">
        <f t="array" ref="AV10">TREND('capital processing'!$B$9:$D$9,'capital processing'!$B$2:$D$2,'CCaMC-BCCpUC'!AV1)</f>
        <v>2241428.5714285672</v>
      </c>
      <c r="AW10" s="29" cm="1">
        <f t="array" ref="AW10">TREND('capital processing'!$B$9:$D$9,'capital processing'!$B$2:$D$2,'CCaMC-BCCpUC'!AW1)</f>
        <v>2204000</v>
      </c>
      <c r="AX10" s="29" cm="1">
        <f t="array" ref="AX10">TREND('capital processing'!$B$9:$D$9,'capital processing'!$B$2:$D$2,'CCaMC-BCCpUC'!AX1)</f>
        <v>2166571.4285714328</v>
      </c>
      <c r="AY10" s="29" cm="1">
        <f t="array" ref="AY10">TREND('capital processing'!$B$9:$D$9,'capital processing'!$B$2:$D$2,'CCaMC-BCCpUC'!AY1)</f>
        <v>2129142.8571428508</v>
      </c>
      <c r="AZ10" s="29" cm="1">
        <f t="array" ref="AZ10">TREND('capital processing'!$B$9:$D$9,'capital processing'!$B$2:$D$2,'CCaMC-BCCpUC'!AZ1)</f>
        <v>2091714.2857142836</v>
      </c>
      <c r="BA10" s="29" cm="1">
        <f t="array" ref="BA10">TREND('capital processing'!$B$9:$D$9,'capital processing'!$B$2:$D$2,'CCaMC-BCCpUC'!BA1)</f>
        <v>2054285.7142857164</v>
      </c>
    </row>
    <row r="11" spans="1:53" ht="14.25" customHeight="1" x14ac:dyDescent="0.2">
      <c r="A11" s="1" t="s">
        <v>60</v>
      </c>
      <c r="B11" s="29" cm="1">
        <f t="array" ref="B11">TREND('capital processing'!$B$10:$D$10,'capital processing'!$B$2:$D$2,'CCaMC-BCCpUC'!B1)</f>
        <v>803571.42857142864</v>
      </c>
      <c r="C11" s="29" cm="1">
        <f t="array" ref="C11">TREND('capital processing'!$B$10:$D$10,'capital processing'!$B$2:$D$2,'CCaMC-BCCpUC'!C1)</f>
        <v>802857.14285714296</v>
      </c>
      <c r="D11" s="29" cm="1">
        <f t="array" ref="D11">TREND('capital processing'!$B$10:$D$10,'capital processing'!$B$2:$D$2,'CCaMC-BCCpUC'!D1)</f>
        <v>802142.85714285728</v>
      </c>
      <c r="E11" s="29" cm="1">
        <f t="array" ref="E11">TREND('capital processing'!$B$10:$D$10,'capital processing'!$B$2:$D$2,'CCaMC-BCCpUC'!E1)</f>
        <v>801428.57142857159</v>
      </c>
      <c r="F11" s="29" cm="1">
        <f t="array" ref="F11">TREND('capital processing'!$B$10:$D$10,'capital processing'!$B$2:$D$2,'CCaMC-BCCpUC'!F1)</f>
        <v>800714.28571428591</v>
      </c>
      <c r="G11" s="29" cm="1">
        <f t="array" ref="G11">TREND('capital processing'!$B$10:$D$10,'capital processing'!$B$2:$D$2,'CCaMC-BCCpUC'!G1)</f>
        <v>800000</v>
      </c>
      <c r="H11" s="29" cm="1">
        <f t="array" ref="H11">TREND('capital processing'!$B$10:$D$10,'capital processing'!$B$2:$D$2,'CCaMC-BCCpUC'!H1)</f>
        <v>799285.71428571432</v>
      </c>
      <c r="I11" s="29" cm="1">
        <f t="array" ref="I11">TREND('capital processing'!$B$10:$D$10,'capital processing'!$B$2:$D$2,'CCaMC-BCCpUC'!I1)</f>
        <v>798571.42857142864</v>
      </c>
      <c r="J11" s="29" cm="1">
        <f t="array" ref="J11">TREND('capital processing'!$B$10:$D$10,'capital processing'!$B$2:$D$2,'CCaMC-BCCpUC'!J1)</f>
        <v>797857.14285714296</v>
      </c>
      <c r="K11" s="29" cm="1">
        <f t="array" ref="K11">TREND('capital processing'!$B$10:$D$10,'capital processing'!$B$2:$D$2,'CCaMC-BCCpUC'!K1)</f>
        <v>797142.85714285728</v>
      </c>
      <c r="L11" s="29" cm="1">
        <f t="array" ref="L11">TREND('capital processing'!$B$10:$D$10,'capital processing'!$B$2:$D$2,'CCaMC-BCCpUC'!L1)</f>
        <v>796428.57142857159</v>
      </c>
      <c r="M11" s="29" cm="1">
        <f t="array" ref="M11">TREND('capital processing'!$B$10:$D$10,'capital processing'!$B$2:$D$2,'CCaMC-BCCpUC'!M1)</f>
        <v>795714.28571428591</v>
      </c>
      <c r="N11" s="29" cm="1">
        <f t="array" ref="N11">TREND('capital processing'!$B$10:$D$10,'capital processing'!$B$2:$D$2,'CCaMC-BCCpUC'!N1)</f>
        <v>795000</v>
      </c>
      <c r="O11" s="29" cm="1">
        <f t="array" ref="O11">TREND('capital processing'!$B$10:$D$10,'capital processing'!$B$2:$D$2,'CCaMC-BCCpUC'!O1)</f>
        <v>794285.71428571432</v>
      </c>
      <c r="P11" s="29" cm="1">
        <f t="array" ref="P11">TREND('capital processing'!$B$10:$D$10,'capital processing'!$B$2:$D$2,'CCaMC-BCCpUC'!P1)</f>
        <v>793571.42857142864</v>
      </c>
      <c r="Q11" s="29" cm="1">
        <f t="array" ref="Q11">TREND('capital processing'!$B$10:$D$10,'capital processing'!$B$2:$D$2,'CCaMC-BCCpUC'!Q1)</f>
        <v>792857.14285714296</v>
      </c>
      <c r="R11" s="29" cm="1">
        <f t="array" ref="R11">TREND('capital processing'!$B$10:$D$10,'capital processing'!$B$2:$D$2,'CCaMC-BCCpUC'!R1)</f>
        <v>792142.85714285728</v>
      </c>
      <c r="S11" s="29" cm="1">
        <f t="array" ref="S11">TREND('capital processing'!$B$10:$D$10,'capital processing'!$B$2:$D$2,'CCaMC-BCCpUC'!S1)</f>
        <v>791428.57142857159</v>
      </c>
      <c r="T11" s="29" cm="1">
        <f t="array" ref="T11">TREND('capital processing'!$B$10:$D$10,'capital processing'!$B$2:$D$2,'CCaMC-BCCpUC'!T1)</f>
        <v>790714.28571428591</v>
      </c>
      <c r="U11" s="29" cm="1">
        <f t="array" ref="U11">TREND('capital processing'!$B$10:$D$10,'capital processing'!$B$2:$D$2,'CCaMC-BCCpUC'!U1)</f>
        <v>790000</v>
      </c>
      <c r="V11" s="29" cm="1">
        <f t="array" ref="V11">TREND('capital processing'!$B$10:$D$10,'capital processing'!$B$2:$D$2,'CCaMC-BCCpUC'!V1)</f>
        <v>789285.71428571432</v>
      </c>
      <c r="W11" s="29" cm="1">
        <f t="array" ref="W11">TREND('capital processing'!$B$10:$D$10,'capital processing'!$B$2:$D$2,'CCaMC-BCCpUC'!W1)</f>
        <v>788571.42857142864</v>
      </c>
      <c r="X11" s="29" cm="1">
        <f t="array" ref="X11">TREND('capital processing'!$B$10:$D$10,'capital processing'!$B$2:$D$2,'CCaMC-BCCpUC'!X1)</f>
        <v>787857.14285714296</v>
      </c>
      <c r="Y11" s="29" cm="1">
        <f t="array" ref="Y11">TREND('capital processing'!$B$10:$D$10,'capital processing'!$B$2:$D$2,'CCaMC-BCCpUC'!Y1)</f>
        <v>787142.85714285728</v>
      </c>
      <c r="Z11" s="29" cm="1">
        <f t="array" ref="Z11">TREND('capital processing'!$B$10:$D$10,'capital processing'!$B$2:$D$2,'CCaMC-BCCpUC'!Z1)</f>
        <v>786428.57142857159</v>
      </c>
      <c r="AA11" s="29" cm="1">
        <f t="array" ref="AA11">TREND('capital processing'!$B$10:$D$10,'capital processing'!$B$2:$D$2,'CCaMC-BCCpUC'!AA1)</f>
        <v>785714.28571428591</v>
      </c>
      <c r="AB11" s="29" cm="1">
        <f t="array" ref="AB11">TREND('capital processing'!$B$10:$D$10,'capital processing'!$B$2:$D$2,'CCaMC-BCCpUC'!AB1)</f>
        <v>785000</v>
      </c>
      <c r="AC11" s="29" cm="1">
        <f t="array" ref="AC11">TREND('capital processing'!$B$10:$D$10,'capital processing'!$B$2:$D$2,'CCaMC-BCCpUC'!AC1)</f>
        <v>784285.71428571432</v>
      </c>
      <c r="AD11" s="29" cm="1">
        <f t="array" ref="AD11">TREND('capital processing'!$B$10:$D$10,'capital processing'!$B$2:$D$2,'CCaMC-BCCpUC'!AD1)</f>
        <v>783571.42857142864</v>
      </c>
      <c r="AE11" s="29" cm="1">
        <f t="array" ref="AE11">TREND('capital processing'!$B$10:$D$10,'capital processing'!$B$2:$D$2,'CCaMC-BCCpUC'!AE1)</f>
        <v>782857.14285714296</v>
      </c>
      <c r="AF11" s="29" cm="1">
        <f t="array" ref="AF11">TREND('capital processing'!$B$10:$D$10,'capital processing'!$B$2:$D$2,'CCaMC-BCCpUC'!AF1)</f>
        <v>782142.85714285728</v>
      </c>
      <c r="AG11" s="29" cm="1">
        <f t="array" ref="AG11">TREND('capital processing'!$B$10:$D$10,'capital processing'!$B$2:$D$2,'CCaMC-BCCpUC'!AG1)</f>
        <v>781428.57142857159</v>
      </c>
      <c r="AH11" s="29" cm="1">
        <f t="array" ref="AH11">TREND('capital processing'!$B$10:$D$10,'capital processing'!$B$2:$D$2,'CCaMC-BCCpUC'!AH1)</f>
        <v>780714.28571428591</v>
      </c>
      <c r="AI11" s="29" cm="1">
        <f t="array" ref="AI11">TREND('capital processing'!$B$10:$D$10,'capital processing'!$B$2:$D$2,'CCaMC-BCCpUC'!AI1)</f>
        <v>780000</v>
      </c>
      <c r="AJ11" s="29" cm="1">
        <f t="array" ref="AJ11">TREND('capital processing'!$B$10:$D$10,'capital processing'!$B$2:$D$2,'CCaMC-BCCpUC'!AJ1)</f>
        <v>779285.71428571432</v>
      </c>
      <c r="AK11" s="29" cm="1">
        <f t="array" ref="AK11">TREND('capital processing'!$B$10:$D$10,'capital processing'!$B$2:$D$2,'CCaMC-BCCpUC'!AK1)</f>
        <v>778571.42857142864</v>
      </c>
      <c r="AL11" s="29" cm="1">
        <f t="array" ref="AL11">TREND('capital processing'!$B$10:$D$10,'capital processing'!$B$2:$D$2,'CCaMC-BCCpUC'!AL1)</f>
        <v>777857.14285714296</v>
      </c>
      <c r="AM11" s="29" cm="1">
        <f t="array" ref="AM11">TREND('capital processing'!$B$10:$D$10,'capital processing'!$B$2:$D$2,'CCaMC-BCCpUC'!AM1)</f>
        <v>777142.85714285728</v>
      </c>
      <c r="AN11" s="29" cm="1">
        <f t="array" ref="AN11">TREND('capital processing'!$B$10:$D$10,'capital processing'!$B$2:$D$2,'CCaMC-BCCpUC'!AN1)</f>
        <v>776428.57142857159</v>
      </c>
      <c r="AO11" s="29" cm="1">
        <f t="array" ref="AO11">TREND('capital processing'!$B$10:$D$10,'capital processing'!$B$2:$D$2,'CCaMC-BCCpUC'!AO1)</f>
        <v>775714.28571428591</v>
      </c>
      <c r="AP11" s="29" cm="1">
        <f t="array" ref="AP11">TREND('capital processing'!$B$10:$D$10,'capital processing'!$B$2:$D$2,'CCaMC-BCCpUC'!AP1)</f>
        <v>775000</v>
      </c>
      <c r="AQ11" s="29" cm="1">
        <f t="array" ref="AQ11">TREND('capital processing'!$B$10:$D$10,'capital processing'!$B$2:$D$2,'CCaMC-BCCpUC'!AQ1)</f>
        <v>774285.71428571432</v>
      </c>
      <c r="AR11" s="29" cm="1">
        <f t="array" ref="AR11">TREND('capital processing'!$B$10:$D$10,'capital processing'!$B$2:$D$2,'CCaMC-BCCpUC'!AR1)</f>
        <v>773571.42857142864</v>
      </c>
      <c r="AS11" s="29" cm="1">
        <f t="array" ref="AS11">TREND('capital processing'!$B$10:$D$10,'capital processing'!$B$2:$D$2,'CCaMC-BCCpUC'!AS1)</f>
        <v>772857.14285714296</v>
      </c>
      <c r="AT11" s="29" cm="1">
        <f t="array" ref="AT11">TREND('capital processing'!$B$10:$D$10,'capital processing'!$B$2:$D$2,'CCaMC-BCCpUC'!AT1)</f>
        <v>772142.85714285728</v>
      </c>
      <c r="AU11" s="29" cm="1">
        <f t="array" ref="AU11">TREND('capital processing'!$B$10:$D$10,'capital processing'!$B$2:$D$2,'CCaMC-BCCpUC'!AU1)</f>
        <v>771428.57142857159</v>
      </c>
      <c r="AV11" s="29" cm="1">
        <f t="array" ref="AV11">TREND('capital processing'!$B$10:$D$10,'capital processing'!$B$2:$D$2,'CCaMC-BCCpUC'!AV1)</f>
        <v>770714.28571428591</v>
      </c>
      <c r="AW11" s="29" cm="1">
        <f t="array" ref="AW11">TREND('capital processing'!$B$10:$D$10,'capital processing'!$B$2:$D$2,'CCaMC-BCCpUC'!AW1)</f>
        <v>770000</v>
      </c>
      <c r="AX11" s="29" cm="1">
        <f t="array" ref="AX11">TREND('capital processing'!$B$10:$D$10,'capital processing'!$B$2:$D$2,'CCaMC-BCCpUC'!AX1)</f>
        <v>769285.71428571432</v>
      </c>
      <c r="AY11" s="29" cm="1">
        <f t="array" ref="AY11">TREND('capital processing'!$B$10:$D$10,'capital processing'!$B$2:$D$2,'CCaMC-BCCpUC'!AY1)</f>
        <v>768571.42857142864</v>
      </c>
      <c r="AZ11" s="29" cm="1">
        <f t="array" ref="AZ11">TREND('capital processing'!$B$10:$D$10,'capital processing'!$B$2:$D$2,'CCaMC-BCCpUC'!AZ1)</f>
        <v>767857.14285714296</v>
      </c>
      <c r="BA11" s="29" cm="1">
        <f t="array" ref="BA11">TREND('capital processing'!$B$10:$D$10,'capital processing'!$B$2:$D$2,'CCaMC-BCCpUC'!BA1)</f>
        <v>767142.85714285728</v>
      </c>
    </row>
    <row r="12" spans="1:53" ht="14.25" customHeight="1" x14ac:dyDescent="0.2">
      <c r="A12" s="1" t="s">
        <v>61</v>
      </c>
      <c r="B12" s="29" cm="1">
        <f t="array" ref="B12">TREND('capital processing'!$B$11:$D$11,'capital processing'!$B$2:$D$2,'CCaMC-BCCpUC'!B1)</f>
        <v>691214.28571428545</v>
      </c>
      <c r="C12" s="29" cm="1">
        <f t="array" ref="C12">TREND('capital processing'!$B$11:$D$11,'capital processing'!$B$2:$D$2,'CCaMC-BCCpUC'!C1)</f>
        <v>688571.42857142817</v>
      </c>
      <c r="D12" s="29" cm="1">
        <f t="array" ref="D12">TREND('capital processing'!$B$11:$D$11,'capital processing'!$B$2:$D$2,'CCaMC-BCCpUC'!D1)</f>
        <v>685928.5714285709</v>
      </c>
      <c r="E12" s="29" cm="1">
        <f t="array" ref="E12">TREND('capital processing'!$B$11:$D$11,'capital processing'!$B$2:$D$2,'CCaMC-BCCpUC'!E1)</f>
        <v>683285.71428571362</v>
      </c>
      <c r="F12" s="29" cm="1">
        <f t="array" ref="F12">TREND('capital processing'!$B$11:$D$11,'capital processing'!$B$2:$D$2,'CCaMC-BCCpUC'!F1)</f>
        <v>680642.85714285634</v>
      </c>
      <c r="G12" s="29" cm="1">
        <f t="array" ref="G12">TREND('capital processing'!$B$11:$D$11,'capital processing'!$B$2:$D$2,'CCaMC-BCCpUC'!G1)</f>
        <v>678000</v>
      </c>
      <c r="H12" s="29" cm="1">
        <f t="array" ref="H12">TREND('capital processing'!$B$11:$D$11,'capital processing'!$B$2:$D$2,'CCaMC-BCCpUC'!H1)</f>
        <v>675357.14285714272</v>
      </c>
      <c r="I12" s="29" cm="1">
        <f t="array" ref="I12">TREND('capital processing'!$B$11:$D$11,'capital processing'!$B$2:$D$2,'CCaMC-BCCpUC'!I1)</f>
        <v>672714.28571428545</v>
      </c>
      <c r="J12" s="29" cm="1">
        <f t="array" ref="J12">TREND('capital processing'!$B$11:$D$11,'capital processing'!$B$2:$D$2,'CCaMC-BCCpUC'!J1)</f>
        <v>670071.42857142817</v>
      </c>
      <c r="K12" s="29" cm="1">
        <f t="array" ref="K12">TREND('capital processing'!$B$11:$D$11,'capital processing'!$B$2:$D$2,'CCaMC-BCCpUC'!K1)</f>
        <v>667428.5714285709</v>
      </c>
      <c r="L12" s="29" cm="1">
        <f t="array" ref="L12">TREND('capital processing'!$B$11:$D$11,'capital processing'!$B$2:$D$2,'CCaMC-BCCpUC'!L1)</f>
        <v>664785.71428571362</v>
      </c>
      <c r="M12" s="29" cm="1">
        <f t="array" ref="M12">TREND('capital processing'!$B$11:$D$11,'capital processing'!$B$2:$D$2,'CCaMC-BCCpUC'!M1)</f>
        <v>662142.85714285634</v>
      </c>
      <c r="N12" s="29" cm="1">
        <f t="array" ref="N12">TREND('capital processing'!$B$11:$D$11,'capital processing'!$B$2:$D$2,'CCaMC-BCCpUC'!N1)</f>
        <v>659500</v>
      </c>
      <c r="O12" s="29" cm="1">
        <f t="array" ref="O12">TREND('capital processing'!$B$11:$D$11,'capital processing'!$B$2:$D$2,'CCaMC-BCCpUC'!O1)</f>
        <v>656857.14285714272</v>
      </c>
      <c r="P12" s="29" cm="1">
        <f t="array" ref="P12">TREND('capital processing'!$B$11:$D$11,'capital processing'!$B$2:$D$2,'CCaMC-BCCpUC'!P1)</f>
        <v>654214.28571428545</v>
      </c>
      <c r="Q12" s="29" cm="1">
        <f t="array" ref="Q12">TREND('capital processing'!$B$11:$D$11,'capital processing'!$B$2:$D$2,'CCaMC-BCCpUC'!Q1)</f>
        <v>651571.42857142817</v>
      </c>
      <c r="R12" s="29" cm="1">
        <f t="array" ref="R12">TREND('capital processing'!$B$11:$D$11,'capital processing'!$B$2:$D$2,'CCaMC-BCCpUC'!R1)</f>
        <v>648928.5714285709</v>
      </c>
      <c r="S12" s="29" cm="1">
        <f t="array" ref="S12">TREND('capital processing'!$B$11:$D$11,'capital processing'!$B$2:$D$2,'CCaMC-BCCpUC'!S1)</f>
        <v>646285.71428571362</v>
      </c>
      <c r="T12" s="29" cm="1">
        <f t="array" ref="T12">TREND('capital processing'!$B$11:$D$11,'capital processing'!$B$2:$D$2,'CCaMC-BCCpUC'!T1)</f>
        <v>643642.85714285634</v>
      </c>
      <c r="U12" s="29" cm="1">
        <f t="array" ref="U12">TREND('capital processing'!$B$11:$D$11,'capital processing'!$B$2:$D$2,'CCaMC-BCCpUC'!U1)</f>
        <v>641000</v>
      </c>
      <c r="V12" s="29" cm="1">
        <f t="array" ref="V12">TREND('capital processing'!$B$11:$D$11,'capital processing'!$B$2:$D$2,'CCaMC-BCCpUC'!V1)</f>
        <v>638357.14285714272</v>
      </c>
      <c r="W12" s="29" cm="1">
        <f t="array" ref="W12">TREND('capital processing'!$B$11:$D$11,'capital processing'!$B$2:$D$2,'CCaMC-BCCpUC'!W1)</f>
        <v>635714.28571428545</v>
      </c>
      <c r="X12" s="29" cm="1">
        <f t="array" ref="X12">TREND('capital processing'!$B$11:$D$11,'capital processing'!$B$2:$D$2,'CCaMC-BCCpUC'!X1)</f>
        <v>633071.42857142817</v>
      </c>
      <c r="Y12" s="29" cm="1">
        <f t="array" ref="Y12">TREND('capital processing'!$B$11:$D$11,'capital processing'!$B$2:$D$2,'CCaMC-BCCpUC'!Y1)</f>
        <v>630428.5714285709</v>
      </c>
      <c r="Z12" s="29" cm="1">
        <f t="array" ref="Z12">TREND('capital processing'!$B$11:$D$11,'capital processing'!$B$2:$D$2,'CCaMC-BCCpUC'!Z1)</f>
        <v>627785.71428571362</v>
      </c>
      <c r="AA12" s="29" cm="1">
        <f t="array" ref="AA12">TREND('capital processing'!$B$11:$D$11,'capital processing'!$B$2:$D$2,'CCaMC-BCCpUC'!AA1)</f>
        <v>625142.85714285634</v>
      </c>
      <c r="AB12" s="29" cm="1">
        <f t="array" ref="AB12">TREND('capital processing'!$B$11:$D$11,'capital processing'!$B$2:$D$2,'CCaMC-BCCpUC'!AB1)</f>
        <v>622500</v>
      </c>
      <c r="AC12" s="29" cm="1">
        <f t="array" ref="AC12">TREND('capital processing'!$B$11:$D$11,'capital processing'!$B$2:$D$2,'CCaMC-BCCpUC'!AC1)</f>
        <v>619857.14285714272</v>
      </c>
      <c r="AD12" s="29" cm="1">
        <f t="array" ref="AD12">TREND('capital processing'!$B$11:$D$11,'capital processing'!$B$2:$D$2,'CCaMC-BCCpUC'!AD1)</f>
        <v>617214.28571428545</v>
      </c>
      <c r="AE12" s="29" cm="1">
        <f t="array" ref="AE12">TREND('capital processing'!$B$11:$D$11,'capital processing'!$B$2:$D$2,'CCaMC-BCCpUC'!AE1)</f>
        <v>614571.42857142817</v>
      </c>
      <c r="AF12" s="29" cm="1">
        <f t="array" ref="AF12">TREND('capital processing'!$B$11:$D$11,'capital processing'!$B$2:$D$2,'CCaMC-BCCpUC'!AF1)</f>
        <v>611928.5714285709</v>
      </c>
      <c r="AG12" s="29" cm="1">
        <f t="array" ref="AG12">TREND('capital processing'!$B$11:$D$11,'capital processing'!$B$2:$D$2,'CCaMC-BCCpUC'!AG1)</f>
        <v>609285.71428571362</v>
      </c>
      <c r="AH12" s="29" cm="1">
        <f t="array" ref="AH12">TREND('capital processing'!$B$11:$D$11,'capital processing'!$B$2:$D$2,'CCaMC-BCCpUC'!AH1)</f>
        <v>606642.85714285634</v>
      </c>
      <c r="AI12" s="29" cm="1">
        <f t="array" ref="AI12">TREND('capital processing'!$B$11:$D$11,'capital processing'!$B$2:$D$2,'CCaMC-BCCpUC'!AI1)</f>
        <v>604000</v>
      </c>
      <c r="AJ12" s="29" cm="1">
        <f t="array" ref="AJ12">TREND('capital processing'!$B$11:$D$11,'capital processing'!$B$2:$D$2,'CCaMC-BCCpUC'!AJ1)</f>
        <v>601357.14285714272</v>
      </c>
      <c r="AK12" s="29" cm="1">
        <f t="array" ref="AK12">TREND('capital processing'!$B$11:$D$11,'capital processing'!$B$2:$D$2,'CCaMC-BCCpUC'!AK1)</f>
        <v>598714.28571428545</v>
      </c>
      <c r="AL12" s="29" cm="1">
        <f t="array" ref="AL12">TREND('capital processing'!$B$11:$D$11,'capital processing'!$B$2:$D$2,'CCaMC-BCCpUC'!AL1)</f>
        <v>596071.42857142817</v>
      </c>
      <c r="AM12" s="29" cm="1">
        <f t="array" ref="AM12">TREND('capital processing'!$B$11:$D$11,'capital processing'!$B$2:$D$2,'CCaMC-BCCpUC'!AM1)</f>
        <v>593428.5714285709</v>
      </c>
      <c r="AN12" s="29" cm="1">
        <f t="array" ref="AN12">TREND('capital processing'!$B$11:$D$11,'capital processing'!$B$2:$D$2,'CCaMC-BCCpUC'!AN1)</f>
        <v>590785.71428571362</v>
      </c>
      <c r="AO12" s="29" cm="1">
        <f t="array" ref="AO12">TREND('capital processing'!$B$11:$D$11,'capital processing'!$B$2:$D$2,'CCaMC-BCCpUC'!AO1)</f>
        <v>588142.85714285634</v>
      </c>
      <c r="AP12" s="29" cm="1">
        <f t="array" ref="AP12">TREND('capital processing'!$B$11:$D$11,'capital processing'!$B$2:$D$2,'CCaMC-BCCpUC'!AP1)</f>
        <v>585500</v>
      </c>
      <c r="AQ12" s="29" cm="1">
        <f t="array" ref="AQ12">TREND('capital processing'!$B$11:$D$11,'capital processing'!$B$2:$D$2,'CCaMC-BCCpUC'!AQ1)</f>
        <v>582857.14285714272</v>
      </c>
      <c r="AR12" s="29" cm="1">
        <f t="array" ref="AR12">TREND('capital processing'!$B$11:$D$11,'capital processing'!$B$2:$D$2,'CCaMC-BCCpUC'!AR1)</f>
        <v>580214.28571428545</v>
      </c>
      <c r="AS12" s="29" cm="1">
        <f t="array" ref="AS12">TREND('capital processing'!$B$11:$D$11,'capital processing'!$B$2:$D$2,'CCaMC-BCCpUC'!AS1)</f>
        <v>577571.42857142817</v>
      </c>
      <c r="AT12" s="29" cm="1">
        <f t="array" ref="AT12">TREND('capital processing'!$B$11:$D$11,'capital processing'!$B$2:$D$2,'CCaMC-BCCpUC'!AT1)</f>
        <v>574928.5714285709</v>
      </c>
      <c r="AU12" s="29" cm="1">
        <f t="array" ref="AU12">TREND('capital processing'!$B$11:$D$11,'capital processing'!$B$2:$D$2,'CCaMC-BCCpUC'!AU1)</f>
        <v>572285.71428571362</v>
      </c>
      <c r="AV12" s="29" cm="1">
        <f t="array" ref="AV12">TREND('capital processing'!$B$11:$D$11,'capital processing'!$B$2:$D$2,'CCaMC-BCCpUC'!AV1)</f>
        <v>569642.85714285634</v>
      </c>
      <c r="AW12" s="29" cm="1">
        <f t="array" ref="AW12">TREND('capital processing'!$B$11:$D$11,'capital processing'!$B$2:$D$2,'CCaMC-BCCpUC'!AW1)</f>
        <v>567000</v>
      </c>
      <c r="AX12" s="29" cm="1">
        <f t="array" ref="AX12">TREND('capital processing'!$B$11:$D$11,'capital processing'!$B$2:$D$2,'CCaMC-BCCpUC'!AX1)</f>
        <v>564357.14285714272</v>
      </c>
      <c r="AY12" s="29" cm="1">
        <f t="array" ref="AY12">TREND('capital processing'!$B$11:$D$11,'capital processing'!$B$2:$D$2,'CCaMC-BCCpUC'!AY1)</f>
        <v>561714.28571428545</v>
      </c>
      <c r="AZ12" s="29" cm="1">
        <f t="array" ref="AZ12">TREND('capital processing'!$B$11:$D$11,'capital processing'!$B$2:$D$2,'CCaMC-BCCpUC'!AZ1)</f>
        <v>559071.42857142817</v>
      </c>
      <c r="BA12" s="29" cm="1">
        <f t="array" ref="BA12">TREND('capital processing'!$B$11:$D$11,'capital processing'!$B$2:$D$2,'CCaMC-BCCpUC'!BA1)</f>
        <v>556428.5714285709</v>
      </c>
    </row>
    <row r="13" spans="1:53" ht="14.25" customHeight="1" x14ac:dyDescent="0.2">
      <c r="A13" s="1" t="s">
        <v>62</v>
      </c>
      <c r="B13" s="29" cm="1">
        <f t="array" ref="B13">TREND('capital processing'!$B$12:$D$12,'capital processing'!$B$2:$D$2,'CCaMC-BCCpUC'!B1)</f>
        <v>1646071.4285714282</v>
      </c>
      <c r="C13" s="29" cm="1">
        <f t="array" ref="C13">TREND('capital processing'!$B$12:$D$12,'capital processing'!$B$2:$D$2,'CCaMC-BCCpUC'!C1)</f>
        <v>1642857.1428571427</v>
      </c>
      <c r="D13" s="29" cm="1">
        <f t="array" ref="D13">TREND('capital processing'!$B$12:$D$12,'capital processing'!$B$2:$D$2,'CCaMC-BCCpUC'!D1)</f>
        <v>1639642.8571428573</v>
      </c>
      <c r="E13" s="29" cm="1">
        <f t="array" ref="E13">TREND('capital processing'!$B$12:$D$12,'capital processing'!$B$2:$D$2,'CCaMC-BCCpUC'!E1)</f>
        <v>1636428.5714285709</v>
      </c>
      <c r="F13" s="29" cm="1">
        <f t="array" ref="F13">TREND('capital processing'!$B$12:$D$12,'capital processing'!$B$2:$D$2,'CCaMC-BCCpUC'!F1)</f>
        <v>1633214.2857142854</v>
      </c>
      <c r="G13" s="29" cm="1">
        <f t="array" ref="G13">TREND('capital processing'!$B$12:$D$12,'capital processing'!$B$2:$D$2,'CCaMC-BCCpUC'!G1)</f>
        <v>1630000</v>
      </c>
      <c r="H13" s="29" cm="1">
        <f t="array" ref="H13">TREND('capital processing'!$B$12:$D$12,'capital processing'!$B$2:$D$2,'CCaMC-BCCpUC'!H1)</f>
        <v>1626785.7142857146</v>
      </c>
      <c r="I13" s="29" cm="1">
        <f t="array" ref="I13">TREND('capital processing'!$B$12:$D$12,'capital processing'!$B$2:$D$2,'CCaMC-BCCpUC'!I1)</f>
        <v>1623571.4285714282</v>
      </c>
      <c r="J13" s="29" cm="1">
        <f t="array" ref="J13">TREND('capital processing'!$B$12:$D$12,'capital processing'!$B$2:$D$2,'CCaMC-BCCpUC'!J1)</f>
        <v>1620357.1428571427</v>
      </c>
      <c r="K13" s="29" cm="1">
        <f t="array" ref="K13">TREND('capital processing'!$B$12:$D$12,'capital processing'!$B$2:$D$2,'CCaMC-BCCpUC'!K1)</f>
        <v>1617142.8571428573</v>
      </c>
      <c r="L13" s="29" cm="1">
        <f t="array" ref="L13">TREND('capital processing'!$B$12:$D$12,'capital processing'!$B$2:$D$2,'CCaMC-BCCpUC'!L1)</f>
        <v>1613928.5714285709</v>
      </c>
      <c r="M13" s="29" cm="1">
        <f t="array" ref="M13">TREND('capital processing'!$B$12:$D$12,'capital processing'!$B$2:$D$2,'CCaMC-BCCpUC'!M1)</f>
        <v>1610714.2857142854</v>
      </c>
      <c r="N13" s="29" cm="1">
        <f t="array" ref="N13">TREND('capital processing'!$B$12:$D$12,'capital processing'!$B$2:$D$2,'CCaMC-BCCpUC'!N1)</f>
        <v>1607500</v>
      </c>
      <c r="O13" s="29" cm="1">
        <f t="array" ref="O13">TREND('capital processing'!$B$12:$D$12,'capital processing'!$B$2:$D$2,'CCaMC-BCCpUC'!O1)</f>
        <v>1604285.7142857146</v>
      </c>
      <c r="P13" s="29" cm="1">
        <f t="array" ref="P13">TREND('capital processing'!$B$12:$D$12,'capital processing'!$B$2:$D$2,'CCaMC-BCCpUC'!P1)</f>
        <v>1601071.4285714282</v>
      </c>
      <c r="Q13" s="29" cm="1">
        <f t="array" ref="Q13">TREND('capital processing'!$B$12:$D$12,'capital processing'!$B$2:$D$2,'CCaMC-BCCpUC'!Q1)</f>
        <v>1597857.1428571427</v>
      </c>
      <c r="R13" s="29" cm="1">
        <f t="array" ref="R13">TREND('capital processing'!$B$12:$D$12,'capital processing'!$B$2:$D$2,'CCaMC-BCCpUC'!R1)</f>
        <v>1594642.8571428573</v>
      </c>
      <c r="S13" s="29" cm="1">
        <f t="array" ref="S13">TREND('capital processing'!$B$12:$D$12,'capital processing'!$B$2:$D$2,'CCaMC-BCCpUC'!S1)</f>
        <v>1591428.5714285709</v>
      </c>
      <c r="T13" s="29" cm="1">
        <f t="array" ref="T13">TREND('capital processing'!$B$12:$D$12,'capital processing'!$B$2:$D$2,'CCaMC-BCCpUC'!T1)</f>
        <v>1588214.2857142854</v>
      </c>
      <c r="U13" s="29" cm="1">
        <f t="array" ref="U13">TREND('capital processing'!$B$12:$D$12,'capital processing'!$B$2:$D$2,'CCaMC-BCCpUC'!U1)</f>
        <v>1585000</v>
      </c>
      <c r="V13" s="29" cm="1">
        <f t="array" ref="V13">TREND('capital processing'!$B$12:$D$12,'capital processing'!$B$2:$D$2,'CCaMC-BCCpUC'!V1)</f>
        <v>1581785.7142857146</v>
      </c>
      <c r="W13" s="29" cm="1">
        <f t="array" ref="W13">TREND('capital processing'!$B$12:$D$12,'capital processing'!$B$2:$D$2,'CCaMC-BCCpUC'!W1)</f>
        <v>1578571.4285714282</v>
      </c>
      <c r="X13" s="29" cm="1">
        <f t="array" ref="X13">TREND('capital processing'!$B$12:$D$12,'capital processing'!$B$2:$D$2,'CCaMC-BCCpUC'!X1)</f>
        <v>1575357.1428571427</v>
      </c>
      <c r="Y13" s="29" cm="1">
        <f t="array" ref="Y13">TREND('capital processing'!$B$12:$D$12,'capital processing'!$B$2:$D$2,'CCaMC-BCCpUC'!Y1)</f>
        <v>1572142.8571428573</v>
      </c>
      <c r="Z13" s="29" cm="1">
        <f t="array" ref="Z13">TREND('capital processing'!$B$12:$D$12,'capital processing'!$B$2:$D$2,'CCaMC-BCCpUC'!Z1)</f>
        <v>1568928.5714285709</v>
      </c>
      <c r="AA13" s="29" cm="1">
        <f t="array" ref="AA13">TREND('capital processing'!$B$12:$D$12,'capital processing'!$B$2:$D$2,'CCaMC-BCCpUC'!AA1)</f>
        <v>1565714.2857142854</v>
      </c>
      <c r="AB13" s="29" cm="1">
        <f t="array" ref="AB13">TREND('capital processing'!$B$12:$D$12,'capital processing'!$B$2:$D$2,'CCaMC-BCCpUC'!AB1)</f>
        <v>1562500</v>
      </c>
      <c r="AC13" s="29" cm="1">
        <f t="array" ref="AC13">TREND('capital processing'!$B$12:$D$12,'capital processing'!$B$2:$D$2,'CCaMC-BCCpUC'!AC1)</f>
        <v>1559285.7142857146</v>
      </c>
      <c r="AD13" s="29" cm="1">
        <f t="array" ref="AD13">TREND('capital processing'!$B$12:$D$12,'capital processing'!$B$2:$D$2,'CCaMC-BCCpUC'!AD1)</f>
        <v>1556071.4285714282</v>
      </c>
      <c r="AE13" s="29" cm="1">
        <f t="array" ref="AE13">TREND('capital processing'!$B$12:$D$12,'capital processing'!$B$2:$D$2,'CCaMC-BCCpUC'!AE1)</f>
        <v>1552857.1428571427</v>
      </c>
      <c r="AF13" s="29" cm="1">
        <f t="array" ref="AF13">TREND('capital processing'!$B$12:$D$12,'capital processing'!$B$2:$D$2,'CCaMC-BCCpUC'!AF1)</f>
        <v>1549642.8571428573</v>
      </c>
      <c r="AG13" s="29" cm="1">
        <f t="array" ref="AG13">TREND('capital processing'!$B$12:$D$12,'capital processing'!$B$2:$D$2,'CCaMC-BCCpUC'!AG1)</f>
        <v>1546428.5714285709</v>
      </c>
      <c r="AH13" s="29" cm="1">
        <f t="array" ref="AH13">TREND('capital processing'!$B$12:$D$12,'capital processing'!$B$2:$D$2,'CCaMC-BCCpUC'!AH1)</f>
        <v>1543214.2857142854</v>
      </c>
      <c r="AI13" s="29" cm="1">
        <f t="array" ref="AI13">TREND('capital processing'!$B$12:$D$12,'capital processing'!$B$2:$D$2,'CCaMC-BCCpUC'!AI1)</f>
        <v>1540000</v>
      </c>
      <c r="AJ13" s="29" cm="1">
        <f t="array" ref="AJ13">TREND('capital processing'!$B$12:$D$12,'capital processing'!$B$2:$D$2,'CCaMC-BCCpUC'!AJ1)</f>
        <v>1536785.7142857146</v>
      </c>
      <c r="AK13" s="29" cm="1">
        <f t="array" ref="AK13">TREND('capital processing'!$B$12:$D$12,'capital processing'!$B$2:$D$2,'CCaMC-BCCpUC'!AK1)</f>
        <v>1533571.4285714282</v>
      </c>
      <c r="AL13" s="29" cm="1">
        <f t="array" ref="AL13">TREND('capital processing'!$B$12:$D$12,'capital processing'!$B$2:$D$2,'CCaMC-BCCpUC'!AL1)</f>
        <v>1530357.1428571427</v>
      </c>
      <c r="AM13" s="29" cm="1">
        <f t="array" ref="AM13">TREND('capital processing'!$B$12:$D$12,'capital processing'!$B$2:$D$2,'CCaMC-BCCpUC'!AM1)</f>
        <v>1527142.8571428573</v>
      </c>
      <c r="AN13" s="29" cm="1">
        <f t="array" ref="AN13">TREND('capital processing'!$B$12:$D$12,'capital processing'!$B$2:$D$2,'CCaMC-BCCpUC'!AN1)</f>
        <v>1523928.5714285709</v>
      </c>
      <c r="AO13" s="29" cm="1">
        <f t="array" ref="AO13">TREND('capital processing'!$B$12:$D$12,'capital processing'!$B$2:$D$2,'CCaMC-BCCpUC'!AO1)</f>
        <v>1520714.2857142854</v>
      </c>
      <c r="AP13" s="29" cm="1">
        <f t="array" ref="AP13">TREND('capital processing'!$B$12:$D$12,'capital processing'!$B$2:$D$2,'CCaMC-BCCpUC'!AP1)</f>
        <v>1517500</v>
      </c>
      <c r="AQ13" s="29" cm="1">
        <f t="array" ref="AQ13">TREND('capital processing'!$B$12:$D$12,'capital processing'!$B$2:$D$2,'CCaMC-BCCpUC'!AQ1)</f>
        <v>1514285.7142857146</v>
      </c>
      <c r="AR13" s="29" cm="1">
        <f t="array" ref="AR13">TREND('capital processing'!$B$12:$D$12,'capital processing'!$B$2:$D$2,'CCaMC-BCCpUC'!AR1)</f>
        <v>1511071.4285714282</v>
      </c>
      <c r="AS13" s="29" cm="1">
        <f t="array" ref="AS13">TREND('capital processing'!$B$12:$D$12,'capital processing'!$B$2:$D$2,'CCaMC-BCCpUC'!AS1)</f>
        <v>1507857.1428571427</v>
      </c>
      <c r="AT13" s="29" cm="1">
        <f t="array" ref="AT13">TREND('capital processing'!$B$12:$D$12,'capital processing'!$B$2:$D$2,'CCaMC-BCCpUC'!AT1)</f>
        <v>1504642.8571428573</v>
      </c>
      <c r="AU13" s="29" cm="1">
        <f t="array" ref="AU13">TREND('capital processing'!$B$12:$D$12,'capital processing'!$B$2:$D$2,'CCaMC-BCCpUC'!AU1)</f>
        <v>1501428.5714285709</v>
      </c>
      <c r="AV13" s="29" cm="1">
        <f t="array" ref="AV13">TREND('capital processing'!$B$12:$D$12,'capital processing'!$B$2:$D$2,'CCaMC-BCCpUC'!AV1)</f>
        <v>1498214.2857142854</v>
      </c>
      <c r="AW13" s="29" cm="1">
        <f t="array" ref="AW13">TREND('capital processing'!$B$12:$D$12,'capital processing'!$B$2:$D$2,'CCaMC-BCCpUC'!AW1)</f>
        <v>1495000</v>
      </c>
      <c r="AX13" s="29" cm="1">
        <f t="array" ref="AX13">TREND('capital processing'!$B$12:$D$12,'capital processing'!$B$2:$D$2,'CCaMC-BCCpUC'!AX1)</f>
        <v>1491785.7142857146</v>
      </c>
      <c r="AY13" s="29" cm="1">
        <f t="array" ref="AY13">TREND('capital processing'!$B$12:$D$12,'capital processing'!$B$2:$D$2,'CCaMC-BCCpUC'!AY1)</f>
        <v>1488571.4285714282</v>
      </c>
      <c r="AZ13" s="29" cm="1">
        <f t="array" ref="AZ13">TREND('capital processing'!$B$12:$D$12,'capital processing'!$B$2:$D$2,'CCaMC-BCCpUC'!AZ1)</f>
        <v>1485357.1428571427</v>
      </c>
      <c r="BA13" s="29" cm="1">
        <f t="array" ref="BA13">TREND('capital processing'!$B$12:$D$12,'capital processing'!$B$2:$D$2,'CCaMC-BCCpUC'!BA1)</f>
        <v>1482142.8571428573</v>
      </c>
    </row>
    <row r="14" spans="1:53" ht="14.25" customHeight="1" x14ac:dyDescent="0.2">
      <c r="A14" s="1" t="s">
        <v>63</v>
      </c>
      <c r="B14" s="29" cm="1">
        <f t="array" ref="B14">TREND('capital processing'!$B$13:$D$13,'capital processing'!$B$2:$D$2,'CCaMC-BCCpUC'!B1)</f>
        <v>3448428.5714285746</v>
      </c>
      <c r="C14" s="29" cm="1">
        <f t="array" ref="C14">TREND('capital processing'!$B$13:$D$13,'capital processing'!$B$2:$D$2,'CCaMC-BCCpUC'!C1)</f>
        <v>3417142.8571428582</v>
      </c>
      <c r="D14" s="29" cm="1">
        <f t="array" ref="D14">TREND('capital processing'!$B$13:$D$13,'capital processing'!$B$2:$D$2,'CCaMC-BCCpUC'!D1)</f>
        <v>3385857.1428571418</v>
      </c>
      <c r="E14" s="29" cm="1">
        <f t="array" ref="E14">TREND('capital processing'!$B$13:$D$13,'capital processing'!$B$2:$D$2,'CCaMC-BCCpUC'!E1)</f>
        <v>3354571.4285714328</v>
      </c>
      <c r="F14" s="29" cm="1">
        <f t="array" ref="F14">TREND('capital processing'!$B$13:$D$13,'capital processing'!$B$2:$D$2,'CCaMC-BCCpUC'!F1)</f>
        <v>3323285.7142857164</v>
      </c>
      <c r="G14" s="29" cm="1">
        <f t="array" ref="G14">TREND('capital processing'!$B$13:$D$13,'capital processing'!$B$2:$D$2,'CCaMC-BCCpUC'!G1)</f>
        <v>3292000</v>
      </c>
      <c r="H14" s="29" cm="1">
        <f t="array" ref="H14">TREND('capital processing'!$B$13:$D$13,'capital processing'!$B$2:$D$2,'CCaMC-BCCpUC'!H1)</f>
        <v>3260714.2857142836</v>
      </c>
      <c r="I14" s="29" cm="1">
        <f t="array" ref="I14">TREND('capital processing'!$B$13:$D$13,'capital processing'!$B$2:$D$2,'CCaMC-BCCpUC'!I1)</f>
        <v>3229428.5714285746</v>
      </c>
      <c r="J14" s="29" cm="1">
        <f t="array" ref="J14">TREND('capital processing'!$B$13:$D$13,'capital processing'!$B$2:$D$2,'CCaMC-BCCpUC'!J1)</f>
        <v>3198142.8571428582</v>
      </c>
      <c r="K14" s="29" cm="1">
        <f t="array" ref="K14">TREND('capital processing'!$B$13:$D$13,'capital processing'!$B$2:$D$2,'CCaMC-BCCpUC'!K1)</f>
        <v>3166857.1428571418</v>
      </c>
      <c r="L14" s="29" cm="1">
        <f t="array" ref="L14">TREND('capital processing'!$B$13:$D$13,'capital processing'!$B$2:$D$2,'CCaMC-BCCpUC'!L1)</f>
        <v>3135571.4285714328</v>
      </c>
      <c r="M14" s="29" cm="1">
        <f t="array" ref="M14">TREND('capital processing'!$B$13:$D$13,'capital processing'!$B$2:$D$2,'CCaMC-BCCpUC'!M1)</f>
        <v>3104285.7142857164</v>
      </c>
      <c r="N14" s="29" cm="1">
        <f t="array" ref="N14">TREND('capital processing'!$B$13:$D$13,'capital processing'!$B$2:$D$2,'CCaMC-BCCpUC'!N1)</f>
        <v>3073000</v>
      </c>
      <c r="O14" s="29" cm="1">
        <f t="array" ref="O14">TREND('capital processing'!$B$13:$D$13,'capital processing'!$B$2:$D$2,'CCaMC-BCCpUC'!O1)</f>
        <v>3041714.2857142836</v>
      </c>
      <c r="P14" s="29" cm="1">
        <f t="array" ref="P14">TREND('capital processing'!$B$13:$D$13,'capital processing'!$B$2:$D$2,'CCaMC-BCCpUC'!P1)</f>
        <v>3010428.5714285746</v>
      </c>
      <c r="Q14" s="29" cm="1">
        <f t="array" ref="Q14">TREND('capital processing'!$B$13:$D$13,'capital processing'!$B$2:$D$2,'CCaMC-BCCpUC'!Q1)</f>
        <v>2979142.8571428582</v>
      </c>
      <c r="R14" s="29" cm="1">
        <f t="array" ref="R14">TREND('capital processing'!$B$13:$D$13,'capital processing'!$B$2:$D$2,'CCaMC-BCCpUC'!R1)</f>
        <v>2947857.1428571418</v>
      </c>
      <c r="S14" s="29" cm="1">
        <f t="array" ref="S14">TREND('capital processing'!$B$13:$D$13,'capital processing'!$B$2:$D$2,'CCaMC-BCCpUC'!S1)</f>
        <v>2916571.4285714328</v>
      </c>
      <c r="T14" s="29" cm="1">
        <f t="array" ref="T14">TREND('capital processing'!$B$13:$D$13,'capital processing'!$B$2:$D$2,'CCaMC-BCCpUC'!T1)</f>
        <v>2885285.7142857164</v>
      </c>
      <c r="U14" s="29" cm="1">
        <f t="array" ref="U14">TREND('capital processing'!$B$13:$D$13,'capital processing'!$B$2:$D$2,'CCaMC-BCCpUC'!U1)</f>
        <v>2854000</v>
      </c>
      <c r="V14" s="29" cm="1">
        <f t="array" ref="V14">TREND('capital processing'!$B$13:$D$13,'capital processing'!$B$2:$D$2,'CCaMC-BCCpUC'!V1)</f>
        <v>2822714.2857142836</v>
      </c>
      <c r="W14" s="29" cm="1">
        <f t="array" ref="W14">TREND('capital processing'!$B$13:$D$13,'capital processing'!$B$2:$D$2,'CCaMC-BCCpUC'!W1)</f>
        <v>2791428.5714285746</v>
      </c>
      <c r="X14" s="29" cm="1">
        <f t="array" ref="X14">TREND('capital processing'!$B$13:$D$13,'capital processing'!$B$2:$D$2,'CCaMC-BCCpUC'!X1)</f>
        <v>2760142.8571428582</v>
      </c>
      <c r="Y14" s="29" cm="1">
        <f t="array" ref="Y14">TREND('capital processing'!$B$13:$D$13,'capital processing'!$B$2:$D$2,'CCaMC-BCCpUC'!Y1)</f>
        <v>2728857.1428571418</v>
      </c>
      <c r="Z14" s="29" cm="1">
        <f t="array" ref="Z14">TREND('capital processing'!$B$13:$D$13,'capital processing'!$B$2:$D$2,'CCaMC-BCCpUC'!Z1)</f>
        <v>2697571.4285714328</v>
      </c>
      <c r="AA14" s="29" cm="1">
        <f t="array" ref="AA14">TREND('capital processing'!$B$13:$D$13,'capital processing'!$B$2:$D$2,'CCaMC-BCCpUC'!AA1)</f>
        <v>2666285.7142857164</v>
      </c>
      <c r="AB14" s="29" cm="1">
        <f t="array" ref="AB14">TREND('capital processing'!$B$13:$D$13,'capital processing'!$B$2:$D$2,'CCaMC-BCCpUC'!AB1)</f>
        <v>2635000</v>
      </c>
      <c r="AC14" s="29" cm="1">
        <f t="array" ref="AC14">TREND('capital processing'!$B$13:$D$13,'capital processing'!$B$2:$D$2,'CCaMC-BCCpUC'!AC1)</f>
        <v>2603714.2857142836</v>
      </c>
      <c r="AD14" s="29" cm="1">
        <f t="array" ref="AD14">TREND('capital processing'!$B$13:$D$13,'capital processing'!$B$2:$D$2,'CCaMC-BCCpUC'!AD1)</f>
        <v>2572428.5714285746</v>
      </c>
      <c r="AE14" s="29" cm="1">
        <f t="array" ref="AE14">TREND('capital processing'!$B$13:$D$13,'capital processing'!$B$2:$D$2,'CCaMC-BCCpUC'!AE1)</f>
        <v>2541142.8571428582</v>
      </c>
      <c r="AF14" s="29" cm="1">
        <f t="array" ref="AF14">TREND('capital processing'!$B$13:$D$13,'capital processing'!$B$2:$D$2,'CCaMC-BCCpUC'!AF1)</f>
        <v>2509857.1428571418</v>
      </c>
      <c r="AG14" s="29" cm="1">
        <f t="array" ref="AG14">TREND('capital processing'!$B$13:$D$13,'capital processing'!$B$2:$D$2,'CCaMC-BCCpUC'!AG1)</f>
        <v>2478571.4285714328</v>
      </c>
      <c r="AH14" s="29" cm="1">
        <f t="array" ref="AH14">TREND('capital processing'!$B$13:$D$13,'capital processing'!$B$2:$D$2,'CCaMC-BCCpUC'!AH1)</f>
        <v>2447285.7142857164</v>
      </c>
      <c r="AI14" s="29" cm="1">
        <f t="array" ref="AI14">TREND('capital processing'!$B$13:$D$13,'capital processing'!$B$2:$D$2,'CCaMC-BCCpUC'!AI1)</f>
        <v>2416000</v>
      </c>
      <c r="AJ14" s="29" cm="1">
        <f t="array" ref="AJ14">TREND('capital processing'!$B$13:$D$13,'capital processing'!$B$2:$D$2,'CCaMC-BCCpUC'!AJ1)</f>
        <v>2384714.2857142836</v>
      </c>
      <c r="AK14" s="29" cm="1">
        <f t="array" ref="AK14">TREND('capital processing'!$B$13:$D$13,'capital processing'!$B$2:$D$2,'CCaMC-BCCpUC'!AK1)</f>
        <v>2353428.5714285746</v>
      </c>
      <c r="AL14" s="29" cm="1">
        <f t="array" ref="AL14">TREND('capital processing'!$B$13:$D$13,'capital processing'!$B$2:$D$2,'CCaMC-BCCpUC'!AL1)</f>
        <v>2322142.8571428582</v>
      </c>
      <c r="AM14" s="29" cm="1">
        <f t="array" ref="AM14">TREND('capital processing'!$B$13:$D$13,'capital processing'!$B$2:$D$2,'CCaMC-BCCpUC'!AM1)</f>
        <v>2290857.1428571418</v>
      </c>
      <c r="AN14" s="29" cm="1">
        <f t="array" ref="AN14">TREND('capital processing'!$B$13:$D$13,'capital processing'!$B$2:$D$2,'CCaMC-BCCpUC'!AN1)</f>
        <v>2259571.4285714328</v>
      </c>
      <c r="AO14" s="29" cm="1">
        <f t="array" ref="AO14">TREND('capital processing'!$B$13:$D$13,'capital processing'!$B$2:$D$2,'CCaMC-BCCpUC'!AO1)</f>
        <v>2228285.7142857164</v>
      </c>
      <c r="AP14" s="29" cm="1">
        <f t="array" ref="AP14">TREND('capital processing'!$B$13:$D$13,'capital processing'!$B$2:$D$2,'CCaMC-BCCpUC'!AP1)</f>
        <v>2197000</v>
      </c>
      <c r="AQ14" s="29" cm="1">
        <f t="array" ref="AQ14">TREND('capital processing'!$B$13:$D$13,'capital processing'!$B$2:$D$2,'CCaMC-BCCpUC'!AQ1)</f>
        <v>2165714.2857142836</v>
      </c>
      <c r="AR14" s="29" cm="1">
        <f t="array" ref="AR14">TREND('capital processing'!$B$13:$D$13,'capital processing'!$B$2:$D$2,'CCaMC-BCCpUC'!AR1)</f>
        <v>2134428.5714285746</v>
      </c>
      <c r="AS14" s="29" cm="1">
        <f t="array" ref="AS14">TREND('capital processing'!$B$13:$D$13,'capital processing'!$B$2:$D$2,'CCaMC-BCCpUC'!AS1)</f>
        <v>2103142.8571428582</v>
      </c>
      <c r="AT14" s="29" cm="1">
        <f t="array" ref="AT14">TREND('capital processing'!$B$13:$D$13,'capital processing'!$B$2:$D$2,'CCaMC-BCCpUC'!AT1)</f>
        <v>2071857.1428571418</v>
      </c>
      <c r="AU14" s="29" cm="1">
        <f t="array" ref="AU14">TREND('capital processing'!$B$13:$D$13,'capital processing'!$B$2:$D$2,'CCaMC-BCCpUC'!AU1)</f>
        <v>2040571.4285714328</v>
      </c>
      <c r="AV14" s="29" cm="1">
        <f t="array" ref="AV14">TREND('capital processing'!$B$13:$D$13,'capital processing'!$B$2:$D$2,'CCaMC-BCCpUC'!AV1)</f>
        <v>2009285.7142857164</v>
      </c>
      <c r="AW14" s="29" cm="1">
        <f t="array" ref="AW14">TREND('capital processing'!$B$13:$D$13,'capital processing'!$B$2:$D$2,'CCaMC-BCCpUC'!AW1)</f>
        <v>1978000</v>
      </c>
      <c r="AX14" s="29" cm="1">
        <f t="array" ref="AX14">TREND('capital processing'!$B$13:$D$13,'capital processing'!$B$2:$D$2,'CCaMC-BCCpUC'!AX1)</f>
        <v>1946714.2857142836</v>
      </c>
      <c r="AY14" s="29" cm="1">
        <f t="array" ref="AY14">TREND('capital processing'!$B$13:$D$13,'capital processing'!$B$2:$D$2,'CCaMC-BCCpUC'!AY1)</f>
        <v>1915428.5714285746</v>
      </c>
      <c r="AZ14" s="29" cm="1">
        <f t="array" ref="AZ14">TREND('capital processing'!$B$13:$D$13,'capital processing'!$B$2:$D$2,'CCaMC-BCCpUC'!AZ1)</f>
        <v>1884142.8571428582</v>
      </c>
      <c r="BA14" s="29" cm="1">
        <f t="array" ref="BA14">TREND('capital processing'!$B$13:$D$13,'capital processing'!$B$2:$D$2,'CCaMC-BCCpUC'!BA1)</f>
        <v>1852857.1428571418</v>
      </c>
    </row>
    <row r="15" spans="1:53" ht="14.25" customHeight="1" x14ac:dyDescent="0.2">
      <c r="A15" s="12" t="s">
        <v>64</v>
      </c>
      <c r="B15" s="29" cm="1">
        <f t="array" ref="B15">TREND('capital processing'!$B$14:$D$14,'capital processing'!$B$2:$D$2,'CCaMC-BCCpUC'!B1)</f>
        <v>803571.42857142864</v>
      </c>
      <c r="C15" s="29" cm="1">
        <f t="array" ref="C15">TREND('capital processing'!$B$14:$D$14,'capital processing'!$B$2:$D$2,'CCaMC-BCCpUC'!C1)</f>
        <v>802857.14285714296</v>
      </c>
      <c r="D15" s="29" cm="1">
        <f t="array" ref="D15">TREND('capital processing'!$B$14:$D$14,'capital processing'!$B$2:$D$2,'CCaMC-BCCpUC'!D1)</f>
        <v>802142.85714285728</v>
      </c>
      <c r="E15" s="29" cm="1">
        <f t="array" ref="E15">TREND('capital processing'!$B$14:$D$14,'capital processing'!$B$2:$D$2,'CCaMC-BCCpUC'!E1)</f>
        <v>801428.57142857159</v>
      </c>
      <c r="F15" s="29" cm="1">
        <f t="array" ref="F15">TREND('capital processing'!$B$14:$D$14,'capital processing'!$B$2:$D$2,'CCaMC-BCCpUC'!F1)</f>
        <v>800714.28571428591</v>
      </c>
      <c r="G15" s="29" cm="1">
        <f t="array" ref="G15">TREND('capital processing'!$B$14:$D$14,'capital processing'!$B$2:$D$2,'CCaMC-BCCpUC'!G1)</f>
        <v>800000</v>
      </c>
      <c r="H15" s="29" cm="1">
        <f t="array" ref="H15">TREND('capital processing'!$B$14:$D$14,'capital processing'!$B$2:$D$2,'CCaMC-BCCpUC'!H1)</f>
        <v>799285.71428571432</v>
      </c>
      <c r="I15" s="29" cm="1">
        <f t="array" ref="I15">TREND('capital processing'!$B$14:$D$14,'capital processing'!$B$2:$D$2,'CCaMC-BCCpUC'!I1)</f>
        <v>798571.42857142864</v>
      </c>
      <c r="J15" s="29" cm="1">
        <f t="array" ref="J15">TREND('capital processing'!$B$14:$D$14,'capital processing'!$B$2:$D$2,'CCaMC-BCCpUC'!J1)</f>
        <v>797857.14285714296</v>
      </c>
      <c r="K15" s="29" cm="1">
        <f t="array" ref="K15">TREND('capital processing'!$B$14:$D$14,'capital processing'!$B$2:$D$2,'CCaMC-BCCpUC'!K1)</f>
        <v>797142.85714285728</v>
      </c>
      <c r="L15" s="29" cm="1">
        <f t="array" ref="L15">TREND('capital processing'!$B$14:$D$14,'capital processing'!$B$2:$D$2,'CCaMC-BCCpUC'!L1)</f>
        <v>796428.57142857159</v>
      </c>
      <c r="M15" s="29" cm="1">
        <f t="array" ref="M15">TREND('capital processing'!$B$14:$D$14,'capital processing'!$B$2:$D$2,'CCaMC-BCCpUC'!M1)</f>
        <v>795714.28571428591</v>
      </c>
      <c r="N15" s="29" cm="1">
        <f t="array" ref="N15">TREND('capital processing'!$B$14:$D$14,'capital processing'!$B$2:$D$2,'CCaMC-BCCpUC'!N1)</f>
        <v>795000</v>
      </c>
      <c r="O15" s="29" cm="1">
        <f t="array" ref="O15">TREND('capital processing'!$B$14:$D$14,'capital processing'!$B$2:$D$2,'CCaMC-BCCpUC'!O1)</f>
        <v>794285.71428571432</v>
      </c>
      <c r="P15" s="29" cm="1">
        <f t="array" ref="P15">TREND('capital processing'!$B$14:$D$14,'capital processing'!$B$2:$D$2,'CCaMC-BCCpUC'!P1)</f>
        <v>793571.42857142864</v>
      </c>
      <c r="Q15" s="29" cm="1">
        <f t="array" ref="Q15">TREND('capital processing'!$B$14:$D$14,'capital processing'!$B$2:$D$2,'CCaMC-BCCpUC'!Q1)</f>
        <v>792857.14285714296</v>
      </c>
      <c r="R15" s="29" cm="1">
        <f t="array" ref="R15">TREND('capital processing'!$B$14:$D$14,'capital processing'!$B$2:$D$2,'CCaMC-BCCpUC'!R1)</f>
        <v>792142.85714285728</v>
      </c>
      <c r="S15" s="29" cm="1">
        <f t="array" ref="S15">TREND('capital processing'!$B$14:$D$14,'capital processing'!$B$2:$D$2,'CCaMC-BCCpUC'!S1)</f>
        <v>791428.57142857159</v>
      </c>
      <c r="T15" s="29" cm="1">
        <f t="array" ref="T15">TREND('capital processing'!$B$14:$D$14,'capital processing'!$B$2:$D$2,'CCaMC-BCCpUC'!T1)</f>
        <v>790714.28571428591</v>
      </c>
      <c r="U15" s="29" cm="1">
        <f t="array" ref="U15">TREND('capital processing'!$B$14:$D$14,'capital processing'!$B$2:$D$2,'CCaMC-BCCpUC'!U1)</f>
        <v>790000</v>
      </c>
      <c r="V15" s="29" cm="1">
        <f t="array" ref="V15">TREND('capital processing'!$B$14:$D$14,'capital processing'!$B$2:$D$2,'CCaMC-BCCpUC'!V1)</f>
        <v>789285.71428571432</v>
      </c>
      <c r="W15" s="29" cm="1">
        <f t="array" ref="W15">TREND('capital processing'!$B$14:$D$14,'capital processing'!$B$2:$D$2,'CCaMC-BCCpUC'!W1)</f>
        <v>788571.42857142864</v>
      </c>
      <c r="X15" s="29" cm="1">
        <f t="array" ref="X15">TREND('capital processing'!$B$14:$D$14,'capital processing'!$B$2:$D$2,'CCaMC-BCCpUC'!X1)</f>
        <v>787857.14285714296</v>
      </c>
      <c r="Y15" s="29" cm="1">
        <f t="array" ref="Y15">TREND('capital processing'!$B$14:$D$14,'capital processing'!$B$2:$D$2,'CCaMC-BCCpUC'!Y1)</f>
        <v>787142.85714285728</v>
      </c>
      <c r="Z15" s="29" cm="1">
        <f t="array" ref="Z15">TREND('capital processing'!$B$14:$D$14,'capital processing'!$B$2:$D$2,'CCaMC-BCCpUC'!Z1)</f>
        <v>786428.57142857159</v>
      </c>
      <c r="AA15" s="29" cm="1">
        <f t="array" ref="AA15">TREND('capital processing'!$B$14:$D$14,'capital processing'!$B$2:$D$2,'CCaMC-BCCpUC'!AA1)</f>
        <v>785714.28571428591</v>
      </c>
      <c r="AB15" s="29" cm="1">
        <f t="array" ref="AB15">TREND('capital processing'!$B$14:$D$14,'capital processing'!$B$2:$D$2,'CCaMC-BCCpUC'!AB1)</f>
        <v>785000</v>
      </c>
      <c r="AC15" s="29" cm="1">
        <f t="array" ref="AC15">TREND('capital processing'!$B$14:$D$14,'capital processing'!$B$2:$D$2,'CCaMC-BCCpUC'!AC1)</f>
        <v>784285.71428571432</v>
      </c>
      <c r="AD15" s="29" cm="1">
        <f t="array" ref="AD15">TREND('capital processing'!$B$14:$D$14,'capital processing'!$B$2:$D$2,'CCaMC-BCCpUC'!AD1)</f>
        <v>783571.42857142864</v>
      </c>
      <c r="AE15" s="29" cm="1">
        <f t="array" ref="AE15">TREND('capital processing'!$B$14:$D$14,'capital processing'!$B$2:$D$2,'CCaMC-BCCpUC'!AE1)</f>
        <v>782857.14285714296</v>
      </c>
      <c r="AF15" s="29" cm="1">
        <f t="array" ref="AF15">TREND('capital processing'!$B$14:$D$14,'capital processing'!$B$2:$D$2,'CCaMC-BCCpUC'!AF1)</f>
        <v>782142.85714285728</v>
      </c>
      <c r="AG15" s="29" cm="1">
        <f t="array" ref="AG15">TREND('capital processing'!$B$14:$D$14,'capital processing'!$B$2:$D$2,'CCaMC-BCCpUC'!AG1)</f>
        <v>781428.57142857159</v>
      </c>
      <c r="AH15" s="29" cm="1">
        <f t="array" ref="AH15">TREND('capital processing'!$B$14:$D$14,'capital processing'!$B$2:$D$2,'CCaMC-BCCpUC'!AH1)</f>
        <v>780714.28571428591</v>
      </c>
      <c r="AI15" s="29" cm="1">
        <f t="array" ref="AI15">TREND('capital processing'!$B$14:$D$14,'capital processing'!$B$2:$D$2,'CCaMC-BCCpUC'!AI1)</f>
        <v>780000</v>
      </c>
      <c r="AJ15" s="29" cm="1">
        <f t="array" ref="AJ15">TREND('capital processing'!$B$14:$D$14,'capital processing'!$B$2:$D$2,'CCaMC-BCCpUC'!AJ1)</f>
        <v>779285.71428571432</v>
      </c>
      <c r="AK15" s="29" cm="1">
        <f t="array" ref="AK15">TREND('capital processing'!$B$14:$D$14,'capital processing'!$B$2:$D$2,'CCaMC-BCCpUC'!AK1)</f>
        <v>778571.42857142864</v>
      </c>
      <c r="AL15" s="29" cm="1">
        <f t="array" ref="AL15">TREND('capital processing'!$B$14:$D$14,'capital processing'!$B$2:$D$2,'CCaMC-BCCpUC'!AL1)</f>
        <v>777857.14285714296</v>
      </c>
      <c r="AM15" s="29" cm="1">
        <f t="array" ref="AM15">TREND('capital processing'!$B$14:$D$14,'capital processing'!$B$2:$D$2,'CCaMC-BCCpUC'!AM1)</f>
        <v>777142.85714285728</v>
      </c>
      <c r="AN15" s="29" cm="1">
        <f t="array" ref="AN15">TREND('capital processing'!$B$14:$D$14,'capital processing'!$B$2:$D$2,'CCaMC-BCCpUC'!AN1)</f>
        <v>776428.57142857159</v>
      </c>
      <c r="AO15" s="29" cm="1">
        <f t="array" ref="AO15">TREND('capital processing'!$B$14:$D$14,'capital processing'!$B$2:$D$2,'CCaMC-BCCpUC'!AO1)</f>
        <v>775714.28571428591</v>
      </c>
      <c r="AP15" s="29" cm="1">
        <f t="array" ref="AP15">TREND('capital processing'!$B$14:$D$14,'capital processing'!$B$2:$D$2,'CCaMC-BCCpUC'!AP1)</f>
        <v>775000</v>
      </c>
      <c r="AQ15" s="29" cm="1">
        <f t="array" ref="AQ15">TREND('capital processing'!$B$14:$D$14,'capital processing'!$B$2:$D$2,'CCaMC-BCCpUC'!AQ1)</f>
        <v>774285.71428571432</v>
      </c>
      <c r="AR15" s="29" cm="1">
        <f t="array" ref="AR15">TREND('capital processing'!$B$14:$D$14,'capital processing'!$B$2:$D$2,'CCaMC-BCCpUC'!AR1)</f>
        <v>773571.42857142864</v>
      </c>
      <c r="AS15" s="29" cm="1">
        <f t="array" ref="AS15">TREND('capital processing'!$B$14:$D$14,'capital processing'!$B$2:$D$2,'CCaMC-BCCpUC'!AS1)</f>
        <v>772857.14285714296</v>
      </c>
      <c r="AT15" s="29" cm="1">
        <f t="array" ref="AT15">TREND('capital processing'!$B$14:$D$14,'capital processing'!$B$2:$D$2,'CCaMC-BCCpUC'!AT1)</f>
        <v>772142.85714285728</v>
      </c>
      <c r="AU15" s="29" cm="1">
        <f t="array" ref="AU15">TREND('capital processing'!$B$14:$D$14,'capital processing'!$B$2:$D$2,'CCaMC-BCCpUC'!AU1)</f>
        <v>771428.57142857159</v>
      </c>
      <c r="AV15" s="29" cm="1">
        <f t="array" ref="AV15">TREND('capital processing'!$B$14:$D$14,'capital processing'!$B$2:$D$2,'CCaMC-BCCpUC'!AV1)</f>
        <v>770714.28571428591</v>
      </c>
      <c r="AW15" s="29" cm="1">
        <f t="array" ref="AW15">TREND('capital processing'!$B$14:$D$14,'capital processing'!$B$2:$D$2,'CCaMC-BCCpUC'!AW1)</f>
        <v>770000</v>
      </c>
      <c r="AX15" s="29" cm="1">
        <f t="array" ref="AX15">TREND('capital processing'!$B$14:$D$14,'capital processing'!$B$2:$D$2,'CCaMC-BCCpUC'!AX1)</f>
        <v>769285.71428571432</v>
      </c>
      <c r="AY15" s="29" cm="1">
        <f t="array" ref="AY15">TREND('capital processing'!$B$14:$D$14,'capital processing'!$B$2:$D$2,'CCaMC-BCCpUC'!AY1)</f>
        <v>768571.42857142864</v>
      </c>
      <c r="AZ15" s="29" cm="1">
        <f t="array" ref="AZ15">TREND('capital processing'!$B$14:$D$14,'capital processing'!$B$2:$D$2,'CCaMC-BCCpUC'!AZ1)</f>
        <v>767857.14285714296</v>
      </c>
      <c r="BA15" s="29" cm="1">
        <f t="array" ref="BA15">TREND('capital processing'!$B$14:$D$14,'capital processing'!$B$2:$D$2,'CCaMC-BCCpUC'!BA1)</f>
        <v>767142.85714285728</v>
      </c>
    </row>
    <row r="16" spans="1:53" ht="14.25" customHeight="1" x14ac:dyDescent="0.2">
      <c r="A16" s="12" t="s">
        <v>65</v>
      </c>
      <c r="B16" s="29">
        <f t="shared" ref="B16" si="0">B15</f>
        <v>803571.42857142864</v>
      </c>
      <c r="C16" s="29">
        <f t="shared" ref="C16:AG16" si="1">C15</f>
        <v>802857.14285714296</v>
      </c>
      <c r="D16" s="29">
        <f t="shared" si="1"/>
        <v>802142.85714285728</v>
      </c>
      <c r="E16" s="29">
        <f t="shared" si="1"/>
        <v>801428.57142857159</v>
      </c>
      <c r="F16" s="29">
        <f t="shared" si="1"/>
        <v>800714.28571428591</v>
      </c>
      <c r="G16" s="29">
        <f t="shared" si="1"/>
        <v>800000</v>
      </c>
      <c r="H16" s="29">
        <f t="shared" si="1"/>
        <v>799285.71428571432</v>
      </c>
      <c r="I16" s="29">
        <f t="shared" si="1"/>
        <v>798571.42857142864</v>
      </c>
      <c r="J16" s="29">
        <f t="shared" si="1"/>
        <v>797857.14285714296</v>
      </c>
      <c r="K16" s="29">
        <f t="shared" si="1"/>
        <v>797142.85714285728</v>
      </c>
      <c r="L16" s="29">
        <f t="shared" si="1"/>
        <v>796428.57142857159</v>
      </c>
      <c r="M16" s="29">
        <f t="shared" si="1"/>
        <v>795714.28571428591</v>
      </c>
      <c r="N16" s="29">
        <f t="shared" si="1"/>
        <v>795000</v>
      </c>
      <c r="O16" s="29">
        <f t="shared" si="1"/>
        <v>794285.71428571432</v>
      </c>
      <c r="P16" s="29">
        <f t="shared" si="1"/>
        <v>793571.42857142864</v>
      </c>
      <c r="Q16" s="29">
        <f t="shared" si="1"/>
        <v>792857.14285714296</v>
      </c>
      <c r="R16" s="29">
        <f t="shared" si="1"/>
        <v>792142.85714285728</v>
      </c>
      <c r="S16" s="29">
        <f t="shared" si="1"/>
        <v>791428.57142857159</v>
      </c>
      <c r="T16" s="29">
        <f t="shared" si="1"/>
        <v>790714.28571428591</v>
      </c>
      <c r="U16" s="29">
        <f t="shared" si="1"/>
        <v>790000</v>
      </c>
      <c r="V16" s="29">
        <f t="shared" si="1"/>
        <v>789285.71428571432</v>
      </c>
      <c r="W16" s="29">
        <f t="shared" si="1"/>
        <v>788571.42857142864</v>
      </c>
      <c r="X16" s="29">
        <f t="shared" si="1"/>
        <v>787857.14285714296</v>
      </c>
      <c r="Y16" s="29">
        <f t="shared" si="1"/>
        <v>787142.85714285728</v>
      </c>
      <c r="Z16" s="29">
        <f t="shared" si="1"/>
        <v>786428.57142857159</v>
      </c>
      <c r="AA16" s="29">
        <f t="shared" si="1"/>
        <v>785714.28571428591</v>
      </c>
      <c r="AB16" s="29">
        <f t="shared" si="1"/>
        <v>785000</v>
      </c>
      <c r="AC16" s="29">
        <f t="shared" si="1"/>
        <v>784285.71428571432</v>
      </c>
      <c r="AD16" s="29">
        <f t="shared" si="1"/>
        <v>783571.42857142864</v>
      </c>
      <c r="AE16" s="29">
        <f t="shared" si="1"/>
        <v>782857.14285714296</v>
      </c>
      <c r="AF16" s="29">
        <f t="shared" si="1"/>
        <v>782142.85714285728</v>
      </c>
      <c r="AG16" s="29">
        <f t="shared" si="1"/>
        <v>781428.57142857159</v>
      </c>
      <c r="AH16" s="29">
        <f t="shared" ref="AH16:BA16" si="2">AH15</f>
        <v>780714.28571428591</v>
      </c>
      <c r="AI16" s="29">
        <f t="shared" si="2"/>
        <v>780000</v>
      </c>
      <c r="AJ16" s="29">
        <f t="shared" si="2"/>
        <v>779285.71428571432</v>
      </c>
      <c r="AK16" s="29">
        <f t="shared" si="2"/>
        <v>778571.42857142864</v>
      </c>
      <c r="AL16" s="29">
        <f t="shared" si="2"/>
        <v>777857.14285714296</v>
      </c>
      <c r="AM16" s="29">
        <f t="shared" si="2"/>
        <v>777142.85714285728</v>
      </c>
      <c r="AN16" s="29">
        <f t="shared" si="2"/>
        <v>776428.57142857159</v>
      </c>
      <c r="AO16" s="29">
        <f t="shared" si="2"/>
        <v>775714.28571428591</v>
      </c>
      <c r="AP16" s="29">
        <f t="shared" si="2"/>
        <v>775000</v>
      </c>
      <c r="AQ16" s="29">
        <f t="shared" si="2"/>
        <v>774285.71428571432</v>
      </c>
      <c r="AR16" s="29">
        <f t="shared" si="2"/>
        <v>773571.42857142864</v>
      </c>
      <c r="AS16" s="29">
        <f t="shared" si="2"/>
        <v>772857.14285714296</v>
      </c>
      <c r="AT16" s="29">
        <f t="shared" si="2"/>
        <v>772142.85714285728</v>
      </c>
      <c r="AU16" s="29">
        <f t="shared" si="2"/>
        <v>771428.57142857159</v>
      </c>
      <c r="AV16" s="29">
        <f t="shared" si="2"/>
        <v>770714.28571428591</v>
      </c>
      <c r="AW16" s="29">
        <f t="shared" si="2"/>
        <v>770000</v>
      </c>
      <c r="AX16" s="29">
        <f t="shared" si="2"/>
        <v>769285.71428571432</v>
      </c>
      <c r="AY16" s="29">
        <f t="shared" si="2"/>
        <v>768571.42857142864</v>
      </c>
      <c r="AZ16" s="29">
        <f t="shared" si="2"/>
        <v>767857.14285714296</v>
      </c>
      <c r="BA16" s="29">
        <f t="shared" si="2"/>
        <v>767142.85714285728</v>
      </c>
    </row>
    <row r="17" spans="1:53" ht="14.25" customHeight="1" x14ac:dyDescent="0.2">
      <c r="A17" s="12" t="s">
        <v>66</v>
      </c>
      <c r="B17" s="29" cm="1">
        <f t="array" ref="B17">TREND('capital processing'!$B$16:$D$16,'capital processing'!$B$2:$D$2,'CCaMC-BCCpUC'!B$1)</f>
        <v>691214.28571428545</v>
      </c>
      <c r="C17" s="29" cm="1">
        <f t="array" ref="C17">TREND('capital processing'!$B$16:$D$16,'capital processing'!$B$2:$D$2,'CCaMC-BCCpUC'!C$1)</f>
        <v>688571.42857142817</v>
      </c>
      <c r="D17" s="29" cm="1">
        <f t="array" ref="D17">TREND('capital processing'!$B$16:$D$16,'capital processing'!$B$2:$D$2,'CCaMC-BCCpUC'!D$1)</f>
        <v>685928.5714285709</v>
      </c>
      <c r="E17" s="29" cm="1">
        <f t="array" ref="E17">TREND('capital processing'!$B$16:$D$16,'capital processing'!$B$2:$D$2,'CCaMC-BCCpUC'!E$1)</f>
        <v>683285.71428571362</v>
      </c>
      <c r="F17" s="29" cm="1">
        <f t="array" ref="F17">TREND('capital processing'!$B$16:$D$16,'capital processing'!$B$2:$D$2,'CCaMC-BCCpUC'!F$1)</f>
        <v>680642.85714285634</v>
      </c>
      <c r="G17" s="29" cm="1">
        <f t="array" ref="G17">TREND('capital processing'!$B$16:$D$16,'capital processing'!$B$2:$D$2,'CCaMC-BCCpUC'!G$1)</f>
        <v>678000</v>
      </c>
      <c r="H17" s="29" cm="1">
        <f t="array" ref="H17">TREND('capital processing'!$B$16:$D$16,'capital processing'!$B$2:$D$2,'CCaMC-BCCpUC'!H$1)</f>
        <v>675357.14285714272</v>
      </c>
      <c r="I17" s="29" cm="1">
        <f t="array" ref="I17">TREND('capital processing'!$B$16:$D$16,'capital processing'!$B$2:$D$2,'CCaMC-BCCpUC'!I$1)</f>
        <v>672714.28571428545</v>
      </c>
      <c r="J17" s="29" cm="1">
        <f t="array" ref="J17">TREND('capital processing'!$B$16:$D$16,'capital processing'!$B$2:$D$2,'CCaMC-BCCpUC'!J$1)</f>
        <v>670071.42857142817</v>
      </c>
      <c r="K17" s="29" cm="1">
        <f t="array" ref="K17">TREND('capital processing'!$B$16:$D$16,'capital processing'!$B$2:$D$2,'CCaMC-BCCpUC'!K$1)</f>
        <v>667428.5714285709</v>
      </c>
      <c r="L17" s="29" cm="1">
        <f t="array" ref="L17">TREND('capital processing'!$B$16:$D$16,'capital processing'!$B$2:$D$2,'CCaMC-BCCpUC'!L$1)</f>
        <v>664785.71428571362</v>
      </c>
      <c r="M17" s="29" cm="1">
        <f t="array" ref="M17">TREND('capital processing'!$B$16:$D$16,'capital processing'!$B$2:$D$2,'CCaMC-BCCpUC'!M$1)</f>
        <v>662142.85714285634</v>
      </c>
      <c r="N17" s="29" cm="1">
        <f t="array" ref="N17">TREND('capital processing'!$B$16:$D$16,'capital processing'!$B$2:$D$2,'CCaMC-BCCpUC'!N$1)</f>
        <v>659500</v>
      </c>
      <c r="O17" s="29" cm="1">
        <f t="array" ref="O17">TREND('capital processing'!$B$16:$D$16,'capital processing'!$B$2:$D$2,'CCaMC-BCCpUC'!O$1)</f>
        <v>656857.14285714272</v>
      </c>
      <c r="P17" s="29" cm="1">
        <f t="array" ref="P17">TREND('capital processing'!$B$16:$D$16,'capital processing'!$B$2:$D$2,'CCaMC-BCCpUC'!P$1)</f>
        <v>654214.28571428545</v>
      </c>
      <c r="Q17" s="29" cm="1">
        <f t="array" ref="Q17">TREND('capital processing'!$B$16:$D$16,'capital processing'!$B$2:$D$2,'CCaMC-BCCpUC'!Q$1)</f>
        <v>651571.42857142817</v>
      </c>
      <c r="R17" s="29" cm="1">
        <f t="array" ref="R17">TREND('capital processing'!$B$16:$D$16,'capital processing'!$B$2:$D$2,'CCaMC-BCCpUC'!R$1)</f>
        <v>648928.5714285709</v>
      </c>
      <c r="S17" s="29" cm="1">
        <f t="array" ref="S17">TREND('capital processing'!$B$16:$D$16,'capital processing'!$B$2:$D$2,'CCaMC-BCCpUC'!S$1)</f>
        <v>646285.71428571362</v>
      </c>
      <c r="T17" s="29" cm="1">
        <f t="array" ref="T17">TREND('capital processing'!$B$16:$D$16,'capital processing'!$B$2:$D$2,'CCaMC-BCCpUC'!T$1)</f>
        <v>643642.85714285634</v>
      </c>
      <c r="U17" s="29" cm="1">
        <f t="array" ref="U17">TREND('capital processing'!$B$16:$D$16,'capital processing'!$B$2:$D$2,'CCaMC-BCCpUC'!U$1)</f>
        <v>641000</v>
      </c>
      <c r="V17" s="29" cm="1">
        <f t="array" ref="V17">TREND('capital processing'!$B$16:$D$16,'capital processing'!$B$2:$D$2,'CCaMC-BCCpUC'!V$1)</f>
        <v>638357.14285714272</v>
      </c>
      <c r="W17" s="29" cm="1">
        <f t="array" ref="W17">TREND('capital processing'!$B$16:$D$16,'capital processing'!$B$2:$D$2,'CCaMC-BCCpUC'!W$1)</f>
        <v>635714.28571428545</v>
      </c>
      <c r="X17" s="29" cm="1">
        <f t="array" ref="X17">TREND('capital processing'!$B$16:$D$16,'capital processing'!$B$2:$D$2,'CCaMC-BCCpUC'!X$1)</f>
        <v>633071.42857142817</v>
      </c>
      <c r="Y17" s="29" cm="1">
        <f t="array" ref="Y17">TREND('capital processing'!$B$16:$D$16,'capital processing'!$B$2:$D$2,'CCaMC-BCCpUC'!Y$1)</f>
        <v>630428.5714285709</v>
      </c>
      <c r="Z17" s="29" cm="1">
        <f t="array" ref="Z17">TREND('capital processing'!$B$16:$D$16,'capital processing'!$B$2:$D$2,'CCaMC-BCCpUC'!Z$1)</f>
        <v>627785.71428571362</v>
      </c>
      <c r="AA17" s="29" cm="1">
        <f t="array" ref="AA17">TREND('capital processing'!$B$16:$D$16,'capital processing'!$B$2:$D$2,'CCaMC-BCCpUC'!AA$1)</f>
        <v>625142.85714285634</v>
      </c>
      <c r="AB17" s="29" cm="1">
        <f t="array" ref="AB17">TREND('capital processing'!$B$16:$D$16,'capital processing'!$B$2:$D$2,'CCaMC-BCCpUC'!AB$1)</f>
        <v>622500</v>
      </c>
      <c r="AC17" s="29" cm="1">
        <f t="array" ref="AC17">TREND('capital processing'!$B$16:$D$16,'capital processing'!$B$2:$D$2,'CCaMC-BCCpUC'!AC$1)</f>
        <v>619857.14285714272</v>
      </c>
      <c r="AD17" s="29" cm="1">
        <f t="array" ref="AD17">TREND('capital processing'!$B$16:$D$16,'capital processing'!$B$2:$D$2,'CCaMC-BCCpUC'!AD$1)</f>
        <v>617214.28571428545</v>
      </c>
      <c r="AE17" s="29" cm="1">
        <f t="array" ref="AE17">TREND('capital processing'!$B$16:$D$16,'capital processing'!$B$2:$D$2,'CCaMC-BCCpUC'!AE$1)</f>
        <v>614571.42857142817</v>
      </c>
      <c r="AF17" s="29" cm="1">
        <f t="array" ref="AF17">TREND('capital processing'!$B$16:$D$16,'capital processing'!$B$2:$D$2,'CCaMC-BCCpUC'!AF$1)</f>
        <v>611928.5714285709</v>
      </c>
      <c r="AG17" s="29" cm="1">
        <f t="array" ref="AG17">TREND('capital processing'!$B$16:$D$16,'capital processing'!$B$2:$D$2,'CCaMC-BCCpUC'!AG$1)</f>
        <v>609285.71428571362</v>
      </c>
      <c r="AH17" s="29" cm="1">
        <f t="array" ref="AH17">TREND('capital processing'!$B$16:$D$16,'capital processing'!$B$2:$D$2,'CCaMC-BCCpUC'!AH$1)</f>
        <v>606642.85714285634</v>
      </c>
      <c r="AI17" s="29" cm="1">
        <f t="array" ref="AI17">TREND('capital processing'!$B$16:$D$16,'capital processing'!$B$2:$D$2,'CCaMC-BCCpUC'!AI$1)</f>
        <v>604000</v>
      </c>
      <c r="AJ17" s="29" cm="1">
        <f t="array" ref="AJ17">TREND('capital processing'!$B$16:$D$16,'capital processing'!$B$2:$D$2,'CCaMC-BCCpUC'!AJ$1)</f>
        <v>601357.14285714272</v>
      </c>
      <c r="AK17" s="29" cm="1">
        <f t="array" ref="AK17">TREND('capital processing'!$B$16:$D$16,'capital processing'!$B$2:$D$2,'CCaMC-BCCpUC'!AK$1)</f>
        <v>598714.28571428545</v>
      </c>
      <c r="AL17" s="29" cm="1">
        <f t="array" ref="AL17">TREND('capital processing'!$B$16:$D$16,'capital processing'!$B$2:$D$2,'CCaMC-BCCpUC'!AL$1)</f>
        <v>596071.42857142817</v>
      </c>
      <c r="AM17" s="29" cm="1">
        <f t="array" ref="AM17">TREND('capital processing'!$B$16:$D$16,'capital processing'!$B$2:$D$2,'CCaMC-BCCpUC'!AM$1)</f>
        <v>593428.5714285709</v>
      </c>
      <c r="AN17" s="29" cm="1">
        <f t="array" ref="AN17">TREND('capital processing'!$B$16:$D$16,'capital processing'!$B$2:$D$2,'CCaMC-BCCpUC'!AN$1)</f>
        <v>590785.71428571362</v>
      </c>
      <c r="AO17" s="29" cm="1">
        <f t="array" ref="AO17">TREND('capital processing'!$B$16:$D$16,'capital processing'!$B$2:$D$2,'CCaMC-BCCpUC'!AO$1)</f>
        <v>588142.85714285634</v>
      </c>
      <c r="AP17" s="29" cm="1">
        <f t="array" ref="AP17">TREND('capital processing'!$B$16:$D$16,'capital processing'!$B$2:$D$2,'CCaMC-BCCpUC'!AP$1)</f>
        <v>585500</v>
      </c>
      <c r="AQ17" s="29" cm="1">
        <f t="array" ref="AQ17">TREND('capital processing'!$B$16:$D$16,'capital processing'!$B$2:$D$2,'CCaMC-BCCpUC'!AQ$1)</f>
        <v>582857.14285714272</v>
      </c>
      <c r="AR17" s="29" cm="1">
        <f t="array" ref="AR17">TREND('capital processing'!$B$16:$D$16,'capital processing'!$B$2:$D$2,'CCaMC-BCCpUC'!AR$1)</f>
        <v>580214.28571428545</v>
      </c>
      <c r="AS17" s="29" cm="1">
        <f t="array" ref="AS17">TREND('capital processing'!$B$16:$D$16,'capital processing'!$B$2:$D$2,'CCaMC-BCCpUC'!AS$1)</f>
        <v>577571.42857142817</v>
      </c>
      <c r="AT17" s="29" cm="1">
        <f t="array" ref="AT17">TREND('capital processing'!$B$16:$D$16,'capital processing'!$B$2:$D$2,'CCaMC-BCCpUC'!AT$1)</f>
        <v>574928.5714285709</v>
      </c>
      <c r="AU17" s="29" cm="1">
        <f t="array" ref="AU17">TREND('capital processing'!$B$16:$D$16,'capital processing'!$B$2:$D$2,'CCaMC-BCCpUC'!AU$1)</f>
        <v>572285.71428571362</v>
      </c>
      <c r="AV17" s="29" cm="1">
        <f t="array" ref="AV17">TREND('capital processing'!$B$16:$D$16,'capital processing'!$B$2:$D$2,'CCaMC-BCCpUC'!AV$1)</f>
        <v>569642.85714285634</v>
      </c>
      <c r="AW17" s="29" cm="1">
        <f t="array" ref="AW17">TREND('capital processing'!$B$16:$D$16,'capital processing'!$B$2:$D$2,'CCaMC-BCCpUC'!AW$1)</f>
        <v>567000</v>
      </c>
      <c r="AX17" s="29" cm="1">
        <f t="array" ref="AX17">TREND('capital processing'!$B$16:$D$16,'capital processing'!$B$2:$D$2,'CCaMC-BCCpUC'!AX$1)</f>
        <v>564357.14285714272</v>
      </c>
      <c r="AY17" s="29" cm="1">
        <f t="array" ref="AY17">TREND('capital processing'!$B$16:$D$16,'capital processing'!$B$2:$D$2,'CCaMC-BCCpUC'!AY$1)</f>
        <v>561714.28571428545</v>
      </c>
      <c r="AZ17" s="29" cm="1">
        <f t="array" ref="AZ17">TREND('capital processing'!$B$16:$D$16,'capital processing'!$B$2:$D$2,'CCaMC-BCCpUC'!AZ$1)</f>
        <v>559071.42857142817</v>
      </c>
      <c r="BA17" s="29" cm="1">
        <f t="array" ref="BA17">TREND('capital processing'!$B$16:$D$16,'capital processing'!$B$2:$D$2,'CCaMC-BCCpUC'!BA$1)</f>
        <v>556428.5714285709</v>
      </c>
    </row>
    <row r="18" spans="1:53" ht="14.25" customHeight="1" x14ac:dyDescent="0.2"/>
    <row r="19" spans="1:53" ht="14.25" customHeight="1" x14ac:dyDescent="0.2">
      <c r="A19" s="12"/>
    </row>
    <row r="20" spans="1:53" ht="14.25" customHeight="1" x14ac:dyDescent="0.2"/>
    <row r="21" spans="1:53" ht="14.25" customHeight="1" x14ac:dyDescent="0.2">
      <c r="D21" s="10"/>
    </row>
    <row r="22" spans="1:53" ht="14.25" customHeight="1" x14ac:dyDescent="0.2">
      <c r="D22" s="10"/>
    </row>
    <row r="23" spans="1:53" ht="14.25" customHeight="1" x14ac:dyDescent="0.2">
      <c r="D23" s="10"/>
    </row>
    <row r="24" spans="1:53" ht="14.25" customHeight="1" x14ac:dyDescent="0.2">
      <c r="D24" s="10"/>
    </row>
    <row r="25" spans="1:53" ht="14.25" customHeight="1" x14ac:dyDescent="0.2">
      <c r="D25" s="10"/>
    </row>
    <row r="26" spans="1:53" ht="14.25" customHeight="1" x14ac:dyDescent="0.2">
      <c r="D26" s="10"/>
    </row>
    <row r="27" spans="1:53" ht="14.25" customHeight="1" x14ac:dyDescent="0.2">
      <c r="D27" s="10"/>
    </row>
    <row r="28" spans="1:53" ht="14.25" customHeight="1" x14ac:dyDescent="0.2">
      <c r="D28" s="10"/>
    </row>
    <row r="29" spans="1:53" ht="14.25" customHeight="1" x14ac:dyDescent="0.2">
      <c r="D29" s="10"/>
    </row>
    <row r="30" spans="1:53" ht="14.25" customHeight="1" x14ac:dyDescent="0.2">
      <c r="D30" s="10"/>
    </row>
    <row r="31" spans="1:53" ht="14.25" customHeight="1" x14ac:dyDescent="0.2">
      <c r="D31" s="10"/>
    </row>
    <row r="32" spans="1:53" ht="14.25" customHeight="1" x14ac:dyDescent="0.2">
      <c r="D32" s="10"/>
    </row>
    <row r="33" spans="4:4" ht="14.25" customHeight="1" x14ac:dyDescent="0.2">
      <c r="D33" s="10"/>
    </row>
    <row r="34" spans="4:4" ht="14.25" customHeight="1" x14ac:dyDescent="0.2">
      <c r="D34" s="10"/>
    </row>
    <row r="35" spans="4:4" ht="14.25" customHeight="1" x14ac:dyDescent="0.2">
      <c r="D35" s="10"/>
    </row>
    <row r="36" spans="4:4" ht="14.25" customHeight="1" x14ac:dyDescent="0.2">
      <c r="D36" s="10"/>
    </row>
    <row r="37" spans="4:4" ht="14.25" customHeight="1" x14ac:dyDescent="0.2"/>
    <row r="38" spans="4:4" ht="14.25" customHeight="1" x14ac:dyDescent="0.2"/>
    <row r="39" spans="4:4" ht="14.25" customHeight="1" x14ac:dyDescent="0.2"/>
    <row r="40" spans="4:4" ht="14.25" customHeight="1" x14ac:dyDescent="0.2"/>
    <row r="41" spans="4:4" ht="14.25" customHeight="1" x14ac:dyDescent="0.2"/>
    <row r="42" spans="4:4" ht="14.25" customHeight="1" x14ac:dyDescent="0.2"/>
    <row r="43" spans="4:4" ht="14.25" customHeight="1" x14ac:dyDescent="0.2"/>
    <row r="44" spans="4:4" ht="14.25" customHeight="1" x14ac:dyDescent="0.2"/>
    <row r="45" spans="4:4" ht="14.25" customHeight="1" x14ac:dyDescent="0.2"/>
    <row r="46" spans="4:4" ht="14.25" customHeight="1" x14ac:dyDescent="0.2"/>
    <row r="47" spans="4:4" ht="14.25" customHeight="1" x14ac:dyDescent="0.2"/>
    <row r="48" spans="4:4"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BA1000"/>
  <sheetViews>
    <sheetView tabSelected="1" topLeftCell="AL1" workbookViewId="0">
      <selection activeCell="AG2" sqref="AG2:BA17"/>
    </sheetView>
  </sheetViews>
  <sheetFormatPr baseColWidth="10" defaultColWidth="14.5" defaultRowHeight="15" customHeight="1" x14ac:dyDescent="0.2"/>
  <cols>
    <col min="1" max="1" width="35.5" customWidth="1"/>
    <col min="2" max="33" width="9.1640625" customWidth="1"/>
  </cols>
  <sheetData>
    <row r="1" spans="1:53" ht="14.25" customHeight="1" x14ac:dyDescent="0.2">
      <c r="A1" s="20" t="s">
        <v>53</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ht="14.25" customHeight="1" x14ac:dyDescent="0.2">
      <c r="A2" s="9" t="s">
        <v>67</v>
      </c>
      <c r="B2" s="21">
        <v>0</v>
      </c>
      <c r="C2" s="21">
        <v>0</v>
      </c>
      <c r="D2" s="21">
        <v>0</v>
      </c>
      <c r="E2" s="21">
        <v>0</v>
      </c>
      <c r="F2" s="21">
        <v>0</v>
      </c>
      <c r="G2" s="21">
        <v>0</v>
      </c>
      <c r="H2" s="21">
        <v>0</v>
      </c>
      <c r="I2" s="21">
        <v>0</v>
      </c>
      <c r="J2" s="21">
        <v>0</v>
      </c>
      <c r="K2" s="21">
        <v>0</v>
      </c>
      <c r="L2" s="21">
        <v>0</v>
      </c>
      <c r="M2" s="21">
        <v>0</v>
      </c>
      <c r="N2" s="21">
        <v>0</v>
      </c>
      <c r="O2" s="21">
        <v>0</v>
      </c>
      <c r="P2" s="21">
        <v>0</v>
      </c>
      <c r="Q2" s="21">
        <v>0</v>
      </c>
      <c r="R2" s="21">
        <v>0</v>
      </c>
      <c r="S2" s="21">
        <v>0</v>
      </c>
      <c r="T2" s="21">
        <v>0</v>
      </c>
      <c r="U2" s="21">
        <v>0</v>
      </c>
      <c r="V2" s="21">
        <v>0</v>
      </c>
      <c r="W2" s="21">
        <v>0</v>
      </c>
      <c r="X2" s="21">
        <v>0</v>
      </c>
      <c r="Y2" s="21">
        <v>0</v>
      </c>
      <c r="Z2" s="21">
        <v>0</v>
      </c>
      <c r="AA2" s="21">
        <v>0</v>
      </c>
      <c r="AB2" s="21">
        <v>0</v>
      </c>
      <c r="AC2" s="21">
        <v>0</v>
      </c>
      <c r="AD2" s="21">
        <v>0</v>
      </c>
      <c r="AE2" s="21">
        <v>0</v>
      </c>
      <c r="AF2" s="21">
        <v>0</v>
      </c>
      <c r="AG2" s="21">
        <v>0</v>
      </c>
      <c r="AH2" s="21">
        <v>0</v>
      </c>
      <c r="AI2" s="21">
        <v>0</v>
      </c>
      <c r="AJ2" s="21">
        <v>0</v>
      </c>
      <c r="AK2" s="21">
        <v>0</v>
      </c>
      <c r="AL2" s="21">
        <v>0</v>
      </c>
      <c r="AM2" s="21">
        <v>0</v>
      </c>
      <c r="AN2" s="21">
        <v>0</v>
      </c>
      <c r="AO2" s="21">
        <v>0</v>
      </c>
      <c r="AP2" s="21">
        <v>0</v>
      </c>
      <c r="AQ2" s="21">
        <v>0</v>
      </c>
      <c r="AR2" s="21">
        <v>0</v>
      </c>
      <c r="AS2" s="21">
        <v>0</v>
      </c>
      <c r="AT2" s="21">
        <v>0</v>
      </c>
      <c r="AU2" s="21">
        <v>0</v>
      </c>
      <c r="AV2" s="21">
        <v>0</v>
      </c>
      <c r="AW2" s="21">
        <v>0</v>
      </c>
      <c r="AX2" s="21">
        <v>0</v>
      </c>
      <c r="AY2" s="21">
        <v>0</v>
      </c>
      <c r="AZ2" s="21">
        <v>0</v>
      </c>
      <c r="BA2" s="21">
        <v>0</v>
      </c>
    </row>
    <row r="3" spans="1:53" ht="14.25" customHeight="1" x14ac:dyDescent="0.2">
      <c r="A3" s="9" t="s">
        <v>68</v>
      </c>
      <c r="B3" s="21">
        <v>0</v>
      </c>
      <c r="C3" s="21">
        <v>0</v>
      </c>
      <c r="D3" s="21">
        <v>0</v>
      </c>
      <c r="E3" s="21">
        <v>0</v>
      </c>
      <c r="F3" s="21">
        <v>0</v>
      </c>
      <c r="G3" s="21">
        <v>0</v>
      </c>
      <c r="H3" s="21">
        <v>0</v>
      </c>
      <c r="I3" s="21">
        <v>0</v>
      </c>
      <c r="J3" s="21">
        <v>0</v>
      </c>
      <c r="K3" s="21">
        <v>0</v>
      </c>
      <c r="L3" s="21">
        <v>0</v>
      </c>
      <c r="M3" s="21">
        <v>0</v>
      </c>
      <c r="N3" s="21">
        <v>0</v>
      </c>
      <c r="O3" s="21">
        <v>0</v>
      </c>
      <c r="P3" s="21">
        <v>0</v>
      </c>
      <c r="Q3" s="21">
        <v>0</v>
      </c>
      <c r="R3" s="21">
        <v>0</v>
      </c>
      <c r="S3" s="21">
        <v>0</v>
      </c>
      <c r="T3" s="21">
        <v>0</v>
      </c>
      <c r="U3" s="21">
        <v>0</v>
      </c>
      <c r="V3" s="21">
        <v>0</v>
      </c>
      <c r="W3" s="21">
        <v>0</v>
      </c>
      <c r="X3" s="21">
        <v>0</v>
      </c>
      <c r="Y3" s="21">
        <v>0</v>
      </c>
      <c r="Z3" s="21">
        <v>0</v>
      </c>
      <c r="AA3" s="21">
        <v>0</v>
      </c>
      <c r="AB3" s="21">
        <v>0</v>
      </c>
      <c r="AC3" s="21">
        <v>0</v>
      </c>
      <c r="AD3" s="21">
        <v>0</v>
      </c>
      <c r="AE3" s="21">
        <v>0</v>
      </c>
      <c r="AF3" s="21">
        <v>0</v>
      </c>
      <c r="AG3" s="21">
        <v>0</v>
      </c>
      <c r="AH3" s="21">
        <v>0</v>
      </c>
      <c r="AI3" s="21">
        <v>0</v>
      </c>
      <c r="AJ3" s="21">
        <v>0</v>
      </c>
      <c r="AK3" s="21">
        <v>0</v>
      </c>
      <c r="AL3" s="21">
        <v>0</v>
      </c>
      <c r="AM3" s="21">
        <v>0</v>
      </c>
      <c r="AN3" s="21">
        <v>0</v>
      </c>
      <c r="AO3" s="21">
        <v>0</v>
      </c>
      <c r="AP3" s="21">
        <v>0</v>
      </c>
      <c r="AQ3" s="21">
        <v>0</v>
      </c>
      <c r="AR3" s="21">
        <v>0</v>
      </c>
      <c r="AS3" s="21">
        <v>0</v>
      </c>
      <c r="AT3" s="21">
        <v>0</v>
      </c>
      <c r="AU3" s="21">
        <v>0</v>
      </c>
      <c r="AV3" s="21">
        <v>0</v>
      </c>
      <c r="AW3" s="21">
        <v>0</v>
      </c>
      <c r="AX3" s="21">
        <v>0</v>
      </c>
      <c r="AY3" s="21">
        <v>0</v>
      </c>
      <c r="AZ3" s="21">
        <v>0</v>
      </c>
      <c r="BA3" s="21">
        <v>0</v>
      </c>
    </row>
    <row r="4" spans="1:53" ht="14.25" customHeight="1" x14ac:dyDescent="0.2">
      <c r="A4" s="9" t="s">
        <v>69</v>
      </c>
      <c r="B4" s="21">
        <v>0</v>
      </c>
      <c r="C4" s="21">
        <v>0</v>
      </c>
      <c r="D4" s="21">
        <v>0</v>
      </c>
      <c r="E4" s="21">
        <v>0</v>
      </c>
      <c r="F4" s="21">
        <v>0</v>
      </c>
      <c r="G4" s="21">
        <v>0</v>
      </c>
      <c r="H4" s="21">
        <v>0</v>
      </c>
      <c r="I4" s="21">
        <v>0</v>
      </c>
      <c r="J4" s="21">
        <v>0</v>
      </c>
      <c r="K4" s="21">
        <v>0</v>
      </c>
      <c r="L4" s="21">
        <v>0</v>
      </c>
      <c r="M4" s="21">
        <v>0</v>
      </c>
      <c r="N4" s="21">
        <v>0</v>
      </c>
      <c r="O4" s="21">
        <v>0</v>
      </c>
      <c r="P4" s="21">
        <v>0</v>
      </c>
      <c r="Q4" s="21">
        <v>0</v>
      </c>
      <c r="R4" s="21">
        <v>0</v>
      </c>
      <c r="S4" s="21">
        <v>0</v>
      </c>
      <c r="T4" s="21">
        <v>0</v>
      </c>
      <c r="U4" s="21">
        <v>0</v>
      </c>
      <c r="V4" s="21">
        <v>0</v>
      </c>
      <c r="W4" s="21">
        <v>0</v>
      </c>
      <c r="X4" s="21">
        <v>0</v>
      </c>
      <c r="Y4" s="21">
        <v>0</v>
      </c>
      <c r="Z4" s="21">
        <v>0</v>
      </c>
      <c r="AA4" s="21">
        <v>0</v>
      </c>
      <c r="AB4" s="21">
        <v>0</v>
      </c>
      <c r="AC4" s="21">
        <v>0</v>
      </c>
      <c r="AD4" s="21">
        <v>0</v>
      </c>
      <c r="AE4" s="21">
        <v>0</v>
      </c>
      <c r="AF4" s="21">
        <v>0</v>
      </c>
      <c r="AG4" s="21">
        <v>0</v>
      </c>
      <c r="AH4" s="21">
        <v>0</v>
      </c>
      <c r="AI4" s="21">
        <v>0</v>
      </c>
      <c r="AJ4" s="21">
        <v>0</v>
      </c>
      <c r="AK4" s="21">
        <v>0</v>
      </c>
      <c r="AL4" s="21">
        <v>0</v>
      </c>
      <c r="AM4" s="21">
        <v>0</v>
      </c>
      <c r="AN4" s="21">
        <v>0</v>
      </c>
      <c r="AO4" s="21">
        <v>0</v>
      </c>
      <c r="AP4" s="21">
        <v>0</v>
      </c>
      <c r="AQ4" s="21">
        <v>0</v>
      </c>
      <c r="AR4" s="21">
        <v>0</v>
      </c>
      <c r="AS4" s="21">
        <v>0</v>
      </c>
      <c r="AT4" s="21">
        <v>0</v>
      </c>
      <c r="AU4" s="21">
        <v>0</v>
      </c>
      <c r="AV4" s="21">
        <v>0</v>
      </c>
      <c r="AW4" s="21">
        <v>0</v>
      </c>
      <c r="AX4" s="21">
        <v>0</v>
      </c>
      <c r="AY4" s="21">
        <v>0</v>
      </c>
      <c r="AZ4" s="21">
        <v>0</v>
      </c>
      <c r="BA4" s="21">
        <v>0</v>
      </c>
    </row>
    <row r="5" spans="1:53" ht="14.25" customHeight="1" x14ac:dyDescent="0.2">
      <c r="A5" s="9" t="s">
        <v>70</v>
      </c>
      <c r="B5" s="21">
        <v>0</v>
      </c>
      <c r="C5" s="21">
        <v>0</v>
      </c>
      <c r="D5" s="21">
        <v>0</v>
      </c>
      <c r="E5" s="21">
        <v>0</v>
      </c>
      <c r="F5" s="21">
        <v>0</v>
      </c>
      <c r="G5" s="21">
        <v>0</v>
      </c>
      <c r="H5" s="21">
        <v>0</v>
      </c>
      <c r="I5" s="21">
        <v>0</v>
      </c>
      <c r="J5" s="21">
        <v>0</v>
      </c>
      <c r="K5" s="21">
        <v>0</v>
      </c>
      <c r="L5" s="21">
        <v>0</v>
      </c>
      <c r="M5" s="21">
        <v>0</v>
      </c>
      <c r="N5" s="21">
        <v>0</v>
      </c>
      <c r="O5" s="21">
        <v>0</v>
      </c>
      <c r="P5" s="21">
        <v>0</v>
      </c>
      <c r="Q5" s="21">
        <v>0</v>
      </c>
      <c r="R5" s="21">
        <v>0</v>
      </c>
      <c r="S5" s="21">
        <v>0</v>
      </c>
      <c r="T5" s="21">
        <v>0</v>
      </c>
      <c r="U5" s="21">
        <v>0</v>
      </c>
      <c r="V5" s="21">
        <v>0</v>
      </c>
      <c r="W5" s="21">
        <v>0</v>
      </c>
      <c r="X5" s="21">
        <v>0</v>
      </c>
      <c r="Y5" s="21">
        <v>0</v>
      </c>
      <c r="Z5" s="21">
        <v>0</v>
      </c>
      <c r="AA5" s="21">
        <v>0</v>
      </c>
      <c r="AB5" s="21">
        <v>0</v>
      </c>
      <c r="AC5" s="21">
        <v>0</v>
      </c>
      <c r="AD5" s="21">
        <v>0</v>
      </c>
      <c r="AE5" s="21">
        <v>0</v>
      </c>
      <c r="AF5" s="21">
        <v>0</v>
      </c>
      <c r="AG5" s="21">
        <v>0</v>
      </c>
      <c r="AH5" s="21">
        <v>0</v>
      </c>
      <c r="AI5" s="21">
        <v>0</v>
      </c>
      <c r="AJ5" s="21">
        <v>0</v>
      </c>
      <c r="AK5" s="21">
        <v>0</v>
      </c>
      <c r="AL5" s="21">
        <v>0</v>
      </c>
      <c r="AM5" s="21">
        <v>0</v>
      </c>
      <c r="AN5" s="21">
        <v>0</v>
      </c>
      <c r="AO5" s="21">
        <v>0</v>
      </c>
      <c r="AP5" s="21">
        <v>0</v>
      </c>
      <c r="AQ5" s="21">
        <v>0</v>
      </c>
      <c r="AR5" s="21">
        <v>0</v>
      </c>
      <c r="AS5" s="21">
        <v>0</v>
      </c>
      <c r="AT5" s="21">
        <v>0</v>
      </c>
      <c r="AU5" s="21">
        <v>0</v>
      </c>
      <c r="AV5" s="21">
        <v>0</v>
      </c>
      <c r="AW5" s="21">
        <v>0</v>
      </c>
      <c r="AX5" s="21">
        <v>0</v>
      </c>
      <c r="AY5" s="21">
        <v>0</v>
      </c>
      <c r="AZ5" s="21">
        <v>0</v>
      </c>
      <c r="BA5" s="21">
        <v>0</v>
      </c>
    </row>
    <row r="6" spans="1:53" ht="14.25" customHeight="1" x14ac:dyDescent="0.2">
      <c r="A6" s="9" t="s">
        <v>71</v>
      </c>
      <c r="B6" s="21">
        <v>0</v>
      </c>
      <c r="C6" s="21">
        <v>0</v>
      </c>
      <c r="D6" s="21">
        <v>0</v>
      </c>
      <c r="E6" s="21">
        <v>0</v>
      </c>
      <c r="F6" s="21">
        <v>0</v>
      </c>
      <c r="G6" s="21">
        <v>0</v>
      </c>
      <c r="H6" s="21">
        <v>0</v>
      </c>
      <c r="I6" s="21">
        <v>0</v>
      </c>
      <c r="J6" s="21">
        <v>0</v>
      </c>
      <c r="K6" s="21">
        <v>0</v>
      </c>
      <c r="L6" s="21">
        <v>0</v>
      </c>
      <c r="M6" s="21">
        <v>0</v>
      </c>
      <c r="N6" s="21">
        <v>0</v>
      </c>
      <c r="O6" s="21">
        <v>0</v>
      </c>
      <c r="P6" s="21">
        <v>0</v>
      </c>
      <c r="Q6" s="21">
        <v>0</v>
      </c>
      <c r="R6" s="21">
        <v>0</v>
      </c>
      <c r="S6" s="21">
        <v>0</v>
      </c>
      <c r="T6" s="21">
        <v>0</v>
      </c>
      <c r="U6" s="21">
        <v>0</v>
      </c>
      <c r="V6" s="21">
        <v>0</v>
      </c>
      <c r="W6" s="21">
        <v>0</v>
      </c>
      <c r="X6" s="21">
        <v>0</v>
      </c>
      <c r="Y6" s="21">
        <v>0</v>
      </c>
      <c r="Z6" s="21">
        <v>0</v>
      </c>
      <c r="AA6" s="21">
        <v>0</v>
      </c>
      <c r="AB6" s="21">
        <v>0</v>
      </c>
      <c r="AC6" s="21">
        <v>0</v>
      </c>
      <c r="AD6" s="21">
        <v>0</v>
      </c>
      <c r="AE6" s="21">
        <v>0</v>
      </c>
      <c r="AF6" s="21">
        <v>0</v>
      </c>
      <c r="AG6" s="21">
        <v>0</v>
      </c>
      <c r="AH6" s="21">
        <v>0</v>
      </c>
      <c r="AI6" s="21">
        <v>0</v>
      </c>
      <c r="AJ6" s="21">
        <v>0</v>
      </c>
      <c r="AK6" s="21">
        <v>0</v>
      </c>
      <c r="AL6" s="21">
        <v>0</v>
      </c>
      <c r="AM6" s="21">
        <v>0</v>
      </c>
      <c r="AN6" s="21">
        <v>0</v>
      </c>
      <c r="AO6" s="21">
        <v>0</v>
      </c>
      <c r="AP6" s="21">
        <v>0</v>
      </c>
      <c r="AQ6" s="21">
        <v>0</v>
      </c>
      <c r="AR6" s="21">
        <v>0</v>
      </c>
      <c r="AS6" s="21">
        <v>0</v>
      </c>
      <c r="AT6" s="21">
        <v>0</v>
      </c>
      <c r="AU6" s="21">
        <v>0</v>
      </c>
      <c r="AV6" s="21">
        <v>0</v>
      </c>
      <c r="AW6" s="21">
        <v>0</v>
      </c>
      <c r="AX6" s="21">
        <v>0</v>
      </c>
      <c r="AY6" s="21">
        <v>0</v>
      </c>
      <c r="AZ6" s="21">
        <v>0</v>
      </c>
      <c r="BA6" s="21">
        <v>0</v>
      </c>
    </row>
    <row r="7" spans="1:53" ht="14.25" customHeight="1" x14ac:dyDescent="0.2">
      <c r="A7" s="9" t="s">
        <v>72</v>
      </c>
      <c r="B7" s="21">
        <v>0</v>
      </c>
      <c r="C7" s="21">
        <v>0</v>
      </c>
      <c r="D7" s="21">
        <v>0</v>
      </c>
      <c r="E7" s="21">
        <v>0</v>
      </c>
      <c r="F7" s="21">
        <v>0</v>
      </c>
      <c r="G7" s="21">
        <v>0</v>
      </c>
      <c r="H7" s="21">
        <v>0</v>
      </c>
      <c r="I7" s="21">
        <v>0</v>
      </c>
      <c r="J7" s="21">
        <v>0</v>
      </c>
      <c r="K7" s="21">
        <v>0</v>
      </c>
      <c r="L7" s="21">
        <v>0</v>
      </c>
      <c r="M7" s="21">
        <v>0</v>
      </c>
      <c r="N7" s="21">
        <v>0</v>
      </c>
      <c r="O7" s="21">
        <v>0</v>
      </c>
      <c r="P7" s="21">
        <v>0</v>
      </c>
      <c r="Q7" s="21">
        <v>0</v>
      </c>
      <c r="R7" s="21">
        <v>0</v>
      </c>
      <c r="S7" s="21">
        <v>0</v>
      </c>
      <c r="T7" s="21">
        <v>0</v>
      </c>
      <c r="U7" s="21">
        <v>0</v>
      </c>
      <c r="V7" s="21">
        <v>0</v>
      </c>
      <c r="W7" s="21">
        <v>0</v>
      </c>
      <c r="X7" s="21">
        <v>0</v>
      </c>
      <c r="Y7" s="21">
        <v>0</v>
      </c>
      <c r="Z7" s="21">
        <v>0</v>
      </c>
      <c r="AA7" s="21">
        <v>0</v>
      </c>
      <c r="AB7" s="21">
        <v>0</v>
      </c>
      <c r="AC7" s="21">
        <v>0</v>
      </c>
      <c r="AD7" s="21">
        <v>0</v>
      </c>
      <c r="AE7" s="21">
        <v>0</v>
      </c>
      <c r="AF7" s="21">
        <v>0</v>
      </c>
      <c r="AG7" s="21">
        <v>0</v>
      </c>
      <c r="AH7" s="21">
        <v>0</v>
      </c>
      <c r="AI7" s="21">
        <v>0</v>
      </c>
      <c r="AJ7" s="21">
        <v>0</v>
      </c>
      <c r="AK7" s="21">
        <v>0</v>
      </c>
      <c r="AL7" s="21">
        <v>0</v>
      </c>
      <c r="AM7" s="21">
        <v>0</v>
      </c>
      <c r="AN7" s="21">
        <v>0</v>
      </c>
      <c r="AO7" s="21">
        <v>0</v>
      </c>
      <c r="AP7" s="21">
        <v>0</v>
      </c>
      <c r="AQ7" s="21">
        <v>0</v>
      </c>
      <c r="AR7" s="21">
        <v>0</v>
      </c>
      <c r="AS7" s="21">
        <v>0</v>
      </c>
      <c r="AT7" s="21">
        <v>0</v>
      </c>
      <c r="AU7" s="21">
        <v>0</v>
      </c>
      <c r="AV7" s="21">
        <v>0</v>
      </c>
      <c r="AW7" s="21">
        <v>0</v>
      </c>
      <c r="AX7" s="21">
        <v>0</v>
      </c>
      <c r="AY7" s="21">
        <v>0</v>
      </c>
      <c r="AZ7" s="21">
        <v>0</v>
      </c>
      <c r="BA7" s="21">
        <v>0</v>
      </c>
    </row>
    <row r="8" spans="1:53" ht="14.25" customHeight="1" x14ac:dyDescent="0.2">
      <c r="A8" s="9" t="s">
        <v>73</v>
      </c>
      <c r="B8" s="21">
        <v>0</v>
      </c>
      <c r="C8" s="21">
        <v>0</v>
      </c>
      <c r="D8" s="21">
        <v>0</v>
      </c>
      <c r="E8" s="21">
        <v>0</v>
      </c>
      <c r="F8" s="21">
        <v>0</v>
      </c>
      <c r="G8" s="21">
        <v>0</v>
      </c>
      <c r="H8" s="21">
        <v>0</v>
      </c>
      <c r="I8" s="21">
        <v>0</v>
      </c>
      <c r="J8" s="21">
        <v>0</v>
      </c>
      <c r="K8" s="21">
        <v>0</v>
      </c>
      <c r="L8" s="21">
        <v>0</v>
      </c>
      <c r="M8" s="21">
        <v>0</v>
      </c>
      <c r="N8" s="21">
        <v>0</v>
      </c>
      <c r="O8" s="21">
        <v>0</v>
      </c>
      <c r="P8" s="21">
        <v>0</v>
      </c>
      <c r="Q8" s="21">
        <v>0</v>
      </c>
      <c r="R8" s="21">
        <v>0</v>
      </c>
      <c r="S8" s="21">
        <v>0</v>
      </c>
      <c r="T8" s="21">
        <v>0</v>
      </c>
      <c r="U8" s="21">
        <v>0</v>
      </c>
      <c r="V8" s="21">
        <v>0</v>
      </c>
      <c r="W8" s="21">
        <v>0</v>
      </c>
      <c r="X8" s="21">
        <v>0</v>
      </c>
      <c r="Y8" s="21">
        <v>0</v>
      </c>
      <c r="Z8" s="21">
        <v>0</v>
      </c>
      <c r="AA8" s="21">
        <v>0</v>
      </c>
      <c r="AB8" s="21">
        <v>0</v>
      </c>
      <c r="AC8" s="21">
        <v>0</v>
      </c>
      <c r="AD8" s="21">
        <v>0</v>
      </c>
      <c r="AE8" s="21">
        <v>0</v>
      </c>
      <c r="AF8" s="21">
        <v>0</v>
      </c>
      <c r="AG8" s="21">
        <v>0</v>
      </c>
      <c r="AH8" s="21">
        <v>0</v>
      </c>
      <c r="AI8" s="21">
        <v>0</v>
      </c>
      <c r="AJ8" s="21">
        <v>0</v>
      </c>
      <c r="AK8" s="21">
        <v>0</v>
      </c>
      <c r="AL8" s="21">
        <v>0</v>
      </c>
      <c r="AM8" s="21">
        <v>0</v>
      </c>
      <c r="AN8" s="21">
        <v>0</v>
      </c>
      <c r="AO8" s="21">
        <v>0</v>
      </c>
      <c r="AP8" s="21">
        <v>0</v>
      </c>
      <c r="AQ8" s="21">
        <v>0</v>
      </c>
      <c r="AR8" s="21">
        <v>0</v>
      </c>
      <c r="AS8" s="21">
        <v>0</v>
      </c>
      <c r="AT8" s="21">
        <v>0</v>
      </c>
      <c r="AU8" s="21">
        <v>0</v>
      </c>
      <c r="AV8" s="21">
        <v>0</v>
      </c>
      <c r="AW8" s="21">
        <v>0</v>
      </c>
      <c r="AX8" s="21">
        <v>0</v>
      </c>
      <c r="AY8" s="21">
        <v>0</v>
      </c>
      <c r="AZ8" s="21">
        <v>0</v>
      </c>
      <c r="BA8" s="21">
        <v>0</v>
      </c>
    </row>
    <row r="9" spans="1:53" ht="14.25" customHeight="1" x14ac:dyDescent="0.2">
      <c r="A9" s="9" t="s">
        <v>74</v>
      </c>
      <c r="B9" s="21">
        <v>0</v>
      </c>
      <c r="C9" s="21">
        <v>0</v>
      </c>
      <c r="D9" s="21">
        <v>0</v>
      </c>
      <c r="E9" s="21">
        <v>0</v>
      </c>
      <c r="F9" s="21">
        <v>0</v>
      </c>
      <c r="G9" s="21">
        <v>0</v>
      </c>
      <c r="H9" s="21">
        <v>0</v>
      </c>
      <c r="I9" s="21">
        <v>0</v>
      </c>
      <c r="J9" s="21">
        <v>0</v>
      </c>
      <c r="K9" s="21">
        <v>0</v>
      </c>
      <c r="L9" s="21">
        <v>0</v>
      </c>
      <c r="M9" s="21">
        <v>0</v>
      </c>
      <c r="N9" s="21">
        <v>0</v>
      </c>
      <c r="O9" s="21">
        <v>0</v>
      </c>
      <c r="P9" s="21">
        <v>0</v>
      </c>
      <c r="Q9" s="21">
        <v>0</v>
      </c>
      <c r="R9" s="21">
        <v>0</v>
      </c>
      <c r="S9" s="21">
        <v>0</v>
      </c>
      <c r="T9" s="21">
        <v>0</v>
      </c>
      <c r="U9" s="21">
        <v>0</v>
      </c>
      <c r="V9" s="21">
        <v>0</v>
      </c>
      <c r="W9" s="21">
        <v>0</v>
      </c>
      <c r="X9" s="21">
        <v>0</v>
      </c>
      <c r="Y9" s="21">
        <v>0</v>
      </c>
      <c r="Z9" s="21">
        <v>0</v>
      </c>
      <c r="AA9" s="21">
        <v>0</v>
      </c>
      <c r="AB9" s="21">
        <v>0</v>
      </c>
      <c r="AC9" s="21">
        <v>0</v>
      </c>
      <c r="AD9" s="21">
        <v>0</v>
      </c>
      <c r="AE9" s="21">
        <v>0</v>
      </c>
      <c r="AF9" s="21">
        <v>0</v>
      </c>
      <c r="AG9" s="21">
        <v>0</v>
      </c>
      <c r="AH9" s="21">
        <v>0</v>
      </c>
      <c r="AI9" s="21">
        <v>0</v>
      </c>
      <c r="AJ9" s="21">
        <v>0</v>
      </c>
      <c r="AK9" s="21">
        <v>0</v>
      </c>
      <c r="AL9" s="21">
        <v>0</v>
      </c>
      <c r="AM9" s="21">
        <v>0</v>
      </c>
      <c r="AN9" s="21">
        <v>0</v>
      </c>
      <c r="AO9" s="21">
        <v>0</v>
      </c>
      <c r="AP9" s="21">
        <v>0</v>
      </c>
      <c r="AQ9" s="21">
        <v>0</v>
      </c>
      <c r="AR9" s="21">
        <v>0</v>
      </c>
      <c r="AS9" s="21">
        <v>0</v>
      </c>
      <c r="AT9" s="21">
        <v>0</v>
      </c>
      <c r="AU9" s="21">
        <v>0</v>
      </c>
      <c r="AV9" s="21">
        <v>0</v>
      </c>
      <c r="AW9" s="21">
        <v>0</v>
      </c>
      <c r="AX9" s="21">
        <v>0</v>
      </c>
      <c r="AY9" s="21">
        <v>0</v>
      </c>
      <c r="AZ9" s="21">
        <v>0</v>
      </c>
      <c r="BA9" s="21">
        <v>0</v>
      </c>
    </row>
    <row r="10" spans="1:53" ht="14.25" customHeight="1" x14ac:dyDescent="0.2">
      <c r="A10" s="9" t="s">
        <v>75</v>
      </c>
      <c r="B10" s="21">
        <v>0</v>
      </c>
      <c r="C10" s="21">
        <v>0</v>
      </c>
      <c r="D10" s="21">
        <v>0</v>
      </c>
      <c r="E10" s="21">
        <v>0</v>
      </c>
      <c r="F10" s="21">
        <v>0</v>
      </c>
      <c r="G10" s="21">
        <v>0</v>
      </c>
      <c r="H10" s="21">
        <v>0</v>
      </c>
      <c r="I10" s="21">
        <v>0</v>
      </c>
      <c r="J10" s="21">
        <v>0</v>
      </c>
      <c r="K10" s="21">
        <v>0</v>
      </c>
      <c r="L10" s="21">
        <v>0</v>
      </c>
      <c r="M10" s="21">
        <v>0</v>
      </c>
      <c r="N10" s="21">
        <v>0</v>
      </c>
      <c r="O10" s="21">
        <v>0</v>
      </c>
      <c r="P10" s="21">
        <v>0</v>
      </c>
      <c r="Q10" s="21">
        <v>0</v>
      </c>
      <c r="R10" s="21">
        <v>0</v>
      </c>
      <c r="S10" s="21">
        <v>0</v>
      </c>
      <c r="T10" s="21">
        <v>0</v>
      </c>
      <c r="U10" s="21">
        <v>0</v>
      </c>
      <c r="V10" s="21">
        <v>0</v>
      </c>
      <c r="W10" s="21">
        <v>0</v>
      </c>
      <c r="X10" s="21">
        <v>0</v>
      </c>
      <c r="Y10" s="21">
        <v>0</v>
      </c>
      <c r="Z10" s="21">
        <v>0</v>
      </c>
      <c r="AA10" s="21">
        <v>0</v>
      </c>
      <c r="AB10" s="21">
        <v>0</v>
      </c>
      <c r="AC10" s="21">
        <v>0</v>
      </c>
      <c r="AD10" s="21">
        <v>0</v>
      </c>
      <c r="AE10" s="21">
        <v>0</v>
      </c>
      <c r="AF10" s="21">
        <v>0</v>
      </c>
      <c r="AG10" s="21">
        <v>0</v>
      </c>
      <c r="AH10" s="21">
        <v>0</v>
      </c>
      <c r="AI10" s="21">
        <v>0</v>
      </c>
      <c r="AJ10" s="21">
        <v>0</v>
      </c>
      <c r="AK10" s="21">
        <v>0</v>
      </c>
      <c r="AL10" s="21">
        <v>0</v>
      </c>
      <c r="AM10" s="21">
        <v>0</v>
      </c>
      <c r="AN10" s="21">
        <v>0</v>
      </c>
      <c r="AO10" s="21">
        <v>0</v>
      </c>
      <c r="AP10" s="21">
        <v>0</v>
      </c>
      <c r="AQ10" s="21">
        <v>0</v>
      </c>
      <c r="AR10" s="21">
        <v>0</v>
      </c>
      <c r="AS10" s="21">
        <v>0</v>
      </c>
      <c r="AT10" s="21">
        <v>0</v>
      </c>
      <c r="AU10" s="21">
        <v>0</v>
      </c>
      <c r="AV10" s="21">
        <v>0</v>
      </c>
      <c r="AW10" s="21">
        <v>0</v>
      </c>
      <c r="AX10" s="21">
        <v>0</v>
      </c>
      <c r="AY10" s="21">
        <v>0</v>
      </c>
      <c r="AZ10" s="21">
        <v>0</v>
      </c>
      <c r="BA10" s="21">
        <v>0</v>
      </c>
    </row>
    <row r="11" spans="1:53" ht="14.25" customHeight="1" x14ac:dyDescent="0.2">
      <c r="A11" s="9" t="s">
        <v>76</v>
      </c>
      <c r="B11" s="21">
        <v>0</v>
      </c>
      <c r="C11" s="21">
        <v>0</v>
      </c>
      <c r="D11" s="21">
        <v>0</v>
      </c>
      <c r="E11" s="21">
        <v>0</v>
      </c>
      <c r="F11" s="21">
        <v>0</v>
      </c>
      <c r="G11" s="21">
        <v>0</v>
      </c>
      <c r="H11" s="21">
        <v>0</v>
      </c>
      <c r="I11" s="21">
        <v>0</v>
      </c>
      <c r="J11" s="21">
        <v>0</v>
      </c>
      <c r="K11" s="21">
        <v>0</v>
      </c>
      <c r="L11" s="21">
        <v>0</v>
      </c>
      <c r="M11" s="21">
        <v>0</v>
      </c>
      <c r="N11" s="21">
        <v>0</v>
      </c>
      <c r="O11" s="21">
        <v>0</v>
      </c>
      <c r="P11" s="21">
        <v>0</v>
      </c>
      <c r="Q11" s="21">
        <v>0</v>
      </c>
      <c r="R11" s="21">
        <v>0</v>
      </c>
      <c r="S11" s="21">
        <v>0</v>
      </c>
      <c r="T11" s="21">
        <v>0</v>
      </c>
      <c r="U11" s="21">
        <v>0</v>
      </c>
      <c r="V11" s="21">
        <v>0</v>
      </c>
      <c r="W11" s="21">
        <v>0</v>
      </c>
      <c r="X11" s="21">
        <v>0</v>
      </c>
      <c r="Y11" s="21">
        <v>0</v>
      </c>
      <c r="Z11" s="21">
        <v>0</v>
      </c>
      <c r="AA11" s="21">
        <v>0</v>
      </c>
      <c r="AB11" s="21">
        <v>0</v>
      </c>
      <c r="AC11" s="21">
        <v>0</v>
      </c>
      <c r="AD11" s="21">
        <v>0</v>
      </c>
      <c r="AE11" s="21">
        <v>0</v>
      </c>
      <c r="AF11" s="21">
        <v>0</v>
      </c>
      <c r="AG11" s="21">
        <v>0</v>
      </c>
      <c r="AH11" s="21">
        <v>0</v>
      </c>
      <c r="AI11" s="21">
        <v>0</v>
      </c>
      <c r="AJ11" s="21">
        <v>0</v>
      </c>
      <c r="AK11" s="21">
        <v>0</v>
      </c>
      <c r="AL11" s="21">
        <v>0</v>
      </c>
      <c r="AM11" s="21">
        <v>0</v>
      </c>
      <c r="AN11" s="21">
        <v>0</v>
      </c>
      <c r="AO11" s="21">
        <v>0</v>
      </c>
      <c r="AP11" s="21">
        <v>0</v>
      </c>
      <c r="AQ11" s="21">
        <v>0</v>
      </c>
      <c r="AR11" s="21">
        <v>0</v>
      </c>
      <c r="AS11" s="21">
        <v>0</v>
      </c>
      <c r="AT11" s="21">
        <v>0</v>
      </c>
      <c r="AU11" s="21">
        <v>0</v>
      </c>
      <c r="AV11" s="21">
        <v>0</v>
      </c>
      <c r="AW11" s="21">
        <v>0</v>
      </c>
      <c r="AX11" s="21">
        <v>0</v>
      </c>
      <c r="AY11" s="21">
        <v>0</v>
      </c>
      <c r="AZ11" s="21">
        <v>0</v>
      </c>
      <c r="BA11" s="21">
        <v>0</v>
      </c>
    </row>
    <row r="12" spans="1:53" ht="14.25" customHeight="1" x14ac:dyDescent="0.2">
      <c r="A12" s="9" t="s">
        <v>77</v>
      </c>
      <c r="B12" s="21">
        <v>0</v>
      </c>
      <c r="C12" s="21">
        <v>0</v>
      </c>
      <c r="D12" s="21">
        <v>0</v>
      </c>
      <c r="E12" s="21">
        <v>0</v>
      </c>
      <c r="F12" s="21">
        <v>0</v>
      </c>
      <c r="G12" s="21">
        <v>0</v>
      </c>
      <c r="H12" s="21">
        <v>0</v>
      </c>
      <c r="I12" s="21">
        <v>0</v>
      </c>
      <c r="J12" s="21">
        <v>0</v>
      </c>
      <c r="K12" s="21">
        <v>0</v>
      </c>
      <c r="L12" s="21">
        <v>0</v>
      </c>
      <c r="M12" s="21">
        <v>0</v>
      </c>
      <c r="N12" s="21">
        <v>0</v>
      </c>
      <c r="O12" s="21">
        <v>0</v>
      </c>
      <c r="P12" s="21">
        <v>0</v>
      </c>
      <c r="Q12" s="21">
        <v>0</v>
      </c>
      <c r="R12" s="21">
        <v>0</v>
      </c>
      <c r="S12" s="21">
        <v>0</v>
      </c>
      <c r="T12" s="21">
        <v>0</v>
      </c>
      <c r="U12" s="21">
        <v>0</v>
      </c>
      <c r="V12" s="21">
        <v>0</v>
      </c>
      <c r="W12" s="21">
        <v>0</v>
      </c>
      <c r="X12" s="21">
        <v>0</v>
      </c>
      <c r="Y12" s="21">
        <v>0</v>
      </c>
      <c r="Z12" s="21">
        <v>0</v>
      </c>
      <c r="AA12" s="21">
        <v>0</v>
      </c>
      <c r="AB12" s="21">
        <v>0</v>
      </c>
      <c r="AC12" s="21">
        <v>0</v>
      </c>
      <c r="AD12" s="21">
        <v>0</v>
      </c>
      <c r="AE12" s="21">
        <v>0</v>
      </c>
      <c r="AF12" s="21">
        <v>0</v>
      </c>
      <c r="AG12" s="21">
        <v>0</v>
      </c>
      <c r="AH12" s="21">
        <v>0</v>
      </c>
      <c r="AI12" s="21">
        <v>0</v>
      </c>
      <c r="AJ12" s="21">
        <v>0</v>
      </c>
      <c r="AK12" s="21">
        <v>0</v>
      </c>
      <c r="AL12" s="21">
        <v>0</v>
      </c>
      <c r="AM12" s="21">
        <v>0</v>
      </c>
      <c r="AN12" s="21">
        <v>0</v>
      </c>
      <c r="AO12" s="21">
        <v>0</v>
      </c>
      <c r="AP12" s="21">
        <v>0</v>
      </c>
      <c r="AQ12" s="21">
        <v>0</v>
      </c>
      <c r="AR12" s="21">
        <v>0</v>
      </c>
      <c r="AS12" s="21">
        <v>0</v>
      </c>
      <c r="AT12" s="21">
        <v>0</v>
      </c>
      <c r="AU12" s="21">
        <v>0</v>
      </c>
      <c r="AV12" s="21">
        <v>0</v>
      </c>
      <c r="AW12" s="21">
        <v>0</v>
      </c>
      <c r="AX12" s="21">
        <v>0</v>
      </c>
      <c r="AY12" s="21">
        <v>0</v>
      </c>
      <c r="AZ12" s="21">
        <v>0</v>
      </c>
      <c r="BA12" s="21">
        <v>0</v>
      </c>
    </row>
    <row r="13" spans="1:53" ht="14.25" customHeight="1" x14ac:dyDescent="0.2">
      <c r="A13" s="9" t="s">
        <v>78</v>
      </c>
      <c r="B13" s="21">
        <v>0</v>
      </c>
      <c r="C13" s="21">
        <v>0</v>
      </c>
      <c r="D13" s="21">
        <v>0</v>
      </c>
      <c r="E13" s="21">
        <v>0</v>
      </c>
      <c r="F13" s="21">
        <v>0</v>
      </c>
      <c r="G13" s="21">
        <v>0</v>
      </c>
      <c r="H13" s="21">
        <v>0</v>
      </c>
      <c r="I13" s="21">
        <v>0</v>
      </c>
      <c r="J13" s="21">
        <v>0</v>
      </c>
      <c r="K13" s="21">
        <v>0</v>
      </c>
      <c r="L13" s="21">
        <v>0</v>
      </c>
      <c r="M13" s="21">
        <v>0</v>
      </c>
      <c r="N13" s="21">
        <v>0</v>
      </c>
      <c r="O13" s="21">
        <v>0</v>
      </c>
      <c r="P13" s="21">
        <v>0</v>
      </c>
      <c r="Q13" s="21">
        <v>0</v>
      </c>
      <c r="R13" s="21">
        <v>0</v>
      </c>
      <c r="S13" s="21">
        <v>0</v>
      </c>
      <c r="T13" s="21">
        <v>0</v>
      </c>
      <c r="U13" s="21">
        <v>0</v>
      </c>
      <c r="V13" s="21">
        <v>0</v>
      </c>
      <c r="W13" s="21">
        <v>0</v>
      </c>
      <c r="X13" s="21">
        <v>0</v>
      </c>
      <c r="Y13" s="21">
        <v>0</v>
      </c>
      <c r="Z13" s="21">
        <v>0</v>
      </c>
      <c r="AA13" s="21">
        <v>0</v>
      </c>
      <c r="AB13" s="21">
        <v>0</v>
      </c>
      <c r="AC13" s="21">
        <v>0</v>
      </c>
      <c r="AD13" s="21">
        <v>0</v>
      </c>
      <c r="AE13" s="21">
        <v>0</v>
      </c>
      <c r="AF13" s="21">
        <v>0</v>
      </c>
      <c r="AG13" s="21">
        <v>0</v>
      </c>
      <c r="AH13" s="21">
        <v>0</v>
      </c>
      <c r="AI13" s="21">
        <v>0</v>
      </c>
      <c r="AJ13" s="21">
        <v>0</v>
      </c>
      <c r="AK13" s="21">
        <v>0</v>
      </c>
      <c r="AL13" s="21">
        <v>0</v>
      </c>
      <c r="AM13" s="21">
        <v>0</v>
      </c>
      <c r="AN13" s="21">
        <v>0</v>
      </c>
      <c r="AO13" s="21">
        <v>0</v>
      </c>
      <c r="AP13" s="21">
        <v>0</v>
      </c>
      <c r="AQ13" s="21">
        <v>0</v>
      </c>
      <c r="AR13" s="21">
        <v>0</v>
      </c>
      <c r="AS13" s="21">
        <v>0</v>
      </c>
      <c r="AT13" s="21">
        <v>0</v>
      </c>
      <c r="AU13" s="21">
        <v>0</v>
      </c>
      <c r="AV13" s="21">
        <v>0</v>
      </c>
      <c r="AW13" s="21">
        <v>0</v>
      </c>
      <c r="AX13" s="21">
        <v>0</v>
      </c>
      <c r="AY13" s="21">
        <v>0</v>
      </c>
      <c r="AZ13" s="21">
        <v>0</v>
      </c>
      <c r="BA13" s="21">
        <v>0</v>
      </c>
    </row>
    <row r="14" spans="1:53" ht="14.25" customHeight="1" x14ac:dyDescent="0.2">
      <c r="A14" s="9" t="s">
        <v>79</v>
      </c>
      <c r="B14" s="21">
        <v>0</v>
      </c>
      <c r="C14" s="21">
        <v>0</v>
      </c>
      <c r="D14" s="21">
        <v>0</v>
      </c>
      <c r="E14" s="21">
        <v>0</v>
      </c>
      <c r="F14" s="21">
        <v>0</v>
      </c>
      <c r="G14" s="21">
        <v>0</v>
      </c>
      <c r="H14" s="21">
        <v>0</v>
      </c>
      <c r="I14" s="21">
        <v>0</v>
      </c>
      <c r="J14" s="21">
        <v>0</v>
      </c>
      <c r="K14" s="21">
        <v>0</v>
      </c>
      <c r="L14" s="21">
        <v>0</v>
      </c>
      <c r="M14" s="21">
        <v>0</v>
      </c>
      <c r="N14" s="21">
        <v>0</v>
      </c>
      <c r="O14" s="21">
        <v>0</v>
      </c>
      <c r="P14" s="21">
        <v>0</v>
      </c>
      <c r="Q14" s="21">
        <v>0</v>
      </c>
      <c r="R14" s="21">
        <v>0</v>
      </c>
      <c r="S14" s="21">
        <v>0</v>
      </c>
      <c r="T14" s="21">
        <v>0</v>
      </c>
      <c r="U14" s="21">
        <v>0</v>
      </c>
      <c r="V14" s="21">
        <v>0</v>
      </c>
      <c r="W14" s="21">
        <v>0</v>
      </c>
      <c r="X14" s="21">
        <v>0</v>
      </c>
      <c r="Y14" s="21">
        <v>0</v>
      </c>
      <c r="Z14" s="21">
        <v>0</v>
      </c>
      <c r="AA14" s="21">
        <v>0</v>
      </c>
      <c r="AB14" s="21">
        <v>0</v>
      </c>
      <c r="AC14" s="21">
        <v>0</v>
      </c>
      <c r="AD14" s="21">
        <v>0</v>
      </c>
      <c r="AE14" s="21">
        <v>0</v>
      </c>
      <c r="AF14" s="21">
        <v>0</v>
      </c>
      <c r="AG14" s="21">
        <v>0</v>
      </c>
      <c r="AH14" s="21">
        <v>0</v>
      </c>
      <c r="AI14" s="21">
        <v>0</v>
      </c>
      <c r="AJ14" s="21">
        <v>0</v>
      </c>
      <c r="AK14" s="21">
        <v>0</v>
      </c>
      <c r="AL14" s="21">
        <v>0</v>
      </c>
      <c r="AM14" s="21">
        <v>0</v>
      </c>
      <c r="AN14" s="21">
        <v>0</v>
      </c>
      <c r="AO14" s="21">
        <v>0</v>
      </c>
      <c r="AP14" s="21">
        <v>0</v>
      </c>
      <c r="AQ14" s="21">
        <v>0</v>
      </c>
      <c r="AR14" s="21">
        <v>0</v>
      </c>
      <c r="AS14" s="21">
        <v>0</v>
      </c>
      <c r="AT14" s="21">
        <v>0</v>
      </c>
      <c r="AU14" s="21">
        <v>0</v>
      </c>
      <c r="AV14" s="21">
        <v>0</v>
      </c>
      <c r="AW14" s="21">
        <v>0</v>
      </c>
      <c r="AX14" s="21">
        <v>0</v>
      </c>
      <c r="AY14" s="21">
        <v>0</v>
      </c>
      <c r="AZ14" s="21">
        <v>0</v>
      </c>
      <c r="BA14" s="21">
        <v>0</v>
      </c>
    </row>
    <row r="15" spans="1:53" ht="14.25" customHeight="1" x14ac:dyDescent="0.2">
      <c r="A15" s="9" t="s">
        <v>80</v>
      </c>
      <c r="B15" s="21">
        <v>0</v>
      </c>
      <c r="C15" s="21">
        <v>0</v>
      </c>
      <c r="D15" s="21">
        <v>0</v>
      </c>
      <c r="E15" s="21">
        <v>0</v>
      </c>
      <c r="F15" s="21">
        <v>0</v>
      </c>
      <c r="G15" s="21">
        <v>0</v>
      </c>
      <c r="H15" s="21">
        <v>0</v>
      </c>
      <c r="I15" s="21">
        <v>0</v>
      </c>
      <c r="J15" s="21">
        <v>0</v>
      </c>
      <c r="K15" s="21">
        <v>0</v>
      </c>
      <c r="L15" s="21">
        <v>0</v>
      </c>
      <c r="M15" s="21">
        <v>0</v>
      </c>
      <c r="N15" s="21">
        <v>0</v>
      </c>
      <c r="O15" s="21">
        <v>0</v>
      </c>
      <c r="P15" s="21">
        <v>0</v>
      </c>
      <c r="Q15" s="21">
        <v>0</v>
      </c>
      <c r="R15" s="21">
        <v>0</v>
      </c>
      <c r="S15" s="21">
        <v>0</v>
      </c>
      <c r="T15" s="21">
        <v>0</v>
      </c>
      <c r="U15" s="21">
        <v>0</v>
      </c>
      <c r="V15" s="21">
        <v>0</v>
      </c>
      <c r="W15" s="21">
        <v>0</v>
      </c>
      <c r="X15" s="21">
        <v>0</v>
      </c>
      <c r="Y15" s="21">
        <v>0</v>
      </c>
      <c r="Z15" s="21">
        <v>0</v>
      </c>
      <c r="AA15" s="21">
        <v>0</v>
      </c>
      <c r="AB15" s="21">
        <v>0</v>
      </c>
      <c r="AC15" s="21">
        <v>0</v>
      </c>
      <c r="AD15" s="21">
        <v>0</v>
      </c>
      <c r="AE15" s="21">
        <v>0</v>
      </c>
      <c r="AF15" s="21">
        <v>0</v>
      </c>
      <c r="AG15" s="21">
        <v>0</v>
      </c>
      <c r="AH15" s="21">
        <v>0</v>
      </c>
      <c r="AI15" s="21">
        <v>0</v>
      </c>
      <c r="AJ15" s="21">
        <v>0</v>
      </c>
      <c r="AK15" s="21">
        <v>0</v>
      </c>
      <c r="AL15" s="21">
        <v>0</v>
      </c>
      <c r="AM15" s="21">
        <v>0</v>
      </c>
      <c r="AN15" s="21">
        <v>0</v>
      </c>
      <c r="AO15" s="21">
        <v>0</v>
      </c>
      <c r="AP15" s="21">
        <v>0</v>
      </c>
      <c r="AQ15" s="21">
        <v>0</v>
      </c>
      <c r="AR15" s="21">
        <v>0</v>
      </c>
      <c r="AS15" s="21">
        <v>0</v>
      </c>
      <c r="AT15" s="21">
        <v>0</v>
      </c>
      <c r="AU15" s="21">
        <v>0</v>
      </c>
      <c r="AV15" s="21">
        <v>0</v>
      </c>
      <c r="AW15" s="21">
        <v>0</v>
      </c>
      <c r="AX15" s="21">
        <v>0</v>
      </c>
      <c r="AY15" s="21">
        <v>0</v>
      </c>
      <c r="AZ15" s="21">
        <v>0</v>
      </c>
      <c r="BA15" s="21">
        <v>0</v>
      </c>
    </row>
    <row r="16" spans="1:53" ht="14.25" customHeight="1" x14ac:dyDescent="0.2">
      <c r="A16" s="9" t="s">
        <v>81</v>
      </c>
      <c r="B16" s="21">
        <v>0</v>
      </c>
      <c r="C16" s="21">
        <v>0</v>
      </c>
      <c r="D16" s="21">
        <v>0</v>
      </c>
      <c r="E16" s="21">
        <v>0</v>
      </c>
      <c r="F16" s="21">
        <v>0</v>
      </c>
      <c r="G16" s="21">
        <v>0</v>
      </c>
      <c r="H16" s="21">
        <v>0</v>
      </c>
      <c r="I16" s="21">
        <v>0</v>
      </c>
      <c r="J16" s="21">
        <v>0</v>
      </c>
      <c r="K16" s="21">
        <v>0</v>
      </c>
      <c r="L16" s="21">
        <v>0</v>
      </c>
      <c r="M16" s="21">
        <v>0</v>
      </c>
      <c r="N16" s="21">
        <v>0</v>
      </c>
      <c r="O16" s="21">
        <v>0</v>
      </c>
      <c r="P16" s="21">
        <v>0</v>
      </c>
      <c r="Q16" s="21">
        <v>0</v>
      </c>
      <c r="R16" s="21">
        <v>0</v>
      </c>
      <c r="S16" s="21">
        <v>0</v>
      </c>
      <c r="T16" s="21">
        <v>0</v>
      </c>
      <c r="U16" s="21">
        <v>0</v>
      </c>
      <c r="V16" s="21">
        <v>0</v>
      </c>
      <c r="W16" s="21">
        <v>0</v>
      </c>
      <c r="X16" s="21">
        <v>0</v>
      </c>
      <c r="Y16" s="21">
        <v>0</v>
      </c>
      <c r="Z16" s="21">
        <v>0</v>
      </c>
      <c r="AA16" s="21">
        <v>0</v>
      </c>
      <c r="AB16" s="21">
        <v>0</v>
      </c>
      <c r="AC16" s="21">
        <v>0</v>
      </c>
      <c r="AD16" s="21">
        <v>0</v>
      </c>
      <c r="AE16" s="21">
        <v>0</v>
      </c>
      <c r="AF16" s="21">
        <v>0</v>
      </c>
      <c r="AG16" s="21">
        <v>0</v>
      </c>
      <c r="AH16" s="21">
        <v>0</v>
      </c>
      <c r="AI16" s="21">
        <v>0</v>
      </c>
      <c r="AJ16" s="21">
        <v>0</v>
      </c>
      <c r="AK16" s="21">
        <v>0</v>
      </c>
      <c r="AL16" s="21">
        <v>0</v>
      </c>
      <c r="AM16" s="21">
        <v>0</v>
      </c>
      <c r="AN16" s="21">
        <v>0</v>
      </c>
      <c r="AO16" s="21">
        <v>0</v>
      </c>
      <c r="AP16" s="21">
        <v>0</v>
      </c>
      <c r="AQ16" s="21">
        <v>0</v>
      </c>
      <c r="AR16" s="21">
        <v>0</v>
      </c>
      <c r="AS16" s="21">
        <v>0</v>
      </c>
      <c r="AT16" s="21">
        <v>0</v>
      </c>
      <c r="AU16" s="21">
        <v>0</v>
      </c>
      <c r="AV16" s="21">
        <v>0</v>
      </c>
      <c r="AW16" s="21">
        <v>0</v>
      </c>
      <c r="AX16" s="21">
        <v>0</v>
      </c>
      <c r="AY16" s="21">
        <v>0</v>
      </c>
      <c r="AZ16" s="21">
        <v>0</v>
      </c>
      <c r="BA16" s="21">
        <v>0</v>
      </c>
    </row>
    <row r="17" spans="1:53" ht="14.25" customHeight="1" x14ac:dyDescent="0.2">
      <c r="A17" s="9" t="s">
        <v>82</v>
      </c>
      <c r="B17" s="21">
        <v>0</v>
      </c>
      <c r="C17" s="21">
        <v>0</v>
      </c>
      <c r="D17" s="21">
        <v>0</v>
      </c>
      <c r="E17" s="21">
        <v>0</v>
      </c>
      <c r="F17" s="21">
        <v>0</v>
      </c>
      <c r="G17" s="21">
        <v>0</v>
      </c>
      <c r="H17" s="21">
        <v>0</v>
      </c>
      <c r="I17" s="21">
        <v>0</v>
      </c>
      <c r="J17" s="21">
        <v>0</v>
      </c>
      <c r="K17" s="21">
        <v>0</v>
      </c>
      <c r="L17" s="21">
        <v>0</v>
      </c>
      <c r="M17" s="21">
        <v>0</v>
      </c>
      <c r="N17" s="21">
        <v>0</v>
      </c>
      <c r="O17" s="21">
        <v>0</v>
      </c>
      <c r="P17" s="21">
        <v>0</v>
      </c>
      <c r="Q17" s="21">
        <v>0</v>
      </c>
      <c r="R17" s="21">
        <v>0</v>
      </c>
      <c r="S17" s="21">
        <v>0</v>
      </c>
      <c r="T17" s="21">
        <v>0</v>
      </c>
      <c r="U17" s="21">
        <v>0</v>
      </c>
      <c r="V17" s="21">
        <v>0</v>
      </c>
      <c r="W17" s="21">
        <v>0</v>
      </c>
      <c r="X17" s="21">
        <v>0</v>
      </c>
      <c r="Y17" s="21">
        <v>0</v>
      </c>
      <c r="Z17" s="21">
        <v>0</v>
      </c>
      <c r="AA17" s="21">
        <v>0</v>
      </c>
      <c r="AB17" s="21">
        <v>0</v>
      </c>
      <c r="AC17" s="21">
        <v>0</v>
      </c>
      <c r="AD17" s="21">
        <v>0</v>
      </c>
      <c r="AE17" s="21">
        <v>0</v>
      </c>
      <c r="AF17" s="21">
        <v>0</v>
      </c>
      <c r="AG17" s="21">
        <v>0</v>
      </c>
      <c r="AH17" s="21">
        <v>0</v>
      </c>
      <c r="AI17" s="21">
        <v>0</v>
      </c>
      <c r="AJ17" s="21">
        <v>0</v>
      </c>
      <c r="AK17" s="21">
        <v>0</v>
      </c>
      <c r="AL17" s="21">
        <v>0</v>
      </c>
      <c r="AM17" s="21">
        <v>0</v>
      </c>
      <c r="AN17" s="21">
        <v>0</v>
      </c>
      <c r="AO17" s="21">
        <v>0</v>
      </c>
      <c r="AP17" s="21">
        <v>0</v>
      </c>
      <c r="AQ17" s="21">
        <v>0</v>
      </c>
      <c r="AR17" s="21">
        <v>0</v>
      </c>
      <c r="AS17" s="21">
        <v>0</v>
      </c>
      <c r="AT17" s="21">
        <v>0</v>
      </c>
      <c r="AU17" s="21">
        <v>0</v>
      </c>
      <c r="AV17" s="21">
        <v>0</v>
      </c>
      <c r="AW17" s="21">
        <v>0</v>
      </c>
      <c r="AX17" s="21">
        <v>0</v>
      </c>
      <c r="AY17" s="21">
        <v>0</v>
      </c>
      <c r="AZ17" s="21">
        <v>0</v>
      </c>
      <c r="BA17" s="21">
        <v>0</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About</vt:lpstr>
      <vt:lpstr>capital processing</vt:lpstr>
      <vt:lpstr>nuclear</vt:lpstr>
      <vt:lpstr>solar thermal</vt:lpstr>
      <vt:lpstr>2017 TDIPS</vt:lpstr>
      <vt:lpstr>2024 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2025-04-12T19:38:00Z</dcterms:modified>
</cp:coreProperties>
</file>