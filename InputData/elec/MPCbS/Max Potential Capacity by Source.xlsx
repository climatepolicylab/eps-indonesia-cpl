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MPCbS/"/>
    </mc:Choice>
  </mc:AlternateContent>
  <xr:revisionPtr revIDLastSave="0" documentId="13_ncr:1_{B8DE5C60-3A8F-2748-B281-7CB583C982AD}" xr6:coauthVersionLast="47" xr6:coauthVersionMax="47" xr10:uidLastSave="{00000000-0000-0000-0000-000000000000}"/>
  <bookViews>
    <workbookView xWindow="0" yWindow="780" windowWidth="34200" windowHeight="21360" activeTab="4" xr2:uid="{00000000-000D-0000-FFFF-FFFF00000000}"/>
  </bookViews>
  <sheets>
    <sheet name="About" sheetId="1" r:id="rId1"/>
    <sheet name="Data" sheetId="2" r:id="rId2"/>
    <sheet name="Data-Renewables" sheetId="4" r:id="rId3"/>
    <sheet name="Indonesia Data" sheetId="5" r:id="rId4"/>
    <sheet name="MPCb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/aLr2XArEXEJtAmmV5lirR0p6RxnhFF9bxUqUPsWZA="/>
    </ext>
  </extLst>
</workbook>
</file>

<file path=xl/calcChain.xml><?xml version="1.0" encoding="utf-8"?>
<calcChain xmlns="http://schemas.openxmlformats.org/spreadsheetml/2006/main">
  <c r="B9" i="3" l="1"/>
  <c r="B6" i="3"/>
  <c r="B14" i="3"/>
  <c r="B15" i="3"/>
  <c r="B7" i="3"/>
  <c r="B4" i="5"/>
  <c r="B5" i="5" s="1"/>
  <c r="B6" i="5" s="1"/>
  <c r="B16" i="3"/>
  <c r="B17" i="3"/>
  <c r="B10" i="3"/>
  <c r="B5" i="3"/>
  <c r="B5" i="4"/>
  <c r="C5" i="4" s="1"/>
  <c r="B8" i="3" s="1"/>
  <c r="C9" i="4"/>
  <c r="C8" i="4"/>
  <c r="C6" i="4"/>
  <c r="C7" i="4"/>
  <c r="C3" i="4"/>
  <c r="C4" i="4"/>
  <c r="C2" i="4"/>
  <c r="B3" i="3"/>
  <c r="B4" i="3"/>
  <c r="B12" i="3"/>
  <c r="B13" i="3"/>
  <c r="B2" i="3"/>
  <c r="B28" i="2"/>
  <c r="B29" i="2"/>
  <c r="B30" i="2"/>
  <c r="B31" i="2"/>
  <c r="B32" i="2"/>
  <c r="B33" i="2"/>
  <c r="B27" i="2"/>
  <c r="B11" i="3" s="1"/>
  <c r="B24" i="2"/>
  <c r="B19" i="2"/>
  <c r="B20" i="2"/>
  <c r="B18" i="2"/>
  <c r="B21" i="2"/>
  <c r="B7" i="2"/>
  <c r="B5" i="2"/>
  <c r="B4" i="2"/>
  <c r="B3" i="2"/>
</calcChain>
</file>

<file path=xl/sharedStrings.xml><?xml version="1.0" encoding="utf-8"?>
<sst xmlns="http://schemas.openxmlformats.org/spreadsheetml/2006/main" count="121" uniqueCount="68">
  <si>
    <t>MPCbS Max Potential Capacity by Source</t>
  </si>
  <si>
    <t>Source:</t>
  </si>
  <si>
    <t>Solar, Wind, Biomass, Hydropower</t>
  </si>
  <si>
    <t>Institute for Essential Services Reform</t>
  </si>
  <si>
    <t>Beyond 443 GW: Indonesia’s infinite renewable energy potentials</t>
  </si>
  <si>
    <t>https://iesr.or.id/wp-content/uploads/2021/10/IESR-Beyond-443-GW-Indonesias-Infinite-Renewable-Energy-Potentials.pdf</t>
  </si>
  <si>
    <t>Notes:</t>
  </si>
  <si>
    <t>These maximums reflect the available resource potential for hydro, wind, solar, and biomass power.</t>
  </si>
  <si>
    <t>Maximums for coal, natural gas, and nuclear are not imposed, as these power types are unlikely to</t>
  </si>
  <si>
    <t>be geographically resource-constrained. (An arbitrarily high number is chosen here, to ensure</t>
  </si>
  <si>
    <t>this limit doesn't come into play for these three electricity sources.)</t>
  </si>
  <si>
    <t>Electricity Source (model subscript)</t>
  </si>
  <si>
    <t>Potential Capacity (MW)</t>
  </si>
  <si>
    <t>hydro</t>
  </si>
  <si>
    <t>onshore wind</t>
  </si>
  <si>
    <t>solar PV</t>
  </si>
  <si>
    <t>solar thermal</t>
  </si>
  <si>
    <t>N/a</t>
  </si>
  <si>
    <t>biomass</t>
  </si>
  <si>
    <t>geothermal</t>
  </si>
  <si>
    <t>offshore wind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</si>
  <si>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</si>
  <si>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</si>
  <si>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</si>
  <si>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</si>
  <si>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Electricity Source</t>
  </si>
  <si>
    <t>Max Potential Capacity (MW)</t>
  </si>
  <si>
    <t>hard coal</t>
  </si>
  <si>
    <t>natural gas nonpeaker</t>
  </si>
  <si>
    <t>nuclear</t>
  </si>
  <si>
    <t>petroleum</t>
  </si>
  <si>
    <t>natural gas peaker</t>
  </si>
  <si>
    <t>lignite</t>
  </si>
  <si>
    <t>crude oil</t>
  </si>
  <si>
    <t>heavy or residual fuel oil</t>
  </si>
  <si>
    <t>municipal solid waste</t>
  </si>
  <si>
    <t>US MPCCS</t>
  </si>
  <si>
    <t>Type</t>
  </si>
  <si>
    <t>Maximum Potential Capacity (MW)</t>
  </si>
  <si>
    <t>Maximum Potential Capacity (GW)</t>
  </si>
  <si>
    <t>Tito Wijayanto , Dzikri Firmansyah Hakam * , Prodia Nur Kemala</t>
  </si>
  <si>
    <t>Vision for Indonesia’s 2050 power generation: Scenarios of hydrogen integration, nuclear energy prospects, and coal phase-out impact</t>
  </si>
  <si>
    <t>https://doi.org/10.1016/j.sftr.2025.100438</t>
  </si>
  <si>
    <t>GW to MW</t>
  </si>
  <si>
    <t>The Future of Wind Power Plants in Indonesia: Potential, Challenges, and Policies</t>
  </si>
  <si>
    <t>https://doi.org/10.3390/su17031312</t>
  </si>
  <si>
    <t>Looking forward to Indonesia's solar future</t>
  </si>
  <si>
    <t>ANTARA 2024</t>
  </si>
  <si>
    <t>Nugroho Agung Pambud et al.</t>
  </si>
  <si>
    <t>https://en.antaranews.com/news/323823/looking-forward-to-indonesias-solar-future#:~:text=The%20country's%20solar%20potential%20alone%20stands%20at,GW%2C%2024%20GW%2C%20and%2020%20GW%20respectively.&amp;text=While%20the%20potential%20for%20solar%20energy%20is,GW%2C%20its%20realization%20reached%20just%20573%20MW.</t>
  </si>
  <si>
    <t>Beyond 207 Gigawatts: Unleashing Indonesia’s Solar Potential</t>
  </si>
  <si>
    <t>IESR</t>
  </si>
  <si>
    <t>https://iesr.or.id/en/pustaka/beyond-207-gigawatts-unleashing-indonesias-solar-potential/#:~:text=A%20geospatial%20assessment%20of%20Indonesia's,land%2Duse%20exclusions%20scenarios).</t>
  </si>
  <si>
    <t>MPCS</t>
  </si>
  <si>
    <t>1 mtoe to MWh</t>
  </si>
  <si>
    <t>1 MWh to MW</t>
  </si>
  <si>
    <t>Biomass (MW)</t>
  </si>
  <si>
    <t>Biomass (mtoe)</t>
  </si>
  <si>
    <t>over a year</t>
  </si>
  <si>
    <t>https://www.eria.org/uploads/media/Research-Project-Report/2022-01-Biomass-Demand-Potential-Indonesia/Forecast-of-Biomass-Demand-Potential-in-Indonesia.pdf</t>
  </si>
  <si>
    <t>https://www.reccessary.com/en/news/Indonesia-wind-power-capacity-target#:~:text=Dewi%20noted%20that%20Indonesia%20has,%2C%20accounting%20for%20about%2040%25.</t>
  </si>
  <si>
    <t>https://www.mdpi.com/2071-1050/17/3/1312</t>
  </si>
  <si>
    <t>https://www.energytransitionpartnership.org/wp-content/uploads/2024/09/20240919-Roadmap-Onshore-Wind-Energy-v5.0-EN.pdf</t>
  </si>
  <si>
    <t>Wind (MW) (total)</t>
  </si>
  <si>
    <t>https://www.reccessary.com/en/news/Indonesia-wind-power-capacity-target</t>
  </si>
  <si>
    <t>Onshore wind (MW)</t>
  </si>
  <si>
    <t>Offshore wind (MW)</t>
  </si>
  <si>
    <t>Geothermal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</si>
</sst>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3" borderId="1" xfId="0" applyFill="1" applyBorder="1"/>
    <xf numFmtId="11" fontId="0" fillId="0" borderId="0" xfId="0" applyNumberFormat="1"/>
    <xf numFmtId="11" fontId="2" fillId="0" borderId="0" xfId="0" applyNumberFormat="1" applyFont="1"/>
    <xf numFmtId="0" fontId="2" fillId="0" borderId="1" xfId="0" applyFont="1" applyBorder="1" applyAlignment="1">
      <alignment horizontal="left"/>
    </xf>
    <xf numFmtId="0" fontId="4" fillId="0" borderId="0" xfId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38100</xdr:rowOff>
    </xdr:from>
    <xdr:to>
      <xdr:col>6</xdr:col>
      <xdr:colOff>381000</xdr:colOff>
      <xdr:row>51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73077-2B9A-CDD3-5327-30582EE7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05600"/>
          <a:ext cx="7620000" cy="30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3390/su17031312" TargetMode="External"/><Relationship Id="rId2" Type="http://schemas.openxmlformats.org/officeDocument/2006/relationships/hyperlink" Target="https://doi.org/10.1016/j.sftr.2025.100438" TargetMode="External"/><Relationship Id="rId1" Type="http://schemas.openxmlformats.org/officeDocument/2006/relationships/hyperlink" Target="https://iesr.or.id/wp-content/uploads/2021/10/IESR-Beyond-443-GW-Indonesias-Infinite-Renewable-Energy-Potentials.pdf" TargetMode="External"/><Relationship Id="rId5" Type="http://schemas.openxmlformats.org/officeDocument/2006/relationships/hyperlink" Target="https://iesr.or.id/en/pustaka/beyond-207-gigawatts-unleashing-indonesias-solar-potential/" TargetMode="External"/><Relationship Id="rId4" Type="http://schemas.openxmlformats.org/officeDocument/2006/relationships/hyperlink" Target="https://en.antaranews.com/news/323823/looking-forward-to-indonesias-solar-futur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dpi.com/2071-1050/17/3/1312" TargetMode="External"/><Relationship Id="rId2" Type="http://schemas.openxmlformats.org/officeDocument/2006/relationships/hyperlink" Target="https://www.reccessary.com/en/news/Indonesia-wind-power-capacity-target" TargetMode="External"/><Relationship Id="rId1" Type="http://schemas.openxmlformats.org/officeDocument/2006/relationships/hyperlink" Target="https://www.eria.org/uploads/media/Research-Project-Report/2022-01-Biomass-Demand-Potential-Indonesia/Forecast-of-Biomass-Demand-Potential-in-Indonesia.pdf" TargetMode="External"/><Relationship Id="rId5" Type="http://schemas.openxmlformats.org/officeDocument/2006/relationships/hyperlink" Target="https://www.reccessary.com/en/news/Indonesia-wind-power-capacity-target" TargetMode="External"/><Relationship Id="rId4" Type="http://schemas.openxmlformats.org/officeDocument/2006/relationships/hyperlink" Target="https://www.energytransitionpartnership.org/wp-content/uploads/2024/09/20240919-Roadmap-Onshore-Wind-Energy-v5.0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0"/>
  <sheetViews>
    <sheetView workbookViewId="0">
      <selection activeCell="E38" sqref="E38"/>
    </sheetView>
  </sheetViews>
  <sheetFormatPr baseColWidth="10" defaultColWidth="14.5" defaultRowHeight="15" customHeight="1" x14ac:dyDescent="0.2"/>
  <cols>
    <col min="1" max="1" width="8.6640625" customWidth="1"/>
    <col min="2" max="2" width="60.83203125" customWidth="1"/>
    <col min="3" max="26" width="8.66406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2" t="s">
        <v>2</v>
      </c>
    </row>
    <row r="4" spans="1:2" x14ac:dyDescent="0.2">
      <c r="B4" s="3" t="s">
        <v>3</v>
      </c>
    </row>
    <row r="5" spans="1:2" x14ac:dyDescent="0.2">
      <c r="B5" s="4" t="s">
        <v>4</v>
      </c>
    </row>
    <row r="6" spans="1:2" x14ac:dyDescent="0.2">
      <c r="B6" s="5">
        <v>2021</v>
      </c>
    </row>
    <row r="7" spans="1:2" x14ac:dyDescent="0.2">
      <c r="B7" s="6" t="s">
        <v>5</v>
      </c>
    </row>
    <row r="9" spans="1:2" ht="15" customHeight="1" x14ac:dyDescent="0.2">
      <c r="B9" s="1" t="s">
        <v>40</v>
      </c>
    </row>
    <row r="10" spans="1:2" ht="15" customHeight="1" x14ac:dyDescent="0.2">
      <c r="B10" s="3" t="s">
        <v>41</v>
      </c>
    </row>
    <row r="11" spans="1:2" ht="15" customHeight="1" x14ac:dyDescent="0.2">
      <c r="B11" s="5">
        <v>2025</v>
      </c>
    </row>
    <row r="12" spans="1:2" x14ac:dyDescent="0.2">
      <c r="B12" s="12" t="s">
        <v>42</v>
      </c>
    </row>
    <row r="14" spans="1:2" x14ac:dyDescent="0.2">
      <c r="B14" s="7"/>
    </row>
    <row r="15" spans="1:2" ht="15" customHeight="1" x14ac:dyDescent="0.2">
      <c r="B15" s="14" t="s">
        <v>48</v>
      </c>
    </row>
    <row r="16" spans="1:2" ht="15" customHeight="1" x14ac:dyDescent="0.2">
      <c r="B16" s="13" t="s">
        <v>44</v>
      </c>
    </row>
    <row r="17" spans="2:2" x14ac:dyDescent="0.2">
      <c r="B17" s="11">
        <v>2024</v>
      </c>
    </row>
    <row r="18" spans="2:2" ht="15" customHeight="1" x14ac:dyDescent="0.2">
      <c r="B18" s="12" t="s">
        <v>45</v>
      </c>
    </row>
    <row r="19" spans="2:2" x14ac:dyDescent="0.2">
      <c r="B19" s="4"/>
    </row>
    <row r="20" spans="2:2" x14ac:dyDescent="0.2">
      <c r="B20" s="4"/>
    </row>
    <row r="21" spans="2:2" ht="15" customHeight="1" x14ac:dyDescent="0.2">
      <c r="B21" s="3" t="s">
        <v>47</v>
      </c>
    </row>
    <row r="22" spans="2:2" ht="15.75" customHeight="1" x14ac:dyDescent="0.2">
      <c r="B22" s="13" t="s">
        <v>46</v>
      </c>
    </row>
    <row r="23" spans="2:2" ht="15.75" customHeight="1" x14ac:dyDescent="0.2">
      <c r="B23" s="4">
        <v>2024</v>
      </c>
    </row>
    <row r="24" spans="2:2" ht="15.75" customHeight="1" x14ac:dyDescent="0.2">
      <c r="B24" s="12" t="s">
        <v>49</v>
      </c>
    </row>
    <row r="25" spans="2:2" ht="15.75" customHeight="1" x14ac:dyDescent="0.2"/>
    <row r="26" spans="2:2" ht="15.75" customHeight="1" x14ac:dyDescent="0.2"/>
    <row r="27" spans="2:2" ht="15.75" customHeight="1" x14ac:dyDescent="0.2">
      <c r="B27" s="3" t="s">
        <v>51</v>
      </c>
    </row>
    <row r="28" spans="2:2" ht="15.75" customHeight="1" x14ac:dyDescent="0.2">
      <c r="B28" s="3" t="s">
        <v>50</v>
      </c>
    </row>
    <row r="29" spans="2:2" ht="15.75" customHeight="1" x14ac:dyDescent="0.2">
      <c r="B29" s="5">
        <v>2021</v>
      </c>
    </row>
    <row r="30" spans="2:2" ht="15.75" customHeight="1" x14ac:dyDescent="0.2">
      <c r="B30" s="12" t="s">
        <v>52</v>
      </c>
    </row>
    <row r="31" spans="2:2" ht="15.75" customHeight="1" x14ac:dyDescent="0.2">
      <c r="B31" s="3"/>
    </row>
    <row r="32" spans="2:2" ht="15.75" customHeight="1" x14ac:dyDescent="0.2">
      <c r="B32" s="3"/>
    </row>
    <row r="33" spans="1:2" ht="15.75" customHeight="1" x14ac:dyDescent="0.2">
      <c r="B33" s="3"/>
    </row>
    <row r="34" spans="1:2" ht="15.75" customHeight="1" x14ac:dyDescent="0.2"/>
    <row r="35" spans="1:2" ht="15.75" customHeight="1" x14ac:dyDescent="0.2">
      <c r="A35" s="1" t="s">
        <v>6</v>
      </c>
    </row>
    <row r="36" spans="1:2" ht="15.75" customHeight="1" x14ac:dyDescent="0.2">
      <c r="A36" s="3" t="s">
        <v>7</v>
      </c>
    </row>
    <row r="37" spans="1:2" ht="15.75" customHeight="1" x14ac:dyDescent="0.2">
      <c r="A37" s="3" t="s">
        <v>8</v>
      </c>
    </row>
    <row r="38" spans="1:2" ht="15.75" customHeight="1" x14ac:dyDescent="0.2">
      <c r="A38" s="3" t="s">
        <v>9</v>
      </c>
    </row>
    <row r="39" spans="1:2" ht="15.75" customHeight="1" x14ac:dyDescent="0.2">
      <c r="A39" s="3" t="s">
        <v>10</v>
      </c>
    </row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hyperlinks>
    <hyperlink ref="B7" r:id="rId1" xr:uid="{00000000-0004-0000-0000-000000000000}"/>
    <hyperlink ref="B12" r:id="rId2" tooltip="Persistent link using digital object identifier" xr:uid="{344CCEC0-B72D-DA4C-87D5-C0D7B75EA4FE}"/>
    <hyperlink ref="B18" r:id="rId3" xr:uid="{86A0A910-AD48-094A-9EE4-43392EFD89A4}"/>
    <hyperlink ref="B24" r:id="rId4" location=":~:text=The%20country's%20solar%20potential%20alone%20stands%20at,GW%2C%2024%20GW%2C%20and%2020%20GW%20respectively.&amp;text=While%20the%20potential%20for%20solar%20energy%20is,GW%2C%20its%20realization%20reached%20just%20573%20MW." display="https://en.antaranews.com/news/323823/looking-forward-to-indonesias-solar-future#:~:text=The%20country's%20solar%20potential%20alone%20stands%20at,GW%2C%2024%20GW%2C%20and%2020%20GW%20respectively.&amp;text=While%20the%20potential%20for%20solar%20energy%20is,GW%2C%20its%20realization%20reached%20just%20573%20MW." xr:uid="{DA9AC5AE-E318-9D40-984B-37342CF78D6F}"/>
    <hyperlink ref="B30" r:id="rId5" location=":~:text=A%20geospatial%20assessment%20of%20Indonesia's,land%2Duse%20exclusions%20scenarios)." xr:uid="{2FBA03EF-D4EF-9840-B775-F7619F903A37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6"/>
  <sheetViews>
    <sheetView workbookViewId="0">
      <selection activeCell="H19" sqref="H19"/>
    </sheetView>
  </sheetViews>
  <sheetFormatPr baseColWidth="10" defaultColWidth="14.5" defaultRowHeight="15" customHeight="1" x14ac:dyDescent="0.2"/>
  <cols>
    <col min="1" max="1" width="35.6640625" customWidth="1"/>
    <col min="2" max="2" width="24.6640625" customWidth="1"/>
    <col min="3" max="7" width="8.6640625" customWidth="1"/>
    <col min="8" max="8" width="31.5" customWidth="1"/>
    <col min="9" max="23" width="8.6640625" customWidth="1"/>
  </cols>
  <sheetData>
    <row r="1" spans="1:8" ht="15" customHeight="1" x14ac:dyDescent="0.2">
      <c r="G1" s="1" t="s">
        <v>36</v>
      </c>
    </row>
    <row r="2" spans="1:8" x14ac:dyDescent="0.2">
      <c r="A2" s="2" t="s">
        <v>11</v>
      </c>
      <c r="B2" s="2" t="s">
        <v>12</v>
      </c>
      <c r="G2" s="1" t="s">
        <v>25</v>
      </c>
      <c r="H2" s="1" t="s">
        <v>26</v>
      </c>
    </row>
    <row r="3" spans="1:8" x14ac:dyDescent="0.2">
      <c r="A3" s="8" t="s">
        <v>13</v>
      </c>
      <c r="B3" s="8">
        <f>6.3*1000</f>
        <v>6300</v>
      </c>
      <c r="G3" s="3" t="s">
        <v>27</v>
      </c>
      <c r="H3" s="3">
        <v>9000000000000</v>
      </c>
    </row>
    <row r="4" spans="1:8" x14ac:dyDescent="0.2">
      <c r="A4" s="8" t="s">
        <v>14</v>
      </c>
      <c r="B4" s="8">
        <f>25*1000</f>
        <v>25000</v>
      </c>
      <c r="G4" s="3" t="s">
        <v>28</v>
      </c>
      <c r="H4" s="3">
        <v>9000000000000</v>
      </c>
    </row>
    <row r="5" spans="1:8" x14ac:dyDescent="0.2">
      <c r="A5" s="8" t="s">
        <v>15</v>
      </c>
      <c r="B5" s="8">
        <f>6473.3*1000</f>
        <v>6473300</v>
      </c>
      <c r="G5" s="3" t="s">
        <v>29</v>
      </c>
      <c r="H5" s="3">
        <v>9000000000000</v>
      </c>
    </row>
    <row r="6" spans="1:8" x14ac:dyDescent="0.2">
      <c r="A6" s="8" t="s">
        <v>16</v>
      </c>
      <c r="B6" s="8" t="s">
        <v>17</v>
      </c>
      <c r="G6" s="3" t="s">
        <v>13</v>
      </c>
      <c r="H6" s="3">
        <v>187600</v>
      </c>
    </row>
    <row r="7" spans="1:8" ht="15.75" customHeight="1" x14ac:dyDescent="0.2">
      <c r="A7" s="8" t="s">
        <v>18</v>
      </c>
      <c r="B7" s="8">
        <f>30.73*1000</f>
        <v>30730</v>
      </c>
      <c r="G7" s="3" t="s">
        <v>14</v>
      </c>
      <c r="H7" s="3">
        <v>11000000</v>
      </c>
    </row>
    <row r="8" spans="1:8" ht="15.75" customHeight="1" x14ac:dyDescent="0.2">
      <c r="A8" s="8" t="s">
        <v>19</v>
      </c>
      <c r="B8" s="8" t="s">
        <v>17</v>
      </c>
      <c r="G8" s="3" t="s">
        <v>15</v>
      </c>
      <c r="H8" s="3">
        <v>154864000</v>
      </c>
    </row>
    <row r="9" spans="1:8" ht="15.75" customHeight="1" x14ac:dyDescent="0.2">
      <c r="A9" s="8" t="s">
        <v>20</v>
      </c>
      <c r="B9" s="8" t="s">
        <v>17</v>
      </c>
      <c r="G9" s="3" t="s">
        <v>16</v>
      </c>
      <c r="H9" s="10">
        <v>38000000</v>
      </c>
    </row>
    <row r="10" spans="1:8" ht="15.75" customHeight="1" x14ac:dyDescent="0.2">
      <c r="G10" s="3" t="s">
        <v>18</v>
      </c>
      <c r="H10" s="3">
        <v>62000</v>
      </c>
    </row>
    <row r="11" spans="1:8" ht="15.75" customHeight="1" x14ac:dyDescent="0.2">
      <c r="A11" t="s">
        <v>21</v>
      </c>
      <c r="G11" s="3" t="s">
        <v>19</v>
      </c>
      <c r="H11" s="3">
        <v>4000000</v>
      </c>
    </row>
    <row r="12" spans="1:8" ht="15.75" customHeight="1" x14ac:dyDescent="0.2">
      <c r="A12" t="s">
        <v>22</v>
      </c>
      <c r="G12" s="3" t="s">
        <v>30</v>
      </c>
      <c r="H12" s="3">
        <v>153000</v>
      </c>
    </row>
    <row r="13" spans="1:8" ht="15.75" customHeight="1" x14ac:dyDescent="0.2">
      <c r="A13" t="s">
        <v>23</v>
      </c>
      <c r="G13" s="3" t="s">
        <v>31</v>
      </c>
      <c r="H13" s="3">
        <v>9000000000000</v>
      </c>
    </row>
    <row r="14" spans="1:8" ht="15.75" customHeight="1" x14ac:dyDescent="0.2">
      <c r="A14" s="3" t="s">
        <v>24</v>
      </c>
      <c r="G14" s="3" t="s">
        <v>32</v>
      </c>
      <c r="H14" s="3">
        <v>9000000000000</v>
      </c>
    </row>
    <row r="15" spans="1:8" ht="15.75" customHeight="1" x14ac:dyDescent="0.2">
      <c r="G15" s="3" t="s">
        <v>20</v>
      </c>
      <c r="H15" s="3">
        <v>4200000</v>
      </c>
    </row>
    <row r="16" spans="1:8" ht="15.75" customHeight="1" x14ac:dyDescent="0.2">
      <c r="G16" s="3" t="s">
        <v>33</v>
      </c>
      <c r="H16" s="3">
        <v>9000000000000</v>
      </c>
    </row>
    <row r="17" spans="1:8" ht="15.75" customHeight="1" x14ac:dyDescent="0.2">
      <c r="A17" s="1" t="s">
        <v>25</v>
      </c>
      <c r="B17" s="1" t="s">
        <v>26</v>
      </c>
      <c r="G17" s="3" t="s">
        <v>34</v>
      </c>
      <c r="H17" s="3">
        <v>9000000000000</v>
      </c>
    </row>
    <row r="18" spans="1:8" ht="15.75" customHeight="1" x14ac:dyDescent="0.2">
      <c r="A18" s="3" t="s">
        <v>27</v>
      </c>
      <c r="B18" s="9">
        <f>H3</f>
        <v>9000000000000</v>
      </c>
      <c r="G18" s="3" t="s">
        <v>35</v>
      </c>
      <c r="H18" s="3">
        <v>8031</v>
      </c>
    </row>
    <row r="19" spans="1:8" ht="15.75" customHeight="1" x14ac:dyDescent="0.2">
      <c r="A19" s="3" t="s">
        <v>28</v>
      </c>
      <c r="B19" s="9">
        <f t="shared" ref="B19:B20" si="0">H4</f>
        <v>9000000000000</v>
      </c>
    </row>
    <row r="20" spans="1:8" ht="15.75" customHeight="1" x14ac:dyDescent="0.2">
      <c r="A20" s="3" t="s">
        <v>29</v>
      </c>
      <c r="B20" s="9">
        <f t="shared" si="0"/>
        <v>9000000000000</v>
      </c>
    </row>
    <row r="21" spans="1:8" ht="15.75" customHeight="1" x14ac:dyDescent="0.2">
      <c r="A21" s="3" t="s">
        <v>13</v>
      </c>
      <c r="B21" s="10">
        <f>75091+19385</f>
        <v>94476</v>
      </c>
    </row>
    <row r="22" spans="1:8" ht="15.75" customHeight="1" x14ac:dyDescent="0.2">
      <c r="A22" s="3" t="s">
        <v>14</v>
      </c>
      <c r="B22" s="10">
        <v>60647</v>
      </c>
    </row>
    <row r="23" spans="1:8" ht="15.75" customHeight="1" x14ac:dyDescent="0.2">
      <c r="A23" s="3" t="s">
        <v>15</v>
      </c>
      <c r="B23" s="10">
        <v>207896</v>
      </c>
    </row>
    <row r="24" spans="1:8" ht="15.75" customHeight="1" x14ac:dyDescent="0.2">
      <c r="A24" s="3" t="s">
        <v>16</v>
      </c>
      <c r="B24" s="10">
        <f>H9</f>
        <v>38000000</v>
      </c>
    </row>
    <row r="25" spans="1:8" ht="15.75" customHeight="1" x14ac:dyDescent="0.2">
      <c r="A25" s="3" t="s">
        <v>18</v>
      </c>
      <c r="B25" s="10">
        <v>32654</v>
      </c>
    </row>
    <row r="26" spans="1:8" ht="15.75" customHeight="1" x14ac:dyDescent="0.2">
      <c r="A26" s="3" t="s">
        <v>19</v>
      </c>
      <c r="B26" s="10">
        <v>29544</v>
      </c>
    </row>
    <row r="27" spans="1:8" ht="15.75" customHeight="1" x14ac:dyDescent="0.2">
      <c r="A27" s="3" t="s">
        <v>30</v>
      </c>
      <c r="B27" s="9">
        <f>H12</f>
        <v>153000</v>
      </c>
    </row>
    <row r="28" spans="1:8" ht="15.75" customHeight="1" x14ac:dyDescent="0.2">
      <c r="A28" s="3" t="s">
        <v>31</v>
      </c>
      <c r="B28" s="9">
        <f t="shared" ref="B28:B33" si="1">H13</f>
        <v>9000000000000</v>
      </c>
    </row>
    <row r="29" spans="1:8" ht="15.75" customHeight="1" x14ac:dyDescent="0.2">
      <c r="A29" s="3" t="s">
        <v>32</v>
      </c>
      <c r="B29" s="9">
        <f t="shared" si="1"/>
        <v>9000000000000</v>
      </c>
    </row>
    <row r="30" spans="1:8" ht="15.75" customHeight="1" x14ac:dyDescent="0.2">
      <c r="A30" s="3" t="s">
        <v>20</v>
      </c>
      <c r="B30" s="9">
        <f t="shared" si="1"/>
        <v>4200000</v>
      </c>
    </row>
    <row r="31" spans="1:8" ht="15.75" customHeight="1" x14ac:dyDescent="0.2">
      <c r="A31" s="3" t="s">
        <v>33</v>
      </c>
      <c r="B31" s="9">
        <f t="shared" si="1"/>
        <v>9000000000000</v>
      </c>
    </row>
    <row r="32" spans="1:8" ht="15.75" customHeight="1" x14ac:dyDescent="0.2">
      <c r="A32" s="3" t="s">
        <v>34</v>
      </c>
      <c r="B32" s="9">
        <f t="shared" si="1"/>
        <v>9000000000000</v>
      </c>
    </row>
    <row r="33" spans="1:2" ht="15.75" customHeight="1" x14ac:dyDescent="0.2">
      <c r="A33" s="3" t="s">
        <v>35</v>
      </c>
      <c r="B33" s="9">
        <f t="shared" si="1"/>
        <v>8031</v>
      </c>
    </row>
    <row r="34" spans="1:2" ht="15.75" customHeight="1" x14ac:dyDescent="0.2"/>
    <row r="35" spans="1:2" ht="15.75" customHeight="1" x14ac:dyDescent="0.2"/>
    <row r="36" spans="1:2" ht="15.75" customHeight="1" x14ac:dyDescent="0.2"/>
    <row r="37" spans="1:2" ht="15.75" customHeight="1" x14ac:dyDescent="0.2"/>
    <row r="38" spans="1:2" ht="15.75" customHeight="1" x14ac:dyDescent="0.2"/>
    <row r="39" spans="1:2" ht="15.75" customHeight="1" x14ac:dyDescent="0.2"/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9D21-DE46-9B49-910B-40254B76F16A}">
  <dimension ref="A1:D11"/>
  <sheetViews>
    <sheetView workbookViewId="0">
      <selection activeCell="E17" sqref="E17"/>
    </sheetView>
  </sheetViews>
  <sheetFormatPr baseColWidth="10" defaultRowHeight="15" x14ac:dyDescent="0.2"/>
  <sheetData>
    <row r="1" spans="1:4" x14ac:dyDescent="0.2">
      <c r="A1" s="1" t="s">
        <v>37</v>
      </c>
      <c r="B1" s="1" t="s">
        <v>39</v>
      </c>
      <c r="C1" s="1" t="s">
        <v>38</v>
      </c>
    </row>
    <row r="2" spans="1:4" x14ac:dyDescent="0.2">
      <c r="A2" s="3" t="s">
        <v>13</v>
      </c>
      <c r="B2">
        <v>95</v>
      </c>
      <c r="C2" s="9">
        <f>B2*$B$11</f>
        <v>95000</v>
      </c>
    </row>
    <row r="3" spans="1:4" x14ac:dyDescent="0.2">
      <c r="A3" s="3" t="s">
        <v>14</v>
      </c>
      <c r="B3">
        <v>60.6</v>
      </c>
      <c r="C3" s="9">
        <f t="shared" ref="C3:C9" si="0">B3*$B$11</f>
        <v>60600</v>
      </c>
    </row>
    <row r="4" spans="1:4" x14ac:dyDescent="0.2">
      <c r="A4" s="3" t="s">
        <v>15</v>
      </c>
      <c r="B4">
        <v>19835</v>
      </c>
      <c r="C4" s="9">
        <f t="shared" si="0"/>
        <v>19835000</v>
      </c>
      <c r="D4" s="10"/>
    </row>
    <row r="5" spans="1:4" x14ac:dyDescent="0.2">
      <c r="A5" s="3" t="s">
        <v>16</v>
      </c>
      <c r="B5">
        <f>B4</f>
        <v>19835</v>
      </c>
      <c r="C5" s="9">
        <f t="shared" si="0"/>
        <v>19835000</v>
      </c>
    </row>
    <row r="6" spans="1:4" x14ac:dyDescent="0.2">
      <c r="A6" s="3" t="s">
        <v>18</v>
      </c>
      <c r="B6">
        <v>32.6</v>
      </c>
      <c r="C6" s="9">
        <f t="shared" si="0"/>
        <v>32600</v>
      </c>
    </row>
    <row r="7" spans="1:4" x14ac:dyDescent="0.2">
      <c r="A7" s="3" t="s">
        <v>19</v>
      </c>
      <c r="B7">
        <v>28.5</v>
      </c>
      <c r="C7" s="9">
        <f t="shared" si="0"/>
        <v>28500</v>
      </c>
    </row>
    <row r="8" spans="1:4" x14ac:dyDescent="0.2">
      <c r="A8" s="3" t="s">
        <v>20</v>
      </c>
      <c r="B8">
        <v>94.2</v>
      </c>
      <c r="C8" s="9">
        <f t="shared" si="0"/>
        <v>94200</v>
      </c>
    </row>
    <row r="9" spans="1:4" x14ac:dyDescent="0.2">
      <c r="A9" s="3" t="s">
        <v>35</v>
      </c>
      <c r="B9">
        <v>32.6</v>
      </c>
      <c r="C9" s="9">
        <f t="shared" si="0"/>
        <v>32600</v>
      </c>
    </row>
    <row r="11" spans="1:4" x14ac:dyDescent="0.2">
      <c r="A11" s="3" t="s">
        <v>43</v>
      </c>
      <c r="B11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DAB1-4503-714B-93D7-817264E3A5A9}">
  <dimension ref="A1:B20"/>
  <sheetViews>
    <sheetView workbookViewId="0">
      <selection activeCell="B4" sqref="B4"/>
    </sheetView>
  </sheetViews>
  <sheetFormatPr baseColWidth="10" defaultRowHeight="15" x14ac:dyDescent="0.2"/>
  <cols>
    <col min="1" max="1" width="24" customWidth="1"/>
  </cols>
  <sheetData>
    <row r="1" spans="1:2" x14ac:dyDescent="0.2">
      <c r="A1" s="1"/>
      <c r="B1" s="15" t="s">
        <v>53</v>
      </c>
    </row>
    <row r="2" spans="1:2" x14ac:dyDescent="0.2">
      <c r="A2" s="3" t="s">
        <v>57</v>
      </c>
      <c r="B2">
        <v>38</v>
      </c>
    </row>
    <row r="3" spans="1:2" x14ac:dyDescent="0.2">
      <c r="A3" s="3" t="s">
        <v>54</v>
      </c>
      <c r="B3">
        <v>11630000</v>
      </c>
    </row>
    <row r="4" spans="1:2" x14ac:dyDescent="0.2">
      <c r="A4" s="3" t="s">
        <v>58</v>
      </c>
      <c r="B4">
        <f>8760</f>
        <v>8760</v>
      </c>
    </row>
    <row r="5" spans="1:2" x14ac:dyDescent="0.2">
      <c r="A5" s="3" t="s">
        <v>55</v>
      </c>
      <c r="B5">
        <f>B3/B4</f>
        <v>1327.6255707762557</v>
      </c>
    </row>
    <row r="6" spans="1:2" x14ac:dyDescent="0.2">
      <c r="A6" s="3" t="s">
        <v>56</v>
      </c>
      <c r="B6" s="9">
        <f>B2*B5</f>
        <v>50449.77168949772</v>
      </c>
    </row>
    <row r="7" spans="1:2" x14ac:dyDescent="0.2">
      <c r="A7" s="12" t="s">
        <v>59</v>
      </c>
    </row>
    <row r="10" spans="1:2" x14ac:dyDescent="0.2">
      <c r="A10" s="3" t="s">
        <v>63</v>
      </c>
      <c r="B10" s="9">
        <v>154600</v>
      </c>
    </row>
    <row r="11" spans="1:2" x14ac:dyDescent="0.2">
      <c r="A11" s="12" t="s">
        <v>60</v>
      </c>
    </row>
    <row r="12" spans="1:2" x14ac:dyDescent="0.2">
      <c r="A12" s="12" t="s">
        <v>61</v>
      </c>
    </row>
    <row r="13" spans="1:2" x14ac:dyDescent="0.2">
      <c r="A13" s="12" t="s">
        <v>62</v>
      </c>
    </row>
    <row r="15" spans="1:2" x14ac:dyDescent="0.2">
      <c r="A15" s="3" t="s">
        <v>65</v>
      </c>
      <c r="B15">
        <v>60400</v>
      </c>
    </row>
    <row r="16" spans="1:2" x14ac:dyDescent="0.2">
      <c r="A16" s="3" t="s">
        <v>66</v>
      </c>
      <c r="B16">
        <v>94200</v>
      </c>
    </row>
    <row r="17" spans="1:1" x14ac:dyDescent="0.2">
      <c r="A17" s="12" t="s">
        <v>64</v>
      </c>
    </row>
    <row r="20" spans="1:1" x14ac:dyDescent="0.2">
      <c r="A20" s="3" t="s">
        <v>67</v>
      </c>
    </row>
  </sheetData>
  <hyperlinks>
    <hyperlink ref="A7" r:id="rId1" xr:uid="{93226CF1-EBC5-E042-BD1F-9F78EF29E2E7}"/>
    <hyperlink ref="A11" r:id="rId2" location=":~:text=Dewi%20noted%20that%20Indonesia%20has,%2C%20accounting%20for%20about%2040%25." xr:uid="{7779A2B9-5497-404D-91A9-E3D5574598A4}"/>
    <hyperlink ref="A12" r:id="rId3" xr:uid="{A74447EC-2457-6C4C-9888-8F33B56CEAE2}"/>
    <hyperlink ref="A13" r:id="rId4" xr:uid="{DDF1EF41-E7EF-5A49-A70F-445F7DA18A1C}"/>
    <hyperlink ref="A17" r:id="rId5" xr:uid="{1EE2E04A-034A-F64B-AE31-78F1EFAF35E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</sheetPr>
  <dimension ref="A1:AY1000"/>
  <sheetViews>
    <sheetView tabSelected="1" workbookViewId="0">
      <selection activeCell="B10" sqref="B10"/>
    </sheetView>
  </sheetViews>
  <sheetFormatPr baseColWidth="10" defaultColWidth="14.5" defaultRowHeight="15" customHeight="1" x14ac:dyDescent="0.2"/>
  <cols>
    <col min="1" max="1" width="22" customWidth="1"/>
    <col min="2" max="2" width="27.33203125" customWidth="1"/>
    <col min="3" max="25" width="8.6640625" customWidth="1"/>
  </cols>
  <sheetData>
    <row r="1" spans="1:3" x14ac:dyDescent="0.2">
      <c r="A1" s="1" t="s">
        <v>25</v>
      </c>
      <c r="B1" s="1" t="s">
        <v>26</v>
      </c>
    </row>
    <row r="2" spans="1:3" x14ac:dyDescent="0.2">
      <c r="A2" s="3" t="s">
        <v>27</v>
      </c>
      <c r="B2" s="9">
        <f>Data!B18</f>
        <v>9000000000000</v>
      </c>
      <c r="C2" s="9"/>
    </row>
    <row r="3" spans="1:3" x14ac:dyDescent="0.2">
      <c r="A3" s="3" t="s">
        <v>28</v>
      </c>
      <c r="B3" s="9">
        <f>Data!B19</f>
        <v>9000000000000</v>
      </c>
      <c r="C3" s="9"/>
    </row>
    <row r="4" spans="1:3" x14ac:dyDescent="0.2">
      <c r="A4" s="3" t="s">
        <v>29</v>
      </c>
      <c r="B4" s="9">
        <f>Data!B20</f>
        <v>9000000000000</v>
      </c>
      <c r="C4" s="9"/>
    </row>
    <row r="5" spans="1:3" x14ac:dyDescent="0.2">
      <c r="A5" s="3" t="s">
        <v>13</v>
      </c>
      <c r="B5" s="9">
        <f>'Data-Renewables'!C2</f>
        <v>95000</v>
      </c>
      <c r="C5" s="9"/>
    </row>
    <row r="6" spans="1:3" x14ac:dyDescent="0.2">
      <c r="A6" s="3" t="s">
        <v>14</v>
      </c>
      <c r="B6" s="9">
        <f>'Data-Renewables'!C3</f>
        <v>60600</v>
      </c>
      <c r="C6" s="9"/>
    </row>
    <row r="7" spans="1:3" x14ac:dyDescent="0.2">
      <c r="A7" s="3" t="s">
        <v>15</v>
      </c>
      <c r="B7" s="9">
        <f>'Data-Renewables'!C4</f>
        <v>19835000</v>
      </c>
      <c r="C7" s="9"/>
    </row>
    <row r="8" spans="1:3" x14ac:dyDescent="0.2">
      <c r="A8" s="3" t="s">
        <v>16</v>
      </c>
      <c r="B8" s="9">
        <f>'Data-Renewables'!C5</f>
        <v>19835000</v>
      </c>
      <c r="C8" s="9"/>
    </row>
    <row r="9" spans="1:3" x14ac:dyDescent="0.2">
      <c r="A9" s="3" t="s">
        <v>18</v>
      </c>
      <c r="B9" s="9">
        <f>'Indonesia Data'!B6</f>
        <v>50449.77168949772</v>
      </c>
      <c r="C9" s="9"/>
    </row>
    <row r="10" spans="1:3" x14ac:dyDescent="0.2">
      <c r="A10" s="3" t="s">
        <v>19</v>
      </c>
      <c r="B10" s="9">
        <f>'Data-Renewables'!C7</f>
        <v>28500</v>
      </c>
      <c r="C10" s="9"/>
    </row>
    <row r="11" spans="1:3" x14ac:dyDescent="0.2">
      <c r="A11" s="3" t="s">
        <v>30</v>
      </c>
      <c r="B11" s="9">
        <f>Data!B27</f>
        <v>153000</v>
      </c>
      <c r="C11" s="9"/>
    </row>
    <row r="12" spans="1:3" x14ac:dyDescent="0.2">
      <c r="A12" s="3" t="s">
        <v>31</v>
      </c>
      <c r="B12" s="9">
        <f>Data!B28</f>
        <v>9000000000000</v>
      </c>
      <c r="C12" s="9"/>
    </row>
    <row r="13" spans="1:3" x14ac:dyDescent="0.2">
      <c r="A13" s="3" t="s">
        <v>32</v>
      </c>
      <c r="B13" s="9">
        <f>Data!B29</f>
        <v>9000000000000</v>
      </c>
      <c r="C13" s="9"/>
    </row>
    <row r="14" spans="1:3" x14ac:dyDescent="0.2">
      <c r="A14" s="3" t="s">
        <v>20</v>
      </c>
      <c r="B14" s="9">
        <f>'Data-Renewables'!C8</f>
        <v>94200</v>
      </c>
      <c r="C14" s="9"/>
    </row>
    <row r="15" spans="1:3" x14ac:dyDescent="0.2">
      <c r="A15" s="3" t="s">
        <v>33</v>
      </c>
      <c r="B15" s="9">
        <f>B11</f>
        <v>153000</v>
      </c>
      <c r="C15" s="9"/>
    </row>
    <row r="16" spans="1:3" x14ac:dyDescent="0.2">
      <c r="A16" s="3" t="s">
        <v>34</v>
      </c>
      <c r="B16" s="9">
        <f>B11</f>
        <v>153000</v>
      </c>
      <c r="C16" s="9"/>
    </row>
    <row r="17" spans="1:51" x14ac:dyDescent="0.2">
      <c r="A17" s="3" t="s">
        <v>35</v>
      </c>
      <c r="B17" s="9">
        <f>'Data-Renewables'!C9</f>
        <v>32600</v>
      </c>
      <c r="C17" s="9"/>
    </row>
    <row r="21" spans="1:51" ht="15.75" customHeight="1" x14ac:dyDescent="0.2">
      <c r="B21" s="9"/>
    </row>
    <row r="22" spans="1:51" ht="15.75" customHeight="1" x14ac:dyDescent="0.2"/>
    <row r="23" spans="1:51" ht="15.75" customHeight="1" x14ac:dyDescent="0.2"/>
    <row r="24" spans="1:51" ht="15.75" customHeight="1" x14ac:dyDescent="0.2"/>
    <row r="25" spans="1:51" ht="15.75" customHeight="1" x14ac:dyDescent="0.2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1" ht="15.75" customHeight="1" x14ac:dyDescent="0.2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 ht="15.75" customHeight="1" x14ac:dyDescent="0.2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 ht="15.75" customHeight="1" x14ac:dyDescent="0.2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1" ht="15.75" customHeight="1" x14ac:dyDescent="0.2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spans="1:51" ht="15.75" customHeight="1" x14ac:dyDescent="0.2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spans="1:51" ht="15.75" customHeight="1" x14ac:dyDescent="0.2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spans="1:51" ht="15.75" customHeight="1" x14ac:dyDescent="0.2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</row>
    <row r="33" spans="2:51" ht="15.75" customHeight="1" x14ac:dyDescent="0.2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</row>
    <row r="34" spans="2:51" ht="15.75" customHeight="1" x14ac:dyDescent="0.2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spans="2:51" ht="15.75" customHeight="1" x14ac:dyDescent="0.2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spans="2:51" ht="15.75" customHeight="1" x14ac:dyDescent="0.2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spans="2:51" ht="15.75" customHeight="1" x14ac:dyDescent="0.2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2:51" ht="15.75" customHeight="1" x14ac:dyDescent="0.2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</row>
    <row r="39" spans="2:51" ht="15.75" customHeight="1" x14ac:dyDescent="0.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</row>
    <row r="40" spans="2:51" ht="15.75" customHeight="1" x14ac:dyDescent="0.2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spans="2:51" ht="15.75" customHeight="1" x14ac:dyDescent="0.2"/>
    <row r="42" spans="2:51" ht="15.75" customHeight="1" x14ac:dyDescent="0.2"/>
    <row r="43" spans="2:51" ht="15.75" customHeight="1" x14ac:dyDescent="0.2"/>
    <row r="44" spans="2:51" ht="15.75" customHeight="1" x14ac:dyDescent="0.2"/>
    <row r="45" spans="2:51" ht="15.75" customHeight="1" x14ac:dyDescent="0.2"/>
    <row r="46" spans="2:51" ht="15.75" customHeight="1" x14ac:dyDescent="0.2"/>
    <row r="47" spans="2:51" ht="15.75" customHeight="1" x14ac:dyDescent="0.2"/>
    <row r="48" spans="2:5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Data-Renewables</vt:lpstr>
      <vt:lpstr>Indonesia Data</vt:lpstr>
      <vt:lpstr>MPCbS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2015-01-16T02:18:43Z</dcterms:created>
  <dcterms:modified xsi:type="dcterms:W3CDTF">2025-06-04T04:33:40Z</dcterms:modified>
</cp:coreProperties>
</file>