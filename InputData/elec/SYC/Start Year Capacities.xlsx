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sy02/Desktop/Postdoc Projects/eps-indonesia-cpl/InputData/elec/SYC/"/>
    </mc:Choice>
  </mc:AlternateContent>
  <xr:revisionPtr revIDLastSave="0" documentId="13_ncr:1_{B6413064-9642-0C41-A02F-991C5BAEBCFC}" xr6:coauthVersionLast="47" xr6:coauthVersionMax="47" xr10:uidLastSave="{00000000-0000-0000-0000-000000000000}"/>
  <bookViews>
    <workbookView xWindow="0" yWindow="780" windowWidth="34200" windowHeight="21360" activeTab="3" xr2:uid="{00000000-000D-0000-FFFF-FFFF00000000}"/>
  </bookViews>
  <sheets>
    <sheet name="About" sheetId="1" r:id="rId1"/>
    <sheet name="Generation" sheetId="2" r:id="rId2"/>
    <sheet name="Capacity" sheetId="3" r:id="rId3"/>
    <sheet name="SYC-SYEGC" sheetId="4" r:id="rId4"/>
    <sheet name="SYC-FoPtPFP"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CnCEmgGkQqJQihzKQYvh5dBACwBLgh7nfbAveK2umAQ="/>
    </ext>
  </extLst>
</workbook>
</file>

<file path=xl/calcChain.xml><?xml version="1.0" encoding="utf-8"?>
<calcChain xmlns="http://schemas.openxmlformats.org/spreadsheetml/2006/main">
  <c r="B3" i="4" l="1"/>
  <c r="B34" i="3"/>
  <c r="B11" i="4"/>
  <c r="B2" i="5"/>
  <c r="C8" i="4"/>
  <c r="C4" i="4"/>
  <c r="B29" i="3"/>
  <c r="I27" i="3"/>
  <c r="B27" i="3"/>
  <c r="N26" i="3"/>
  <c r="N27" i="3" s="1"/>
  <c r="L26" i="3"/>
  <c r="L27" i="3" s="1"/>
  <c r="I26" i="3"/>
  <c r="H26" i="3"/>
  <c r="H27" i="3" s="1"/>
  <c r="G26" i="3"/>
  <c r="G27" i="3" s="1"/>
  <c r="F26" i="3"/>
  <c r="F27" i="3" s="1"/>
  <c r="E26" i="3"/>
  <c r="E27" i="3" s="1"/>
  <c r="D26" i="3"/>
  <c r="D27" i="3" s="1"/>
  <c r="C26" i="3"/>
  <c r="C27" i="3" s="1"/>
  <c r="B2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47" authorId="0" shapeId="0" xr:uid="{00000000-0006-0000-0100-000001000000}">
      <text>
        <r>
          <rPr>
            <sz val="11"/>
            <color theme="1"/>
            <rFont val="Calibri"/>
            <family val="2"/>
            <scheme val="minor"/>
          </rPr>
          <t>======
ID#AAAALJdHE_E
Icmi Alif Safitri    (2021-01-21 10:02:03)
Mas @deon@iesr.or.id kalo ada tipe pembangkit baru yg sebelumnya tidak ada, nambahin kolom atau ikut template yg lama?
_Assigned to deon@iesr.or.id_
------
ID#AAAAHpoOlZ8
Deon Arinaldo    (2021-01-21 12:55:07)
Icmi, saya lupa2 ingat nih,, Kalau tidak salah seperti ini:
1. kolom about itu keterangan data dan sumber datanya serta asumsi yang dipakai
2. kolom lainnya selain yang pake kode itu lebih ke catatan pribadi dan tidak dipakai didatasetnya
3. Kolom dengan kode contoh di excel ini adalah SYC-SYEGC dan SYC-FoPtPFP ini yang perlu kita update sesuai templatenya, nah templatenya ini klo lihat yang SYC-SYEGC itu sudah ada klasifikasinya jdi silahkan dipilah pilih dan disesuaikan sumber data yang sudah kamu update ini dengan template tersebut
setelah proses ini selesai (data sudah doupdate di sheet yang berkode) silahkan diupload ke folder yang tepat ya yang di Folder NEW
Sepertinya kita bisa buat tutorial internal nih bagi yang mengerjakan proyek ini,, biar lebih jelas prosedur update datanya dan batasan2 nya.
LMK jika masih belum jelas yaaa
------
ID#AAAAHpoOlaY
Deon Arinaldo    (2021-01-21 12:59:33)
satu lgi, kamu bisa cek dan bandingkan file Elec-SYC di folder US dan folder Indonesia, pada dasarnya templatenya kita harusnya ngikutin versi yang US, sedangkan logika dan asumsi dasar datanya bsa cari petunjuk dari model Indo yang lama
------
ID#AAAALJvisBs
Icmi Alif Safitri    (2021-01-22 03:18:55)
Sepakat, Mas Deon. Member baru yg tergabung project ini butuh tutorial internal update data. Minggu depan mungkin bisa diagendakan ya, saat Farah sudah masuk karena dia nanti spesialist data (kalo tidak salah). Masih bingung, tapi saya coba pelajari lagi,. Thank you Mas @deon@iesr.or.id</t>
        </r>
      </text>
    </comment>
  </commentList>
  <extLst>
    <ext xmlns:r="http://schemas.openxmlformats.org/officeDocument/2006/relationships" uri="GoogleSheetsCustomDataVersion2">
      <go:sheetsCustomData xmlns:go="http://customooxmlschemas.google.com/" r:id="rId1" roundtripDataSignature="AMtx7mjRQN57/9F6jJGtGzh3dp6EuEmCrg=="/>
    </ext>
  </extLst>
</comments>
</file>

<file path=xl/sharedStrings.xml><?xml version="1.0" encoding="utf-8"?>
<sst xmlns="http://schemas.openxmlformats.org/spreadsheetml/2006/main" count="117" uniqueCount="100">
  <si>
    <t>SYC Start Year Electricity Generation Capacity</t>
  </si>
  <si>
    <t>SYC Fraction of Peakers that Provide Flexibility Points</t>
  </si>
  <si>
    <t>Source:</t>
  </si>
  <si>
    <t>Capacities and Generation by Plant Type</t>
  </si>
  <si>
    <t>Ministry of Energy and Mineral Resources</t>
  </si>
  <si>
    <t>Handbook of Energy and Economic Statistics of Indonesia</t>
  </si>
  <si>
    <t>Tables 6.4.1 and 6.4.2</t>
  </si>
  <si>
    <t>Notes</t>
  </si>
  <si>
    <t>For the Indonesia dataset, we classify combined cycle gas plants as preexisting</t>
  </si>
  <si>
    <t>nonretiring plants to reflect their much higher capacity factor and efficiency</t>
  </si>
  <si>
    <t>We evaluated capacity factors to determine that gas engine units are operating as peakers</t>
  </si>
  <si>
    <r>
      <rPr>
        <b/>
        <sz val="8"/>
        <color rgb="FF414042"/>
        <rFont val="Trebuchet MS"/>
        <family val="2"/>
      </rPr>
      <t>6.4.2. Power Plant Production</t>
    </r>
  </si>
  <si>
    <r>
      <rPr>
        <b/>
        <sz val="7"/>
        <color rgb="FF414042"/>
        <rFont val="Trebuchet MS"/>
        <family val="2"/>
      </rPr>
      <t>(GWh)</t>
    </r>
  </si>
  <si>
    <r>
      <rPr>
        <sz val="7"/>
        <color rgb="FFFFFFFF"/>
        <rFont val="Tahoma"/>
        <family val="2"/>
      </rPr>
      <t>Year</t>
    </r>
  </si>
  <si>
    <r>
      <rPr>
        <sz val="7"/>
        <color rgb="FFFFFFFF"/>
        <rFont val="Tahoma"/>
        <family val="2"/>
      </rPr>
      <t>Hydro PP</t>
    </r>
  </si>
  <si>
    <r>
      <rPr>
        <sz val="7"/>
        <color rgb="FFFFFFFF"/>
        <rFont val="Tahoma"/>
        <family val="2"/>
      </rPr>
      <t>Geo- ther- mal PP</t>
    </r>
  </si>
  <si>
    <r>
      <rPr>
        <sz val="7"/>
        <color rgb="FFFFFFFF"/>
        <rFont val="Tahoma"/>
        <family val="2"/>
      </rPr>
      <t>Solar PP</t>
    </r>
  </si>
  <si>
    <r>
      <rPr>
        <sz val="7"/>
        <color rgb="FFFFFFFF"/>
        <rFont val="Tahoma"/>
        <family val="2"/>
      </rPr>
      <t>Diesel PP</t>
    </r>
  </si>
  <si>
    <r>
      <rPr>
        <sz val="7"/>
        <color rgb="FFFFFFFF"/>
        <rFont val="Tahoma"/>
        <family val="2"/>
      </rPr>
      <t>Coal</t>
    </r>
  </si>
  <si>
    <t>oil</t>
  </si>
  <si>
    <t>gas</t>
  </si>
  <si>
    <r>
      <rPr>
        <sz val="7"/>
        <color rgb="FFFFFFFF"/>
        <rFont val="Tahoma"/>
        <family val="2"/>
      </rPr>
      <t>Combined Gas- Steam PP</t>
    </r>
  </si>
  <si>
    <r>
      <rPr>
        <sz val="7"/>
        <color rgb="FFFFFFFF"/>
        <rFont val="Tahoma"/>
        <family val="2"/>
      </rPr>
      <t>Gas PP</t>
    </r>
  </si>
  <si>
    <r>
      <rPr>
        <sz val="7"/>
        <color rgb="FFFFFFFF"/>
        <rFont val="Tahoma"/>
        <family val="2"/>
      </rPr>
      <t>Gas Engine PP</t>
    </r>
  </si>
  <si>
    <t>Wind PP</t>
  </si>
  <si>
    <r>
      <rPr>
        <b/>
        <sz val="8"/>
        <color rgb="FF414042"/>
        <rFont val="Trebuchet MS"/>
        <family val="2"/>
      </rPr>
      <t>6.4.2. Power Plant Production (continued)</t>
    </r>
  </si>
  <si>
    <r>
      <rPr>
        <b/>
        <sz val="7"/>
        <color rgb="FF414042"/>
        <rFont val="Trebuchet MS"/>
        <family val="2"/>
      </rPr>
      <t>(GWh)</t>
    </r>
  </si>
  <si>
    <r>
      <rPr>
        <sz val="7"/>
        <color rgb="FFFFFFFF"/>
        <rFont val="Tahoma"/>
        <family val="2"/>
      </rPr>
      <t>PLN Purchase from IPP &amp; PPU</t>
    </r>
  </si>
  <si>
    <r>
      <rPr>
        <sz val="7"/>
        <color rgb="FFFFFFFF"/>
        <rFont val="Tahoma"/>
        <family val="2"/>
      </rPr>
      <t>PLN Purchase from IPP &amp; PPU</t>
    </r>
  </si>
  <si>
    <r>
      <rPr>
        <sz val="7"/>
        <color rgb="FFFFFFFF"/>
        <rFont val="Tahoma"/>
        <family val="2"/>
      </rPr>
      <t>Year</t>
    </r>
  </si>
  <si>
    <r>
      <rPr>
        <sz val="7"/>
        <color rgb="FFFFFFFF"/>
        <rFont val="Tahoma"/>
        <family val="2"/>
      </rPr>
      <t>Hydro PP</t>
    </r>
  </si>
  <si>
    <r>
      <rPr>
        <sz val="7"/>
        <color rgb="FFFFFFFF"/>
        <rFont val="Tahoma"/>
        <family val="2"/>
      </rPr>
      <t>Geo- thermal PP</t>
    </r>
  </si>
  <si>
    <r>
      <rPr>
        <sz val="7"/>
        <color rgb="FFFFFFFF"/>
        <rFont val="Tahoma"/>
        <family val="2"/>
      </rPr>
      <t>Solar PP</t>
    </r>
  </si>
  <si>
    <r>
      <rPr>
        <sz val="7"/>
        <color rgb="FFFFFFFF"/>
        <rFont val="Tahoma"/>
        <family val="2"/>
      </rPr>
      <t>Diesel PP</t>
    </r>
  </si>
  <si>
    <r>
      <rPr>
        <sz val="7"/>
        <color rgb="FFFFFFFF"/>
        <rFont val="Tahoma"/>
        <family val="2"/>
      </rPr>
      <t>Coal</t>
    </r>
  </si>
  <si>
    <r>
      <rPr>
        <sz val="7"/>
        <color rgb="FFFFFFFF"/>
        <rFont val="Tahoma"/>
        <family val="2"/>
      </rPr>
      <t>Bio- mass</t>
    </r>
  </si>
  <si>
    <r>
      <rPr>
        <sz val="7"/>
        <color rgb="FFFFFFFF"/>
        <rFont val="Tahoma"/>
        <family val="2"/>
      </rPr>
      <t>Combined Gas-Steam PP</t>
    </r>
  </si>
  <si>
    <r>
      <rPr>
        <sz val="7"/>
        <color rgb="FFFFFFFF"/>
        <rFont val="Tahoma"/>
        <family val="2"/>
      </rPr>
      <t>Gas PP</t>
    </r>
  </si>
  <si>
    <r>
      <rPr>
        <sz val="7"/>
        <color rgb="FFFFFFFF"/>
        <rFont val="Tahoma"/>
        <family val="2"/>
      </rPr>
      <t>Wind PP</t>
    </r>
  </si>
  <si>
    <r>
      <rPr>
        <sz val="7"/>
        <color rgb="FFFFFFFF"/>
        <rFont val="Tahoma"/>
        <family val="2"/>
      </rPr>
      <t>Waste PP</t>
    </r>
  </si>
  <si>
    <r>
      <rPr>
        <sz val="7"/>
        <color rgb="FFFFFFFF"/>
        <rFont val="Tahoma"/>
        <family val="2"/>
      </rPr>
      <t>Sub-Total</t>
    </r>
  </si>
  <si>
    <r>
      <rPr>
        <sz val="7"/>
        <color rgb="FFFFFFFF"/>
        <rFont val="Tahoma"/>
        <family val="2"/>
      </rPr>
      <t>Grand Total</t>
    </r>
  </si>
  <si>
    <r>
      <rPr>
        <sz val="11"/>
        <color rgb="FF414042"/>
        <rFont val="Calibri"/>
        <family val="2"/>
      </rPr>
      <t>6.4.1. Power Plant Installed Capacity</t>
    </r>
  </si>
  <si>
    <r>
      <rPr>
        <sz val="11"/>
        <color rgb="FF414042"/>
        <rFont val="Calibri"/>
        <family val="2"/>
      </rPr>
      <t>(MW)</t>
    </r>
  </si>
  <si>
    <r>
      <rPr>
        <sz val="11"/>
        <color rgb="FFFFFFFF"/>
        <rFont val="Calibri"/>
        <family val="2"/>
      </rPr>
      <t>Year</t>
    </r>
  </si>
  <si>
    <r>
      <rPr>
        <sz val="11"/>
        <color rgb="FFFFFFFF"/>
        <rFont val="Calibri"/>
        <family val="2"/>
      </rPr>
      <t>Hydro PP</t>
    </r>
  </si>
  <si>
    <r>
      <rPr>
        <sz val="11"/>
        <color rgb="FFFFFFFF"/>
        <rFont val="Calibri"/>
        <family val="2"/>
      </rPr>
      <t>Steam PP</t>
    </r>
  </si>
  <si>
    <r>
      <rPr>
        <sz val="11"/>
        <color rgb="FFFFFFFF"/>
        <rFont val="Calibri"/>
        <family val="2"/>
      </rPr>
      <t>Gas PP</t>
    </r>
  </si>
  <si>
    <r>
      <rPr>
        <sz val="11"/>
        <color rgb="FFFFFFFF"/>
        <rFont val="Calibri"/>
        <family val="2"/>
      </rPr>
      <t>Combined Cycle PP</t>
    </r>
  </si>
  <si>
    <r>
      <rPr>
        <sz val="11"/>
        <color rgb="FFFFFFFF"/>
        <rFont val="Calibri"/>
        <family val="2"/>
      </rPr>
      <t>Geother- mal PP</t>
    </r>
  </si>
  <si>
    <r>
      <rPr>
        <sz val="11"/>
        <color rgb="FFFFFFFF"/>
        <rFont val="Calibri"/>
        <family val="2"/>
      </rPr>
      <t>Diesel PP</t>
    </r>
  </si>
  <si>
    <r>
      <rPr>
        <sz val="11"/>
        <color rgb="FFFFFFFF"/>
        <rFont val="Calibri"/>
        <family val="2"/>
      </rPr>
      <t>Gas Engine PP</t>
    </r>
  </si>
  <si>
    <r>
      <rPr>
        <sz val="11"/>
        <color rgb="FFFFFFFF"/>
        <rFont val="Calibri"/>
        <family val="2"/>
      </rPr>
      <t>Wind PP</t>
    </r>
  </si>
  <si>
    <r>
      <rPr>
        <sz val="11"/>
        <color rgb="FFFFFFFF"/>
        <rFont val="Calibri"/>
        <family val="2"/>
      </rPr>
      <t>Mycro Hydro PP</t>
    </r>
  </si>
  <si>
    <r>
      <rPr>
        <sz val="11"/>
        <color rgb="FFFFFFFF"/>
        <rFont val="Calibri"/>
        <family val="2"/>
      </rPr>
      <t>Mini Hydro PP</t>
    </r>
  </si>
  <si>
    <r>
      <rPr>
        <sz val="11"/>
        <color rgb="FFFFFFFF"/>
        <rFont val="Calibri"/>
        <family val="2"/>
      </rPr>
      <t>Solar PP</t>
    </r>
  </si>
  <si>
    <r>
      <rPr>
        <sz val="11"/>
        <color rgb="FFFFFFFF"/>
        <rFont val="Calibri"/>
        <family val="2"/>
      </rPr>
      <t>Coal Gasifi- cation PP</t>
    </r>
  </si>
  <si>
    <r>
      <rPr>
        <sz val="11"/>
        <color rgb="FFFFFFFF"/>
        <rFont val="Calibri"/>
        <family val="2"/>
      </rPr>
      <t>Waste PP</t>
    </r>
  </si>
  <si>
    <t>Biogas PP</t>
  </si>
  <si>
    <r>
      <rPr>
        <sz val="11"/>
        <color rgb="FFFFFFFF"/>
        <rFont val="Calibri"/>
        <family val="2"/>
      </rPr>
      <t>Bio Mass PP</t>
    </r>
  </si>
  <si>
    <r>
      <rPr>
        <sz val="11"/>
        <color rgb="FFFFFFFF"/>
        <rFont val="Calibri"/>
        <family val="2"/>
      </rPr>
      <t>Total</t>
    </r>
  </si>
  <si>
    <t>Model Power Plant Type</t>
  </si>
  <si>
    <t>hydro</t>
  </si>
  <si>
    <t>hard coal</t>
  </si>
  <si>
    <t>natural gas nonpeaker</t>
  </si>
  <si>
    <t>natural gas non peaker</t>
  </si>
  <si>
    <t>geothermal</t>
  </si>
  <si>
    <t>petroleum</t>
  </si>
  <si>
    <t>natural gas peaker</t>
  </si>
  <si>
    <t>onshore wind</t>
  </si>
  <si>
    <t>solar pv</t>
  </si>
  <si>
    <t>municipal solid waste</t>
  </si>
  <si>
    <t>biogas</t>
  </si>
  <si>
    <t>biomass</t>
  </si>
  <si>
    <t>2015*)</t>
  </si>
  <si>
    <t>2016*)</t>
  </si>
  <si>
    <t>2017*)</t>
  </si>
  <si>
    <t>2018*)</t>
  </si>
  <si>
    <t>2015 Generation (GWh)</t>
  </si>
  <si>
    <t>&lt;-</t>
  </si>
  <si>
    <t>Capacity Factors</t>
  </si>
  <si>
    <t>Start Year Capacities (MW)</t>
  </si>
  <si>
    <t>preexisting</t>
  </si>
  <si>
    <t>preexisting nonretiring</t>
  </si>
  <si>
    <t>newly built</t>
  </si>
  <si>
    <t>nuclear</t>
  </si>
  <si>
    <t>solar PV</t>
  </si>
  <si>
    <t>solar thermal</t>
  </si>
  <si>
    <t>lignite</t>
  </si>
  <si>
    <t>offshore wind</t>
  </si>
  <si>
    <t>crude oil</t>
  </si>
  <si>
    <t>heavy or residual fuel oil</t>
  </si>
  <si>
    <t>Peakers that Provide Flexibility Points</t>
  </si>
  <si>
    <t>Fraction</t>
  </si>
  <si>
    <t>Newly built coal power plant (MW)</t>
  </si>
  <si>
    <t>Preexisting (MW)</t>
  </si>
  <si>
    <t>IEA</t>
  </si>
  <si>
    <t>https://www.iea.org/data-and-statistics/charts/capacity-of-coal-fired-power-plants-in-southeast-asia-2019</t>
  </si>
  <si>
    <t>CREA</t>
  </si>
  <si>
    <t>https://energyandcleanair.org/wp/wp-content/uploads/2023/03/CREA_Trend-Asia_EN_Ambiguities-versus-Ambition.pdf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</si>
</sst>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00"/>
    <numFmt numFmtId="168" formatCode="#,##0.0;#,##0.0"/>
    <numFmt numFmtId="169" formatCode="#,##0.00;#,##0.00"/>
  </numFmts>
  <fonts count="20" x14ac:knownFonts="1">
    <font>
      <sz val="11"/>
      <color theme="1"/>
      <name val="Calibri"/>
      <scheme val="minor"/>
    </font>
    <font>
      <b/>
      <sz val="11"/>
      <color theme="1"/>
      <name val="Calibri"/>
      <family val="2"/>
      <scheme val="minor"/>
    </font>
    <font>
      <sz val="11"/>
      <color theme="1"/>
      <name val="Calibri"/>
      <family val="2"/>
      <scheme val="minor"/>
    </font>
    <font>
      <b/>
      <sz val="8"/>
      <color theme="1"/>
      <name val="Trebuchet MS"/>
      <family val="2"/>
    </font>
    <font>
      <b/>
      <sz val="7"/>
      <color theme="1"/>
      <name val="Trebuchet MS"/>
      <family val="2"/>
    </font>
    <font>
      <sz val="7"/>
      <color theme="1"/>
      <name val="Tahoma"/>
      <family val="2"/>
    </font>
    <font>
      <sz val="7"/>
      <color rgb="FFFFFFFF"/>
      <name val="Tahoma"/>
      <family val="2"/>
    </font>
    <font>
      <sz val="7"/>
      <color rgb="FF58595B"/>
      <name val="Century Gothic"/>
      <family val="1"/>
    </font>
    <font>
      <sz val="7"/>
      <color theme="1"/>
      <name val="Century Gothic"/>
      <family val="1"/>
    </font>
    <font>
      <sz val="11"/>
      <name val="Calibri"/>
      <family val="2"/>
    </font>
    <font>
      <sz val="6"/>
      <color rgb="FF58595B"/>
      <name val="Century Gothic"/>
      <family val="1"/>
    </font>
    <font>
      <sz val="11"/>
      <color rgb="FFFFFFFF"/>
      <name val="Calibri"/>
      <family val="2"/>
      <scheme val="minor"/>
    </font>
    <font>
      <sz val="11"/>
      <color rgb="FF58595B"/>
      <name val="Calibri"/>
      <family val="2"/>
      <scheme val="minor"/>
    </font>
    <font>
      <b/>
      <sz val="11"/>
      <color rgb="FF000000"/>
      <name val="Calibri"/>
      <family val="2"/>
    </font>
    <font>
      <sz val="11"/>
      <color rgb="FF000000"/>
      <name val="Calibri"/>
      <family val="2"/>
    </font>
    <font>
      <b/>
      <sz val="8"/>
      <color rgb="FF414042"/>
      <name val="Trebuchet MS"/>
      <family val="2"/>
    </font>
    <font>
      <b/>
      <sz val="7"/>
      <color rgb="FF414042"/>
      <name val="Trebuchet MS"/>
      <family val="2"/>
    </font>
    <font>
      <sz val="11"/>
      <color rgb="FF414042"/>
      <name val="Calibri"/>
      <family val="2"/>
    </font>
    <font>
      <sz val="11"/>
      <color rgb="FFFFFFFF"/>
      <name val="Calibri"/>
      <family val="2"/>
    </font>
    <font>
      <u/>
      <sz val="11"/>
      <color theme="10"/>
      <name val="Calibri"/>
      <family val="2"/>
      <scheme val="minor"/>
    </font>
  </fonts>
  <fills count="5">
    <fill>
      <patternFill patternType="none"/>
    </fill>
    <fill>
      <patternFill patternType="gray125"/>
    </fill>
    <fill>
      <patternFill patternType="solid">
        <fgColor rgb="FFBFBFBF"/>
        <bgColor rgb="FFBFBFBF"/>
      </patternFill>
    </fill>
    <fill>
      <patternFill patternType="solid">
        <fgColor rgb="FFD88C1C"/>
        <bgColor rgb="FFD88C1C"/>
      </patternFill>
    </fill>
    <fill>
      <patternFill patternType="solid">
        <fgColor rgb="FFDEEAF6"/>
        <bgColor rgb="FFDEEAF6"/>
      </patternFill>
    </fill>
  </fills>
  <borders count="25">
    <border>
      <left/>
      <right/>
      <top/>
      <bottom/>
      <diagonal/>
    </border>
    <border>
      <left/>
      <right/>
      <top/>
      <bottom/>
      <diagonal/>
    </border>
    <border>
      <left style="thin">
        <color rgb="FF939598"/>
      </left>
      <right/>
      <top style="thin">
        <color rgb="FF939598"/>
      </top>
      <bottom style="thin">
        <color rgb="FF9D9FA2"/>
      </bottom>
      <diagonal/>
    </border>
    <border>
      <left/>
      <right/>
      <top style="thin">
        <color rgb="FF939598"/>
      </top>
      <bottom style="thin">
        <color rgb="FF9D9FA2"/>
      </bottom>
      <diagonal/>
    </border>
    <border>
      <left style="thin">
        <color rgb="FF939598"/>
      </left>
      <right/>
      <top/>
      <bottom/>
      <diagonal/>
    </border>
    <border>
      <left style="thin">
        <color rgb="FF939598"/>
      </left>
      <right style="thin">
        <color rgb="FF9D9FA2"/>
      </right>
      <top style="thin">
        <color rgb="FF9D9FA2"/>
      </top>
      <bottom style="thin">
        <color rgb="FF9D9FA2"/>
      </bottom>
      <diagonal/>
    </border>
    <border>
      <left style="thin">
        <color rgb="FF9D9FA2"/>
      </left>
      <right style="thin">
        <color rgb="FF9D9FA2"/>
      </right>
      <top style="thin">
        <color rgb="FF9D9FA2"/>
      </top>
      <bottom style="thin">
        <color rgb="FF9D9FA2"/>
      </bottom>
      <diagonal/>
    </border>
    <border>
      <left style="thin">
        <color rgb="FF939598"/>
      </left>
      <right style="thin">
        <color rgb="FF9D9FA2"/>
      </right>
      <top style="thin">
        <color rgb="FF9D9FA2"/>
      </top>
      <bottom style="thin">
        <color rgb="FF939598"/>
      </bottom>
      <diagonal/>
    </border>
    <border>
      <left style="thin">
        <color rgb="FF9D9FA2"/>
      </left>
      <right style="thin">
        <color rgb="FF9D9FA2"/>
      </right>
      <top style="thin">
        <color rgb="FF9D9FA2"/>
      </top>
      <bottom style="thin">
        <color rgb="FF939598"/>
      </bottom>
      <diagonal/>
    </border>
    <border>
      <left style="thin">
        <color rgb="FF939598"/>
      </left>
      <right style="thin">
        <color rgb="FF9D9FA2"/>
      </right>
      <top style="thin">
        <color rgb="FF939598"/>
      </top>
      <bottom style="thin">
        <color rgb="FF939598"/>
      </bottom>
      <diagonal/>
    </border>
    <border>
      <left style="thin">
        <color rgb="FF9D9FA2"/>
      </left>
      <right style="thin">
        <color rgb="FF9D9FA2"/>
      </right>
      <top style="thin">
        <color rgb="FF939598"/>
      </top>
      <bottom style="thin">
        <color rgb="FF939598"/>
      </bottom>
      <diagonal/>
    </border>
    <border>
      <left style="thin">
        <color rgb="FF939598"/>
      </left>
      <right/>
      <top style="thin">
        <color rgb="FF939598"/>
      </top>
      <bottom/>
      <diagonal/>
    </border>
    <border>
      <left/>
      <right/>
      <top style="thin">
        <color rgb="FF939598"/>
      </top>
      <bottom/>
      <diagonal/>
    </border>
    <border>
      <left/>
      <right/>
      <top style="thin">
        <color rgb="FF939598"/>
      </top>
      <bottom/>
      <diagonal/>
    </border>
    <border>
      <left/>
      <right/>
      <top style="thin">
        <color rgb="FF939598"/>
      </top>
      <bottom/>
      <diagonal/>
    </border>
    <border>
      <left/>
      <right/>
      <top style="thin">
        <color rgb="FF939598"/>
      </top>
      <bottom/>
      <diagonal/>
    </border>
    <border>
      <left/>
      <right style="thin">
        <color rgb="FF9D9FA2"/>
      </right>
      <top style="thin">
        <color rgb="FF939598"/>
      </top>
      <bottom/>
      <diagonal/>
    </border>
    <border>
      <left style="thin">
        <color rgb="FF939598"/>
      </left>
      <right/>
      <top/>
      <bottom style="thin">
        <color rgb="FF9D9FA2"/>
      </bottom>
      <diagonal/>
    </border>
    <border>
      <left/>
      <right style="thin">
        <color rgb="FFD88C1C"/>
      </right>
      <top/>
      <bottom style="thin">
        <color rgb="FF9D9FA2"/>
      </bottom>
      <diagonal/>
    </border>
    <border>
      <left style="thin">
        <color rgb="FFD88C1C"/>
      </left>
      <right/>
      <top/>
      <bottom style="thin">
        <color rgb="FF9D9FA2"/>
      </bottom>
      <diagonal/>
    </border>
    <border>
      <left/>
      <right/>
      <top/>
      <bottom style="thin">
        <color rgb="FF9D9FA2"/>
      </bottom>
      <diagonal/>
    </border>
    <border>
      <left/>
      <right style="thin">
        <color rgb="FF9D9FA2"/>
      </right>
      <top/>
      <bottom style="thin">
        <color rgb="FF9D9FA2"/>
      </bottom>
      <diagonal/>
    </border>
    <border>
      <left/>
      <right style="thin">
        <color rgb="FFEDC48F"/>
      </right>
      <top/>
      <bottom/>
      <diagonal/>
    </border>
    <border>
      <left style="thin">
        <color rgb="FFEDC48F"/>
      </left>
      <right style="thin">
        <color rgb="FFD1D2D4"/>
      </right>
      <top style="thin">
        <color rgb="FF9D9FA2"/>
      </top>
      <bottom style="thin">
        <color rgb="FF9D9FA2"/>
      </bottom>
      <diagonal/>
    </border>
    <border>
      <left style="thin">
        <color rgb="FF434343"/>
      </left>
      <right style="thin">
        <color rgb="FF434343"/>
      </right>
      <top style="thin">
        <color rgb="FF434343"/>
      </top>
      <bottom style="thin">
        <color rgb="FF434343"/>
      </bottom>
      <diagonal/>
    </border>
  </borders>
  <cellStyleXfs count="2">
    <xf numFmtId="0" fontId="0" fillId="0" borderId="0"/>
    <xf numFmtId="0" fontId="19" fillId="0" borderId="0" applyNumberFormat="0" applyFill="0" applyBorder="0" applyAlignment="0" applyProtection="0"/>
  </cellStyleXfs>
  <cellXfs count="91">
    <xf numFmtId="0" fontId="0" fillId="0" borderId="0" xfId="0"/>
    <xf numFmtId="0" fontId="1" fillId="0" borderId="0" xfId="0" applyFont="1"/>
    <xf numFmtId="0" fontId="1" fillId="2" borderId="1" xfId="0" applyFont="1" applyFill="1" applyBorder="1"/>
    <xf numFmtId="0" fontId="2" fillId="0" borderId="0" xfId="0" applyFont="1"/>
    <xf numFmtId="0" fontId="0" fillId="0" borderId="0" xfId="0" applyAlignment="1">
      <alignment horizontal="left"/>
    </xf>
    <xf numFmtId="0" fontId="3" fillId="0" borderId="0" xfId="0" applyFont="1" applyAlignment="1">
      <alignment horizontal="left" vertical="top"/>
    </xf>
    <xf numFmtId="0" fontId="0" fillId="0" borderId="0" xfId="0" applyAlignment="1">
      <alignment horizontal="left" vertical="top"/>
    </xf>
    <xf numFmtId="0" fontId="4" fillId="0" borderId="0" xfId="0" applyFont="1" applyAlignment="1">
      <alignment horizontal="left" vertical="top"/>
    </xf>
    <xf numFmtId="0" fontId="5" fillId="3" borderId="2" xfId="0" applyFont="1" applyFill="1" applyBorder="1" applyAlignment="1">
      <alignment horizontal="center"/>
    </xf>
    <xf numFmtId="0" fontId="5" fillId="3" borderId="3" xfId="0" applyFont="1" applyFill="1" applyBorder="1" applyAlignment="1">
      <alignment horizontal="center"/>
    </xf>
    <xf numFmtId="0" fontId="6" fillId="3" borderId="3" xfId="0" applyFont="1" applyFill="1" applyBorder="1" applyAlignment="1">
      <alignment horizontal="center"/>
    </xf>
    <xf numFmtId="0" fontId="0" fillId="0" borderId="4" xfId="0" applyBorder="1" applyAlignment="1">
      <alignment vertical="top" wrapText="1"/>
    </xf>
    <xf numFmtId="0" fontId="0" fillId="0" borderId="0" xfId="0" applyAlignment="1">
      <alignment vertical="top" wrapText="1"/>
    </xf>
    <xf numFmtId="164" fontId="7" fillId="0" borderId="5" xfId="0" applyNumberFormat="1" applyFont="1" applyBorder="1" applyAlignment="1">
      <alignment horizontal="left" vertical="top" wrapText="1"/>
    </xf>
    <xf numFmtId="165" fontId="7" fillId="0" borderId="6" xfId="0" applyNumberFormat="1" applyFont="1" applyBorder="1" applyAlignment="1">
      <alignment horizontal="left" vertical="top" wrapText="1"/>
    </xf>
    <xf numFmtId="164" fontId="7" fillId="0" borderId="6" xfId="0" applyNumberFormat="1" applyFont="1" applyBorder="1" applyAlignment="1">
      <alignment horizontal="right" vertical="top" wrapText="1"/>
    </xf>
    <xf numFmtId="166" fontId="7" fillId="0" borderId="6" xfId="0" applyNumberFormat="1" applyFont="1" applyBorder="1" applyAlignment="1">
      <alignment horizontal="left" vertical="top" wrapText="1"/>
    </xf>
    <xf numFmtId="167" fontId="7" fillId="0" borderId="6" xfId="0" applyNumberFormat="1" applyFont="1" applyBorder="1" applyAlignment="1">
      <alignment horizontal="left" vertical="top" wrapText="1"/>
    </xf>
    <xf numFmtId="164" fontId="7" fillId="0" borderId="6" xfId="0" applyNumberFormat="1" applyFont="1" applyBorder="1" applyAlignment="1">
      <alignment horizontal="left" vertical="top" wrapText="1"/>
    </xf>
    <xf numFmtId="164" fontId="7" fillId="0" borderId="7" xfId="0" applyNumberFormat="1" applyFont="1" applyBorder="1" applyAlignment="1">
      <alignment horizontal="left" vertical="top" wrapText="1"/>
    </xf>
    <xf numFmtId="165" fontId="7" fillId="0" borderId="8" xfId="0" applyNumberFormat="1" applyFont="1" applyBorder="1" applyAlignment="1">
      <alignment horizontal="left" vertical="top" wrapText="1"/>
    </xf>
    <xf numFmtId="167" fontId="7" fillId="0" borderId="8" xfId="0" applyNumberFormat="1" applyFont="1" applyBorder="1" applyAlignment="1">
      <alignment horizontal="left" vertical="top" wrapText="1"/>
    </xf>
    <xf numFmtId="164" fontId="7" fillId="0" borderId="8" xfId="0" applyNumberFormat="1" applyFont="1" applyBorder="1" applyAlignment="1">
      <alignment horizontal="left" vertical="top" wrapText="1"/>
    </xf>
    <xf numFmtId="168" fontId="7" fillId="0" borderId="8" xfId="0" applyNumberFormat="1" applyFont="1" applyBorder="1" applyAlignment="1">
      <alignment horizontal="left" vertical="top" wrapText="1"/>
    </xf>
    <xf numFmtId="164" fontId="7" fillId="0" borderId="9" xfId="0" applyNumberFormat="1" applyFont="1" applyBorder="1" applyAlignment="1">
      <alignment horizontal="left" vertical="top" wrapText="1"/>
    </xf>
    <xf numFmtId="165" fontId="7" fillId="0" borderId="10" xfId="0" applyNumberFormat="1" applyFont="1" applyBorder="1" applyAlignment="1">
      <alignment horizontal="left" vertical="top" wrapText="1"/>
    </xf>
    <xf numFmtId="167" fontId="7" fillId="0" borderId="10" xfId="0" applyNumberFormat="1" applyFont="1" applyBorder="1" applyAlignment="1">
      <alignment horizontal="left" vertical="top" wrapText="1"/>
    </xf>
    <xf numFmtId="164" fontId="7" fillId="0" borderId="10" xfId="0" applyNumberFormat="1" applyFont="1" applyBorder="1" applyAlignment="1">
      <alignment horizontal="left" vertical="top" wrapText="1"/>
    </xf>
    <xf numFmtId="168" fontId="7" fillId="0" borderId="10" xfId="0" applyNumberFormat="1" applyFont="1" applyBorder="1" applyAlignment="1">
      <alignment horizontal="left" vertical="top" wrapText="1"/>
    </xf>
    <xf numFmtId="0" fontId="8" fillId="0" borderId="0" xfId="0" applyFont="1" applyAlignment="1">
      <alignment horizontal="left" vertical="top"/>
    </xf>
    <xf numFmtId="3" fontId="8" fillId="0" borderId="0" xfId="0" applyNumberFormat="1" applyFont="1" applyAlignment="1">
      <alignment horizontal="left" vertical="top"/>
    </xf>
    <xf numFmtId="0" fontId="0" fillId="3" borderId="14" xfId="0" applyFill="1" applyBorder="1" applyAlignment="1">
      <alignment horizontal="left" vertical="top"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20" xfId="0" applyFont="1" applyFill="1" applyBorder="1" applyAlignment="1">
      <alignment horizontal="center" vertical="center"/>
    </xf>
    <xf numFmtId="0" fontId="6" fillId="3" borderId="20" xfId="0" applyFont="1" applyFill="1" applyBorder="1" applyAlignment="1">
      <alignment horizontal="center" vertical="center"/>
    </xf>
    <xf numFmtId="0" fontId="5" fillId="3" borderId="21" xfId="0" applyFont="1" applyFill="1" applyBorder="1" applyAlignment="1">
      <alignment horizontal="center" vertical="center"/>
    </xf>
    <xf numFmtId="0" fontId="0" fillId="0" borderId="22" xfId="0" applyBorder="1" applyAlignment="1">
      <alignment vertical="top" wrapText="1"/>
    </xf>
    <xf numFmtId="0" fontId="0" fillId="0" borderId="23" xfId="0" applyBorder="1" applyAlignment="1">
      <alignment horizontal="left" vertical="top" wrapText="1"/>
    </xf>
    <xf numFmtId="164" fontId="10" fillId="0" borderId="5" xfId="0" applyNumberFormat="1" applyFont="1" applyBorder="1" applyAlignment="1">
      <alignment horizontal="left" vertical="top" wrapText="1"/>
    </xf>
    <xf numFmtId="164" fontId="10" fillId="0" borderId="6" xfId="0" applyNumberFormat="1" applyFont="1" applyBorder="1" applyAlignment="1">
      <alignment horizontal="left" vertical="top" wrapText="1"/>
    </xf>
    <xf numFmtId="164" fontId="10" fillId="0" borderId="6" xfId="0" applyNumberFormat="1" applyFont="1" applyBorder="1" applyAlignment="1">
      <alignment horizontal="right" vertical="top" wrapText="1"/>
    </xf>
    <xf numFmtId="165" fontId="10" fillId="0" borderId="6" xfId="0" applyNumberFormat="1" applyFont="1" applyBorder="1" applyAlignment="1">
      <alignment horizontal="left" vertical="top" wrapText="1"/>
    </xf>
    <xf numFmtId="166" fontId="10" fillId="0" borderId="6" xfId="0" applyNumberFormat="1" applyFont="1" applyBorder="1" applyAlignment="1">
      <alignment horizontal="left" vertical="top" wrapText="1"/>
    </xf>
    <xf numFmtId="167" fontId="10" fillId="0" borderId="6" xfId="0" applyNumberFormat="1" applyFont="1" applyBorder="1" applyAlignment="1">
      <alignment horizontal="left" vertical="top" wrapText="1"/>
    </xf>
    <xf numFmtId="164" fontId="10" fillId="0" borderId="7" xfId="0" applyNumberFormat="1" applyFont="1" applyBorder="1" applyAlignment="1">
      <alignment horizontal="left" vertical="top" wrapText="1"/>
    </xf>
    <xf numFmtId="165" fontId="10" fillId="0" borderId="8" xfId="0" applyNumberFormat="1" applyFont="1" applyBorder="1" applyAlignment="1">
      <alignment horizontal="left" vertical="top" wrapText="1"/>
    </xf>
    <xf numFmtId="167" fontId="10" fillId="0" borderId="8" xfId="0" applyNumberFormat="1" applyFont="1" applyBorder="1" applyAlignment="1">
      <alignment horizontal="left" vertical="top" wrapText="1"/>
    </xf>
    <xf numFmtId="164" fontId="10" fillId="0" borderId="8" xfId="0" applyNumberFormat="1" applyFont="1" applyBorder="1" applyAlignment="1">
      <alignment horizontal="right" vertical="top" wrapText="1"/>
    </xf>
    <xf numFmtId="166" fontId="10" fillId="0" borderId="8" xfId="0" applyNumberFormat="1" applyFont="1" applyBorder="1" applyAlignment="1">
      <alignment horizontal="left" vertical="top" wrapText="1"/>
    </xf>
    <xf numFmtId="164" fontId="10" fillId="0" borderId="8" xfId="0" applyNumberFormat="1" applyFont="1" applyBorder="1" applyAlignment="1">
      <alignment horizontal="left" vertical="top" wrapText="1"/>
    </xf>
    <xf numFmtId="164" fontId="10" fillId="0" borderId="9" xfId="0" applyNumberFormat="1" applyFont="1" applyBorder="1" applyAlignment="1">
      <alignment horizontal="left" vertical="top" wrapText="1"/>
    </xf>
    <xf numFmtId="167" fontId="10" fillId="0" borderId="10" xfId="0" applyNumberFormat="1" applyFont="1" applyBorder="1" applyAlignment="1">
      <alignment horizontal="left" vertical="top" wrapText="1"/>
    </xf>
    <xf numFmtId="165" fontId="10" fillId="0" borderId="10" xfId="0" applyNumberFormat="1" applyFont="1" applyBorder="1" applyAlignment="1">
      <alignment horizontal="left" vertical="top" wrapText="1"/>
    </xf>
    <xf numFmtId="166" fontId="7" fillId="0" borderId="10" xfId="0" applyNumberFormat="1" applyFont="1" applyBorder="1" applyAlignment="1">
      <alignment horizontal="left" vertical="top" wrapText="1"/>
    </xf>
    <xf numFmtId="166" fontId="10" fillId="0" borderId="10" xfId="0" applyNumberFormat="1" applyFont="1" applyBorder="1" applyAlignment="1">
      <alignment horizontal="left" vertical="top" wrapText="1"/>
    </xf>
    <xf numFmtId="165" fontId="8" fillId="0" borderId="0" xfId="0" applyNumberFormat="1" applyFont="1" applyAlignment="1">
      <alignment horizontal="left" vertical="top"/>
    </xf>
    <xf numFmtId="165" fontId="0" fillId="0" borderId="0" xfId="0" applyNumberFormat="1" applyAlignment="1">
      <alignment horizontal="left" vertical="top"/>
    </xf>
    <xf numFmtId="0" fontId="1" fillId="0" borderId="0" xfId="0" applyFont="1" applyAlignment="1">
      <alignment horizontal="left" vertical="top"/>
    </xf>
    <xf numFmtId="0" fontId="0" fillId="3" borderId="24" xfId="0" applyFill="1" applyBorder="1" applyAlignment="1">
      <alignment horizontal="left" vertical="top" wrapText="1"/>
    </xf>
    <xf numFmtId="0" fontId="0" fillId="3" borderId="24" xfId="0" applyFill="1" applyBorder="1" applyAlignment="1">
      <alignment horizontal="center" vertical="top" wrapText="1"/>
    </xf>
    <xf numFmtId="0" fontId="11" fillId="3" borderId="24" xfId="0" applyFont="1" applyFill="1" applyBorder="1" applyAlignment="1">
      <alignment horizontal="center" vertical="top" wrapText="1"/>
    </xf>
    <xf numFmtId="0" fontId="0" fillId="4" borderId="24" xfId="0" applyFill="1" applyBorder="1" applyAlignment="1">
      <alignment horizontal="left" vertical="top"/>
    </xf>
    <xf numFmtId="0" fontId="0" fillId="4" borderId="24" xfId="0" applyFill="1" applyBorder="1" applyAlignment="1">
      <alignment horizontal="left" vertical="top" wrapText="1"/>
    </xf>
    <xf numFmtId="164" fontId="12" fillId="0" borderId="24" xfId="0" applyNumberFormat="1" applyFont="1" applyBorder="1" applyAlignment="1">
      <alignment horizontal="left" vertical="top" wrapText="1"/>
    </xf>
    <xf numFmtId="169" fontId="12" fillId="0" borderId="24" xfId="0" applyNumberFormat="1" applyFont="1" applyBorder="1" applyAlignment="1">
      <alignment horizontal="left" vertical="top" wrapText="1"/>
    </xf>
    <xf numFmtId="167" fontId="12" fillId="0" borderId="24" xfId="0" applyNumberFormat="1" applyFont="1" applyBorder="1" applyAlignment="1">
      <alignment horizontal="left" vertical="top" wrapText="1"/>
    </xf>
    <xf numFmtId="0" fontId="12" fillId="0" borderId="24" xfId="0" applyFont="1" applyBorder="1" applyAlignment="1">
      <alignment horizontal="left" vertical="top" wrapText="1"/>
    </xf>
    <xf numFmtId="0" fontId="0" fillId="0" borderId="24" xfId="0" applyBorder="1" applyAlignment="1">
      <alignment horizontal="left" vertical="top"/>
    </xf>
    <xf numFmtId="4" fontId="0" fillId="0" borderId="24" xfId="0" applyNumberFormat="1" applyBorder="1" applyAlignment="1">
      <alignment horizontal="left" vertical="top"/>
    </xf>
    <xf numFmtId="166" fontId="0" fillId="0" borderId="0" xfId="0" applyNumberFormat="1" applyAlignment="1">
      <alignment horizontal="left" vertical="top"/>
    </xf>
    <xf numFmtId="168" fontId="0" fillId="0" borderId="0" xfId="0" applyNumberFormat="1" applyAlignment="1">
      <alignment horizontal="left" vertical="top"/>
    </xf>
    <xf numFmtId="167" fontId="0" fillId="0" borderId="0" xfId="0" applyNumberFormat="1" applyAlignment="1">
      <alignment horizontal="left" vertical="top"/>
    </xf>
    <xf numFmtId="164" fontId="0" fillId="0" borderId="0" xfId="0" applyNumberFormat="1" applyAlignment="1">
      <alignment horizontal="left" vertical="top"/>
    </xf>
    <xf numFmtId="4" fontId="0" fillId="0" borderId="0" xfId="0" applyNumberFormat="1" applyAlignment="1">
      <alignment horizontal="left" vertical="top"/>
    </xf>
    <xf numFmtId="0" fontId="13" fillId="0" borderId="0" xfId="0" applyFont="1"/>
    <xf numFmtId="1" fontId="0" fillId="0" borderId="0" xfId="0" applyNumberFormat="1"/>
    <xf numFmtId="0" fontId="14" fillId="0" borderId="0" xfId="0" applyFont="1"/>
    <xf numFmtId="0" fontId="0" fillId="0" borderId="0" xfId="0" applyAlignment="1">
      <alignment wrapText="1"/>
    </xf>
    <xf numFmtId="2" fontId="0" fillId="0" borderId="0" xfId="0" applyNumberFormat="1"/>
    <xf numFmtId="0" fontId="2" fillId="0" borderId="0" xfId="0" applyFont="1" applyAlignment="1">
      <alignment horizontal="left" vertical="top"/>
    </xf>
    <xf numFmtId="0" fontId="19" fillId="0" borderId="0" xfId="1" applyAlignment="1">
      <alignment horizontal="left"/>
    </xf>
    <xf numFmtId="11" fontId="2" fillId="0" borderId="0" xfId="0" applyNumberFormat="1" applyFont="1"/>
    <xf numFmtId="11" fontId="0" fillId="0" borderId="0" xfId="0" applyNumberFormat="1"/>
    <xf numFmtId="0" fontId="19" fillId="0" borderId="0" xfId="1"/>
    <xf numFmtId="0" fontId="5" fillId="3" borderId="11" xfId="0" applyFont="1" applyFill="1" applyBorder="1" applyAlignment="1">
      <alignment horizontal="left" vertical="top" wrapText="1"/>
    </xf>
    <xf numFmtId="0" fontId="9" fillId="0" borderId="12" xfId="0" applyFont="1" applyBorder="1"/>
    <xf numFmtId="0" fontId="9" fillId="0" borderId="13" xfId="0" applyFont="1" applyBorder="1"/>
    <xf numFmtId="0" fontId="5" fillId="3" borderId="15" xfId="0" applyFont="1" applyFill="1" applyBorder="1" applyAlignment="1">
      <alignment horizontal="left" vertical="top" wrapText="1"/>
    </xf>
    <xf numFmtId="0" fontId="9" fillId="0" borderId="16"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energyandcleanair.org/wp/wp-content/uploads/2023/03/CREA_Trend-Asia_EN_Ambiguities-versus-Ambition.pdf" TargetMode="External"/><Relationship Id="rId1" Type="http://schemas.openxmlformats.org/officeDocument/2006/relationships/hyperlink" Target="https://www.iea.org/data-and-statistics/charts/capacity-of-coal-fired-power-plants-in-southeast-asia-2019"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0"/>
  <sheetViews>
    <sheetView workbookViewId="0">
      <selection activeCell="B17" sqref="B17"/>
    </sheetView>
  </sheetViews>
  <sheetFormatPr baseColWidth="10" defaultColWidth="14.5" defaultRowHeight="15" customHeight="1" x14ac:dyDescent="0.2"/>
  <cols>
    <col min="1" max="1" width="8.6640625" customWidth="1"/>
    <col min="2" max="2" width="42.6640625" customWidth="1"/>
    <col min="3" max="26" width="8.6640625" customWidth="1"/>
  </cols>
  <sheetData>
    <row r="1" spans="1:2" ht="14.25" customHeight="1" x14ac:dyDescent="0.2">
      <c r="A1" s="1" t="s">
        <v>0</v>
      </c>
    </row>
    <row r="2" spans="1:2" ht="14.25" customHeight="1" x14ac:dyDescent="0.2">
      <c r="A2" s="1" t="s">
        <v>1</v>
      </c>
    </row>
    <row r="3" spans="1:2" ht="14.25" customHeight="1" x14ac:dyDescent="0.2"/>
    <row r="4" spans="1:2" ht="14.25" customHeight="1" x14ac:dyDescent="0.2">
      <c r="A4" s="1" t="s">
        <v>2</v>
      </c>
      <c r="B4" s="2" t="s">
        <v>3</v>
      </c>
    </row>
    <row r="5" spans="1:2" ht="14.25" customHeight="1" x14ac:dyDescent="0.2">
      <c r="B5" s="3" t="s">
        <v>4</v>
      </c>
    </row>
    <row r="6" spans="1:2" ht="14.25" customHeight="1" x14ac:dyDescent="0.2">
      <c r="B6" s="4">
        <v>2016</v>
      </c>
    </row>
    <row r="7" spans="1:2" ht="14.25" customHeight="1" x14ac:dyDescent="0.2">
      <c r="B7" s="3" t="s">
        <v>5</v>
      </c>
    </row>
    <row r="8" spans="1:2" ht="14.25" customHeight="1" x14ac:dyDescent="0.2">
      <c r="B8" s="3" t="s">
        <v>6</v>
      </c>
    </row>
    <row r="9" spans="1:2" ht="14.25" customHeight="1" x14ac:dyDescent="0.2">
      <c r="B9" s="3" t="s">
        <v>96</v>
      </c>
    </row>
    <row r="10" spans="1:2" ht="14.25" customHeight="1" x14ac:dyDescent="0.2">
      <c r="B10" s="4">
        <v>2019</v>
      </c>
    </row>
    <row r="11" spans="1:2" ht="14.25" customHeight="1" x14ac:dyDescent="0.2">
      <c r="B11" s="82" t="s">
        <v>97</v>
      </c>
    </row>
    <row r="12" spans="1:2" ht="14.25" customHeight="1" x14ac:dyDescent="0.2"/>
    <row r="13" spans="1:2" ht="14.25" customHeight="1" x14ac:dyDescent="0.2"/>
    <row r="14" spans="1:2" ht="14.25" customHeight="1" x14ac:dyDescent="0.2">
      <c r="B14" s="1" t="s">
        <v>98</v>
      </c>
    </row>
    <row r="15" spans="1:2" ht="14.25" customHeight="1" x14ac:dyDescent="0.2">
      <c r="B15" s="4">
        <v>2023</v>
      </c>
    </row>
    <row r="16" spans="1:2" ht="14.25" customHeight="1" x14ac:dyDescent="0.2">
      <c r="B16" s="85" t="s">
        <v>99</v>
      </c>
    </row>
    <row r="17" spans="1:1" ht="14.25" customHeight="1" x14ac:dyDescent="0.2"/>
    <row r="18" spans="1:1" ht="14.25" customHeight="1" x14ac:dyDescent="0.2"/>
    <row r="19" spans="1:1" ht="14.25" customHeight="1" x14ac:dyDescent="0.2"/>
    <row r="20" spans="1:1" ht="14.25" customHeight="1" x14ac:dyDescent="0.2"/>
    <row r="21" spans="1:1" ht="14.25" customHeight="1" x14ac:dyDescent="0.2">
      <c r="A21" s="1" t="s">
        <v>7</v>
      </c>
    </row>
    <row r="22" spans="1:1" ht="14.25" customHeight="1" x14ac:dyDescent="0.2">
      <c r="A22" s="3" t="s">
        <v>8</v>
      </c>
    </row>
    <row r="23" spans="1:1" ht="14.25" customHeight="1" x14ac:dyDescent="0.2">
      <c r="A23" s="3" t="s">
        <v>9</v>
      </c>
    </row>
    <row r="24" spans="1:1" ht="14.25" customHeight="1" x14ac:dyDescent="0.2"/>
    <row r="25" spans="1:1" ht="14.25" customHeight="1" x14ac:dyDescent="0.2">
      <c r="A25" s="3" t="s">
        <v>10</v>
      </c>
    </row>
    <row r="26" spans="1:1" ht="14.25" customHeight="1" x14ac:dyDescent="0.2"/>
    <row r="27" spans="1:1" ht="14.25" customHeight="1" x14ac:dyDescent="0.2"/>
    <row r="28" spans="1:1" ht="14.25" customHeight="1" x14ac:dyDescent="0.2"/>
    <row r="29" spans="1:1" ht="14.25" customHeight="1" x14ac:dyDescent="0.2"/>
    <row r="30" spans="1:1" ht="14.25" customHeight="1" x14ac:dyDescent="0.2"/>
    <row r="31" spans="1:1" ht="14.25" customHeight="1" x14ac:dyDescent="0.2"/>
    <row r="32" spans="1:1"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sheetData>
  <hyperlinks>
    <hyperlink ref="B11" r:id="rId1" xr:uid="{AE0DB459-E9B4-244D-A80B-99CD303D14E8}"/>
    <hyperlink ref="B16" r:id="rId2" xr:uid="{2DE2A41A-7EA7-5543-8843-E077D7C000A1}"/>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3"/>
  <sheetViews>
    <sheetView workbookViewId="0"/>
  </sheetViews>
  <sheetFormatPr baseColWidth="10" defaultColWidth="14.5" defaultRowHeight="15" customHeight="1" x14ac:dyDescent="0.2"/>
  <cols>
    <col min="1" max="2" width="6.33203125" customWidth="1"/>
    <col min="3" max="3" width="10.5" customWidth="1"/>
    <col min="4" max="5" width="6.33203125" customWidth="1"/>
    <col min="6" max="7" width="7.33203125" customWidth="1"/>
    <col min="8" max="8" width="9.5" customWidth="1"/>
    <col min="9" max="9" width="19.1640625" customWidth="1"/>
    <col min="10" max="10" width="15.6640625" customWidth="1"/>
    <col min="11" max="11" width="8.5" customWidth="1"/>
    <col min="12" max="12" width="6" customWidth="1"/>
    <col min="13" max="15" width="7.33203125" customWidth="1"/>
    <col min="16" max="16" width="8.5" customWidth="1"/>
    <col min="17" max="26" width="8.6640625" customWidth="1"/>
  </cols>
  <sheetData>
    <row r="1" spans="1:26" ht="14.25" customHeight="1" x14ac:dyDescent="0.2">
      <c r="A1" s="5" t="s">
        <v>11</v>
      </c>
      <c r="B1" s="6"/>
      <c r="C1" s="6"/>
      <c r="D1" s="6"/>
      <c r="E1" s="6"/>
      <c r="F1" s="6"/>
      <c r="G1" s="6"/>
      <c r="H1" s="6"/>
      <c r="I1" s="6"/>
      <c r="J1" s="6"/>
      <c r="K1" s="6"/>
      <c r="L1" s="6"/>
      <c r="M1" s="6"/>
      <c r="N1" s="6"/>
      <c r="O1" s="6"/>
      <c r="P1" s="6"/>
      <c r="Q1" s="6"/>
      <c r="R1" s="6"/>
      <c r="S1" s="6"/>
      <c r="T1" s="6"/>
      <c r="U1" s="6"/>
      <c r="V1" s="6"/>
      <c r="W1" s="6"/>
      <c r="X1" s="6"/>
      <c r="Y1" s="6"/>
      <c r="Z1" s="6"/>
    </row>
    <row r="2" spans="1:26" ht="14.25" customHeight="1" x14ac:dyDescent="0.2">
      <c r="A2" s="7" t="s">
        <v>12</v>
      </c>
      <c r="B2" s="6"/>
      <c r="C2" s="6"/>
      <c r="D2" s="6"/>
      <c r="E2" s="6"/>
      <c r="F2" s="6"/>
      <c r="G2" s="6"/>
      <c r="H2" s="6"/>
      <c r="I2" s="6"/>
      <c r="J2" s="6"/>
      <c r="K2" s="6"/>
      <c r="L2" s="6"/>
      <c r="M2" s="6"/>
      <c r="N2" s="6"/>
      <c r="O2" s="6"/>
      <c r="P2" s="6"/>
      <c r="Q2" s="6"/>
      <c r="R2" s="6"/>
      <c r="S2" s="6"/>
      <c r="T2" s="6"/>
      <c r="U2" s="6"/>
      <c r="V2" s="6"/>
      <c r="W2" s="6"/>
      <c r="X2" s="6"/>
      <c r="Y2" s="6"/>
      <c r="Z2" s="6"/>
    </row>
    <row r="3" spans="1:26" ht="14.25" customHeight="1" x14ac:dyDescent="0.2">
      <c r="A3" s="8" t="s">
        <v>13</v>
      </c>
      <c r="B3" s="9" t="s">
        <v>14</v>
      </c>
      <c r="C3" s="9" t="s">
        <v>15</v>
      </c>
      <c r="D3" s="9" t="s">
        <v>16</v>
      </c>
      <c r="E3" s="9" t="s">
        <v>17</v>
      </c>
      <c r="F3" s="9" t="s">
        <v>18</v>
      </c>
      <c r="G3" s="10" t="s">
        <v>19</v>
      </c>
      <c r="H3" s="10" t="s">
        <v>20</v>
      </c>
      <c r="I3" s="9" t="s">
        <v>21</v>
      </c>
      <c r="J3" s="9" t="s">
        <v>22</v>
      </c>
      <c r="K3" s="9" t="s">
        <v>23</v>
      </c>
      <c r="L3" s="10" t="s">
        <v>24</v>
      </c>
      <c r="M3" s="6"/>
      <c r="N3" s="6"/>
      <c r="O3" s="6"/>
      <c r="P3" s="6"/>
      <c r="Q3" s="6"/>
      <c r="R3" s="6"/>
      <c r="S3" s="6"/>
      <c r="T3" s="6"/>
      <c r="U3" s="6"/>
      <c r="V3" s="6"/>
      <c r="W3" s="6"/>
      <c r="X3" s="6"/>
      <c r="Y3" s="6"/>
      <c r="Z3" s="6"/>
    </row>
    <row r="4" spans="1:26" ht="14.25" customHeight="1" x14ac:dyDescent="0.2">
      <c r="A4" s="11"/>
      <c r="B4" s="12"/>
      <c r="C4" s="12"/>
      <c r="D4" s="12"/>
      <c r="E4" s="12"/>
      <c r="F4" s="12"/>
      <c r="G4" s="12"/>
      <c r="H4" s="12"/>
      <c r="I4" s="12"/>
      <c r="J4" s="12"/>
      <c r="K4" s="12"/>
      <c r="L4" s="12"/>
      <c r="M4" s="6"/>
      <c r="N4" s="6"/>
      <c r="O4" s="6"/>
      <c r="P4" s="6"/>
      <c r="Q4" s="6"/>
      <c r="R4" s="6"/>
      <c r="S4" s="6"/>
      <c r="T4" s="6"/>
      <c r="U4" s="6"/>
      <c r="V4" s="6"/>
      <c r="W4" s="6"/>
      <c r="X4" s="6"/>
      <c r="Y4" s="6"/>
      <c r="Z4" s="6"/>
    </row>
    <row r="5" spans="1:26" ht="14.25" customHeight="1" x14ac:dyDescent="0.2">
      <c r="A5" s="13">
        <v>2000</v>
      </c>
      <c r="B5" s="14">
        <v>9110</v>
      </c>
      <c r="C5" s="14">
        <v>2649</v>
      </c>
      <c r="D5" s="15">
        <v>0</v>
      </c>
      <c r="E5" s="14">
        <v>6355</v>
      </c>
      <c r="F5" s="14">
        <v>28776</v>
      </c>
      <c r="G5" s="14">
        <v>6055</v>
      </c>
      <c r="H5" s="14">
        <v>3598</v>
      </c>
      <c r="I5" s="14">
        <v>26397</v>
      </c>
      <c r="J5" s="14">
        <v>1252</v>
      </c>
      <c r="K5" s="16">
        <v>0</v>
      </c>
      <c r="L5" s="17">
        <v>0</v>
      </c>
      <c r="M5" s="6"/>
      <c r="N5" s="6"/>
      <c r="O5" s="6"/>
      <c r="P5" s="6"/>
      <c r="Q5" s="6"/>
      <c r="R5" s="6"/>
      <c r="S5" s="6"/>
      <c r="T5" s="6"/>
      <c r="U5" s="6"/>
      <c r="V5" s="6"/>
      <c r="W5" s="6"/>
      <c r="X5" s="6"/>
      <c r="Y5" s="6"/>
      <c r="Z5" s="6"/>
    </row>
    <row r="6" spans="1:26" ht="14.25" customHeight="1" x14ac:dyDescent="0.2">
      <c r="A6" s="13">
        <v>2001</v>
      </c>
      <c r="B6" s="14">
        <v>10651</v>
      </c>
      <c r="C6" s="14">
        <v>2982</v>
      </c>
      <c r="D6" s="15">
        <v>0</v>
      </c>
      <c r="E6" s="14">
        <v>6520</v>
      </c>
      <c r="F6" s="14">
        <v>29330</v>
      </c>
      <c r="G6" s="14">
        <v>6557</v>
      </c>
      <c r="H6" s="14">
        <v>3489</v>
      </c>
      <c r="I6" s="14">
        <v>27366</v>
      </c>
      <c r="J6" s="14">
        <v>1459</v>
      </c>
      <c r="K6" s="16">
        <v>0</v>
      </c>
      <c r="L6" s="17">
        <v>0</v>
      </c>
      <c r="M6" s="6"/>
      <c r="N6" s="6"/>
      <c r="O6" s="6"/>
      <c r="P6" s="6"/>
      <c r="Q6" s="6"/>
      <c r="R6" s="6"/>
      <c r="S6" s="6"/>
      <c r="T6" s="6"/>
      <c r="U6" s="6"/>
      <c r="V6" s="6"/>
      <c r="W6" s="6"/>
      <c r="X6" s="6"/>
      <c r="Y6" s="6"/>
      <c r="Z6" s="6"/>
    </row>
    <row r="7" spans="1:26" ht="14.25" customHeight="1" x14ac:dyDescent="0.2">
      <c r="A7" s="13">
        <v>2002</v>
      </c>
      <c r="B7" s="14">
        <v>8834</v>
      </c>
      <c r="C7" s="14">
        <v>3187</v>
      </c>
      <c r="D7" s="15">
        <v>0</v>
      </c>
      <c r="E7" s="14">
        <v>7209</v>
      </c>
      <c r="F7" s="14">
        <v>29313</v>
      </c>
      <c r="G7" s="14">
        <v>8884</v>
      </c>
      <c r="H7" s="18">
        <v>835</v>
      </c>
      <c r="I7" s="14">
        <v>28803</v>
      </c>
      <c r="J7" s="14">
        <v>2229</v>
      </c>
      <c r="K7" s="16">
        <v>0</v>
      </c>
      <c r="L7" s="17">
        <v>0</v>
      </c>
      <c r="M7" s="6"/>
      <c r="N7" s="6"/>
      <c r="O7" s="6"/>
      <c r="P7" s="6"/>
      <c r="Q7" s="6"/>
      <c r="R7" s="6"/>
      <c r="S7" s="6"/>
      <c r="T7" s="6"/>
      <c r="U7" s="6"/>
      <c r="V7" s="6"/>
      <c r="W7" s="6"/>
      <c r="X7" s="6"/>
      <c r="Y7" s="6"/>
      <c r="Z7" s="6"/>
    </row>
    <row r="8" spans="1:26" ht="14.25" customHeight="1" x14ac:dyDescent="0.2">
      <c r="A8" s="13">
        <v>2003</v>
      </c>
      <c r="B8" s="14">
        <v>8472</v>
      </c>
      <c r="C8" s="14">
        <v>2959</v>
      </c>
      <c r="D8" s="15">
        <v>0</v>
      </c>
      <c r="E8" s="14">
        <v>7977</v>
      </c>
      <c r="F8" s="14">
        <v>31737</v>
      </c>
      <c r="G8" s="14">
        <v>9108</v>
      </c>
      <c r="H8" s="14">
        <v>1334</v>
      </c>
      <c r="I8" s="14">
        <v>28409</v>
      </c>
      <c r="J8" s="14">
        <v>2486</v>
      </c>
      <c r="K8" s="16">
        <v>0</v>
      </c>
      <c r="L8" s="17">
        <v>0</v>
      </c>
      <c r="M8" s="6"/>
      <c r="N8" s="6"/>
      <c r="O8" s="6"/>
      <c r="P8" s="6"/>
      <c r="Q8" s="6"/>
      <c r="R8" s="6"/>
      <c r="S8" s="6"/>
      <c r="T8" s="6"/>
      <c r="U8" s="6"/>
      <c r="V8" s="6"/>
      <c r="W8" s="6"/>
      <c r="X8" s="6"/>
      <c r="Y8" s="6"/>
      <c r="Z8" s="6"/>
    </row>
    <row r="9" spans="1:26" ht="14.25" customHeight="1" x14ac:dyDescent="0.2">
      <c r="A9" s="13">
        <v>2004</v>
      </c>
      <c r="B9" s="14">
        <v>8943</v>
      </c>
      <c r="C9" s="14">
        <v>3147</v>
      </c>
      <c r="D9" s="15">
        <v>0</v>
      </c>
      <c r="E9" s="14">
        <v>8577</v>
      </c>
      <c r="F9" s="14">
        <v>30806</v>
      </c>
      <c r="G9" s="14">
        <v>9636</v>
      </c>
      <c r="H9" s="14">
        <v>1204</v>
      </c>
      <c r="I9" s="14">
        <v>30700</v>
      </c>
      <c r="J9" s="14">
        <v>3179</v>
      </c>
      <c r="K9" s="16">
        <v>0</v>
      </c>
      <c r="L9" s="17">
        <v>0</v>
      </c>
      <c r="M9" s="6"/>
      <c r="N9" s="6"/>
      <c r="O9" s="6"/>
      <c r="P9" s="6"/>
      <c r="Q9" s="6"/>
      <c r="R9" s="6"/>
      <c r="S9" s="6"/>
      <c r="T9" s="6"/>
      <c r="U9" s="6"/>
      <c r="V9" s="6"/>
      <c r="W9" s="6"/>
      <c r="X9" s="6"/>
      <c r="Y9" s="6"/>
      <c r="Z9" s="6"/>
    </row>
    <row r="10" spans="1:26" ht="14.25" customHeight="1" x14ac:dyDescent="0.2">
      <c r="A10" s="13">
        <v>2005</v>
      </c>
      <c r="B10" s="14">
        <v>9831</v>
      </c>
      <c r="C10" s="14">
        <v>3006</v>
      </c>
      <c r="D10" s="15">
        <v>0</v>
      </c>
      <c r="E10" s="14">
        <v>8866</v>
      </c>
      <c r="F10" s="14">
        <v>33253</v>
      </c>
      <c r="G10" s="14">
        <v>8180</v>
      </c>
      <c r="H10" s="18">
        <v>835</v>
      </c>
      <c r="I10" s="14">
        <v>31272</v>
      </c>
      <c r="J10" s="14">
        <v>6039</v>
      </c>
      <c r="K10" s="16">
        <v>0</v>
      </c>
      <c r="L10" s="17">
        <v>0</v>
      </c>
      <c r="M10" s="6"/>
      <c r="N10" s="6"/>
      <c r="O10" s="6"/>
      <c r="P10" s="6"/>
      <c r="Q10" s="6"/>
      <c r="R10" s="6"/>
      <c r="S10" s="6"/>
      <c r="T10" s="6"/>
      <c r="U10" s="6"/>
      <c r="V10" s="6"/>
      <c r="W10" s="6"/>
      <c r="X10" s="6"/>
      <c r="Y10" s="6"/>
      <c r="Z10" s="6"/>
    </row>
    <row r="11" spans="1:26" ht="14.25" customHeight="1" x14ac:dyDescent="0.2">
      <c r="A11" s="13">
        <v>2006</v>
      </c>
      <c r="B11" s="14">
        <v>8759</v>
      </c>
      <c r="C11" s="14">
        <v>3141</v>
      </c>
      <c r="D11" s="15">
        <v>0</v>
      </c>
      <c r="E11" s="14">
        <v>8855</v>
      </c>
      <c r="F11" s="14">
        <v>38362</v>
      </c>
      <c r="G11" s="14">
        <v>8575</v>
      </c>
      <c r="H11" s="18">
        <v>828</v>
      </c>
      <c r="I11" s="14">
        <v>30918</v>
      </c>
      <c r="J11" s="14">
        <v>5031</v>
      </c>
      <c r="K11" s="16">
        <v>0</v>
      </c>
      <c r="L11" s="17">
        <v>0</v>
      </c>
      <c r="M11" s="6"/>
      <c r="N11" s="6"/>
      <c r="O11" s="6"/>
      <c r="P11" s="6"/>
      <c r="Q11" s="6"/>
      <c r="R11" s="6"/>
      <c r="S11" s="6"/>
      <c r="T11" s="6"/>
      <c r="U11" s="6"/>
      <c r="V11" s="6"/>
      <c r="W11" s="6"/>
      <c r="X11" s="6"/>
      <c r="Y11" s="6"/>
      <c r="Z11" s="6"/>
    </row>
    <row r="12" spans="1:26" ht="14.25" customHeight="1" x14ac:dyDescent="0.2">
      <c r="A12" s="13">
        <v>2007</v>
      </c>
      <c r="B12" s="14">
        <v>10627</v>
      </c>
      <c r="C12" s="14">
        <v>3188</v>
      </c>
      <c r="D12" s="15">
        <v>0</v>
      </c>
      <c r="E12" s="14">
        <v>8694</v>
      </c>
      <c r="F12" s="14">
        <v>41880</v>
      </c>
      <c r="G12" s="14">
        <v>9179</v>
      </c>
      <c r="H12" s="14">
        <v>1151</v>
      </c>
      <c r="I12" s="14">
        <v>31374</v>
      </c>
      <c r="J12" s="14">
        <v>5148</v>
      </c>
      <c r="K12" s="16">
        <v>121.3</v>
      </c>
      <c r="L12" s="17">
        <v>0.02</v>
      </c>
      <c r="M12" s="6"/>
      <c r="N12" s="6"/>
      <c r="O12" s="6"/>
      <c r="P12" s="6"/>
      <c r="Q12" s="6"/>
      <c r="R12" s="6"/>
      <c r="S12" s="6"/>
      <c r="T12" s="6"/>
      <c r="U12" s="6"/>
      <c r="V12" s="6"/>
      <c r="W12" s="6"/>
      <c r="X12" s="6"/>
      <c r="Y12" s="6"/>
      <c r="Z12" s="6"/>
    </row>
    <row r="13" spans="1:26" ht="14.25" customHeight="1" x14ac:dyDescent="0.2">
      <c r="A13" s="13">
        <v>2008</v>
      </c>
      <c r="B13" s="14">
        <v>10740</v>
      </c>
      <c r="C13" s="14">
        <v>3391</v>
      </c>
      <c r="D13" s="17">
        <v>0.1</v>
      </c>
      <c r="E13" s="14">
        <v>10212</v>
      </c>
      <c r="F13" s="14">
        <v>41311</v>
      </c>
      <c r="G13" s="14">
        <v>10186</v>
      </c>
      <c r="H13" s="18">
        <v>856</v>
      </c>
      <c r="I13" s="14">
        <v>35731</v>
      </c>
      <c r="J13" s="14">
        <v>5621</v>
      </c>
      <c r="K13" s="16">
        <v>0</v>
      </c>
      <c r="L13" s="17">
        <v>0</v>
      </c>
      <c r="M13" s="6"/>
      <c r="N13" s="6"/>
      <c r="O13" s="6"/>
      <c r="P13" s="6"/>
      <c r="Q13" s="6"/>
      <c r="R13" s="6"/>
      <c r="S13" s="6"/>
      <c r="T13" s="6"/>
      <c r="U13" s="6"/>
      <c r="V13" s="6"/>
      <c r="W13" s="6"/>
      <c r="X13" s="6"/>
      <c r="Y13" s="6"/>
      <c r="Z13" s="6"/>
    </row>
    <row r="14" spans="1:26" ht="14.25" customHeight="1" x14ac:dyDescent="0.2">
      <c r="A14" s="13">
        <v>2009</v>
      </c>
      <c r="B14" s="14">
        <v>10307</v>
      </c>
      <c r="C14" s="14">
        <v>3504</v>
      </c>
      <c r="D14" s="16">
        <v>0</v>
      </c>
      <c r="E14" s="14">
        <v>10432</v>
      </c>
      <c r="F14" s="14">
        <v>43138</v>
      </c>
      <c r="G14" s="14">
        <v>9031</v>
      </c>
      <c r="H14" s="18">
        <v>795</v>
      </c>
      <c r="I14" s="14">
        <v>34747</v>
      </c>
      <c r="J14" s="14">
        <v>8674</v>
      </c>
      <c r="K14" s="16">
        <v>0</v>
      </c>
      <c r="L14" s="17">
        <v>0</v>
      </c>
      <c r="M14" s="6"/>
      <c r="N14" s="6"/>
      <c r="O14" s="6"/>
      <c r="P14" s="6"/>
      <c r="Q14" s="6"/>
      <c r="R14" s="6"/>
      <c r="S14" s="6"/>
      <c r="T14" s="6"/>
      <c r="U14" s="6"/>
      <c r="V14" s="6"/>
      <c r="W14" s="6"/>
      <c r="X14" s="6"/>
      <c r="Y14" s="6"/>
      <c r="Z14" s="6"/>
    </row>
    <row r="15" spans="1:26" ht="14.25" customHeight="1" x14ac:dyDescent="0.2">
      <c r="A15" s="13">
        <v>2010</v>
      </c>
      <c r="B15" s="14">
        <v>15827</v>
      </c>
      <c r="C15" s="14">
        <v>3398</v>
      </c>
      <c r="D15" s="17">
        <v>1</v>
      </c>
      <c r="E15" s="14">
        <v>11926</v>
      </c>
      <c r="F15" s="14">
        <v>46685</v>
      </c>
      <c r="G15" s="14">
        <v>6712</v>
      </c>
      <c r="H15" s="14">
        <v>1009</v>
      </c>
      <c r="I15" s="14">
        <v>36812</v>
      </c>
      <c r="J15" s="14">
        <v>9266</v>
      </c>
      <c r="K15" s="16">
        <v>74</v>
      </c>
      <c r="L15" s="17">
        <v>0.03</v>
      </c>
      <c r="M15" s="6"/>
      <c r="N15" s="6"/>
      <c r="O15" s="6"/>
      <c r="P15" s="6"/>
      <c r="Q15" s="6"/>
      <c r="R15" s="6"/>
      <c r="S15" s="6"/>
      <c r="T15" s="6"/>
      <c r="U15" s="6"/>
      <c r="V15" s="6"/>
      <c r="W15" s="6"/>
      <c r="X15" s="6"/>
      <c r="Y15" s="6"/>
      <c r="Z15" s="6"/>
    </row>
    <row r="16" spans="1:26" ht="14.25" customHeight="1" x14ac:dyDescent="0.2">
      <c r="A16" s="13">
        <v>2011</v>
      </c>
      <c r="B16" s="14">
        <v>10316</v>
      </c>
      <c r="C16" s="14">
        <v>3487</v>
      </c>
      <c r="D16" s="17">
        <v>1</v>
      </c>
      <c r="E16" s="14">
        <v>16125</v>
      </c>
      <c r="F16" s="14">
        <v>54950</v>
      </c>
      <c r="G16" s="14">
        <v>6383</v>
      </c>
      <c r="H16" s="14">
        <v>1003</v>
      </c>
      <c r="I16" s="14">
        <v>40410</v>
      </c>
      <c r="J16" s="14">
        <v>10018</v>
      </c>
      <c r="K16" s="16">
        <v>48</v>
      </c>
      <c r="L16" s="17">
        <v>0</v>
      </c>
      <c r="M16" s="6"/>
      <c r="N16" s="6"/>
      <c r="O16" s="6"/>
      <c r="P16" s="6"/>
      <c r="Q16" s="6"/>
      <c r="R16" s="6"/>
      <c r="S16" s="6"/>
      <c r="T16" s="6"/>
      <c r="U16" s="6"/>
      <c r="V16" s="6"/>
      <c r="W16" s="6"/>
      <c r="X16" s="6"/>
      <c r="Y16" s="6"/>
      <c r="Z16" s="6"/>
    </row>
    <row r="17" spans="1:26" ht="14.25" customHeight="1" x14ac:dyDescent="0.2">
      <c r="A17" s="13">
        <v>2012</v>
      </c>
      <c r="B17" s="14">
        <v>10525</v>
      </c>
      <c r="C17" s="14">
        <v>3558</v>
      </c>
      <c r="D17" s="17">
        <v>3</v>
      </c>
      <c r="E17" s="14">
        <v>18913</v>
      </c>
      <c r="F17" s="14">
        <v>66633</v>
      </c>
      <c r="G17" s="14">
        <v>2391</v>
      </c>
      <c r="H17" s="14">
        <v>4799</v>
      </c>
      <c r="I17" s="14">
        <v>34569</v>
      </c>
      <c r="J17" s="14">
        <v>8310</v>
      </c>
      <c r="K17" s="16">
        <v>55</v>
      </c>
      <c r="L17" s="17">
        <v>0</v>
      </c>
      <c r="M17" s="6"/>
      <c r="N17" s="6"/>
      <c r="O17" s="6"/>
      <c r="P17" s="6"/>
      <c r="Q17" s="6"/>
      <c r="R17" s="6"/>
      <c r="S17" s="6"/>
      <c r="T17" s="6"/>
      <c r="U17" s="6"/>
      <c r="V17" s="6"/>
      <c r="W17" s="6"/>
      <c r="X17" s="6"/>
      <c r="Y17" s="6"/>
      <c r="Z17" s="6"/>
    </row>
    <row r="18" spans="1:26" ht="14.25" customHeight="1" x14ac:dyDescent="0.2">
      <c r="A18" s="13">
        <v>2013</v>
      </c>
      <c r="B18" s="14">
        <v>13014</v>
      </c>
      <c r="C18" s="14">
        <v>4345</v>
      </c>
      <c r="D18" s="17">
        <v>5</v>
      </c>
      <c r="E18" s="14">
        <v>18919</v>
      </c>
      <c r="F18" s="14">
        <v>75193</v>
      </c>
      <c r="G18" s="14">
        <v>1055</v>
      </c>
      <c r="H18" s="14">
        <v>5602</v>
      </c>
      <c r="I18" s="14">
        <v>36493</v>
      </c>
      <c r="J18" s="14">
        <v>8958</v>
      </c>
      <c r="K18" s="16">
        <v>382</v>
      </c>
      <c r="L18" s="17">
        <v>0</v>
      </c>
      <c r="M18" s="6"/>
      <c r="N18" s="6"/>
      <c r="O18" s="6"/>
      <c r="P18" s="6"/>
      <c r="Q18" s="6"/>
      <c r="R18" s="6"/>
      <c r="S18" s="6"/>
      <c r="T18" s="6"/>
      <c r="U18" s="6"/>
      <c r="V18" s="6"/>
      <c r="W18" s="6"/>
      <c r="X18" s="6"/>
      <c r="Y18" s="6"/>
      <c r="Z18" s="6"/>
    </row>
    <row r="19" spans="1:26" ht="14.25" customHeight="1" x14ac:dyDescent="0.2">
      <c r="A19" s="19">
        <v>2014</v>
      </c>
      <c r="B19" s="20">
        <v>11164</v>
      </c>
      <c r="C19" s="20">
        <v>4285</v>
      </c>
      <c r="D19" s="21">
        <v>7</v>
      </c>
      <c r="E19" s="20">
        <v>21862</v>
      </c>
      <c r="F19" s="20">
        <v>83397</v>
      </c>
      <c r="G19" s="22">
        <v>759</v>
      </c>
      <c r="H19" s="20">
        <v>5856</v>
      </c>
      <c r="I19" s="20">
        <v>38800</v>
      </c>
      <c r="J19" s="20">
        <v>9117</v>
      </c>
      <c r="K19" s="23">
        <v>51</v>
      </c>
      <c r="L19" s="21">
        <v>0</v>
      </c>
      <c r="M19" s="6"/>
      <c r="N19" s="6"/>
      <c r="O19" s="6"/>
      <c r="P19" s="6"/>
      <c r="Q19" s="6"/>
      <c r="R19" s="6"/>
      <c r="S19" s="6"/>
      <c r="T19" s="6"/>
      <c r="U19" s="6"/>
      <c r="V19" s="6"/>
      <c r="W19" s="6"/>
      <c r="X19" s="6"/>
      <c r="Y19" s="6"/>
      <c r="Z19" s="6"/>
    </row>
    <row r="20" spans="1:26" ht="14.25" customHeight="1" x14ac:dyDescent="0.2">
      <c r="A20" s="24">
        <v>2015</v>
      </c>
      <c r="B20" s="25">
        <v>10005</v>
      </c>
      <c r="C20" s="25">
        <v>4392</v>
      </c>
      <c r="D20" s="26">
        <v>5</v>
      </c>
      <c r="E20" s="25">
        <v>18859</v>
      </c>
      <c r="F20" s="25">
        <v>85191</v>
      </c>
      <c r="G20" s="27">
        <v>11419</v>
      </c>
      <c r="H20" s="25">
        <v>146</v>
      </c>
      <c r="I20" s="25">
        <v>39316</v>
      </c>
      <c r="J20" s="25">
        <v>5907</v>
      </c>
      <c r="K20" s="28">
        <v>1233</v>
      </c>
      <c r="L20" s="26">
        <v>0</v>
      </c>
      <c r="M20" s="6"/>
      <c r="N20" s="6"/>
      <c r="O20" s="6"/>
      <c r="P20" s="6"/>
      <c r="Q20" s="6"/>
      <c r="R20" s="6"/>
      <c r="S20" s="6"/>
      <c r="T20" s="6"/>
      <c r="U20" s="6"/>
      <c r="V20" s="6"/>
      <c r="W20" s="6"/>
      <c r="X20" s="6"/>
      <c r="Y20" s="6"/>
      <c r="Z20" s="6"/>
    </row>
    <row r="21" spans="1:26" ht="14.25" customHeight="1" x14ac:dyDescent="0.2">
      <c r="A21" s="29">
        <v>2016</v>
      </c>
      <c r="B21" s="30">
        <v>13886</v>
      </c>
      <c r="C21" s="30">
        <v>3958</v>
      </c>
      <c r="D21" s="29">
        <v>9</v>
      </c>
      <c r="E21" s="30">
        <v>19122</v>
      </c>
      <c r="F21" s="30">
        <v>92682</v>
      </c>
      <c r="G21" s="30">
        <v>1092</v>
      </c>
      <c r="H21" s="30">
        <v>4488</v>
      </c>
      <c r="I21" s="30">
        <v>42377</v>
      </c>
      <c r="J21" s="30">
        <v>3745</v>
      </c>
      <c r="K21" s="30">
        <v>2451</v>
      </c>
      <c r="L21" s="26">
        <v>0</v>
      </c>
      <c r="M21" s="6"/>
      <c r="N21" s="6"/>
      <c r="O21" s="6"/>
      <c r="P21" s="6"/>
      <c r="Q21" s="6"/>
      <c r="R21" s="6"/>
      <c r="S21" s="6"/>
      <c r="T21" s="6"/>
      <c r="U21" s="6"/>
      <c r="V21" s="6"/>
      <c r="W21" s="6"/>
      <c r="X21" s="6"/>
      <c r="Y21" s="6"/>
      <c r="Z21" s="6"/>
    </row>
    <row r="22" spans="1:26" ht="14.25" customHeight="1" x14ac:dyDescent="0.2">
      <c r="A22" s="29">
        <v>2017</v>
      </c>
      <c r="B22" s="30">
        <v>12425</v>
      </c>
      <c r="C22" s="30">
        <v>4096</v>
      </c>
      <c r="D22" s="29">
        <v>6</v>
      </c>
      <c r="E22" s="30">
        <v>16453</v>
      </c>
      <c r="F22" s="30">
        <v>101333</v>
      </c>
      <c r="G22" s="29">
        <v>285</v>
      </c>
      <c r="H22" s="30">
        <v>4159</v>
      </c>
      <c r="I22" s="30">
        <v>38468</v>
      </c>
      <c r="J22" s="30">
        <v>4117</v>
      </c>
      <c r="K22" s="29">
        <v>82</v>
      </c>
      <c r="L22" s="26">
        <v>0</v>
      </c>
      <c r="M22" s="6"/>
      <c r="N22" s="6"/>
      <c r="O22" s="6"/>
      <c r="P22" s="6"/>
      <c r="Q22" s="6"/>
      <c r="R22" s="6"/>
      <c r="S22" s="6"/>
      <c r="T22" s="6"/>
      <c r="U22" s="6"/>
      <c r="V22" s="6"/>
      <c r="W22" s="6"/>
      <c r="X22" s="6"/>
      <c r="Y22" s="6"/>
      <c r="Z22" s="6"/>
    </row>
    <row r="23" spans="1:26" ht="14.25" customHeight="1" x14ac:dyDescent="0.2">
      <c r="A23" s="29">
        <v>2018</v>
      </c>
      <c r="B23" s="30">
        <v>10729</v>
      </c>
      <c r="C23" s="30">
        <v>4013</v>
      </c>
      <c r="D23" s="29">
        <v>5</v>
      </c>
      <c r="E23" s="30">
        <v>15019</v>
      </c>
      <c r="F23" s="30">
        <v>110035</v>
      </c>
      <c r="G23" s="29">
        <v>517</v>
      </c>
      <c r="H23" s="30">
        <v>3846</v>
      </c>
      <c r="I23" s="30">
        <v>39017</v>
      </c>
      <c r="J23" s="30">
        <v>5357</v>
      </c>
      <c r="K23" s="29">
        <v>157</v>
      </c>
      <c r="L23" s="26">
        <v>0</v>
      </c>
      <c r="M23" s="6"/>
      <c r="N23" s="6"/>
      <c r="O23" s="6"/>
      <c r="P23" s="6"/>
      <c r="Q23" s="6"/>
      <c r="R23" s="6"/>
      <c r="S23" s="6"/>
      <c r="T23" s="6"/>
      <c r="U23" s="6"/>
      <c r="V23" s="6"/>
      <c r="W23" s="6"/>
      <c r="X23" s="6"/>
      <c r="Y23" s="6"/>
      <c r="Z23" s="6"/>
    </row>
    <row r="24" spans="1:26" ht="14.25" customHeight="1" x14ac:dyDescent="0.2">
      <c r="A24" s="29">
        <v>2019</v>
      </c>
      <c r="B24" s="30">
        <v>9877</v>
      </c>
      <c r="C24" s="30">
        <v>4110</v>
      </c>
      <c r="D24" s="29">
        <v>5</v>
      </c>
      <c r="E24" s="30">
        <v>9053</v>
      </c>
      <c r="F24" s="30">
        <v>119520</v>
      </c>
      <c r="G24" s="29">
        <v>126</v>
      </c>
      <c r="H24" s="30">
        <v>3730</v>
      </c>
      <c r="I24" s="30">
        <v>37758</v>
      </c>
      <c r="J24" s="30">
        <v>3213</v>
      </c>
      <c r="K24" s="30">
        <v>6151</v>
      </c>
      <c r="L24" s="26">
        <v>0</v>
      </c>
      <c r="M24" s="6"/>
      <c r="N24" s="6"/>
      <c r="O24" s="6"/>
      <c r="P24" s="6"/>
      <c r="Q24" s="6"/>
      <c r="R24" s="6"/>
      <c r="S24" s="6"/>
      <c r="T24" s="6"/>
      <c r="U24" s="6"/>
      <c r="V24" s="6"/>
      <c r="W24" s="6"/>
      <c r="X24" s="6"/>
      <c r="Y24" s="6"/>
      <c r="Z24" s="6"/>
    </row>
    <row r="25" spans="1:26" ht="14.25"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4.25" customHeight="1" x14ac:dyDescent="0.2">
      <c r="A26" s="5" t="s">
        <v>25</v>
      </c>
      <c r="B26" s="6"/>
      <c r="C26" s="6"/>
      <c r="D26" s="6"/>
      <c r="E26" s="6"/>
      <c r="F26" s="6"/>
      <c r="G26" s="6"/>
      <c r="H26" s="6"/>
      <c r="I26" s="6"/>
      <c r="J26" s="6"/>
      <c r="K26" s="6"/>
      <c r="L26" s="6"/>
      <c r="M26" s="6"/>
      <c r="N26" s="6"/>
      <c r="O26" s="6"/>
      <c r="P26" s="6"/>
      <c r="Q26" s="6"/>
      <c r="R26" s="6"/>
      <c r="S26" s="6"/>
      <c r="T26" s="6"/>
      <c r="U26" s="6"/>
      <c r="V26" s="6"/>
      <c r="W26" s="6"/>
      <c r="X26" s="6"/>
      <c r="Y26" s="6"/>
      <c r="Z26" s="6"/>
    </row>
    <row r="27" spans="1:26" ht="14.25" customHeight="1" x14ac:dyDescent="0.2">
      <c r="A27" s="7" t="s">
        <v>26</v>
      </c>
      <c r="B27" s="6"/>
      <c r="C27" s="6"/>
      <c r="D27" s="6"/>
      <c r="E27" s="6"/>
      <c r="F27" s="6"/>
      <c r="G27" s="6"/>
      <c r="H27" s="6"/>
      <c r="I27" s="6"/>
      <c r="J27" s="6"/>
      <c r="K27" s="6"/>
      <c r="L27" s="6"/>
      <c r="M27" s="6"/>
      <c r="N27" s="6"/>
      <c r="O27" s="6"/>
      <c r="P27" s="6"/>
      <c r="Q27" s="6"/>
      <c r="R27" s="6"/>
      <c r="S27" s="6"/>
      <c r="T27" s="6"/>
      <c r="U27" s="6"/>
      <c r="V27" s="6"/>
      <c r="W27" s="6"/>
      <c r="X27" s="6"/>
      <c r="Y27" s="6"/>
      <c r="Z27" s="6"/>
    </row>
    <row r="28" spans="1:26" ht="14.25" customHeight="1" x14ac:dyDescent="0.2">
      <c r="A28" s="86" t="s">
        <v>27</v>
      </c>
      <c r="B28" s="87"/>
      <c r="C28" s="87"/>
      <c r="D28" s="87"/>
      <c r="E28" s="87"/>
      <c r="F28" s="87"/>
      <c r="G28" s="88"/>
      <c r="H28" s="31"/>
      <c r="I28" s="31"/>
      <c r="J28" s="89" t="s">
        <v>28</v>
      </c>
      <c r="K28" s="87"/>
      <c r="L28" s="87"/>
      <c r="M28" s="87"/>
      <c r="N28" s="90"/>
      <c r="O28" s="6"/>
      <c r="P28" s="6"/>
      <c r="Q28" s="6"/>
      <c r="R28" s="6"/>
      <c r="S28" s="6"/>
      <c r="T28" s="6"/>
      <c r="U28" s="6"/>
      <c r="V28" s="6"/>
      <c r="W28" s="6"/>
      <c r="X28" s="6"/>
      <c r="Y28" s="6"/>
      <c r="Z28" s="6"/>
    </row>
    <row r="29" spans="1:26" ht="14.25" customHeight="1" x14ac:dyDescent="0.2">
      <c r="A29" s="32" t="s">
        <v>29</v>
      </c>
      <c r="B29" s="33" t="s">
        <v>30</v>
      </c>
      <c r="C29" s="34" t="s">
        <v>31</v>
      </c>
      <c r="D29" s="35" t="s">
        <v>32</v>
      </c>
      <c r="E29" s="35" t="s">
        <v>33</v>
      </c>
      <c r="F29" s="35" t="s">
        <v>34</v>
      </c>
      <c r="G29" s="36" t="s">
        <v>20</v>
      </c>
      <c r="H29" s="35" t="s">
        <v>35</v>
      </c>
      <c r="I29" s="35" t="s">
        <v>36</v>
      </c>
      <c r="J29" s="35" t="s">
        <v>37</v>
      </c>
      <c r="K29" s="35" t="s">
        <v>38</v>
      </c>
      <c r="L29" s="35" t="s">
        <v>39</v>
      </c>
      <c r="M29" s="35" t="s">
        <v>40</v>
      </c>
      <c r="N29" s="37" t="s">
        <v>41</v>
      </c>
      <c r="O29" s="6"/>
      <c r="P29" s="6"/>
      <c r="Q29" s="6"/>
      <c r="R29" s="6"/>
      <c r="S29" s="6"/>
      <c r="T29" s="6"/>
      <c r="U29" s="6"/>
      <c r="V29" s="6"/>
      <c r="W29" s="6"/>
      <c r="X29" s="6"/>
      <c r="Y29" s="6"/>
      <c r="Z29" s="6"/>
    </row>
    <row r="30" spans="1:26" ht="14.25" customHeight="1" x14ac:dyDescent="0.2">
      <c r="A30" s="11"/>
      <c r="B30" s="12"/>
      <c r="C30" s="12"/>
      <c r="D30" s="12"/>
      <c r="E30" s="12"/>
      <c r="F30" s="12"/>
      <c r="G30" s="12"/>
      <c r="H30" s="12"/>
      <c r="I30" s="12"/>
      <c r="J30" s="12"/>
      <c r="K30" s="12"/>
      <c r="L30" s="12"/>
      <c r="M30" s="38"/>
      <c r="N30" s="39"/>
      <c r="O30" s="6"/>
      <c r="P30" s="6"/>
      <c r="Q30" s="6"/>
      <c r="R30" s="6"/>
      <c r="S30" s="6"/>
      <c r="T30" s="6"/>
      <c r="U30" s="6"/>
      <c r="V30" s="6"/>
      <c r="W30" s="6"/>
      <c r="X30" s="6"/>
      <c r="Y30" s="6"/>
      <c r="Z30" s="6"/>
    </row>
    <row r="31" spans="1:26" ht="14.25" customHeight="1" x14ac:dyDescent="0.2">
      <c r="A31" s="40">
        <v>2000</v>
      </c>
      <c r="B31" s="41">
        <v>906</v>
      </c>
      <c r="C31" s="42">
        <v>0</v>
      </c>
      <c r="D31" s="17">
        <v>0</v>
      </c>
      <c r="E31" s="15">
        <v>94</v>
      </c>
      <c r="F31" s="43">
        <v>5226</v>
      </c>
      <c r="G31" s="44">
        <v>0</v>
      </c>
      <c r="H31" s="42">
        <v>6</v>
      </c>
      <c r="I31" s="18">
        <v>682</v>
      </c>
      <c r="J31" s="42">
        <v>0</v>
      </c>
      <c r="K31" s="44">
        <v>0</v>
      </c>
      <c r="L31" s="44">
        <v>0</v>
      </c>
      <c r="M31" s="43">
        <v>6915</v>
      </c>
      <c r="N31" s="43">
        <v>91105</v>
      </c>
      <c r="O31" s="6"/>
      <c r="P31" s="6"/>
      <c r="Q31" s="6"/>
      <c r="R31" s="6"/>
      <c r="S31" s="6"/>
      <c r="T31" s="6"/>
      <c r="U31" s="6"/>
      <c r="V31" s="6"/>
      <c r="W31" s="6"/>
      <c r="X31" s="6"/>
      <c r="Y31" s="6"/>
      <c r="Z31" s="6"/>
    </row>
    <row r="32" spans="1:26" ht="14.25" customHeight="1" x14ac:dyDescent="0.2">
      <c r="A32" s="40">
        <v>2001</v>
      </c>
      <c r="B32" s="43">
        <v>1004</v>
      </c>
      <c r="C32" s="42">
        <v>0</v>
      </c>
      <c r="D32" s="17">
        <v>0</v>
      </c>
      <c r="E32" s="15">
        <v>88</v>
      </c>
      <c r="F32" s="43">
        <v>8383</v>
      </c>
      <c r="G32" s="44">
        <v>0</v>
      </c>
      <c r="H32" s="42">
        <v>8</v>
      </c>
      <c r="I32" s="18">
        <v>773</v>
      </c>
      <c r="J32" s="42">
        <v>0</v>
      </c>
      <c r="K32" s="44">
        <v>0</v>
      </c>
      <c r="L32" s="44">
        <v>0</v>
      </c>
      <c r="M32" s="43">
        <v>10256</v>
      </c>
      <c r="N32" s="43">
        <v>98610</v>
      </c>
      <c r="O32" s="6"/>
      <c r="P32" s="6"/>
      <c r="Q32" s="6"/>
      <c r="R32" s="6"/>
      <c r="S32" s="6"/>
      <c r="T32" s="6"/>
      <c r="U32" s="6"/>
      <c r="V32" s="6"/>
      <c r="W32" s="6"/>
      <c r="X32" s="6"/>
      <c r="Y32" s="6"/>
      <c r="Z32" s="6"/>
    </row>
    <row r="33" spans="1:26" ht="14.25" customHeight="1" x14ac:dyDescent="0.2">
      <c r="A33" s="40">
        <v>2002</v>
      </c>
      <c r="B33" s="43">
        <v>1099</v>
      </c>
      <c r="C33" s="42">
        <v>0</v>
      </c>
      <c r="D33" s="17">
        <v>0</v>
      </c>
      <c r="E33" s="18">
        <v>221</v>
      </c>
      <c r="F33" s="43">
        <v>13616</v>
      </c>
      <c r="G33" s="44">
        <v>0</v>
      </c>
      <c r="H33" s="41">
        <v>11</v>
      </c>
      <c r="I33" s="18">
        <v>925</v>
      </c>
      <c r="J33" s="42">
        <v>0</v>
      </c>
      <c r="K33" s="44">
        <v>0</v>
      </c>
      <c r="L33" s="44">
        <v>0</v>
      </c>
      <c r="M33" s="43">
        <v>15873</v>
      </c>
      <c r="N33" s="43">
        <v>105166</v>
      </c>
      <c r="O33" s="6"/>
      <c r="P33" s="6"/>
      <c r="Q33" s="6"/>
      <c r="R33" s="6"/>
      <c r="S33" s="6"/>
      <c r="T33" s="6"/>
      <c r="U33" s="6"/>
      <c r="V33" s="6"/>
      <c r="W33" s="6"/>
      <c r="X33" s="6"/>
      <c r="Y33" s="6"/>
      <c r="Z33" s="6"/>
    </row>
    <row r="34" spans="1:26" ht="14.25" customHeight="1" x14ac:dyDescent="0.2">
      <c r="A34" s="40">
        <v>2003</v>
      </c>
      <c r="B34" s="41">
        <v>627</v>
      </c>
      <c r="C34" s="42">
        <v>0</v>
      </c>
      <c r="D34" s="17">
        <v>0</v>
      </c>
      <c r="E34" s="18">
        <v>283</v>
      </c>
      <c r="F34" s="43">
        <v>14722</v>
      </c>
      <c r="G34" s="44">
        <v>0</v>
      </c>
      <c r="H34" s="41">
        <v>15</v>
      </c>
      <c r="I34" s="14">
        <v>1511</v>
      </c>
      <c r="J34" s="42">
        <v>0</v>
      </c>
      <c r="K34" s="44">
        <v>0</v>
      </c>
      <c r="L34" s="44">
        <v>0</v>
      </c>
      <c r="M34" s="43">
        <v>17158</v>
      </c>
      <c r="N34" s="43">
        <v>109639</v>
      </c>
      <c r="O34" s="6"/>
      <c r="P34" s="6"/>
      <c r="Q34" s="6"/>
      <c r="R34" s="6"/>
      <c r="S34" s="6"/>
      <c r="T34" s="6"/>
      <c r="U34" s="6"/>
      <c r="V34" s="6"/>
      <c r="W34" s="6"/>
      <c r="X34" s="6"/>
      <c r="Y34" s="6"/>
      <c r="Z34" s="6"/>
    </row>
    <row r="35" spans="1:26" ht="14.25" customHeight="1" x14ac:dyDescent="0.2">
      <c r="A35" s="40">
        <v>2004</v>
      </c>
      <c r="B35" s="41">
        <v>731</v>
      </c>
      <c r="C35" s="42">
        <v>0</v>
      </c>
      <c r="D35" s="17">
        <v>0</v>
      </c>
      <c r="E35" s="18">
        <v>347</v>
      </c>
      <c r="F35" s="43">
        <v>17405</v>
      </c>
      <c r="G35" s="44">
        <v>0</v>
      </c>
      <c r="H35" s="41">
        <v>20</v>
      </c>
      <c r="I35" s="14">
        <v>1947</v>
      </c>
      <c r="J35" s="42">
        <v>0</v>
      </c>
      <c r="K35" s="44">
        <v>0</v>
      </c>
      <c r="L35" s="44">
        <v>0</v>
      </c>
      <c r="M35" s="43">
        <v>20449</v>
      </c>
      <c r="N35" s="43">
        <v>116642</v>
      </c>
      <c r="O35" s="6"/>
      <c r="P35" s="6"/>
      <c r="Q35" s="6"/>
      <c r="R35" s="6"/>
      <c r="S35" s="6"/>
      <c r="T35" s="6"/>
      <c r="U35" s="6"/>
      <c r="V35" s="6"/>
      <c r="W35" s="6"/>
      <c r="X35" s="6"/>
      <c r="Y35" s="6"/>
      <c r="Z35" s="6"/>
    </row>
    <row r="36" spans="1:26" ht="14.25" customHeight="1" x14ac:dyDescent="0.2">
      <c r="A36" s="40">
        <v>2005</v>
      </c>
      <c r="B36" s="41">
        <v>894</v>
      </c>
      <c r="C36" s="43">
        <v>3598</v>
      </c>
      <c r="D36" s="17">
        <v>0</v>
      </c>
      <c r="E36" s="18">
        <v>251</v>
      </c>
      <c r="F36" s="43">
        <v>18572</v>
      </c>
      <c r="G36" s="44">
        <v>2.8</v>
      </c>
      <c r="H36" s="41">
        <v>22</v>
      </c>
      <c r="I36" s="14">
        <v>2566</v>
      </c>
      <c r="J36" s="41">
        <v>373</v>
      </c>
      <c r="K36" s="44">
        <v>0</v>
      </c>
      <c r="L36" s="44">
        <v>0</v>
      </c>
      <c r="M36" s="43">
        <v>26278</v>
      </c>
      <c r="N36" s="43">
        <v>127560</v>
      </c>
      <c r="O36" s="6"/>
      <c r="P36" s="6"/>
      <c r="Q36" s="6"/>
      <c r="R36" s="6"/>
      <c r="S36" s="6"/>
      <c r="T36" s="6"/>
      <c r="U36" s="6"/>
      <c r="V36" s="6"/>
      <c r="W36" s="6"/>
      <c r="X36" s="6"/>
      <c r="Y36" s="6"/>
      <c r="Z36" s="6"/>
    </row>
    <row r="37" spans="1:26" ht="14.25" customHeight="1" x14ac:dyDescent="0.2">
      <c r="A37" s="40">
        <v>2006</v>
      </c>
      <c r="B37" s="41">
        <v>864</v>
      </c>
      <c r="C37" s="43">
        <v>3517</v>
      </c>
      <c r="D37" s="17">
        <v>0</v>
      </c>
      <c r="E37" s="18">
        <v>318</v>
      </c>
      <c r="F37" s="43">
        <v>20305</v>
      </c>
      <c r="G37" s="44">
        <v>2.2000000000000002</v>
      </c>
      <c r="H37" s="41">
        <v>32</v>
      </c>
      <c r="I37" s="14">
        <v>2816</v>
      </c>
      <c r="J37" s="41">
        <v>787</v>
      </c>
      <c r="K37" s="44">
        <v>0</v>
      </c>
      <c r="L37" s="44">
        <v>0</v>
      </c>
      <c r="M37" s="43">
        <v>28640</v>
      </c>
      <c r="N37" s="43">
        <v>133108</v>
      </c>
      <c r="O37" s="6"/>
      <c r="P37" s="6"/>
      <c r="Q37" s="6"/>
      <c r="R37" s="6"/>
      <c r="S37" s="6"/>
      <c r="T37" s="6"/>
      <c r="U37" s="6"/>
      <c r="V37" s="6"/>
      <c r="W37" s="6"/>
      <c r="X37" s="6"/>
      <c r="Y37" s="6"/>
      <c r="Z37" s="6"/>
    </row>
    <row r="38" spans="1:26" ht="14.25" customHeight="1" x14ac:dyDescent="0.2">
      <c r="A38" s="40">
        <v>2007</v>
      </c>
      <c r="B38" s="41">
        <v>659</v>
      </c>
      <c r="C38" s="43">
        <v>3833</v>
      </c>
      <c r="D38" s="17">
        <v>0</v>
      </c>
      <c r="E38" s="18">
        <v>388</v>
      </c>
      <c r="F38" s="43">
        <v>22022</v>
      </c>
      <c r="G38" s="44">
        <v>1.7</v>
      </c>
      <c r="H38" s="41">
        <v>36</v>
      </c>
      <c r="I38" s="14">
        <v>2746</v>
      </c>
      <c r="J38" s="43">
        <v>1514</v>
      </c>
      <c r="K38" s="44">
        <v>0</v>
      </c>
      <c r="L38" s="44">
        <v>0</v>
      </c>
      <c r="M38" s="43">
        <v>31200</v>
      </c>
      <c r="N38" s="43">
        <v>142442</v>
      </c>
      <c r="O38" s="6"/>
      <c r="P38" s="6"/>
      <c r="Q38" s="6"/>
      <c r="R38" s="6"/>
      <c r="S38" s="6"/>
      <c r="T38" s="6"/>
      <c r="U38" s="6"/>
      <c r="V38" s="6"/>
      <c r="W38" s="6"/>
      <c r="X38" s="6"/>
      <c r="Y38" s="6"/>
      <c r="Z38" s="6"/>
    </row>
    <row r="39" spans="1:26" ht="14.25" customHeight="1" x14ac:dyDescent="0.2">
      <c r="A39" s="40">
        <v>2008</v>
      </c>
      <c r="B39" s="41">
        <v>788</v>
      </c>
      <c r="C39" s="43">
        <v>4918</v>
      </c>
      <c r="D39" s="17">
        <v>0</v>
      </c>
      <c r="E39" s="18">
        <v>428</v>
      </c>
      <c r="F39" s="43">
        <v>20182</v>
      </c>
      <c r="G39" s="44">
        <v>89.7</v>
      </c>
      <c r="H39" s="41">
        <v>55</v>
      </c>
      <c r="I39" s="14">
        <v>3591</v>
      </c>
      <c r="J39" s="43">
        <v>1336</v>
      </c>
      <c r="K39" s="44">
        <v>0.3</v>
      </c>
      <c r="L39" s="44">
        <v>0</v>
      </c>
      <c r="M39" s="43">
        <v>31390</v>
      </c>
      <c r="N39" s="43">
        <v>149437</v>
      </c>
      <c r="O39" s="6"/>
      <c r="P39" s="6"/>
      <c r="Q39" s="6"/>
      <c r="R39" s="6"/>
      <c r="S39" s="6"/>
      <c r="T39" s="6"/>
      <c r="U39" s="6"/>
      <c r="V39" s="6"/>
      <c r="W39" s="6"/>
      <c r="X39" s="6"/>
      <c r="Y39" s="6"/>
      <c r="Z39" s="6"/>
    </row>
    <row r="40" spans="1:26" ht="14.25" customHeight="1" x14ac:dyDescent="0.2">
      <c r="A40" s="40">
        <v>2009</v>
      </c>
      <c r="B40" s="43">
        <v>1077</v>
      </c>
      <c r="C40" s="43">
        <v>5791</v>
      </c>
      <c r="D40" s="17">
        <v>0</v>
      </c>
      <c r="E40" s="18">
        <v>393</v>
      </c>
      <c r="F40" s="43">
        <v>22776</v>
      </c>
      <c r="G40" s="44">
        <v>2</v>
      </c>
      <c r="H40" s="41">
        <v>63</v>
      </c>
      <c r="I40" s="14">
        <v>4395</v>
      </c>
      <c r="J40" s="43">
        <v>1669</v>
      </c>
      <c r="K40" s="44">
        <v>5</v>
      </c>
      <c r="L40" s="44">
        <v>0</v>
      </c>
      <c r="M40" s="43">
        <v>36169</v>
      </c>
      <c r="N40" s="43">
        <v>156797</v>
      </c>
      <c r="O40" s="6"/>
      <c r="P40" s="6"/>
      <c r="Q40" s="6"/>
      <c r="R40" s="6"/>
      <c r="S40" s="6"/>
      <c r="T40" s="6"/>
      <c r="U40" s="6"/>
      <c r="V40" s="6"/>
      <c r="W40" s="6"/>
      <c r="X40" s="6"/>
      <c r="Y40" s="6"/>
      <c r="Z40" s="6"/>
    </row>
    <row r="41" spans="1:26" ht="14.25" customHeight="1" x14ac:dyDescent="0.2">
      <c r="A41" s="40">
        <v>2010</v>
      </c>
      <c r="B41" s="43">
        <v>1629</v>
      </c>
      <c r="C41" s="43">
        <v>5959</v>
      </c>
      <c r="D41" s="17">
        <v>0</v>
      </c>
      <c r="E41" s="18">
        <v>369</v>
      </c>
      <c r="F41" s="43">
        <v>21792</v>
      </c>
      <c r="G41" s="44">
        <v>99</v>
      </c>
      <c r="H41" s="41">
        <v>95</v>
      </c>
      <c r="I41" s="14">
        <v>6512</v>
      </c>
      <c r="J41" s="43">
        <v>1618</v>
      </c>
      <c r="K41" s="44">
        <v>4</v>
      </c>
      <c r="L41" s="44">
        <v>0</v>
      </c>
      <c r="M41" s="43">
        <v>38076</v>
      </c>
      <c r="N41" s="43">
        <v>169786</v>
      </c>
      <c r="O41" s="6"/>
      <c r="P41" s="6"/>
      <c r="Q41" s="6"/>
      <c r="R41" s="6"/>
      <c r="S41" s="6"/>
      <c r="T41" s="6"/>
      <c r="U41" s="6"/>
      <c r="V41" s="6"/>
      <c r="W41" s="6"/>
      <c r="X41" s="6"/>
      <c r="Y41" s="6"/>
      <c r="Z41" s="6"/>
    </row>
    <row r="42" spans="1:26" ht="14.25" customHeight="1" x14ac:dyDescent="0.2">
      <c r="A42" s="40">
        <v>2011</v>
      </c>
      <c r="B42" s="43">
        <v>2103</v>
      </c>
      <c r="C42" s="43">
        <v>5884</v>
      </c>
      <c r="D42" s="17">
        <v>0</v>
      </c>
      <c r="E42" s="18">
        <v>350</v>
      </c>
      <c r="F42" s="43">
        <v>26140</v>
      </c>
      <c r="G42" s="44">
        <v>154</v>
      </c>
      <c r="H42" s="41">
        <v>186</v>
      </c>
      <c r="I42" s="14">
        <v>4179</v>
      </c>
      <c r="J42" s="43">
        <v>1647</v>
      </c>
      <c r="K42" s="44">
        <v>4</v>
      </c>
      <c r="L42" s="44">
        <v>31</v>
      </c>
      <c r="M42" s="43">
        <v>40679</v>
      </c>
      <c r="N42" s="43">
        <v>183419</v>
      </c>
      <c r="O42" s="6"/>
      <c r="P42" s="6"/>
      <c r="Q42" s="6"/>
      <c r="R42" s="6"/>
      <c r="S42" s="6"/>
      <c r="T42" s="6"/>
      <c r="U42" s="6"/>
      <c r="V42" s="6"/>
      <c r="W42" s="6"/>
      <c r="X42" s="6"/>
      <c r="Y42" s="6"/>
      <c r="Z42" s="6"/>
    </row>
    <row r="43" spans="1:26" ht="14.25" customHeight="1" x14ac:dyDescent="0.2">
      <c r="A43" s="40">
        <v>2012</v>
      </c>
      <c r="B43" s="43">
        <v>2274</v>
      </c>
      <c r="C43" s="43">
        <v>5859</v>
      </c>
      <c r="D43" s="45">
        <v>0</v>
      </c>
      <c r="E43" s="41">
        <v>279</v>
      </c>
      <c r="F43" s="43">
        <v>35533</v>
      </c>
      <c r="G43" s="44">
        <v>134</v>
      </c>
      <c r="H43" s="41">
        <v>238</v>
      </c>
      <c r="I43" s="14">
        <v>4519</v>
      </c>
      <c r="J43" s="43">
        <v>1691</v>
      </c>
      <c r="K43" s="44">
        <v>5</v>
      </c>
      <c r="L43" s="44">
        <v>53</v>
      </c>
      <c r="M43" s="43">
        <v>50563</v>
      </c>
      <c r="N43" s="43">
        <v>200318</v>
      </c>
      <c r="O43" s="6"/>
      <c r="P43" s="6"/>
      <c r="Q43" s="6"/>
      <c r="R43" s="6"/>
      <c r="S43" s="6"/>
      <c r="T43" s="6"/>
      <c r="U43" s="6"/>
      <c r="V43" s="6"/>
      <c r="W43" s="6"/>
      <c r="X43" s="6"/>
      <c r="Y43" s="6"/>
      <c r="Z43" s="6"/>
    </row>
    <row r="44" spans="1:26" ht="14.25" customHeight="1" x14ac:dyDescent="0.2">
      <c r="A44" s="40">
        <v>2013</v>
      </c>
      <c r="B44" s="43">
        <v>3909</v>
      </c>
      <c r="C44" s="43">
        <v>5069</v>
      </c>
      <c r="D44" s="45">
        <v>0</v>
      </c>
      <c r="E44" s="42">
        <v>388</v>
      </c>
      <c r="F44" s="43">
        <v>36059</v>
      </c>
      <c r="G44" s="44">
        <v>147</v>
      </c>
      <c r="H44" s="41">
        <v>144</v>
      </c>
      <c r="I44" s="14">
        <v>4939</v>
      </c>
      <c r="J44" s="43">
        <v>1529</v>
      </c>
      <c r="K44" s="44">
        <v>0</v>
      </c>
      <c r="L44" s="44">
        <v>41</v>
      </c>
      <c r="M44" s="43">
        <v>52220</v>
      </c>
      <c r="N44" s="43">
        <v>216186</v>
      </c>
      <c r="O44" s="6"/>
      <c r="P44" s="6"/>
      <c r="Q44" s="6"/>
      <c r="R44" s="6"/>
      <c r="S44" s="6"/>
      <c r="T44" s="6"/>
      <c r="U44" s="6"/>
      <c r="V44" s="6"/>
      <c r="W44" s="6"/>
      <c r="X44" s="6"/>
      <c r="Y44" s="6"/>
      <c r="Z44" s="6"/>
    </row>
    <row r="45" spans="1:26" ht="14.25" customHeight="1" x14ac:dyDescent="0.2">
      <c r="A45" s="46">
        <v>2014</v>
      </c>
      <c r="B45" s="47">
        <v>3998</v>
      </c>
      <c r="C45" s="47">
        <v>5753</v>
      </c>
      <c r="D45" s="48">
        <v>0</v>
      </c>
      <c r="E45" s="49">
        <v>418</v>
      </c>
      <c r="F45" s="47">
        <v>36135</v>
      </c>
      <c r="G45" s="50">
        <v>137</v>
      </c>
      <c r="H45" s="51">
        <v>205</v>
      </c>
      <c r="I45" s="20">
        <v>4981</v>
      </c>
      <c r="J45" s="47">
        <v>1595</v>
      </c>
      <c r="K45" s="50">
        <v>0</v>
      </c>
      <c r="L45" s="50">
        <v>36</v>
      </c>
      <c r="M45" s="47">
        <v>53191</v>
      </c>
      <c r="N45" s="47">
        <v>228489</v>
      </c>
      <c r="O45" s="6"/>
      <c r="P45" s="6"/>
      <c r="Q45" s="6"/>
      <c r="R45" s="6"/>
      <c r="S45" s="6"/>
      <c r="T45" s="6"/>
      <c r="U45" s="6"/>
      <c r="V45" s="6"/>
      <c r="W45" s="6"/>
      <c r="X45" s="6"/>
      <c r="Y45" s="6"/>
      <c r="Z45" s="6"/>
    </row>
    <row r="46" spans="1:26" ht="14.25" customHeight="1" x14ac:dyDescent="0.2">
      <c r="A46" s="52">
        <v>2015</v>
      </c>
      <c r="B46" s="25">
        <v>3736</v>
      </c>
      <c r="C46" s="25">
        <v>5656</v>
      </c>
      <c r="D46" s="53">
        <v>0</v>
      </c>
      <c r="E46" s="54">
        <v>633</v>
      </c>
      <c r="F46" s="54">
        <v>39466</v>
      </c>
      <c r="G46" s="55">
        <v>115</v>
      </c>
      <c r="H46" s="27">
        <v>461</v>
      </c>
      <c r="I46" s="25">
        <v>5330</v>
      </c>
      <c r="J46" s="25">
        <v>2090</v>
      </c>
      <c r="K46" s="56">
        <v>4</v>
      </c>
      <c r="L46" s="55">
        <v>19</v>
      </c>
      <c r="M46" s="25">
        <v>57510</v>
      </c>
      <c r="N46" s="54">
        <v>233982</v>
      </c>
      <c r="O46" s="6"/>
      <c r="P46" s="6"/>
      <c r="Q46" s="6"/>
      <c r="R46" s="6"/>
      <c r="S46" s="6"/>
      <c r="T46" s="6"/>
      <c r="U46" s="6"/>
      <c r="V46" s="6"/>
      <c r="W46" s="6"/>
      <c r="X46" s="6"/>
      <c r="Y46" s="6"/>
      <c r="Z46" s="6"/>
    </row>
    <row r="47" spans="1:26" ht="14.25" customHeight="1" x14ac:dyDescent="0.2">
      <c r="A47" s="29">
        <v>2016</v>
      </c>
      <c r="B47" s="30">
        <v>4791</v>
      </c>
      <c r="C47" s="30">
        <v>6698</v>
      </c>
      <c r="D47" s="29">
        <v>12</v>
      </c>
      <c r="E47" s="29">
        <v>586</v>
      </c>
      <c r="F47" s="30">
        <v>42699</v>
      </c>
      <c r="G47" s="29">
        <v>129</v>
      </c>
      <c r="H47" s="29">
        <v>584</v>
      </c>
      <c r="I47" s="30">
        <v>5832</v>
      </c>
      <c r="J47" s="30">
        <v>2767</v>
      </c>
      <c r="K47" s="29">
        <v>6</v>
      </c>
      <c r="L47" s="29">
        <v>6</v>
      </c>
      <c r="M47" s="29"/>
      <c r="N47" s="29"/>
      <c r="O47" s="6"/>
      <c r="P47" s="6"/>
      <c r="Q47" s="6"/>
      <c r="R47" s="6"/>
      <c r="S47" s="6"/>
      <c r="T47" s="6"/>
      <c r="U47" s="6"/>
      <c r="V47" s="6"/>
      <c r="W47" s="6"/>
      <c r="X47" s="6"/>
      <c r="Y47" s="6"/>
      <c r="Z47" s="6"/>
    </row>
    <row r="48" spans="1:26" ht="14.25" customHeight="1" x14ac:dyDescent="0.2">
      <c r="A48" s="29">
        <v>2017</v>
      </c>
      <c r="B48" s="30">
        <v>6207</v>
      </c>
      <c r="C48" s="30">
        <v>8668</v>
      </c>
      <c r="D48" s="29">
        <v>23</v>
      </c>
      <c r="E48" s="30">
        <v>2110</v>
      </c>
      <c r="F48" s="30">
        <v>46631</v>
      </c>
      <c r="G48" s="29">
        <v>263</v>
      </c>
      <c r="H48" s="29">
        <v>0</v>
      </c>
      <c r="I48" s="30">
        <v>5704</v>
      </c>
      <c r="J48" s="30">
        <v>3002</v>
      </c>
      <c r="K48" s="29">
        <v>0</v>
      </c>
      <c r="L48" s="29">
        <v>590</v>
      </c>
      <c r="M48" s="29"/>
      <c r="N48" s="29"/>
      <c r="O48" s="6"/>
      <c r="P48" s="6"/>
      <c r="Q48" s="6"/>
      <c r="R48" s="6"/>
      <c r="S48" s="6"/>
      <c r="T48" s="6"/>
      <c r="U48" s="6"/>
      <c r="V48" s="6"/>
      <c r="W48" s="6"/>
      <c r="X48" s="6"/>
      <c r="Y48" s="6"/>
      <c r="Z48" s="6"/>
    </row>
    <row r="49" spans="1:26" ht="14.25" customHeight="1" x14ac:dyDescent="0.2">
      <c r="A49" s="29">
        <v>2018</v>
      </c>
      <c r="B49" s="57">
        <v>6099</v>
      </c>
      <c r="C49" s="57">
        <v>10006</v>
      </c>
      <c r="D49" s="57">
        <v>15</v>
      </c>
      <c r="E49" s="57">
        <v>2410</v>
      </c>
      <c r="F49" s="57">
        <v>49978</v>
      </c>
      <c r="G49" s="57">
        <v>242</v>
      </c>
      <c r="H49" s="57">
        <v>0</v>
      </c>
      <c r="I49" s="57">
        <v>4946</v>
      </c>
      <c r="J49" s="57">
        <v>3841</v>
      </c>
      <c r="K49" s="57">
        <v>188</v>
      </c>
      <c r="L49" s="57">
        <v>622</v>
      </c>
      <c r="M49" s="57"/>
      <c r="N49" s="57"/>
      <c r="O49" s="58"/>
      <c r="P49" s="58"/>
      <c r="Q49" s="6"/>
      <c r="R49" s="6"/>
      <c r="S49" s="6"/>
      <c r="T49" s="6"/>
      <c r="U49" s="6"/>
      <c r="V49" s="6"/>
      <c r="W49" s="6"/>
      <c r="X49" s="6"/>
      <c r="Y49" s="6"/>
      <c r="Z49" s="6"/>
    </row>
    <row r="50" spans="1:26" ht="14.25" customHeight="1" x14ac:dyDescent="0.2">
      <c r="A50" s="29">
        <v>2019</v>
      </c>
      <c r="B50" s="30">
        <v>6669</v>
      </c>
      <c r="C50" s="30">
        <v>9990</v>
      </c>
      <c r="D50" s="29">
        <v>49</v>
      </c>
      <c r="E50" s="30">
        <v>1403</v>
      </c>
      <c r="F50" s="30">
        <v>54973</v>
      </c>
      <c r="G50" s="29">
        <v>228</v>
      </c>
      <c r="H50" s="29">
        <v>0</v>
      </c>
      <c r="I50" s="30">
        <v>5396</v>
      </c>
      <c r="J50" s="30">
        <v>5577</v>
      </c>
      <c r="K50" s="29">
        <v>482</v>
      </c>
      <c r="L50" s="29">
        <v>21</v>
      </c>
      <c r="M50" s="29"/>
      <c r="N50" s="29"/>
      <c r="O50" s="6"/>
      <c r="P50" s="6"/>
      <c r="Q50" s="6"/>
      <c r="R50" s="6"/>
      <c r="S50" s="6"/>
      <c r="T50" s="6"/>
      <c r="U50" s="6"/>
      <c r="V50" s="6"/>
      <c r="W50" s="6"/>
      <c r="X50" s="6"/>
      <c r="Y50" s="6"/>
      <c r="Z50" s="6"/>
    </row>
    <row r="51" spans="1:26" ht="14.2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4.2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4.2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4.2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4.2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4.2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4.2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4.2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4.2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4.2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4.2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4.2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4.2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4.2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4.2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4.2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4.2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4.2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4.2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4.2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4.2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4.2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4.2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4.2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4.2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4.2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4.2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4.2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4.2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4.2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4.2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4.2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4.2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4.2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4.2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4.2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4.2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4.2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4.2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4.2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4.2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4.2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4.2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4.2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4.2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4.2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4.2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4.2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4.2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4.2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4.2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4.2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4.2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4.2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4.2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4.2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4.2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4.2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4.2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4.2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4.2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4.2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4.2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4.2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4.2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4.2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4.2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4.2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4.2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4.2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4.2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4.2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4.2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4.2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4.2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4.2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4.2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4.2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4.2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4.2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4.2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4.2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4.2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4.2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4.2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4.2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4.2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4.2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4.2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4.2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4.2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4.2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4.2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4.2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4.2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4.2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4.2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4.2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4.2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4.2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4.2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4.2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4.2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4.2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4.2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4.2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4.2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4.2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4.2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4.2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4.2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4.2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4.2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4.2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4.2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4.2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4.2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4.2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4.2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4.2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4.2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4.2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4.2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4.2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4.2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4.2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4.2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4.2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4.2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4.2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4.2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4.2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4.2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4.2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4.2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4.2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4.2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4.2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4.2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4.2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4.2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4.2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4.2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4.2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4.2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4.2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4.2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4.2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4.2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4.2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4.2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4.2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4.2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4.2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4.2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4.2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4.2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4.2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4.2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4.2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4.2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4.2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4.2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4.2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4.2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4.2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4.2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4.2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4.2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4.2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4.2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4.2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4.2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4.2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4.2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4.2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4.2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4.2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4.2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4.2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4.2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4.2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4.2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4.2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4.2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4.2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4.2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4.2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4.2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4.2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4.2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4.2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4.2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4.2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4.2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4.2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4.2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4.2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4.2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4.2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4.2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4.2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4.2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4.2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4.2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4.2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4.2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4.2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4.2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4.2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4.2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4.2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4.2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4.2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4.2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4.2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4.2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4.2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4.2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4.2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4.2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4.2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4.2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4.2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4.2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4.2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4.2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4.2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4.2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4.2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4.2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4.2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4.2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4.2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4.2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4.2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4.2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4.2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4.2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4.2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4.2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4.2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4.2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4.2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4.2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4.2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4.2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4.2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4.2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4.2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4.2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4.2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4.2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4.2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4.2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4.2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4.2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4.2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4.2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4.2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4.2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4.2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4.2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4.2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4.2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4.2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4.2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4.2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4.2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4.2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4.2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4.2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4.2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4.2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4.2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4.2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4.2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4.2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4.2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4.2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4.2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4.2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4.2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4.2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4.2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4.2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4.2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4.2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4.2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4.2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4.2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4.2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4.2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4.2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4.2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4.2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4.2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4.2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4.2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4.2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4.2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4.2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4.2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4.2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4.2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4.2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4.2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4.2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4.2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4.2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4.2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4.2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4.2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4.2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4.2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4.2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4.2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4.2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4.2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4.2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4.2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4.2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4.2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4.2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4.2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4.2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4.2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4.2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4.2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4.2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4.2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4.2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4.2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4.2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4.2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4.2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4.2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4.2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4.2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4.2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4.2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4.2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4.2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4.2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4.2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4.2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4.2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4.2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4.2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4.2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4.2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4.2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4.2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4.2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4.2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4.2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4.2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4.2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4.2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4.2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4.2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4.2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4.2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4.2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4.2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4.2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4.2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4.2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4.2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4.2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4.2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4.2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4.2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4.2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4.2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4.2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4.2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4.2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4.2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4.2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4.2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4.2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4.2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4.2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4.2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4.2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4.2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4.2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4.2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4.2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4.2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4.2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4.2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4.2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4.2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4.2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4.2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4.2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4.2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4.2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4.2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4.2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4.2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4.2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4.2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4.2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4.2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4.2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4.2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4.2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4.2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4.2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4.2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4.2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4.2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4.2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4.2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4.2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4.2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4.2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4.2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4.2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4.2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4.2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4.2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4.2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4.2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4.2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4.2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4.2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4.2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4.2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4.2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4.2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4.2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4.2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4.2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4.2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4.2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4.2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4.2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4.2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4.2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4.2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4.2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4.2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4.2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4.2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4.2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4.2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4.2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4.2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4.2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4.2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4.2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4.2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4.2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4.2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4.2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4.2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4.2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4.2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4.2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4.2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4.2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4.2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4.2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4.2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4.2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4.2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4.2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4.2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4.2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4.2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4.2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4.2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4.2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4.2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4.2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4.2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4.2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4.2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4.2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4.2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4.2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4.2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4.2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4.2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4.2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4.2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4.2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4.2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4.2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4.2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4.2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4.2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4.2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4.2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4.2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4.2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4.2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4.2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4.2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4.2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4.2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4.2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4.2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4.2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4.2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4.2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4.2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4.2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4.2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4.2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4.2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4.2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4.2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4.2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4.2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4.2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4.2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4.2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4.2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4.2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4.2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4.2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4.2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4.2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4.2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4.2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4.2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4.2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4.2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4.2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4.2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4.2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4.2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4.2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4.2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4.2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4.2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4.2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4.2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4.2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4.2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4.2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4.2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4.2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4.2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4.2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4.2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4.2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4.2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4.2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4.2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4.2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4.2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4.2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4.2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4.2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4.2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4.2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4.2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4.2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4.2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4.2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4.2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4.2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4.2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4.2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4.2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4.2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4.2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4.2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4.2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4.2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4.2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4.2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4.2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4.2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4.2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4.2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4.2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4.2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4.2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4.2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4.2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4.2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4.2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4.2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4.2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4.2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4.2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4.2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4.2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4.2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4.2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4.2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4.2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4.2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4.2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4.2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4.2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4.2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4.2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4.2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4.2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4.2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4.2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4.2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4.2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4.2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4.2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4.2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4.2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4.2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4.2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4.2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4.2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4.2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4.2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4.2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4.2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4.2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4.2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4.2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4.2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4.2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4.2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4.2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4.2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4.2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4.2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4.2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4.2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4.2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4.2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4.2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4.2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4.2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4.2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4.2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4.2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4.2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4.2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4.2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4.2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4.2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4.2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4.2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4.2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4.2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4.2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4.2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4.2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4.2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4.2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4.2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4.2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4.2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4.2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4.2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4.2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4.2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4.2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4.2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4.2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4.2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4.2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4.2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4.2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4.2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4.2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4.2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4.2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4.2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4.2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4.2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4.2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4.2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4.2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4.2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4.2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4.2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4.2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4.2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4.2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4.2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4.2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4.2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4.2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4.2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4.2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4.2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4.2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4.2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4.2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4.2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4.2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4.2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4.2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4.2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4.2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4.2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4.2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4.2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4.2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4.2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4.2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4.2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4.2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4.2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4.2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4.2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4.2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4.2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4.2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4.2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4.2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4.2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4.2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4.2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4.2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4.2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4.2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4.2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4.2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4.2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4.2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4.2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4.2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4.2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4.2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4.2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4.2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4.2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4.2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4.2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4.2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4.2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4.2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4.2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4.2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4.2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4.2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4.2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4.2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4.2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4.2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4.2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4.2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4.2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4.2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4.2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4.2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4.2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4.2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4.2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4.2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4.2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4.2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4.2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4.2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4.2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4.2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4.2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4.2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4.2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4.2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4.2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4.2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4.2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4.2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4.2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4.2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4.2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4.2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4.2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4.2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4.2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4.2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4.2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4.2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4.2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4.2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4.2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4.2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4.2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4.2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4.2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4.2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4.2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4.2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4.2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4.2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4.2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4.2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4.2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4.2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4.2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4.2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4.2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4.2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4.2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4.2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4.2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4.2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4.2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4.2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4.2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4.2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4.2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4.2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4.2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4.2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4.2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4.2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4.2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4.2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4.2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4.2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4.2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4.2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4.2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4.2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4.2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4.2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4.2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4.2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4.2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4.2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4.2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4.2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4.2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4.2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4.2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4.2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4.2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4.2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4.2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4.2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4.2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4.2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4.2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4.2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4.2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4.2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4.2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4.2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4.2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4.2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4.2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4.2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4.2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4.2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4.2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4.2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4.2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4.2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4.2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4.2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4.2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4.2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4.2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4.2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4.2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4.2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4.2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4.2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4.2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4.2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4.2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4.2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4.2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4.2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4.2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4.2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4.2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4.2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4.2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4.2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4.2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4.2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4.2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4.2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4.2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4.2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4.2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4.2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4.2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4.2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4.2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4.2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4.2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4.2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4.2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4.2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4.2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4.2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4.2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4.2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4.2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4.2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4.2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4.2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4.2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4.2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4.2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4.2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4.2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4.2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4.2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4.2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4.2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4.2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4.2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4.2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4.2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4.2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4.2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4.2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4.2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4.2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4.2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4.2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4.2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4.2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4.2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4.2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4.2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4.2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4.2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4.2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4.2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4.2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4.2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4.2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4.2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4.2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4.2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4.2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4.2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4.2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4.2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4.2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4.2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4.2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4.2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4.2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4.2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4.25" customHeight="1" x14ac:dyDescent="0.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4.25" customHeight="1" x14ac:dyDescent="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4.25" customHeight="1" x14ac:dyDescent="0.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sheetData>
  <mergeCells count="2">
    <mergeCell ref="A28:G28"/>
    <mergeCell ref="J28:N28"/>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3"/>
  <sheetViews>
    <sheetView workbookViewId="0">
      <pane ySplit="7" topLeftCell="A8" activePane="bottomLeft" state="frozen"/>
      <selection pane="bottomLeft" activeCell="C35" sqref="C35"/>
    </sheetView>
  </sheetViews>
  <sheetFormatPr baseColWidth="10" defaultColWidth="14.5" defaultRowHeight="15" customHeight="1" x14ac:dyDescent="0.2"/>
  <cols>
    <col min="1" max="1" width="26.5" customWidth="1"/>
    <col min="2" max="2" width="10.83203125" customWidth="1"/>
    <col min="3" max="3" width="10.5" customWidth="1"/>
    <col min="4" max="4" width="19.5" customWidth="1"/>
    <col min="5" max="5" width="20.5" customWidth="1"/>
    <col min="6" max="6" width="14.5" customWidth="1"/>
    <col min="7" max="7" width="13.1640625" customWidth="1"/>
    <col min="8" max="8" width="13.5" customWidth="1"/>
    <col min="9" max="9" width="10" customWidth="1"/>
    <col min="10" max="10" width="17.83203125" customWidth="1"/>
    <col min="11" max="11" width="13" customWidth="1"/>
    <col min="12" max="12" width="11.1640625" customWidth="1"/>
    <col min="13" max="13" width="19.5" customWidth="1"/>
    <col min="14" max="14" width="10.33203125" customWidth="1"/>
    <col min="15" max="16" width="10.83203125" customWidth="1"/>
    <col min="17" max="17" width="9.83203125" customWidth="1"/>
    <col min="18" max="27" width="8.6640625" customWidth="1"/>
  </cols>
  <sheetData>
    <row r="1" spans="1:27" ht="14.25" customHeight="1" x14ac:dyDescent="0.2">
      <c r="A1" s="59" t="s">
        <v>42</v>
      </c>
      <c r="B1" s="6"/>
      <c r="C1" s="6"/>
      <c r="D1" s="6"/>
      <c r="E1" s="6"/>
      <c r="F1" s="6"/>
      <c r="G1" s="6"/>
      <c r="H1" s="6"/>
      <c r="I1" s="6"/>
      <c r="J1" s="6"/>
      <c r="K1" s="6"/>
      <c r="L1" s="6"/>
      <c r="M1" s="6"/>
      <c r="N1" s="6"/>
      <c r="O1" s="6"/>
      <c r="P1" s="6"/>
      <c r="Q1" s="6"/>
      <c r="R1" s="6"/>
      <c r="S1" s="6"/>
      <c r="T1" s="6"/>
      <c r="U1" s="6"/>
      <c r="V1" s="6"/>
      <c r="W1" s="6"/>
      <c r="X1" s="6"/>
      <c r="Y1" s="6"/>
      <c r="Z1" s="6"/>
      <c r="AA1" s="6"/>
    </row>
    <row r="2" spans="1:27" ht="14.25" customHeight="1" x14ac:dyDescent="0.2">
      <c r="A2" s="59" t="s">
        <v>43</v>
      </c>
      <c r="B2" s="6"/>
      <c r="C2" s="6"/>
      <c r="D2" s="6"/>
      <c r="E2" s="6"/>
      <c r="F2" s="6"/>
      <c r="G2" s="6"/>
      <c r="H2" s="6"/>
      <c r="I2" s="6"/>
      <c r="J2" s="6"/>
      <c r="K2" s="6"/>
      <c r="L2" s="6"/>
      <c r="M2" s="6"/>
      <c r="N2" s="6"/>
      <c r="O2" s="6"/>
      <c r="P2" s="6"/>
      <c r="Q2" s="6"/>
      <c r="R2" s="6"/>
      <c r="S2" s="6"/>
      <c r="T2" s="6"/>
      <c r="U2" s="6"/>
      <c r="V2" s="6"/>
      <c r="W2" s="6"/>
      <c r="X2" s="6"/>
      <c r="Y2" s="6"/>
      <c r="Z2" s="6"/>
      <c r="AA2" s="6"/>
    </row>
    <row r="3" spans="1:27" ht="14.25" customHeight="1" x14ac:dyDescent="0.2">
      <c r="A3" s="60" t="s">
        <v>44</v>
      </c>
      <c r="B3" s="60" t="s">
        <v>45</v>
      </c>
      <c r="C3" s="60" t="s">
        <v>46</v>
      </c>
      <c r="D3" s="60" t="s">
        <v>47</v>
      </c>
      <c r="E3" s="60" t="s">
        <v>48</v>
      </c>
      <c r="F3" s="60" t="s">
        <v>49</v>
      </c>
      <c r="G3" s="60" t="s">
        <v>50</v>
      </c>
      <c r="H3" s="61" t="s">
        <v>51</v>
      </c>
      <c r="I3" s="60" t="s">
        <v>52</v>
      </c>
      <c r="J3" s="61" t="s">
        <v>53</v>
      </c>
      <c r="K3" s="61" t="s">
        <v>54</v>
      </c>
      <c r="L3" s="60" t="s">
        <v>55</v>
      </c>
      <c r="M3" s="61" t="s">
        <v>56</v>
      </c>
      <c r="N3" s="60" t="s">
        <v>57</v>
      </c>
      <c r="O3" s="62" t="s">
        <v>58</v>
      </c>
      <c r="P3" s="61" t="s">
        <v>59</v>
      </c>
      <c r="Q3" s="60" t="s">
        <v>60</v>
      </c>
      <c r="R3" s="6"/>
      <c r="S3" s="6"/>
      <c r="T3" s="6"/>
      <c r="U3" s="6"/>
      <c r="V3" s="6"/>
      <c r="W3" s="6"/>
      <c r="X3" s="6"/>
      <c r="Y3" s="6"/>
      <c r="Z3" s="6"/>
      <c r="AA3" s="6"/>
    </row>
    <row r="4" spans="1:27" ht="14.25" customHeight="1" x14ac:dyDescent="0.2">
      <c r="A4" s="63" t="s">
        <v>61</v>
      </c>
      <c r="B4" s="63" t="s">
        <v>62</v>
      </c>
      <c r="C4" s="63" t="s">
        <v>63</v>
      </c>
      <c r="D4" s="63" t="s">
        <v>64</v>
      </c>
      <c r="E4" s="63" t="s">
        <v>65</v>
      </c>
      <c r="F4" s="64" t="s">
        <v>66</v>
      </c>
      <c r="G4" s="64" t="s">
        <v>67</v>
      </c>
      <c r="H4" s="64" t="s">
        <v>68</v>
      </c>
      <c r="I4" s="64" t="s">
        <v>69</v>
      </c>
      <c r="J4" s="64" t="s">
        <v>62</v>
      </c>
      <c r="K4" s="64" t="s">
        <v>62</v>
      </c>
      <c r="L4" s="64" t="s">
        <v>70</v>
      </c>
      <c r="M4" s="63" t="s">
        <v>63</v>
      </c>
      <c r="N4" s="64" t="s">
        <v>71</v>
      </c>
      <c r="O4" s="64" t="s">
        <v>72</v>
      </c>
      <c r="P4" s="64" t="s">
        <v>73</v>
      </c>
      <c r="Q4" s="64"/>
      <c r="R4" s="6"/>
      <c r="S4" s="6"/>
      <c r="T4" s="6"/>
      <c r="U4" s="6"/>
      <c r="V4" s="6"/>
      <c r="W4" s="6"/>
      <c r="X4" s="6"/>
      <c r="Y4" s="6"/>
      <c r="Z4" s="6"/>
      <c r="AA4" s="6"/>
    </row>
    <row r="5" spans="1:27" ht="14.25" customHeight="1" x14ac:dyDescent="0.2">
      <c r="A5" s="65">
        <v>2000</v>
      </c>
      <c r="B5" s="66">
        <v>4199.28</v>
      </c>
      <c r="C5" s="66">
        <v>10671.56</v>
      </c>
      <c r="D5" s="66">
        <v>3804.8</v>
      </c>
      <c r="E5" s="66">
        <v>6863.22</v>
      </c>
      <c r="F5" s="67">
        <v>525</v>
      </c>
      <c r="G5" s="66">
        <v>11223.33</v>
      </c>
      <c r="H5" s="67">
        <v>0</v>
      </c>
      <c r="I5" s="67">
        <v>0</v>
      </c>
      <c r="J5" s="67">
        <v>0</v>
      </c>
      <c r="K5" s="67">
        <v>0</v>
      </c>
      <c r="L5" s="67">
        <v>0</v>
      </c>
      <c r="M5" s="67">
        <v>0</v>
      </c>
      <c r="N5" s="67">
        <v>0</v>
      </c>
      <c r="O5" s="67">
        <v>0</v>
      </c>
      <c r="P5" s="67">
        <v>0</v>
      </c>
      <c r="Q5" s="66">
        <v>37287.19</v>
      </c>
      <c r="R5" s="6"/>
      <c r="S5" s="6"/>
      <c r="T5" s="6"/>
      <c r="U5" s="6"/>
      <c r="V5" s="6"/>
      <c r="W5" s="6"/>
      <c r="X5" s="6"/>
      <c r="Y5" s="6"/>
      <c r="Z5" s="6"/>
      <c r="AA5" s="6"/>
    </row>
    <row r="6" spans="1:27" ht="14.25" customHeight="1" x14ac:dyDescent="0.2">
      <c r="A6" s="65">
        <v>2001</v>
      </c>
      <c r="B6" s="66">
        <v>3112.61</v>
      </c>
      <c r="C6" s="66">
        <v>7798.73</v>
      </c>
      <c r="D6" s="66">
        <v>1966.77</v>
      </c>
      <c r="E6" s="66">
        <v>6998.22</v>
      </c>
      <c r="F6" s="67">
        <v>785</v>
      </c>
      <c r="G6" s="66">
        <v>3016.05</v>
      </c>
      <c r="H6" s="67">
        <v>0</v>
      </c>
      <c r="I6" s="67">
        <v>0</v>
      </c>
      <c r="J6" s="67">
        <v>0</v>
      </c>
      <c r="K6" s="67">
        <v>0</v>
      </c>
      <c r="L6" s="67">
        <v>0</v>
      </c>
      <c r="M6" s="67">
        <v>0</v>
      </c>
      <c r="N6" s="67">
        <v>0</v>
      </c>
      <c r="O6" s="67">
        <v>0</v>
      </c>
      <c r="P6" s="67">
        <v>0</v>
      </c>
      <c r="Q6" s="66">
        <v>23677.39</v>
      </c>
      <c r="R6" s="6"/>
      <c r="S6" s="6"/>
      <c r="T6" s="6"/>
      <c r="U6" s="6"/>
      <c r="V6" s="6"/>
      <c r="W6" s="6"/>
      <c r="X6" s="6"/>
      <c r="Y6" s="6"/>
      <c r="Z6" s="6"/>
      <c r="AA6" s="6"/>
    </row>
    <row r="7" spans="1:27" ht="14.25" customHeight="1" x14ac:dyDescent="0.2">
      <c r="A7" s="65">
        <v>2002</v>
      </c>
      <c r="B7" s="66">
        <v>3155.17</v>
      </c>
      <c r="C7" s="66">
        <v>6900</v>
      </c>
      <c r="D7" s="66">
        <v>1224.72</v>
      </c>
      <c r="E7" s="66">
        <v>6863.22</v>
      </c>
      <c r="F7" s="67">
        <v>785</v>
      </c>
      <c r="G7" s="66">
        <v>2589.12</v>
      </c>
      <c r="H7" s="67">
        <v>0</v>
      </c>
      <c r="I7" s="67">
        <v>0</v>
      </c>
      <c r="J7" s="67">
        <v>0</v>
      </c>
      <c r="K7" s="67">
        <v>0</v>
      </c>
      <c r="L7" s="67">
        <v>0</v>
      </c>
      <c r="M7" s="67">
        <v>0</v>
      </c>
      <c r="N7" s="67">
        <v>0</v>
      </c>
      <c r="O7" s="67">
        <v>0</v>
      </c>
      <c r="P7" s="67">
        <v>0</v>
      </c>
      <c r="Q7" s="66">
        <v>21517.23</v>
      </c>
      <c r="R7" s="6"/>
      <c r="S7" s="6"/>
      <c r="T7" s="6"/>
      <c r="U7" s="6"/>
      <c r="V7" s="6"/>
      <c r="W7" s="6"/>
      <c r="X7" s="6"/>
      <c r="Y7" s="6"/>
      <c r="Z7" s="6"/>
      <c r="AA7" s="6"/>
    </row>
    <row r="8" spans="1:27" ht="14.25" customHeight="1" x14ac:dyDescent="0.2">
      <c r="A8" s="65">
        <v>2003</v>
      </c>
      <c r="B8" s="66">
        <v>3167.92</v>
      </c>
      <c r="C8" s="66">
        <v>9750</v>
      </c>
      <c r="D8" s="66">
        <v>1687.72</v>
      </c>
      <c r="E8" s="66">
        <v>6998.22</v>
      </c>
      <c r="F8" s="67">
        <v>805</v>
      </c>
      <c r="G8" s="66">
        <v>2730.6</v>
      </c>
      <c r="H8" s="67">
        <v>0</v>
      </c>
      <c r="I8" s="67">
        <v>0</v>
      </c>
      <c r="J8" s="67">
        <v>0</v>
      </c>
      <c r="K8" s="67">
        <v>0</v>
      </c>
      <c r="L8" s="67">
        <v>0</v>
      </c>
      <c r="M8" s="67">
        <v>0</v>
      </c>
      <c r="N8" s="67">
        <v>0</v>
      </c>
      <c r="O8" s="67">
        <v>0</v>
      </c>
      <c r="P8" s="67">
        <v>0</v>
      </c>
      <c r="Q8" s="66">
        <v>25139.46</v>
      </c>
      <c r="R8" s="6"/>
      <c r="S8" s="6"/>
      <c r="T8" s="6"/>
      <c r="U8" s="6"/>
      <c r="V8" s="6"/>
      <c r="W8" s="6"/>
      <c r="X8" s="6"/>
      <c r="Y8" s="6"/>
      <c r="Z8" s="6"/>
      <c r="AA8" s="6"/>
    </row>
    <row r="9" spans="1:27" ht="14.25" customHeight="1" x14ac:dyDescent="0.2">
      <c r="A9" s="65">
        <v>2004</v>
      </c>
      <c r="B9" s="66">
        <v>3199.71</v>
      </c>
      <c r="C9" s="66">
        <v>9750</v>
      </c>
      <c r="D9" s="66">
        <v>2802.57</v>
      </c>
      <c r="E9" s="66">
        <v>6846.27</v>
      </c>
      <c r="F9" s="67">
        <v>820</v>
      </c>
      <c r="G9" s="66">
        <v>2993.6</v>
      </c>
      <c r="H9" s="67">
        <v>12</v>
      </c>
      <c r="I9" s="67">
        <v>0</v>
      </c>
      <c r="J9" s="67">
        <v>0</v>
      </c>
      <c r="K9" s="67">
        <v>0</v>
      </c>
      <c r="L9" s="67">
        <v>0</v>
      </c>
      <c r="M9" s="67">
        <v>0</v>
      </c>
      <c r="N9" s="67">
        <v>0</v>
      </c>
      <c r="O9" s="67">
        <v>0</v>
      </c>
      <c r="P9" s="67">
        <v>0</v>
      </c>
      <c r="Q9" s="66">
        <v>26424.15</v>
      </c>
      <c r="R9" s="6"/>
      <c r="S9" s="6"/>
      <c r="T9" s="6"/>
      <c r="U9" s="6"/>
      <c r="V9" s="6"/>
      <c r="W9" s="6"/>
      <c r="X9" s="6"/>
      <c r="Y9" s="6"/>
      <c r="Z9" s="6"/>
      <c r="AA9" s="6"/>
    </row>
    <row r="10" spans="1:27" ht="14.25" customHeight="1" x14ac:dyDescent="0.2">
      <c r="A10" s="65">
        <v>2005</v>
      </c>
      <c r="B10" s="66">
        <v>3407.46</v>
      </c>
      <c r="C10" s="66">
        <v>9750</v>
      </c>
      <c r="D10" s="66">
        <v>3099.35</v>
      </c>
      <c r="E10" s="66">
        <v>6919.97</v>
      </c>
      <c r="F10" s="67">
        <v>850</v>
      </c>
      <c r="G10" s="66">
        <v>3208.08</v>
      </c>
      <c r="H10" s="67">
        <v>3</v>
      </c>
      <c r="I10" s="67">
        <v>0</v>
      </c>
      <c r="J10" s="67">
        <v>0.45</v>
      </c>
      <c r="K10" s="67">
        <v>3.03</v>
      </c>
      <c r="L10" s="67">
        <v>0</v>
      </c>
      <c r="M10" s="67">
        <v>0</v>
      </c>
      <c r="N10" s="67">
        <v>0</v>
      </c>
      <c r="O10" s="67">
        <v>0</v>
      </c>
      <c r="P10" s="67">
        <v>0</v>
      </c>
      <c r="Q10" s="66">
        <v>27241.33</v>
      </c>
      <c r="R10" s="6"/>
      <c r="S10" s="6"/>
      <c r="T10" s="6"/>
      <c r="U10" s="6"/>
      <c r="V10" s="6"/>
      <c r="W10" s="6"/>
      <c r="X10" s="6"/>
      <c r="Y10" s="6"/>
      <c r="Z10" s="6"/>
      <c r="AA10" s="6"/>
    </row>
    <row r="11" spans="1:27" ht="14.25" customHeight="1" x14ac:dyDescent="0.2">
      <c r="A11" s="65">
        <v>2006</v>
      </c>
      <c r="B11" s="66">
        <v>3715.61</v>
      </c>
      <c r="C11" s="66">
        <v>11170</v>
      </c>
      <c r="D11" s="66">
        <v>3102.95</v>
      </c>
      <c r="E11" s="66">
        <v>7659.97</v>
      </c>
      <c r="F11" s="67">
        <v>850</v>
      </c>
      <c r="G11" s="66">
        <v>3165.05</v>
      </c>
      <c r="H11" s="67">
        <v>21</v>
      </c>
      <c r="I11" s="67">
        <v>0</v>
      </c>
      <c r="J11" s="67">
        <v>0.55000000000000004</v>
      </c>
      <c r="K11" s="67">
        <v>3.03</v>
      </c>
      <c r="L11" s="67">
        <v>0</v>
      </c>
      <c r="M11" s="67">
        <v>0</v>
      </c>
      <c r="N11" s="67">
        <v>0</v>
      </c>
      <c r="O11" s="67">
        <v>0</v>
      </c>
      <c r="P11" s="67">
        <v>0</v>
      </c>
      <c r="Q11" s="66">
        <v>29688.16</v>
      </c>
      <c r="R11" s="6"/>
      <c r="S11" s="6"/>
      <c r="T11" s="6"/>
      <c r="U11" s="6"/>
      <c r="V11" s="6"/>
      <c r="W11" s="6"/>
      <c r="X11" s="6"/>
      <c r="Y11" s="6"/>
      <c r="Z11" s="6"/>
      <c r="AA11" s="6"/>
    </row>
    <row r="12" spans="1:27" ht="14.25" customHeight="1" x14ac:dyDescent="0.2">
      <c r="A12" s="65">
        <v>2007</v>
      </c>
      <c r="B12" s="66">
        <v>3688.04</v>
      </c>
      <c r="C12" s="66">
        <v>12014</v>
      </c>
      <c r="D12" s="66">
        <v>3220.18</v>
      </c>
      <c r="E12" s="66">
        <v>7699.97</v>
      </c>
      <c r="F12" s="67">
        <v>980</v>
      </c>
      <c r="G12" s="66">
        <v>3211.91</v>
      </c>
      <c r="H12" s="67">
        <v>33</v>
      </c>
      <c r="I12" s="67">
        <v>0.1</v>
      </c>
      <c r="J12" s="67">
        <v>0.55000000000000004</v>
      </c>
      <c r="K12" s="67">
        <v>6.03</v>
      </c>
      <c r="L12" s="67">
        <v>0</v>
      </c>
      <c r="M12" s="67">
        <v>0</v>
      </c>
      <c r="N12" s="67">
        <v>0</v>
      </c>
      <c r="O12" s="67">
        <v>0</v>
      </c>
      <c r="P12" s="67">
        <v>0</v>
      </c>
      <c r="Q12" s="66">
        <v>30853.78</v>
      </c>
      <c r="R12" s="6"/>
      <c r="S12" s="6"/>
      <c r="T12" s="6"/>
      <c r="U12" s="6"/>
      <c r="V12" s="6"/>
      <c r="W12" s="6"/>
      <c r="X12" s="6"/>
      <c r="Y12" s="6"/>
      <c r="Z12" s="6"/>
      <c r="AA12" s="6"/>
    </row>
    <row r="13" spans="1:27" ht="14.25" customHeight="1" x14ac:dyDescent="0.2">
      <c r="A13" s="65">
        <v>2008</v>
      </c>
      <c r="B13" s="66">
        <v>3690.8</v>
      </c>
      <c r="C13" s="66">
        <v>12294</v>
      </c>
      <c r="D13" s="66">
        <v>3068.97</v>
      </c>
      <c r="E13" s="66">
        <v>8009.97</v>
      </c>
      <c r="F13" s="66">
        <v>1052</v>
      </c>
      <c r="G13" s="66">
        <v>3272.98</v>
      </c>
      <c r="H13" s="67">
        <v>66.84</v>
      </c>
      <c r="I13" s="67">
        <v>0.26</v>
      </c>
      <c r="J13" s="67">
        <v>0.69</v>
      </c>
      <c r="K13" s="67">
        <v>6.03</v>
      </c>
      <c r="L13" s="67">
        <v>0</v>
      </c>
      <c r="M13" s="67">
        <v>0</v>
      </c>
      <c r="N13" s="67">
        <v>0</v>
      </c>
      <c r="O13" s="67">
        <v>0</v>
      </c>
      <c r="P13" s="67">
        <v>0</v>
      </c>
      <c r="Q13" s="66">
        <v>31462.54</v>
      </c>
      <c r="R13" s="6"/>
      <c r="S13" s="6"/>
      <c r="T13" s="6"/>
      <c r="U13" s="6"/>
      <c r="V13" s="6"/>
      <c r="W13" s="6"/>
      <c r="X13" s="6"/>
      <c r="Y13" s="6"/>
      <c r="Z13" s="6"/>
      <c r="AA13" s="6"/>
    </row>
    <row r="14" spans="1:27" ht="14.25" customHeight="1" x14ac:dyDescent="0.2">
      <c r="A14" s="65">
        <v>2009</v>
      </c>
      <c r="B14" s="66">
        <v>3694.95</v>
      </c>
      <c r="C14" s="66">
        <v>12594</v>
      </c>
      <c r="D14" s="66">
        <v>3135.88</v>
      </c>
      <c r="E14" s="66">
        <v>8009.97</v>
      </c>
      <c r="F14" s="66">
        <v>1189</v>
      </c>
      <c r="G14" s="66">
        <v>3256.36</v>
      </c>
      <c r="H14" s="67">
        <v>71</v>
      </c>
      <c r="I14" s="67">
        <v>1.06</v>
      </c>
      <c r="J14" s="67">
        <v>0.69</v>
      </c>
      <c r="K14" s="67">
        <v>6.03</v>
      </c>
      <c r="L14" s="67">
        <v>0</v>
      </c>
      <c r="M14" s="67">
        <v>0</v>
      </c>
      <c r="N14" s="67">
        <v>0</v>
      </c>
      <c r="O14" s="67">
        <v>0</v>
      </c>
      <c r="P14" s="67">
        <v>0</v>
      </c>
      <c r="Q14" s="66">
        <v>31958.94</v>
      </c>
      <c r="R14" s="6"/>
      <c r="S14" s="6"/>
      <c r="T14" s="6"/>
      <c r="U14" s="6"/>
      <c r="V14" s="6"/>
      <c r="W14" s="6"/>
      <c r="X14" s="6"/>
      <c r="Y14" s="6"/>
      <c r="Z14" s="6"/>
      <c r="AA14" s="6"/>
    </row>
    <row r="15" spans="1:27" ht="14.25" customHeight="1" x14ac:dyDescent="0.2">
      <c r="A15" s="68">
        <v>2010</v>
      </c>
      <c r="B15" s="66">
        <v>3719.69</v>
      </c>
      <c r="C15" s="66">
        <v>12981.5</v>
      </c>
      <c r="D15" s="66">
        <v>3821.57</v>
      </c>
      <c r="E15" s="66">
        <v>7590.32</v>
      </c>
      <c r="F15" s="66">
        <v>1189</v>
      </c>
      <c r="G15" s="66">
        <v>4569.8900000000003</v>
      </c>
      <c r="H15" s="67">
        <v>92.84</v>
      </c>
      <c r="I15" s="67">
        <v>0.34</v>
      </c>
      <c r="J15" s="67">
        <v>0.69</v>
      </c>
      <c r="K15" s="67">
        <v>13.53</v>
      </c>
      <c r="L15" s="67">
        <v>0.19</v>
      </c>
      <c r="M15" s="67">
        <v>0</v>
      </c>
      <c r="N15" s="67">
        <v>0</v>
      </c>
      <c r="O15" s="67">
        <v>0</v>
      </c>
      <c r="P15" s="67">
        <v>0</v>
      </c>
      <c r="Q15" s="66">
        <v>33979.56</v>
      </c>
      <c r="R15" s="6"/>
      <c r="S15" s="6"/>
      <c r="T15" s="6"/>
      <c r="U15" s="6"/>
      <c r="V15" s="6"/>
      <c r="W15" s="6"/>
      <c r="X15" s="6"/>
      <c r="Y15" s="6"/>
      <c r="Z15" s="6"/>
      <c r="AA15" s="6"/>
    </row>
    <row r="16" spans="1:27" ht="14.25" customHeight="1" x14ac:dyDescent="0.2">
      <c r="A16" s="68">
        <v>2011</v>
      </c>
      <c r="B16" s="66">
        <v>3880.83</v>
      </c>
      <c r="C16" s="66">
        <v>16318</v>
      </c>
      <c r="D16" s="66">
        <v>4236.0200000000004</v>
      </c>
      <c r="E16" s="66">
        <v>8480.9699999999993</v>
      </c>
      <c r="F16" s="66">
        <v>1226</v>
      </c>
      <c r="G16" s="66">
        <v>5471.93</v>
      </c>
      <c r="H16" s="67">
        <v>169.54</v>
      </c>
      <c r="I16" s="67">
        <v>0.93</v>
      </c>
      <c r="J16" s="67">
        <v>5.93</v>
      </c>
      <c r="K16" s="67">
        <v>57.66</v>
      </c>
      <c r="L16" s="67">
        <v>1.1599999999999999</v>
      </c>
      <c r="M16" s="67">
        <v>41</v>
      </c>
      <c r="N16" s="67">
        <v>26</v>
      </c>
      <c r="O16" s="67">
        <v>0</v>
      </c>
      <c r="P16" s="67">
        <v>0</v>
      </c>
      <c r="Q16" s="66">
        <v>39915.97</v>
      </c>
      <c r="R16" s="6"/>
      <c r="S16" s="6"/>
      <c r="T16" s="6"/>
      <c r="U16" s="6"/>
      <c r="V16" s="6"/>
      <c r="W16" s="6"/>
      <c r="X16" s="6"/>
      <c r="Y16" s="6"/>
      <c r="Z16" s="6"/>
      <c r="AA16" s="6"/>
    </row>
    <row r="17" spans="1:27" ht="14.25" customHeight="1" x14ac:dyDescent="0.2">
      <c r="A17" s="68">
        <v>2012</v>
      </c>
      <c r="B17" s="66">
        <v>4078.24</v>
      </c>
      <c r="C17" s="66">
        <v>19714</v>
      </c>
      <c r="D17" s="66">
        <v>4343.82</v>
      </c>
      <c r="E17" s="66">
        <v>9461.11</v>
      </c>
      <c r="F17" s="66">
        <v>1336</v>
      </c>
      <c r="G17" s="66">
        <v>5973.58</v>
      </c>
      <c r="H17" s="67">
        <v>198.74</v>
      </c>
      <c r="I17" s="67">
        <v>0.93</v>
      </c>
      <c r="J17" s="67">
        <v>6.71</v>
      </c>
      <c r="K17" s="67">
        <v>61.46</v>
      </c>
      <c r="L17" s="67">
        <v>4.09</v>
      </c>
      <c r="M17" s="67">
        <v>41</v>
      </c>
      <c r="N17" s="67">
        <v>26</v>
      </c>
      <c r="O17" s="67">
        <v>0</v>
      </c>
      <c r="P17" s="67">
        <v>0</v>
      </c>
      <c r="Q17" s="66">
        <v>45245.67</v>
      </c>
      <c r="R17" s="6"/>
      <c r="S17" s="6"/>
      <c r="T17" s="6"/>
      <c r="U17" s="6"/>
      <c r="V17" s="6"/>
      <c r="W17" s="6"/>
      <c r="X17" s="6"/>
      <c r="Y17" s="6"/>
      <c r="Z17" s="6"/>
      <c r="AA17" s="6"/>
    </row>
    <row r="18" spans="1:27" ht="14.25" customHeight="1" x14ac:dyDescent="0.2">
      <c r="A18" s="68">
        <v>2013</v>
      </c>
      <c r="B18" s="66">
        <v>5058.87</v>
      </c>
      <c r="C18" s="66">
        <v>23812.53</v>
      </c>
      <c r="D18" s="66">
        <v>4389.08</v>
      </c>
      <c r="E18" s="66">
        <v>9852.2099999999991</v>
      </c>
      <c r="F18" s="66">
        <v>1343.5</v>
      </c>
      <c r="G18" s="66">
        <v>5935</v>
      </c>
      <c r="H18" s="67">
        <v>448.12</v>
      </c>
      <c r="I18" s="67">
        <v>0.63</v>
      </c>
      <c r="J18" s="67">
        <v>29.69</v>
      </c>
      <c r="K18" s="67">
        <v>77.05</v>
      </c>
      <c r="L18" s="67">
        <v>9.02</v>
      </c>
      <c r="M18" s="67">
        <v>6</v>
      </c>
      <c r="N18" s="67">
        <v>26</v>
      </c>
      <c r="O18" s="67">
        <v>0</v>
      </c>
      <c r="P18" s="67">
        <v>0</v>
      </c>
      <c r="Q18" s="66">
        <v>50987.69</v>
      </c>
      <c r="R18" s="6"/>
      <c r="S18" s="6"/>
      <c r="T18" s="6"/>
      <c r="U18" s="6"/>
      <c r="V18" s="6"/>
      <c r="W18" s="6"/>
      <c r="X18" s="6"/>
      <c r="Y18" s="6"/>
      <c r="Z18" s="6"/>
      <c r="AA18" s="6"/>
    </row>
    <row r="19" spans="1:27" ht="14.25" customHeight="1" x14ac:dyDescent="0.2">
      <c r="A19" s="68">
        <v>2014</v>
      </c>
      <c r="B19" s="66">
        <v>5059.0600000000004</v>
      </c>
      <c r="C19" s="66">
        <v>25104.23</v>
      </c>
      <c r="D19" s="66">
        <v>4310.5</v>
      </c>
      <c r="E19" s="66">
        <v>10146.11</v>
      </c>
      <c r="F19" s="66">
        <v>1403.5</v>
      </c>
      <c r="G19" s="66">
        <v>6206.99</v>
      </c>
      <c r="H19" s="67">
        <v>610.74</v>
      </c>
      <c r="I19" s="67">
        <v>1.1200000000000001</v>
      </c>
      <c r="J19" s="67">
        <v>30.46</v>
      </c>
      <c r="K19" s="67">
        <v>139.87</v>
      </c>
      <c r="L19" s="67">
        <v>9.02</v>
      </c>
      <c r="M19" s="67">
        <v>6</v>
      </c>
      <c r="N19" s="67">
        <v>36</v>
      </c>
      <c r="O19" s="67">
        <v>0</v>
      </c>
      <c r="P19" s="67">
        <v>0</v>
      </c>
      <c r="Q19" s="66">
        <v>53063.6</v>
      </c>
      <c r="R19" s="6"/>
      <c r="S19" s="6"/>
      <c r="T19" s="6"/>
      <c r="U19" s="6"/>
      <c r="V19" s="6"/>
      <c r="W19" s="6"/>
      <c r="X19" s="6"/>
      <c r="Y19" s="6"/>
      <c r="Z19" s="6"/>
      <c r="AA19" s="6"/>
    </row>
    <row r="20" spans="1:27" ht="14.25" customHeight="1" x14ac:dyDescent="0.2">
      <c r="A20" s="65" t="s">
        <v>74</v>
      </c>
      <c r="B20" s="66">
        <v>5068.59</v>
      </c>
      <c r="C20" s="66">
        <v>26447.58</v>
      </c>
      <c r="D20" s="66">
        <v>4495.5600000000004</v>
      </c>
      <c r="E20" s="66">
        <v>10293.469999999999</v>
      </c>
      <c r="F20" s="66">
        <v>1438.3</v>
      </c>
      <c r="G20" s="66">
        <v>3824.07</v>
      </c>
      <c r="H20" s="67">
        <v>1101.23</v>
      </c>
      <c r="I20" s="67">
        <v>1.46</v>
      </c>
      <c r="J20" s="67">
        <v>90.15</v>
      </c>
      <c r="K20" s="67">
        <v>148.71</v>
      </c>
      <c r="L20" s="67">
        <v>36.94</v>
      </c>
      <c r="M20" s="67">
        <v>0</v>
      </c>
      <c r="N20" s="67">
        <v>15.65</v>
      </c>
      <c r="O20" s="67">
        <v>54.72</v>
      </c>
      <c r="P20" s="67">
        <v>1671.29</v>
      </c>
      <c r="Q20" s="66">
        <v>54687.72</v>
      </c>
      <c r="R20" s="6"/>
      <c r="S20" s="6"/>
      <c r="T20" s="6"/>
      <c r="U20" s="6"/>
      <c r="V20" s="6"/>
      <c r="W20" s="6"/>
      <c r="X20" s="6"/>
      <c r="Y20" s="6"/>
      <c r="Z20" s="6"/>
      <c r="AA20" s="6"/>
    </row>
    <row r="21" spans="1:27" ht="14.25" customHeight="1" x14ac:dyDescent="0.2">
      <c r="A21" s="69" t="s">
        <v>75</v>
      </c>
      <c r="B21" s="70">
        <v>5343.59</v>
      </c>
      <c r="C21" s="70">
        <v>28351.97</v>
      </c>
      <c r="D21" s="70">
        <v>4969.24</v>
      </c>
      <c r="E21" s="66">
        <v>10293.469999999999</v>
      </c>
      <c r="F21" s="70">
        <v>1533.3</v>
      </c>
      <c r="G21" s="70">
        <v>3979.4</v>
      </c>
      <c r="H21" s="70">
        <v>1806.99</v>
      </c>
      <c r="I21" s="67">
        <v>1.46</v>
      </c>
      <c r="J21" s="69">
        <v>95.87</v>
      </c>
      <c r="K21" s="69">
        <v>211.4</v>
      </c>
      <c r="L21" s="69">
        <v>46.7</v>
      </c>
      <c r="M21" s="67">
        <v>0</v>
      </c>
      <c r="N21" s="67">
        <v>15.65</v>
      </c>
      <c r="O21" s="70">
        <v>64.16</v>
      </c>
      <c r="P21" s="70">
        <v>1703.29</v>
      </c>
      <c r="Q21" s="70">
        <v>58416.480000000003</v>
      </c>
      <c r="R21" s="6"/>
      <c r="S21" s="6"/>
      <c r="T21" s="6"/>
      <c r="U21" s="6"/>
      <c r="V21" s="6"/>
      <c r="W21" s="6"/>
      <c r="X21" s="6"/>
      <c r="Y21" s="6"/>
      <c r="Z21" s="6"/>
      <c r="AA21" s="6"/>
    </row>
    <row r="22" spans="1:27" ht="14.25" customHeight="1" x14ac:dyDescent="0.2">
      <c r="A22" s="69" t="s">
        <v>76</v>
      </c>
      <c r="B22" s="70">
        <v>5343.59</v>
      </c>
      <c r="C22" s="70">
        <v>30768.07</v>
      </c>
      <c r="D22" s="70">
        <v>4976.24</v>
      </c>
      <c r="E22" s="70">
        <v>10418.469999999999</v>
      </c>
      <c r="F22" s="70">
        <v>1808.3</v>
      </c>
      <c r="G22" s="70">
        <v>4396.3500000000004</v>
      </c>
      <c r="H22" s="70">
        <v>2264.85</v>
      </c>
      <c r="I22" s="67">
        <v>1.46</v>
      </c>
      <c r="J22" s="69">
        <v>103.76</v>
      </c>
      <c r="K22" s="69">
        <v>240.55</v>
      </c>
      <c r="L22" s="69">
        <v>54.48</v>
      </c>
      <c r="M22" s="67">
        <v>0</v>
      </c>
      <c r="N22" s="67">
        <v>15.65</v>
      </c>
      <c r="O22" s="70">
        <v>100.62</v>
      </c>
      <c r="P22" s="70">
        <v>1740.54</v>
      </c>
      <c r="Q22" s="70">
        <v>62232.93</v>
      </c>
      <c r="R22" s="6"/>
      <c r="S22" s="6"/>
      <c r="T22" s="6"/>
      <c r="U22" s="6"/>
      <c r="V22" s="6"/>
      <c r="W22" s="6"/>
      <c r="X22" s="6"/>
      <c r="Y22" s="6"/>
      <c r="Z22" s="6"/>
      <c r="AA22" s="6"/>
    </row>
    <row r="23" spans="1:27" ht="14.25" customHeight="1" x14ac:dyDescent="0.2">
      <c r="A23" s="69" t="s">
        <v>77</v>
      </c>
      <c r="B23" s="70">
        <v>4461.59</v>
      </c>
      <c r="C23" s="70">
        <v>31587.17</v>
      </c>
      <c r="D23" s="70">
        <v>5348.44</v>
      </c>
      <c r="E23" s="70">
        <v>11220.1</v>
      </c>
      <c r="F23" s="70">
        <v>1948.3</v>
      </c>
      <c r="G23" s="70">
        <v>4630.8999999999996</v>
      </c>
      <c r="H23" s="70">
        <v>2357.66</v>
      </c>
      <c r="I23" s="69">
        <v>143.03</v>
      </c>
      <c r="J23" s="69">
        <v>98.39</v>
      </c>
      <c r="K23" s="69">
        <v>267.79000000000002</v>
      </c>
      <c r="L23" s="69">
        <v>24.42</v>
      </c>
      <c r="M23" s="67">
        <v>0</v>
      </c>
      <c r="N23" s="67">
        <v>15.65</v>
      </c>
      <c r="O23" s="69">
        <v>40.35</v>
      </c>
      <c r="P23" s="69">
        <v>142.02000000000001</v>
      </c>
      <c r="Q23" s="70">
        <v>62285.81</v>
      </c>
      <c r="R23" s="6"/>
      <c r="S23" s="6"/>
      <c r="T23" s="6"/>
      <c r="U23" s="6"/>
      <c r="V23" s="6"/>
      <c r="W23" s="6"/>
      <c r="X23" s="6"/>
      <c r="Y23" s="6"/>
      <c r="Z23" s="6"/>
      <c r="AA23" s="6"/>
    </row>
    <row r="24" spans="1:27" ht="14.25" customHeight="1" x14ac:dyDescent="0.2">
      <c r="A24" s="69">
        <v>2019</v>
      </c>
      <c r="B24" s="70">
        <v>4620.5200000000004</v>
      </c>
      <c r="C24" s="70">
        <v>34737.17</v>
      </c>
      <c r="D24" s="70">
        <v>5348.44</v>
      </c>
      <c r="E24" s="70">
        <v>11669.54</v>
      </c>
      <c r="F24" s="70">
        <v>2130.6999999999998</v>
      </c>
      <c r="G24" s="70">
        <v>4779.68</v>
      </c>
      <c r="H24" s="70">
        <v>2842.03</v>
      </c>
      <c r="I24" s="69">
        <v>153.83000000000001</v>
      </c>
      <c r="J24" s="69">
        <v>99.49</v>
      </c>
      <c r="K24" s="69">
        <v>311.14</v>
      </c>
      <c r="L24" s="69">
        <v>105.03</v>
      </c>
      <c r="M24" s="67">
        <v>0</v>
      </c>
      <c r="N24" s="67">
        <v>15.65</v>
      </c>
      <c r="O24" s="69">
        <v>42.15</v>
      </c>
      <c r="P24" s="69">
        <v>147.02000000000001</v>
      </c>
      <c r="Q24" s="70">
        <v>67002.399999999994</v>
      </c>
      <c r="R24" s="6"/>
      <c r="S24" s="6"/>
      <c r="T24" s="6"/>
      <c r="U24" s="6"/>
      <c r="V24" s="6"/>
      <c r="W24" s="6"/>
      <c r="X24" s="6"/>
      <c r="Y24" s="6"/>
      <c r="Z24" s="6"/>
      <c r="AA24" s="6"/>
    </row>
    <row r="25" spans="1:27" ht="14.25" customHeight="1" x14ac:dyDescent="0.2">
      <c r="A25" s="6"/>
      <c r="B25" s="6"/>
      <c r="C25" s="6"/>
      <c r="D25" s="6"/>
      <c r="E25" s="6"/>
      <c r="F25" s="6"/>
      <c r="G25" s="6"/>
      <c r="H25" s="6"/>
      <c r="I25" s="6"/>
      <c r="J25" s="6"/>
      <c r="K25" s="6"/>
      <c r="L25" s="6"/>
      <c r="M25" s="6"/>
      <c r="N25" s="6"/>
      <c r="O25" s="6"/>
      <c r="P25" s="6"/>
      <c r="Q25" s="6"/>
      <c r="R25" s="6"/>
      <c r="S25" s="6"/>
      <c r="T25" s="6"/>
      <c r="U25" s="6"/>
      <c r="V25" s="6"/>
      <c r="W25" s="6"/>
      <c r="X25" s="6"/>
      <c r="Y25" s="6"/>
      <c r="Z25" s="6"/>
      <c r="AA25" s="6"/>
    </row>
    <row r="26" spans="1:27" ht="14.25" customHeight="1" x14ac:dyDescent="0.2">
      <c r="A26" s="6" t="s">
        <v>78</v>
      </c>
      <c r="B26" s="58">
        <f>SUM(Generation!B20,Generation!B46)</f>
        <v>13741</v>
      </c>
      <c r="C26" s="58">
        <f>SUM(Generation!F20,Generation!F46)</f>
        <v>124657</v>
      </c>
      <c r="D26" s="71">
        <f>SUM(Generation!G46,Generation!J46,Generation!J20,Generation!H20)</f>
        <v>8258</v>
      </c>
      <c r="E26" s="58">
        <f>SUM(Generation!I20,Generation!I46)</f>
        <v>44646</v>
      </c>
      <c r="F26" s="58">
        <f>SUM(Generation!C20,Generation!C46)</f>
        <v>10048</v>
      </c>
      <c r="G26" s="58">
        <f>SUM(Generation!E20,Generation!E46,Generation!G20)</f>
        <v>30911</v>
      </c>
      <c r="H26" s="72">
        <f>SUM(Generation!K20)</f>
        <v>1233</v>
      </c>
      <c r="I26" s="73">
        <f>SUM(Generation!L20,Generation!K46)</f>
        <v>4</v>
      </c>
      <c r="J26" s="6" t="s">
        <v>79</v>
      </c>
      <c r="K26" s="6" t="s">
        <v>79</v>
      </c>
      <c r="L26" s="73">
        <f>SUM(Generation!D20,Generation!D46)</f>
        <v>5</v>
      </c>
      <c r="M26" s="6" t="s">
        <v>79</v>
      </c>
      <c r="N26" s="74">
        <f>SUM(Generation!H46,Generation!L46)</f>
        <v>480</v>
      </c>
      <c r="O26" s="6"/>
      <c r="P26" s="6" t="s">
        <v>79</v>
      </c>
      <c r="Q26" s="6"/>
      <c r="R26" s="6"/>
      <c r="S26" s="6"/>
      <c r="T26" s="6"/>
      <c r="U26" s="6"/>
      <c r="V26" s="6"/>
      <c r="W26" s="6"/>
      <c r="X26" s="6"/>
      <c r="Y26" s="6"/>
      <c r="Z26" s="6"/>
      <c r="AA26" s="6"/>
    </row>
    <row r="27" spans="1:27" ht="14.25" customHeight="1" x14ac:dyDescent="0.2">
      <c r="A27" s="6" t="s">
        <v>80</v>
      </c>
      <c r="B27" s="6">
        <f>B26*1000/((SUM(B20,J20,K20)*8760))</f>
        <v>0.29554820223197076</v>
      </c>
      <c r="C27" s="6">
        <f>C26*1000/((C20+M20)*8760)</f>
        <v>0.53805494270373733</v>
      </c>
      <c r="D27" s="6">
        <f t="shared" ref="D27:I27" si="0">D26*1000/(D20*8760)</f>
        <v>0.20969446830360192</v>
      </c>
      <c r="E27" s="6">
        <f t="shared" si="0"/>
        <v>0.49512704097507976</v>
      </c>
      <c r="F27" s="6">
        <f t="shared" si="0"/>
        <v>0.79749145760294771</v>
      </c>
      <c r="G27" s="6">
        <f t="shared" si="0"/>
        <v>0.9227480061914477</v>
      </c>
      <c r="H27" s="6">
        <f t="shared" si="0"/>
        <v>0.12781473866270829</v>
      </c>
      <c r="I27" s="6">
        <f t="shared" si="0"/>
        <v>0.31275411271658221</v>
      </c>
      <c r="J27" s="6"/>
      <c r="K27" s="6"/>
      <c r="L27" s="6">
        <f>L26*1000/(L20*8760)</f>
        <v>1.5451441681314635E-2</v>
      </c>
      <c r="M27" s="6"/>
      <c r="N27" s="6">
        <f>N26*1000/(SUM(N20:P20)*8760)</f>
        <v>3.1461089160883991E-2</v>
      </c>
      <c r="O27" s="6"/>
      <c r="P27" s="6"/>
      <c r="Q27" s="6"/>
      <c r="R27" s="6"/>
      <c r="S27" s="6"/>
      <c r="T27" s="6"/>
      <c r="U27" s="6"/>
      <c r="V27" s="6"/>
      <c r="W27" s="6"/>
      <c r="X27" s="6"/>
      <c r="Y27" s="6"/>
      <c r="Z27" s="6"/>
      <c r="AA27" s="6"/>
    </row>
    <row r="28" spans="1:27" ht="14.25" customHeight="1" x14ac:dyDescent="0.2">
      <c r="A28" s="6"/>
      <c r="B28" s="6"/>
      <c r="C28" s="6"/>
      <c r="D28" s="6"/>
      <c r="E28" s="6"/>
      <c r="F28" s="6"/>
      <c r="G28" s="6"/>
      <c r="H28" s="6"/>
      <c r="I28" s="6"/>
      <c r="J28" s="6"/>
      <c r="K28" s="6"/>
      <c r="L28" s="6"/>
      <c r="M28" s="6"/>
      <c r="N28" s="6"/>
      <c r="O28" s="6"/>
      <c r="P28" s="6"/>
      <c r="Q28" s="6"/>
      <c r="R28" s="6"/>
      <c r="S28" s="6"/>
      <c r="T28" s="6"/>
      <c r="U28" s="6"/>
      <c r="V28" s="6"/>
      <c r="W28" s="6"/>
      <c r="X28" s="6"/>
      <c r="Y28" s="6"/>
      <c r="Z28" s="6"/>
      <c r="AA28" s="6"/>
    </row>
    <row r="29" spans="1:27" ht="14.25" customHeight="1" x14ac:dyDescent="0.2">
      <c r="A29" s="6"/>
      <c r="B29" s="75">
        <f>B24+J24+K24</f>
        <v>5031.1500000000005</v>
      </c>
      <c r="C29" s="6"/>
      <c r="D29" s="6"/>
      <c r="E29" s="6"/>
      <c r="F29" s="6"/>
      <c r="G29" s="6"/>
      <c r="H29" s="6"/>
      <c r="I29" s="6"/>
      <c r="J29" s="6"/>
      <c r="K29" s="6"/>
      <c r="L29" s="6"/>
      <c r="M29" s="6"/>
      <c r="N29" s="6"/>
      <c r="O29" s="6"/>
      <c r="P29" s="6"/>
      <c r="Q29" s="6"/>
      <c r="R29" s="6"/>
      <c r="S29" s="6"/>
      <c r="T29" s="6"/>
      <c r="U29" s="6"/>
      <c r="V29" s="6"/>
      <c r="W29" s="6"/>
      <c r="X29" s="6"/>
      <c r="Y29" s="6"/>
      <c r="Z29" s="6"/>
      <c r="AA29" s="6"/>
    </row>
    <row r="30" spans="1:27" ht="14.25" customHeight="1" x14ac:dyDescent="0.2">
      <c r="A30" s="6"/>
      <c r="B30" s="6"/>
      <c r="C30" s="6"/>
      <c r="D30" s="6"/>
      <c r="E30" s="6"/>
      <c r="F30" s="6"/>
      <c r="G30" s="6"/>
      <c r="H30" s="6"/>
      <c r="I30" s="6"/>
      <c r="J30" s="6"/>
      <c r="K30" s="6"/>
      <c r="L30" s="6"/>
      <c r="M30" s="6"/>
      <c r="N30" s="6"/>
      <c r="O30" s="6"/>
      <c r="P30" s="6"/>
      <c r="Q30" s="6"/>
      <c r="R30" s="6"/>
      <c r="S30" s="6"/>
      <c r="T30" s="6"/>
      <c r="U30" s="6"/>
      <c r="V30" s="6"/>
      <c r="W30" s="6"/>
      <c r="X30" s="6"/>
      <c r="Y30" s="6"/>
      <c r="Z30" s="6"/>
      <c r="AA30" s="6"/>
    </row>
    <row r="31" spans="1:27" ht="14.25" customHeight="1" x14ac:dyDescent="0.2">
      <c r="A31" s="6"/>
      <c r="B31" s="6"/>
      <c r="C31" s="6"/>
      <c r="D31" s="6"/>
      <c r="E31" s="6"/>
      <c r="F31" s="6"/>
      <c r="G31" s="6"/>
      <c r="H31" s="6"/>
      <c r="I31" s="6"/>
      <c r="J31" s="6"/>
      <c r="K31" s="6"/>
      <c r="L31" s="6"/>
      <c r="M31" s="6"/>
      <c r="N31" s="6"/>
      <c r="O31" s="6"/>
      <c r="P31" s="6"/>
      <c r="Q31" s="6"/>
      <c r="R31" s="6"/>
      <c r="S31" s="6"/>
      <c r="T31" s="6"/>
      <c r="U31" s="6"/>
      <c r="V31" s="6"/>
      <c r="W31" s="6"/>
      <c r="X31" s="6"/>
      <c r="Y31" s="6"/>
      <c r="Z31" s="6"/>
      <c r="AA31" s="6"/>
    </row>
    <row r="32" spans="1:27" ht="14.25" customHeight="1" x14ac:dyDescent="0.2">
      <c r="A32" s="81" t="s">
        <v>94</v>
      </c>
      <c r="B32" s="6">
        <v>12000</v>
      </c>
      <c r="C32" s="6"/>
      <c r="D32" s="6"/>
      <c r="E32" s="6"/>
      <c r="F32" s="6"/>
      <c r="G32" s="6"/>
      <c r="H32" s="6"/>
      <c r="I32" s="6"/>
      <c r="J32" s="6"/>
      <c r="K32" s="6"/>
      <c r="L32" s="6"/>
      <c r="M32" s="6"/>
      <c r="N32" s="6"/>
      <c r="O32" s="6"/>
      <c r="P32" s="6"/>
      <c r="Q32" s="6"/>
      <c r="R32" s="6"/>
      <c r="S32" s="6"/>
      <c r="T32" s="6"/>
      <c r="U32" s="6"/>
      <c r="V32" s="6"/>
      <c r="W32" s="6"/>
      <c r="X32" s="6"/>
      <c r="Y32" s="6"/>
      <c r="Z32" s="6"/>
      <c r="AA32" s="6"/>
    </row>
    <row r="33" spans="1:27" ht="14.25" customHeight="1" x14ac:dyDescent="0.2">
      <c r="A33" s="81" t="s">
        <v>95</v>
      </c>
      <c r="B33" s="6">
        <v>32000</v>
      </c>
      <c r="C33" s="6"/>
      <c r="D33" s="6"/>
      <c r="E33" s="6"/>
      <c r="F33" s="6"/>
      <c r="G33" s="6"/>
      <c r="H33" s="6"/>
      <c r="I33" s="6"/>
      <c r="J33" s="6"/>
      <c r="K33" s="6"/>
      <c r="L33" s="6"/>
      <c r="M33" s="6"/>
      <c r="N33" s="6"/>
      <c r="O33" s="6"/>
      <c r="P33" s="6"/>
      <c r="Q33" s="6"/>
      <c r="R33" s="6"/>
      <c r="S33" s="6"/>
      <c r="T33" s="6"/>
      <c r="U33" s="6"/>
      <c r="V33" s="6"/>
      <c r="W33" s="6"/>
      <c r="X33" s="6"/>
      <c r="Y33" s="6"/>
      <c r="Z33" s="6"/>
      <c r="AA33" s="6"/>
    </row>
    <row r="34" spans="1:27" ht="14.25" customHeight="1" x14ac:dyDescent="0.2">
      <c r="A34" s="60" t="s">
        <v>48</v>
      </c>
      <c r="B34" s="75">
        <f>D24+E24+H24</f>
        <v>19860.009999999998</v>
      </c>
      <c r="C34" s="6"/>
      <c r="D34" s="6"/>
      <c r="E34" s="6"/>
      <c r="F34" s="6"/>
      <c r="G34" s="6"/>
      <c r="H34" s="6"/>
      <c r="I34" s="6"/>
      <c r="J34" s="6"/>
      <c r="K34" s="6"/>
      <c r="L34" s="6"/>
      <c r="M34" s="6"/>
      <c r="N34" s="6"/>
      <c r="O34" s="6"/>
      <c r="P34" s="6"/>
      <c r="Q34" s="6"/>
      <c r="R34" s="6"/>
      <c r="S34" s="6"/>
      <c r="T34" s="6"/>
      <c r="U34" s="6"/>
      <c r="V34" s="6"/>
      <c r="W34" s="6"/>
      <c r="X34" s="6"/>
      <c r="Y34" s="6"/>
      <c r="Z34" s="6"/>
      <c r="AA34" s="6"/>
    </row>
    <row r="35" spans="1:27" ht="14.25" customHeight="1" x14ac:dyDescent="0.2">
      <c r="A35" s="6"/>
      <c r="B35" s="6"/>
      <c r="C35" s="6"/>
      <c r="D35" s="6"/>
      <c r="E35" s="6"/>
      <c r="F35" s="6"/>
      <c r="G35" s="6"/>
      <c r="H35" s="6"/>
      <c r="I35" s="6"/>
      <c r="J35" s="6"/>
      <c r="K35" s="6"/>
      <c r="L35" s="6"/>
      <c r="M35" s="6"/>
      <c r="N35" s="6"/>
      <c r="O35" s="6"/>
      <c r="P35" s="6"/>
      <c r="Q35" s="6"/>
      <c r="R35" s="6"/>
      <c r="S35" s="6"/>
      <c r="T35" s="6"/>
      <c r="U35" s="6"/>
      <c r="V35" s="6"/>
      <c r="W35" s="6"/>
      <c r="X35" s="6"/>
      <c r="Y35" s="6"/>
      <c r="Z35" s="6"/>
      <c r="AA35" s="6"/>
    </row>
    <row r="36" spans="1:27" ht="14.2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row>
    <row r="37" spans="1:27" ht="14.25" customHeight="1" x14ac:dyDescent="0.2">
      <c r="A37" s="6"/>
      <c r="B37" s="6"/>
      <c r="C37" s="6"/>
      <c r="D37" s="6"/>
      <c r="E37" s="6"/>
      <c r="F37" s="6"/>
      <c r="G37" s="6"/>
      <c r="H37" s="6"/>
      <c r="I37" s="6"/>
      <c r="J37" s="6"/>
      <c r="K37" s="6"/>
      <c r="L37" s="6"/>
      <c r="M37" s="6"/>
      <c r="N37" s="6"/>
      <c r="O37" s="6"/>
      <c r="P37" s="6"/>
      <c r="Q37" s="6"/>
      <c r="R37" s="6"/>
      <c r="S37" s="6"/>
      <c r="T37" s="6"/>
      <c r="U37" s="6"/>
      <c r="V37" s="6"/>
      <c r="W37" s="6"/>
      <c r="X37" s="6"/>
      <c r="Y37" s="6"/>
      <c r="Z37" s="6"/>
      <c r="AA37" s="6"/>
    </row>
    <row r="38" spans="1:27" ht="14.25" customHeight="1" x14ac:dyDescent="0.2">
      <c r="A38" s="6"/>
      <c r="B38" s="6"/>
      <c r="C38" s="6"/>
      <c r="D38" s="6"/>
      <c r="E38" s="6"/>
      <c r="F38" s="6"/>
      <c r="G38" s="6"/>
      <c r="H38" s="6"/>
      <c r="I38" s="6"/>
      <c r="J38" s="6"/>
      <c r="K38" s="6"/>
      <c r="L38" s="6"/>
      <c r="M38" s="6"/>
      <c r="N38" s="6"/>
      <c r="O38" s="6"/>
      <c r="P38" s="6"/>
      <c r="Q38" s="6"/>
      <c r="R38" s="6"/>
      <c r="S38" s="6"/>
      <c r="T38" s="6"/>
      <c r="U38" s="6"/>
      <c r="V38" s="6"/>
      <c r="W38" s="6"/>
      <c r="X38" s="6"/>
      <c r="Y38" s="6"/>
      <c r="Z38" s="6"/>
      <c r="AA38" s="6"/>
    </row>
    <row r="39" spans="1:27" ht="14.25" customHeight="1" x14ac:dyDescent="0.2">
      <c r="A39" s="6"/>
      <c r="B39" s="6"/>
      <c r="C39" s="6"/>
      <c r="D39" s="6"/>
      <c r="E39" s="6"/>
      <c r="F39" s="6"/>
      <c r="G39" s="6"/>
      <c r="H39" s="6"/>
      <c r="I39" s="6"/>
      <c r="J39" s="6"/>
      <c r="K39" s="6"/>
      <c r="L39" s="6"/>
      <c r="M39" s="6"/>
      <c r="N39" s="6"/>
      <c r="O39" s="6"/>
      <c r="P39" s="6"/>
      <c r="Q39" s="6"/>
      <c r="R39" s="6"/>
      <c r="S39" s="6"/>
      <c r="T39" s="6"/>
      <c r="U39" s="6"/>
      <c r="V39" s="6"/>
      <c r="W39" s="6"/>
      <c r="X39" s="6"/>
      <c r="Y39" s="6"/>
      <c r="Z39" s="6"/>
      <c r="AA39" s="6"/>
    </row>
    <row r="40" spans="1:27" ht="14.25" customHeight="1" x14ac:dyDescent="0.2">
      <c r="A40" s="6"/>
      <c r="B40" s="6"/>
      <c r="C40" s="6"/>
      <c r="D40" s="6"/>
      <c r="E40" s="6"/>
      <c r="F40" s="6"/>
      <c r="G40" s="6"/>
      <c r="H40" s="6"/>
      <c r="I40" s="6"/>
      <c r="J40" s="6"/>
      <c r="K40" s="6"/>
      <c r="L40" s="6"/>
      <c r="M40" s="6"/>
      <c r="N40" s="6"/>
      <c r="O40" s="6"/>
      <c r="P40" s="6"/>
      <c r="Q40" s="6"/>
      <c r="R40" s="6"/>
      <c r="S40" s="6"/>
      <c r="T40" s="6"/>
      <c r="U40" s="6"/>
      <c r="V40" s="6"/>
      <c r="W40" s="6"/>
      <c r="X40" s="6"/>
      <c r="Y40" s="6"/>
      <c r="Z40" s="6"/>
      <c r="AA40" s="6"/>
    </row>
    <row r="41" spans="1:27" ht="14.25" customHeight="1" x14ac:dyDescent="0.2">
      <c r="A41" s="6"/>
      <c r="B41" s="6"/>
      <c r="C41" s="6"/>
      <c r="D41" s="6"/>
      <c r="E41" s="6"/>
      <c r="F41" s="6"/>
      <c r="G41" s="6"/>
      <c r="H41" s="6"/>
      <c r="I41" s="6"/>
      <c r="J41" s="6"/>
      <c r="K41" s="6"/>
      <c r="L41" s="6"/>
      <c r="M41" s="6"/>
      <c r="N41" s="6"/>
      <c r="O41" s="6"/>
      <c r="P41" s="6"/>
      <c r="Q41" s="6"/>
      <c r="R41" s="6"/>
      <c r="S41" s="6"/>
      <c r="T41" s="6"/>
      <c r="U41" s="6"/>
      <c r="V41" s="6"/>
      <c r="W41" s="6"/>
      <c r="X41" s="6"/>
      <c r="Y41" s="6"/>
      <c r="Z41" s="6"/>
      <c r="AA41" s="6"/>
    </row>
    <row r="42" spans="1:27" ht="14.25" customHeight="1" x14ac:dyDescent="0.2">
      <c r="A42" s="6"/>
      <c r="B42" s="6"/>
      <c r="C42" s="6"/>
      <c r="D42" s="6"/>
      <c r="E42" s="6"/>
      <c r="F42" s="6"/>
      <c r="G42" s="6"/>
      <c r="H42" s="6"/>
      <c r="I42" s="6"/>
      <c r="J42" s="6"/>
      <c r="K42" s="6"/>
      <c r="L42" s="6"/>
      <c r="M42" s="6"/>
      <c r="N42" s="6"/>
      <c r="O42" s="6"/>
      <c r="P42" s="6"/>
      <c r="Q42" s="6"/>
      <c r="R42" s="6"/>
      <c r="S42" s="6"/>
      <c r="T42" s="6"/>
      <c r="U42" s="6"/>
      <c r="V42" s="6"/>
      <c r="W42" s="6"/>
      <c r="X42" s="6"/>
      <c r="Y42" s="6"/>
      <c r="Z42" s="6"/>
      <c r="AA42" s="6"/>
    </row>
    <row r="43" spans="1:27" ht="14.25" customHeight="1" x14ac:dyDescent="0.2">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spans="1:27" ht="14.25" customHeight="1" x14ac:dyDescent="0.2">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spans="1:27" ht="14.25" customHeight="1" x14ac:dyDescent="0.2">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spans="1:27" ht="14.25" customHeight="1" x14ac:dyDescent="0.2">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spans="1:27" ht="14.25" customHeight="1" x14ac:dyDescent="0.2">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spans="1:27" ht="14.2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spans="1:27" ht="14.25" customHeight="1" x14ac:dyDescent="0.2">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spans="1:27" ht="14.25" customHeight="1" x14ac:dyDescent="0.2">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spans="1:27" ht="14.25" customHeight="1" x14ac:dyDescent="0.2">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spans="1:27" ht="14.25" customHeight="1" x14ac:dyDescent="0.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spans="1:27" ht="14.25" customHeight="1" x14ac:dyDescent="0.2">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spans="1:27" ht="14.25" customHeight="1" x14ac:dyDescent="0.2">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spans="1:27" ht="14.25" customHeight="1" x14ac:dyDescent="0.2">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spans="1:27" ht="14.25" customHeight="1" x14ac:dyDescent="0.2">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spans="1:27" ht="14.25" customHeight="1" x14ac:dyDescent="0.2">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spans="1:27" ht="14.25" customHeight="1" x14ac:dyDescent="0.2">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spans="1:27" ht="14.25" customHeight="1" x14ac:dyDescent="0.2">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spans="1:27" ht="14.25" customHeight="1" x14ac:dyDescent="0.2">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spans="1:27" ht="14.25" customHeight="1" x14ac:dyDescent="0.2">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spans="1:27" ht="14.25" customHeight="1" x14ac:dyDescent="0.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spans="1:27" ht="14.25" customHeight="1" x14ac:dyDescent="0.2">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spans="1:27" ht="14.25" customHeight="1" x14ac:dyDescent="0.2">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spans="1:27" ht="14.25" customHeight="1" x14ac:dyDescent="0.2">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spans="1:27" ht="14.25" customHeight="1" x14ac:dyDescent="0.2">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spans="1:27" ht="14.25" customHeight="1" x14ac:dyDescent="0.2">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spans="1:27" ht="14.25" customHeight="1" x14ac:dyDescent="0.2">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spans="1:27" ht="14.25" customHeight="1" x14ac:dyDescent="0.2">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spans="1:27" ht="14.25" customHeight="1" x14ac:dyDescent="0.2">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spans="1:27" ht="14.25" customHeight="1" x14ac:dyDescent="0.2">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spans="1:27" ht="14.25" customHeight="1" x14ac:dyDescent="0.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spans="1:27" ht="14.25" customHeight="1" x14ac:dyDescent="0.2">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spans="1:27" ht="14.25" customHeight="1" x14ac:dyDescent="0.2">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spans="1:27" ht="14.25" customHeight="1" x14ac:dyDescent="0.2">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spans="1:27" ht="14.25" customHeight="1" x14ac:dyDescent="0.2">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spans="1:27" ht="14.25" customHeight="1" x14ac:dyDescent="0.2">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spans="1:27" ht="14.25" customHeight="1" x14ac:dyDescent="0.2">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spans="1:27" ht="14.25" customHeight="1" x14ac:dyDescent="0.2">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spans="1:27" ht="14.25" customHeight="1" x14ac:dyDescent="0.2">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spans="1:27" ht="14.25" customHeight="1" x14ac:dyDescent="0.2">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spans="1:27" ht="14.25" customHeight="1" x14ac:dyDescent="0.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spans="1:27" ht="14.25" customHeight="1" x14ac:dyDescent="0.2">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spans="1:27" ht="14.25" customHeight="1" x14ac:dyDescent="0.2">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spans="1:27" ht="14.25" customHeight="1" x14ac:dyDescent="0.2">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spans="1:27" ht="14.25" customHeight="1" x14ac:dyDescent="0.2">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spans="1:27" ht="14.25" customHeight="1" x14ac:dyDescent="0.2">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spans="1:27" ht="14.25" customHeight="1" x14ac:dyDescent="0.2">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spans="1:27" ht="14.25" customHeight="1" x14ac:dyDescent="0.2">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spans="1:27" ht="14.25" customHeight="1" x14ac:dyDescent="0.2">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spans="1:27" ht="14.25" customHeight="1" x14ac:dyDescent="0.2">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spans="1:27" ht="14.25" customHeight="1" x14ac:dyDescent="0.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spans="1:27" ht="14.25" customHeight="1" x14ac:dyDescent="0.2">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spans="1:27" ht="14.25" customHeight="1" x14ac:dyDescent="0.2">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spans="1:27" ht="14.25" customHeight="1" x14ac:dyDescent="0.2">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spans="1:27" ht="14.25" customHeight="1" x14ac:dyDescent="0.2">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spans="1:27" ht="14.25" customHeight="1" x14ac:dyDescent="0.2">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spans="1:27" ht="14.25" customHeight="1" x14ac:dyDescent="0.2">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spans="1:27" ht="14.25" customHeight="1" x14ac:dyDescent="0.2">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spans="1:27" ht="14.25" customHeight="1"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spans="1:27" ht="14.25" customHeight="1"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spans="1:27" ht="14.25" customHeight="1"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spans="1:27" ht="14.25" customHeight="1"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spans="1:27" ht="14.25" customHeight="1"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spans="1:27" ht="14.25" customHeight="1"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spans="1:27" ht="14.25" customHeight="1"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spans="1:27" ht="14.25" customHeight="1"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spans="1:27" ht="14.25" customHeight="1"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spans="1:27" ht="14.25" customHeight="1"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spans="1:27" ht="14.25" customHeight="1"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spans="1:27" ht="14.25" customHeight="1"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spans="1:27" ht="14.25" customHeight="1"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spans="1:27" ht="14.25" customHeight="1"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spans="1:27" ht="14.25" customHeight="1"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spans="1:27" ht="14.25" customHeight="1"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spans="1:27" ht="14.25" customHeight="1"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spans="1:27" ht="14.25" customHeight="1"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spans="1:27" ht="14.25" customHeight="1"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spans="1:27" ht="14.25" customHeight="1"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spans="1:27" ht="14.25" customHeight="1"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spans="1:27" ht="14.25" customHeight="1" x14ac:dyDescent="0.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spans="1:27" ht="14.25" customHeight="1" x14ac:dyDescent="0.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spans="1:27" ht="14.25" customHeight="1" x14ac:dyDescent="0.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spans="1:27" ht="14.25" customHeight="1" x14ac:dyDescent="0.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spans="1:27" ht="14.25" customHeight="1" x14ac:dyDescent="0.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spans="1:27" ht="14.25" customHeight="1" x14ac:dyDescent="0.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spans="1:27" ht="14.25" customHeight="1" x14ac:dyDescent="0.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spans="1:27" ht="14.25" customHeight="1" x14ac:dyDescent="0.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spans="1:27" ht="14.25" customHeight="1" x14ac:dyDescent="0.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spans="1:27" ht="14.25" customHeight="1" x14ac:dyDescent="0.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spans="1:27" ht="14.25" customHeight="1" x14ac:dyDescent="0.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spans="1:27" ht="14.25" customHeight="1" x14ac:dyDescent="0.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spans="1:27" ht="14.25" customHeight="1" x14ac:dyDescent="0.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spans="1:27" ht="14.25" customHeight="1" x14ac:dyDescent="0.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spans="1:27" ht="14.25" customHeight="1" x14ac:dyDescent="0.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spans="1:27" ht="14.25" customHeight="1" x14ac:dyDescent="0.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spans="1:27" ht="14.25" customHeight="1" x14ac:dyDescent="0.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spans="1:27" ht="14.25" customHeight="1" x14ac:dyDescent="0.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spans="1:27" ht="14.25" customHeight="1" x14ac:dyDescent="0.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spans="1:27" ht="14.25" customHeight="1" x14ac:dyDescent="0.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spans="1:27" ht="14.25" customHeight="1" x14ac:dyDescent="0.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spans="1:27" ht="14.25" customHeight="1" x14ac:dyDescent="0.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spans="1:27" ht="14.25" customHeight="1" x14ac:dyDescent="0.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spans="1:27" ht="14.25" customHeight="1" x14ac:dyDescent="0.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spans="1:27" ht="14.25" customHeight="1" x14ac:dyDescent="0.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spans="1:27" ht="14.25" customHeight="1" x14ac:dyDescent="0.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spans="1:27" ht="14.25" customHeight="1" x14ac:dyDescent="0.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spans="1:27" ht="14.25" customHeight="1" x14ac:dyDescent="0.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spans="1:27" ht="14.25" customHeight="1" x14ac:dyDescent="0.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spans="1:27" ht="14.25" customHeight="1" x14ac:dyDescent="0.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spans="1:27" ht="14.25" customHeight="1" x14ac:dyDescent="0.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spans="1:27" ht="14.25" customHeight="1" x14ac:dyDescent="0.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spans="1:27" ht="14.25" customHeight="1" x14ac:dyDescent="0.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spans="1:27" ht="14.25" customHeight="1" x14ac:dyDescent="0.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spans="1:27" ht="14.25" customHeight="1" x14ac:dyDescent="0.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spans="1:27" ht="14.25" customHeight="1" x14ac:dyDescent="0.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spans="1:27" ht="14.25" customHeight="1" x14ac:dyDescent="0.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spans="1:27" ht="14.25" customHeight="1" x14ac:dyDescent="0.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spans="1:27" ht="14.25" customHeight="1" x14ac:dyDescent="0.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spans="1:27" ht="14.25" customHeight="1" x14ac:dyDescent="0.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spans="1:27" ht="14.25" customHeight="1" x14ac:dyDescent="0.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spans="1:27" ht="14.25" customHeight="1" x14ac:dyDescent="0.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spans="1:27" ht="14.25" customHeight="1" x14ac:dyDescent="0.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spans="1:27" ht="14.25" customHeight="1" x14ac:dyDescent="0.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spans="1:27" ht="14.25" customHeight="1" x14ac:dyDescent="0.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spans="1:27" ht="14.25" customHeight="1" x14ac:dyDescent="0.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spans="1:27" ht="14.25" customHeight="1" x14ac:dyDescent="0.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spans="1:27" ht="14.25" customHeight="1" x14ac:dyDescent="0.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spans="1:27" ht="14.25" customHeight="1" x14ac:dyDescent="0.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spans="1:27" ht="14.25" customHeight="1" x14ac:dyDescent="0.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spans="1:27" ht="14.25" customHeight="1" x14ac:dyDescent="0.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spans="1:27" ht="14.25" customHeight="1" x14ac:dyDescent="0.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spans="1:27" ht="14.25" customHeight="1" x14ac:dyDescent="0.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spans="1:27" ht="14.25" customHeight="1" x14ac:dyDescent="0.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spans="1:27" ht="14.25" customHeight="1" x14ac:dyDescent="0.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spans="1:27" ht="14.25" customHeight="1" x14ac:dyDescent="0.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spans="1:27" ht="14.25" customHeight="1" x14ac:dyDescent="0.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spans="1:27" ht="14.25" customHeight="1" x14ac:dyDescent="0.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spans="1:27" ht="14.25" customHeight="1" x14ac:dyDescent="0.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spans="1:27" ht="14.25" customHeight="1" x14ac:dyDescent="0.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spans="1:27" ht="14.25" customHeight="1" x14ac:dyDescent="0.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spans="1:27" ht="14.25" customHeight="1" x14ac:dyDescent="0.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spans="1:27" ht="14.25" customHeight="1" x14ac:dyDescent="0.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spans="1:27" ht="14.25" customHeight="1" x14ac:dyDescent="0.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spans="1:27" ht="14.25" customHeight="1" x14ac:dyDescent="0.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spans="1:27" ht="14.25" customHeight="1" x14ac:dyDescent="0.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spans="1:27" ht="14.25" customHeight="1" x14ac:dyDescent="0.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spans="1:27" ht="14.25" customHeight="1" x14ac:dyDescent="0.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spans="1:27" ht="14.25" customHeight="1" x14ac:dyDescent="0.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spans="1:27" ht="14.25" customHeight="1" x14ac:dyDescent="0.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spans="1:27" ht="14.25" customHeight="1" x14ac:dyDescent="0.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spans="1:27" ht="14.25" customHeight="1" x14ac:dyDescent="0.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spans="1:27" ht="14.25" customHeight="1" x14ac:dyDescent="0.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spans="1:27" ht="14.25" customHeight="1" x14ac:dyDescent="0.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spans="1:27" ht="14.25" customHeight="1" x14ac:dyDescent="0.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spans="1:27" ht="14.25" customHeight="1" x14ac:dyDescent="0.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spans="1:27" ht="14.25" customHeight="1" x14ac:dyDescent="0.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spans="1:27" ht="14.25" customHeight="1" x14ac:dyDescent="0.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spans="1:27" ht="14.25" customHeight="1" x14ac:dyDescent="0.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spans="1:27" ht="14.25" customHeight="1" x14ac:dyDescent="0.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spans="1:27" ht="14.25" customHeight="1" x14ac:dyDescent="0.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spans="1:27" ht="14.25" customHeight="1" x14ac:dyDescent="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spans="1:27" ht="14.25" customHeight="1" x14ac:dyDescent="0.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spans="1:27" ht="14.25" customHeight="1" x14ac:dyDescent="0.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spans="1:27" ht="14.25" customHeight="1" x14ac:dyDescent="0.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spans="1:27" ht="14.25" customHeight="1" x14ac:dyDescent="0.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spans="1:27" ht="14.25" customHeight="1" x14ac:dyDescent="0.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spans="1:27" ht="14.25" customHeight="1" x14ac:dyDescent="0.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spans="1:27" ht="14.25" customHeight="1" x14ac:dyDescent="0.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spans="1:27" ht="14.25" customHeight="1" x14ac:dyDescent="0.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spans="1:27" ht="14.25" customHeight="1" x14ac:dyDescent="0.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spans="1:27" ht="14.25" customHeight="1" x14ac:dyDescent="0.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spans="1:27" ht="14.25" customHeight="1" x14ac:dyDescent="0.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spans="1:27" ht="14.25" customHeight="1" x14ac:dyDescent="0.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spans="1:27" ht="14.25" customHeight="1" x14ac:dyDescent="0.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spans="1:27" ht="14.25" customHeight="1" x14ac:dyDescent="0.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spans="1:27" ht="14.25" customHeight="1" x14ac:dyDescent="0.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spans="1:27" ht="14.25" customHeight="1" x14ac:dyDescent="0.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spans="1:27" ht="14.25" customHeight="1" x14ac:dyDescent="0.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spans="1:27" ht="14.25" customHeight="1" x14ac:dyDescent="0.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spans="1:27" ht="14.25" customHeight="1" x14ac:dyDescent="0.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spans="1:27" ht="14.25" customHeight="1" x14ac:dyDescent="0.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spans="1:27" ht="14.25" customHeight="1" x14ac:dyDescent="0.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spans="1:27" ht="14.25" customHeight="1" x14ac:dyDescent="0.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spans="1:27" ht="14.25" customHeight="1" x14ac:dyDescent="0.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spans="1:27" ht="14.25" customHeight="1" x14ac:dyDescent="0.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spans="1:27" ht="14.25" customHeight="1" x14ac:dyDescent="0.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spans="1:27" ht="14.25" customHeight="1" x14ac:dyDescent="0.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spans="1:27" ht="14.25" customHeight="1" x14ac:dyDescent="0.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spans="1:27" ht="14.25" customHeight="1" x14ac:dyDescent="0.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spans="1:27" ht="14.25" customHeight="1" x14ac:dyDescent="0.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spans="1:27" ht="14.25" customHeight="1" x14ac:dyDescent="0.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spans="1:27" ht="14.25" customHeight="1" x14ac:dyDescent="0.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spans="1:27" ht="14.25" customHeight="1" x14ac:dyDescent="0.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spans="1:27" ht="14.25" customHeight="1" x14ac:dyDescent="0.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spans="1:27" ht="14.25" customHeight="1" x14ac:dyDescent="0.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spans="1:27" ht="14.25" customHeight="1" x14ac:dyDescent="0.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spans="1:27" ht="14.25" customHeight="1" x14ac:dyDescent="0.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spans="1:27" ht="14.25" customHeight="1" x14ac:dyDescent="0.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spans="1:27" ht="14.25" customHeight="1" x14ac:dyDescent="0.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spans="1:27" ht="14.25" customHeight="1" x14ac:dyDescent="0.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spans="1:27" ht="14.25" customHeight="1" x14ac:dyDescent="0.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spans="1:27" ht="14.25" customHeight="1" x14ac:dyDescent="0.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spans="1:27" ht="14.25" customHeight="1" x14ac:dyDescent="0.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spans="1:27" ht="14.25" customHeight="1" x14ac:dyDescent="0.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spans="1:27" ht="14.25" customHeight="1" x14ac:dyDescent="0.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spans="1:27" ht="14.25" customHeight="1" x14ac:dyDescent="0.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spans="1:27" ht="14.25" customHeight="1" x14ac:dyDescent="0.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spans="1:27" ht="14.25" customHeight="1" x14ac:dyDescent="0.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spans="1:27" ht="14.25" customHeight="1" x14ac:dyDescent="0.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spans="1:27" ht="14.25" customHeight="1" x14ac:dyDescent="0.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spans="1:27" ht="14.25" customHeight="1" x14ac:dyDescent="0.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spans="1:27" ht="14.25" customHeight="1" x14ac:dyDescent="0.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spans="1:27" ht="14.25" customHeight="1" x14ac:dyDescent="0.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spans="1:27" ht="14.25" customHeight="1" x14ac:dyDescent="0.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spans="1:27" ht="14.25" customHeight="1" x14ac:dyDescent="0.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spans="1:27" ht="14.25" customHeight="1" x14ac:dyDescent="0.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spans="1:27" ht="14.25" customHeight="1" x14ac:dyDescent="0.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spans="1:27" ht="14.25" customHeight="1" x14ac:dyDescent="0.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spans="1:27" ht="14.25" customHeight="1" x14ac:dyDescent="0.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spans="1:27" ht="14.25" customHeight="1" x14ac:dyDescent="0.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spans="1:27" ht="14.25" customHeight="1" x14ac:dyDescent="0.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spans="1:27" ht="14.25" customHeight="1" x14ac:dyDescent="0.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spans="1:27" ht="14.25" customHeight="1" x14ac:dyDescent="0.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spans="1:27" ht="14.25" customHeight="1" x14ac:dyDescent="0.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spans="1:27" ht="14.25" customHeight="1" x14ac:dyDescent="0.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spans="1:27" ht="14.25" customHeight="1" x14ac:dyDescent="0.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spans="1:27" ht="14.25" customHeight="1" x14ac:dyDescent="0.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spans="1:27" ht="14.25" customHeight="1" x14ac:dyDescent="0.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spans="1:27" ht="14.25" customHeight="1" x14ac:dyDescent="0.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spans="1:27" ht="14.25" customHeight="1" x14ac:dyDescent="0.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spans="1:27" ht="14.25" customHeight="1" x14ac:dyDescent="0.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spans="1:27" ht="14.25" customHeight="1" x14ac:dyDescent="0.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spans="1:27" ht="14.25" customHeight="1" x14ac:dyDescent="0.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spans="1:27" ht="14.25" customHeight="1" x14ac:dyDescent="0.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spans="1:27" ht="14.25" customHeight="1" x14ac:dyDescent="0.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spans="1:27" ht="14.25" customHeight="1" x14ac:dyDescent="0.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spans="1:27" ht="14.25" customHeight="1" x14ac:dyDescent="0.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spans="1:27" ht="14.25" customHeight="1" x14ac:dyDescent="0.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spans="1:27" ht="14.25" customHeight="1" x14ac:dyDescent="0.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spans="1:27" ht="14.25" customHeight="1" x14ac:dyDescent="0.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spans="1:27" ht="14.25" customHeight="1" x14ac:dyDescent="0.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spans="1:27" ht="14.25" customHeight="1" x14ac:dyDescent="0.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spans="1:27" ht="14.25" customHeight="1" x14ac:dyDescent="0.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spans="1:27" ht="14.25" customHeight="1" x14ac:dyDescent="0.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spans="1:27" ht="14.25" customHeight="1" x14ac:dyDescent="0.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spans="1:27" ht="14.25" customHeight="1" x14ac:dyDescent="0.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spans="1:27" ht="14.25" customHeight="1" x14ac:dyDescent="0.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spans="1:27" ht="14.25" customHeight="1" x14ac:dyDescent="0.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spans="1:27" ht="14.25" customHeight="1" x14ac:dyDescent="0.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spans="1:27" ht="14.25" customHeight="1" x14ac:dyDescent="0.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spans="1:27" ht="14.25" customHeight="1" x14ac:dyDescent="0.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spans="1:27" ht="14.25" customHeight="1" x14ac:dyDescent="0.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spans="1:27" ht="14.25" customHeight="1" x14ac:dyDescent="0.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spans="1:27" ht="14.25" customHeight="1" x14ac:dyDescent="0.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spans="1:27" ht="14.25" customHeight="1" x14ac:dyDescent="0.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spans="1:27" ht="14.25" customHeight="1" x14ac:dyDescent="0.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spans="1:27" ht="14.25" customHeight="1" x14ac:dyDescent="0.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spans="1:27" ht="14.25" customHeight="1" x14ac:dyDescent="0.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spans="1:27" ht="14.25" customHeight="1" x14ac:dyDescent="0.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spans="1:27" ht="14.25" customHeight="1" x14ac:dyDescent="0.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spans="1:27" ht="14.25" customHeight="1" x14ac:dyDescent="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spans="1:27" ht="14.25" customHeight="1" x14ac:dyDescent="0.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spans="1:27" ht="14.25" customHeight="1" x14ac:dyDescent="0.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spans="1:27" ht="14.25" customHeight="1" x14ac:dyDescent="0.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spans="1:27" ht="14.25" customHeight="1" x14ac:dyDescent="0.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spans="1:27" ht="14.25" customHeight="1" x14ac:dyDescent="0.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spans="1:27" ht="14.25" customHeight="1" x14ac:dyDescent="0.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spans="1:27" ht="14.25" customHeight="1" x14ac:dyDescent="0.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spans="1:27" ht="14.25" customHeight="1" x14ac:dyDescent="0.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spans="1:27" ht="14.25" customHeight="1" x14ac:dyDescent="0.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spans="1:27" ht="14.25" customHeight="1" x14ac:dyDescent="0.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spans="1:27" ht="14.25" customHeight="1" x14ac:dyDescent="0.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spans="1:27" ht="14.25" customHeight="1" x14ac:dyDescent="0.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spans="1:27" ht="14.25" customHeight="1" x14ac:dyDescent="0.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spans="1:27" ht="14.25" customHeight="1" x14ac:dyDescent="0.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spans="1:27" ht="14.25" customHeight="1" x14ac:dyDescent="0.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spans="1:27" ht="14.25" customHeight="1" x14ac:dyDescent="0.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spans="1:27" ht="14.25" customHeight="1" x14ac:dyDescent="0.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spans="1:27" ht="14.25" customHeight="1" x14ac:dyDescent="0.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spans="1:27" ht="14.25" customHeight="1" x14ac:dyDescent="0.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spans="1:27" ht="14.25" customHeight="1" x14ac:dyDescent="0.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spans="1:27" ht="14.25" customHeight="1" x14ac:dyDescent="0.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spans="1:27" ht="14.25" customHeight="1" x14ac:dyDescent="0.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spans="1:27" ht="14.25" customHeight="1" x14ac:dyDescent="0.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spans="1:27" ht="14.25" customHeight="1" x14ac:dyDescent="0.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spans="1:27" ht="14.25" customHeight="1" x14ac:dyDescent="0.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spans="1:27" ht="14.25" customHeight="1" x14ac:dyDescent="0.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spans="1:27" ht="14.25" customHeight="1" x14ac:dyDescent="0.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spans="1:27" ht="14.25" customHeight="1" x14ac:dyDescent="0.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spans="1:27" ht="14.25" customHeight="1" x14ac:dyDescent="0.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spans="1:27" ht="14.25" customHeight="1" x14ac:dyDescent="0.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spans="1:27" ht="14.25" customHeight="1" x14ac:dyDescent="0.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spans="1:27" ht="14.25" customHeight="1" x14ac:dyDescent="0.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spans="1:27" ht="14.25" customHeight="1" x14ac:dyDescent="0.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spans="1:27" ht="14.25" customHeight="1" x14ac:dyDescent="0.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spans="1:27" ht="14.25" customHeight="1" x14ac:dyDescent="0.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spans="1:27" ht="14.25" customHeight="1" x14ac:dyDescent="0.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spans="1:27" ht="14.25" customHeight="1" x14ac:dyDescent="0.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spans="1:27" ht="14.25" customHeight="1" x14ac:dyDescent="0.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spans="1:27" ht="14.25" customHeight="1" x14ac:dyDescent="0.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spans="1:27" ht="14.25" customHeight="1" x14ac:dyDescent="0.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spans="1:27" ht="14.25" customHeight="1" x14ac:dyDescent="0.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spans="1:27" ht="14.25" customHeight="1" x14ac:dyDescent="0.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spans="1:27" ht="14.25" customHeight="1" x14ac:dyDescent="0.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spans="1:27" ht="14.25" customHeight="1" x14ac:dyDescent="0.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spans="1:27" ht="14.25" customHeight="1" x14ac:dyDescent="0.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spans="1:27" ht="14.25" customHeight="1" x14ac:dyDescent="0.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spans="1:27" ht="14.25" customHeight="1" x14ac:dyDescent="0.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spans="1:27" ht="14.25" customHeight="1" x14ac:dyDescent="0.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spans="1:27" ht="14.25" customHeight="1" x14ac:dyDescent="0.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spans="1:27" ht="14.25" customHeight="1" x14ac:dyDescent="0.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spans="1:27" ht="14.25" customHeight="1" x14ac:dyDescent="0.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spans="1:27" ht="14.25" customHeight="1" x14ac:dyDescent="0.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spans="1:27" ht="14.25" customHeight="1" x14ac:dyDescent="0.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spans="1:27" ht="14.25" customHeight="1" x14ac:dyDescent="0.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spans="1:27" ht="14.25" customHeight="1" x14ac:dyDescent="0.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spans="1:27" ht="14.25" customHeight="1" x14ac:dyDescent="0.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spans="1:27" ht="14.25" customHeight="1" x14ac:dyDescent="0.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spans="1:27" ht="14.25" customHeight="1" x14ac:dyDescent="0.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spans="1:27" ht="14.25" customHeight="1" x14ac:dyDescent="0.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spans="1:27" ht="14.25" customHeight="1" x14ac:dyDescent="0.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spans="1:27" ht="14.25" customHeight="1" x14ac:dyDescent="0.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spans="1:27" ht="14.25" customHeight="1" x14ac:dyDescent="0.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spans="1:27" ht="14.25" customHeight="1" x14ac:dyDescent="0.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spans="1:27" ht="14.25" customHeight="1" x14ac:dyDescent="0.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spans="1:27" ht="14.25" customHeight="1" x14ac:dyDescent="0.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spans="1:27" ht="14.25" customHeight="1" x14ac:dyDescent="0.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spans="1:27" ht="14.25" customHeight="1" x14ac:dyDescent="0.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spans="1:27" ht="14.25" customHeight="1" x14ac:dyDescent="0.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spans="1:27" ht="14.25" customHeight="1" x14ac:dyDescent="0.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spans="1:27" ht="14.25" customHeight="1" x14ac:dyDescent="0.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spans="1:27" ht="14.25" customHeight="1" x14ac:dyDescent="0.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spans="1:27" ht="14.25" customHeight="1" x14ac:dyDescent="0.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spans="1:27" ht="14.25" customHeight="1" x14ac:dyDescent="0.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spans="1:27" ht="14.25" customHeight="1" x14ac:dyDescent="0.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spans="1:27" ht="14.25" customHeight="1" x14ac:dyDescent="0.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spans="1:27" ht="14.25" customHeight="1" x14ac:dyDescent="0.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spans="1:27" ht="14.25" customHeight="1" x14ac:dyDescent="0.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spans="1:27" ht="14.25" customHeight="1" x14ac:dyDescent="0.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spans="1:27" ht="14.25" customHeight="1" x14ac:dyDescent="0.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spans="1:27" ht="14.25" customHeight="1" x14ac:dyDescent="0.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spans="1:27" ht="14.25" customHeight="1" x14ac:dyDescent="0.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spans="1:27" ht="14.25" customHeight="1" x14ac:dyDescent="0.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spans="1:27" ht="14.25" customHeight="1" x14ac:dyDescent="0.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spans="1:27" ht="14.25" customHeight="1" x14ac:dyDescent="0.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spans="1:27" ht="14.25" customHeight="1" x14ac:dyDescent="0.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spans="1:27" ht="14.25" customHeight="1" x14ac:dyDescent="0.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spans="1:27" ht="14.25" customHeight="1" x14ac:dyDescent="0.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spans="1:27" ht="14.25" customHeight="1" x14ac:dyDescent="0.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spans="1:27" ht="14.25" customHeight="1" x14ac:dyDescent="0.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spans="1:27" ht="14.25" customHeight="1" x14ac:dyDescent="0.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spans="1:27" ht="14.25" customHeight="1" x14ac:dyDescent="0.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spans="1:27" ht="14.25" customHeight="1" x14ac:dyDescent="0.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spans="1:27" ht="14.25" customHeight="1" x14ac:dyDescent="0.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spans="1:27" ht="14.25" customHeight="1" x14ac:dyDescent="0.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spans="1:27" ht="14.25" customHeight="1" x14ac:dyDescent="0.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spans="1:27" ht="14.25" customHeight="1" x14ac:dyDescent="0.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spans="1:27" ht="14.25" customHeight="1" x14ac:dyDescent="0.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spans="1:27" ht="14.25" customHeight="1" x14ac:dyDescent="0.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spans="1:27" ht="14.25" customHeight="1" x14ac:dyDescent="0.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spans="1:27" ht="14.25" customHeight="1" x14ac:dyDescent="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spans="1:27" ht="14.25" customHeight="1" x14ac:dyDescent="0.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spans="1:27" ht="14.25" customHeight="1" x14ac:dyDescent="0.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spans="1:27" ht="14.25" customHeight="1" x14ac:dyDescent="0.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spans="1:27" ht="14.25" customHeight="1" x14ac:dyDescent="0.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spans="1:27" ht="14.25" customHeight="1" x14ac:dyDescent="0.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spans="1:27" ht="14.25" customHeight="1" x14ac:dyDescent="0.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spans="1:27" ht="14.25" customHeight="1" x14ac:dyDescent="0.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spans="1:27" ht="14.25" customHeight="1" x14ac:dyDescent="0.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spans="1:27" ht="14.25" customHeight="1" x14ac:dyDescent="0.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spans="1:27" ht="14.25" customHeight="1" x14ac:dyDescent="0.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spans="1:27" ht="14.25" customHeight="1" x14ac:dyDescent="0.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spans="1:27" ht="14.25" customHeight="1" x14ac:dyDescent="0.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spans="1:27" ht="14.25" customHeight="1" x14ac:dyDescent="0.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spans="1:27" ht="14.25" customHeight="1" x14ac:dyDescent="0.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spans="1:27" ht="14.25" customHeight="1" x14ac:dyDescent="0.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spans="1:27" ht="14.25" customHeight="1" x14ac:dyDescent="0.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spans="1:27" ht="14.25" customHeight="1" x14ac:dyDescent="0.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spans="1:27" ht="14.25" customHeight="1" x14ac:dyDescent="0.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spans="1:27" ht="14.25" customHeight="1" x14ac:dyDescent="0.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spans="1:27" ht="14.25" customHeight="1" x14ac:dyDescent="0.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spans="1:27" ht="14.25" customHeight="1" x14ac:dyDescent="0.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spans="1:27" ht="14.25" customHeight="1" x14ac:dyDescent="0.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spans="1:27" ht="14.25" customHeight="1" x14ac:dyDescent="0.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spans="1:27" ht="14.25" customHeight="1" x14ac:dyDescent="0.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spans="1:27" ht="14.25" customHeight="1" x14ac:dyDescent="0.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spans="1:27" ht="14.25" customHeight="1" x14ac:dyDescent="0.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spans="1:27" ht="14.25" customHeight="1" x14ac:dyDescent="0.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spans="1:27" ht="14.25" customHeight="1" x14ac:dyDescent="0.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spans="1:27" ht="14.25" customHeight="1" x14ac:dyDescent="0.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spans="1:27" ht="14.25" customHeight="1" x14ac:dyDescent="0.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spans="1:27" ht="14.25" customHeight="1" x14ac:dyDescent="0.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spans="1:27" ht="14.25" customHeight="1" x14ac:dyDescent="0.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spans="1:27" ht="14.25" customHeight="1" x14ac:dyDescent="0.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spans="1:27" ht="14.25" customHeight="1" x14ac:dyDescent="0.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spans="1:27" ht="14.25" customHeight="1" x14ac:dyDescent="0.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spans="1:27" ht="14.25" customHeight="1" x14ac:dyDescent="0.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spans="1:27" ht="14.25" customHeight="1" x14ac:dyDescent="0.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spans="1:27" ht="14.25" customHeight="1" x14ac:dyDescent="0.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spans="1:27" ht="14.25" customHeight="1" x14ac:dyDescent="0.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spans="1:27" ht="14.25" customHeight="1" x14ac:dyDescent="0.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spans="1:27" ht="14.25" customHeight="1" x14ac:dyDescent="0.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spans="1:27" ht="14.25" customHeight="1" x14ac:dyDescent="0.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spans="1:27" ht="14.25" customHeight="1" x14ac:dyDescent="0.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spans="1:27" ht="14.25" customHeight="1" x14ac:dyDescent="0.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spans="1:27" ht="14.25" customHeight="1" x14ac:dyDescent="0.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spans="1:27" ht="14.25" customHeight="1" x14ac:dyDescent="0.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spans="1:27" ht="14.25" customHeight="1" x14ac:dyDescent="0.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spans="1:27" ht="14.25" customHeight="1" x14ac:dyDescent="0.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spans="1:27" ht="14.25" customHeight="1" x14ac:dyDescent="0.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spans="1:27" ht="14.25" customHeight="1" x14ac:dyDescent="0.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spans="1:27" ht="14.25" customHeight="1" x14ac:dyDescent="0.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spans="1:27" ht="14.25" customHeight="1" x14ac:dyDescent="0.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spans="1:27" ht="14.25" customHeight="1" x14ac:dyDescent="0.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spans="1:27" ht="14.25" customHeight="1" x14ac:dyDescent="0.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spans="1:27" ht="14.25" customHeight="1" x14ac:dyDescent="0.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spans="1:27" ht="14.25" customHeight="1" x14ac:dyDescent="0.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spans="1:27" ht="14.25" customHeight="1" x14ac:dyDescent="0.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spans="1:27" ht="14.25" customHeight="1" x14ac:dyDescent="0.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spans="1:27" ht="14.25" customHeight="1" x14ac:dyDescent="0.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spans="1:27" ht="14.25" customHeight="1" x14ac:dyDescent="0.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spans="1:27" ht="14.25" customHeight="1" x14ac:dyDescent="0.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spans="1:27" ht="14.25" customHeight="1" x14ac:dyDescent="0.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spans="1:27" ht="14.25" customHeight="1" x14ac:dyDescent="0.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spans="1:27" ht="14.25" customHeight="1" x14ac:dyDescent="0.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spans="1:27" ht="14.25" customHeight="1" x14ac:dyDescent="0.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spans="1:27" ht="14.25" customHeight="1" x14ac:dyDescent="0.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spans="1:27" ht="14.25" customHeight="1" x14ac:dyDescent="0.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spans="1:27" ht="14.25" customHeight="1" x14ac:dyDescent="0.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spans="1:27" ht="14.25" customHeight="1" x14ac:dyDescent="0.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spans="1:27" ht="14.25" customHeight="1" x14ac:dyDescent="0.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spans="1:27" ht="14.25" customHeight="1" x14ac:dyDescent="0.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spans="1:27" ht="14.25" customHeight="1" x14ac:dyDescent="0.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spans="1:27" ht="14.25" customHeight="1" x14ac:dyDescent="0.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spans="1:27" ht="14.25" customHeight="1" x14ac:dyDescent="0.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spans="1:27" ht="14.25" customHeight="1" x14ac:dyDescent="0.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spans="1:27" ht="14.25" customHeight="1" x14ac:dyDescent="0.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spans="1:27" ht="14.25" customHeight="1" x14ac:dyDescent="0.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spans="1:27" ht="14.25" customHeight="1" x14ac:dyDescent="0.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spans="1:27" ht="14.25" customHeight="1" x14ac:dyDescent="0.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spans="1:27" ht="14.25" customHeight="1" x14ac:dyDescent="0.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spans="1:27" ht="14.25" customHeight="1" x14ac:dyDescent="0.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spans="1:27" ht="14.25" customHeight="1" x14ac:dyDescent="0.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spans="1:27" ht="14.25" customHeight="1" x14ac:dyDescent="0.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spans="1:27" ht="14.25" customHeight="1" x14ac:dyDescent="0.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spans="1:27" ht="14.25" customHeight="1" x14ac:dyDescent="0.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spans="1:27" ht="14.25" customHeight="1" x14ac:dyDescent="0.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spans="1:27" ht="14.25" customHeight="1" x14ac:dyDescent="0.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spans="1:27" ht="14.25" customHeight="1" x14ac:dyDescent="0.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spans="1:27" ht="14.25" customHeight="1" x14ac:dyDescent="0.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spans="1:27" ht="14.25" customHeight="1" x14ac:dyDescent="0.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spans="1:27" ht="14.25" customHeight="1" x14ac:dyDescent="0.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spans="1:27" ht="14.25" customHeight="1" x14ac:dyDescent="0.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spans="1:27" ht="14.25" customHeight="1" x14ac:dyDescent="0.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spans="1:27" ht="14.25" customHeight="1" x14ac:dyDescent="0.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spans="1:27" ht="14.25" customHeight="1" x14ac:dyDescent="0.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spans="1:27" ht="14.25" customHeight="1" x14ac:dyDescent="0.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spans="1:27" ht="14.25" customHeight="1" x14ac:dyDescent="0.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spans="1:27" ht="14.25" customHeight="1" x14ac:dyDescent="0.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spans="1:27" ht="14.25" customHeight="1" x14ac:dyDescent="0.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spans="1:27" ht="14.25" customHeight="1" x14ac:dyDescent="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spans="1:27" ht="14.25" customHeight="1" x14ac:dyDescent="0.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spans="1:27" ht="14.25" customHeight="1" x14ac:dyDescent="0.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spans="1:27" ht="14.25" customHeight="1" x14ac:dyDescent="0.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spans="1:27" ht="14.25" customHeight="1" x14ac:dyDescent="0.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spans="1:27" ht="14.25" customHeight="1" x14ac:dyDescent="0.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spans="1:27" ht="14.25" customHeight="1" x14ac:dyDescent="0.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spans="1:27" ht="14.25" customHeight="1" x14ac:dyDescent="0.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spans="1:27" ht="14.25" customHeight="1" x14ac:dyDescent="0.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spans="1:27" ht="14.25" customHeight="1" x14ac:dyDescent="0.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spans="1:27" ht="14.25" customHeight="1" x14ac:dyDescent="0.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spans="1:27" ht="14.25" customHeight="1" x14ac:dyDescent="0.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spans="1:27" ht="14.25" customHeight="1" x14ac:dyDescent="0.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spans="1:27" ht="14.25" customHeight="1" x14ac:dyDescent="0.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spans="1:27" ht="14.25" customHeight="1" x14ac:dyDescent="0.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spans="1:27" ht="14.25" customHeight="1" x14ac:dyDescent="0.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spans="1:27" ht="14.25" customHeight="1" x14ac:dyDescent="0.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spans="1:27" ht="14.25" customHeight="1" x14ac:dyDescent="0.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spans="1:27" ht="14.25" customHeight="1" x14ac:dyDescent="0.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spans="1:27" ht="14.25" customHeight="1" x14ac:dyDescent="0.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spans="1:27" ht="14.25" customHeight="1" x14ac:dyDescent="0.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spans="1:27" ht="14.25" customHeight="1" x14ac:dyDescent="0.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spans="1:27" ht="14.25" customHeight="1" x14ac:dyDescent="0.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spans="1:27" ht="14.25" customHeight="1" x14ac:dyDescent="0.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spans="1:27" ht="14.25" customHeight="1" x14ac:dyDescent="0.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spans="1:27" ht="14.25" customHeight="1" x14ac:dyDescent="0.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spans="1:27" ht="14.25" customHeight="1" x14ac:dyDescent="0.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spans="1:27" ht="14.25" customHeight="1" x14ac:dyDescent="0.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spans="1:27" ht="14.25" customHeight="1" x14ac:dyDescent="0.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spans="1:27" ht="14.25" customHeight="1" x14ac:dyDescent="0.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spans="1:27" ht="14.25" customHeight="1" x14ac:dyDescent="0.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spans="1:27" ht="14.25" customHeight="1" x14ac:dyDescent="0.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spans="1:27" ht="14.25" customHeight="1" x14ac:dyDescent="0.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spans="1:27" ht="14.25" customHeight="1" x14ac:dyDescent="0.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spans="1:27" ht="14.25" customHeight="1" x14ac:dyDescent="0.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spans="1:27" ht="14.25" customHeight="1" x14ac:dyDescent="0.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spans="1:27" ht="14.25" customHeight="1" x14ac:dyDescent="0.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spans="1:27" ht="14.25" customHeight="1" x14ac:dyDescent="0.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spans="1:27" ht="14.25" customHeight="1" x14ac:dyDescent="0.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spans="1:27" ht="14.25" customHeight="1" x14ac:dyDescent="0.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spans="1:27" ht="14.25" customHeight="1" x14ac:dyDescent="0.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spans="1:27" ht="14.25" customHeight="1" x14ac:dyDescent="0.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spans="1:27" ht="14.25" customHeight="1" x14ac:dyDescent="0.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spans="1:27" ht="14.25" customHeight="1" x14ac:dyDescent="0.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spans="1:27" ht="14.25" customHeight="1" x14ac:dyDescent="0.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spans="1:27" ht="14.25" customHeight="1" x14ac:dyDescent="0.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spans="1:27" ht="14.25" customHeight="1" x14ac:dyDescent="0.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spans="1:27" ht="14.25" customHeight="1" x14ac:dyDescent="0.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spans="1:27" ht="14.25" customHeight="1" x14ac:dyDescent="0.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spans="1:27" ht="14.25" customHeight="1" x14ac:dyDescent="0.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spans="1:27" ht="14.25" customHeight="1" x14ac:dyDescent="0.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spans="1:27" ht="14.25" customHeight="1" x14ac:dyDescent="0.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spans="1:27" ht="14.25" customHeight="1" x14ac:dyDescent="0.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spans="1:27" ht="14.25" customHeight="1" x14ac:dyDescent="0.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spans="1:27" ht="14.25" customHeight="1" x14ac:dyDescent="0.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spans="1:27" ht="14.25" customHeight="1" x14ac:dyDescent="0.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spans="1:27" ht="14.25" customHeight="1" x14ac:dyDescent="0.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spans="1:27" ht="14.25" customHeight="1" x14ac:dyDescent="0.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spans="1:27" ht="14.25" customHeight="1" x14ac:dyDescent="0.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spans="1:27" ht="14.25" customHeight="1" x14ac:dyDescent="0.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spans="1:27" ht="14.25" customHeight="1" x14ac:dyDescent="0.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spans="1:27" ht="14.25" customHeight="1" x14ac:dyDescent="0.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spans="1:27" ht="14.25" customHeight="1" x14ac:dyDescent="0.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spans="1:27" ht="14.25" customHeight="1" x14ac:dyDescent="0.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spans="1:27" ht="14.25" customHeight="1" x14ac:dyDescent="0.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spans="1:27" ht="14.25" customHeight="1" x14ac:dyDescent="0.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spans="1:27" ht="14.25" customHeight="1" x14ac:dyDescent="0.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spans="1:27" ht="14.25" customHeight="1" x14ac:dyDescent="0.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spans="1:27" ht="14.25" customHeight="1" x14ac:dyDescent="0.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spans="1:27" ht="14.25" customHeight="1" x14ac:dyDescent="0.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spans="1:27" ht="14.25" customHeight="1" x14ac:dyDescent="0.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spans="1:27" ht="14.25" customHeight="1" x14ac:dyDescent="0.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spans="1:27" ht="14.25" customHeight="1" x14ac:dyDescent="0.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spans="1:27" ht="14.25" customHeight="1" x14ac:dyDescent="0.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spans="1:27" ht="14.25" customHeight="1" x14ac:dyDescent="0.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spans="1:27" ht="14.25" customHeight="1" x14ac:dyDescent="0.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spans="1:27" ht="14.25" customHeight="1" x14ac:dyDescent="0.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spans="1:27" ht="14.25" customHeight="1" x14ac:dyDescent="0.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spans="1:27" ht="14.25" customHeight="1" x14ac:dyDescent="0.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spans="1:27" ht="14.25" customHeight="1" x14ac:dyDescent="0.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spans="1:27" ht="14.25" customHeight="1" x14ac:dyDescent="0.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spans="1:27" ht="14.25" customHeight="1" x14ac:dyDescent="0.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spans="1:27" ht="14.25" customHeight="1" x14ac:dyDescent="0.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spans="1:27" ht="14.25" customHeight="1" x14ac:dyDescent="0.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spans="1:27" ht="14.25" customHeight="1" x14ac:dyDescent="0.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spans="1:27" ht="14.25" customHeight="1" x14ac:dyDescent="0.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spans="1:27" ht="14.25" customHeight="1" x14ac:dyDescent="0.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spans="1:27" ht="14.25" customHeight="1" x14ac:dyDescent="0.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spans="1:27" ht="14.25" customHeight="1" x14ac:dyDescent="0.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spans="1:27" ht="14.25" customHeight="1" x14ac:dyDescent="0.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spans="1:27" ht="14.25" customHeight="1" x14ac:dyDescent="0.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spans="1:27" ht="14.25" customHeight="1" x14ac:dyDescent="0.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spans="1:27" ht="14.25" customHeight="1" x14ac:dyDescent="0.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spans="1:27" ht="14.25" customHeight="1" x14ac:dyDescent="0.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spans="1:27" ht="14.25" customHeight="1" x14ac:dyDescent="0.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spans="1:27" ht="14.25" customHeight="1" x14ac:dyDescent="0.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spans="1:27" ht="14.25" customHeight="1" x14ac:dyDescent="0.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spans="1:27" ht="14.25" customHeight="1" x14ac:dyDescent="0.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spans="1:27" ht="14.25" customHeight="1" x14ac:dyDescent="0.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spans="1:27" ht="14.25" customHeight="1" x14ac:dyDescent="0.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spans="1:27" ht="14.25" customHeight="1" x14ac:dyDescent="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spans="1:27" ht="14.25" customHeight="1" x14ac:dyDescent="0.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spans="1:27" ht="14.25" customHeight="1" x14ac:dyDescent="0.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spans="1:27" ht="14.25" customHeight="1" x14ac:dyDescent="0.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spans="1:27" ht="14.25" customHeight="1" x14ac:dyDescent="0.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spans="1:27" ht="14.25" customHeight="1" x14ac:dyDescent="0.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spans="1:27" ht="14.25" customHeight="1" x14ac:dyDescent="0.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spans="1:27" ht="14.25" customHeight="1" x14ac:dyDescent="0.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spans="1:27" ht="14.25" customHeight="1" x14ac:dyDescent="0.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spans="1:27" ht="14.25" customHeight="1" x14ac:dyDescent="0.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spans="1:27" ht="14.25" customHeight="1" x14ac:dyDescent="0.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spans="1:27" ht="14.25" customHeight="1" x14ac:dyDescent="0.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spans="1:27" ht="14.25" customHeight="1" x14ac:dyDescent="0.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spans="1:27" ht="14.25" customHeight="1" x14ac:dyDescent="0.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spans="1:27" ht="14.25" customHeight="1" x14ac:dyDescent="0.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spans="1:27" ht="14.25" customHeight="1" x14ac:dyDescent="0.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spans="1:27" ht="14.25" customHeight="1" x14ac:dyDescent="0.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spans="1:27" ht="14.25" customHeight="1" x14ac:dyDescent="0.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spans="1:27" ht="14.25" customHeight="1" x14ac:dyDescent="0.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spans="1:27" ht="14.25" customHeight="1" x14ac:dyDescent="0.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spans="1:27" ht="14.25" customHeight="1" x14ac:dyDescent="0.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spans="1:27" ht="14.25" customHeight="1" x14ac:dyDescent="0.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spans="1:27" ht="14.25" customHeight="1" x14ac:dyDescent="0.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spans="1:27" ht="14.25" customHeight="1" x14ac:dyDescent="0.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spans="1:27" ht="14.25" customHeight="1" x14ac:dyDescent="0.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spans="1:27" ht="14.25" customHeight="1" x14ac:dyDescent="0.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spans="1:27" ht="14.25" customHeight="1" x14ac:dyDescent="0.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spans="1:27" ht="14.25" customHeight="1" x14ac:dyDescent="0.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spans="1:27" ht="14.25" customHeight="1" x14ac:dyDescent="0.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spans="1:27" ht="14.25" customHeight="1" x14ac:dyDescent="0.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spans="1:27" ht="14.25" customHeight="1" x14ac:dyDescent="0.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spans="1:27" ht="14.25" customHeight="1" x14ac:dyDescent="0.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spans="1:27" ht="14.25" customHeight="1" x14ac:dyDescent="0.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spans="1:27" ht="14.25" customHeight="1" x14ac:dyDescent="0.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spans="1:27" ht="14.25" customHeight="1" x14ac:dyDescent="0.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spans="1:27" ht="14.25" customHeight="1" x14ac:dyDescent="0.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spans="1:27" ht="14.25" customHeight="1" x14ac:dyDescent="0.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spans="1:27" ht="14.25" customHeight="1" x14ac:dyDescent="0.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spans="1:27" ht="14.25" customHeight="1" x14ac:dyDescent="0.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spans="1:27" ht="14.25" customHeight="1" x14ac:dyDescent="0.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spans="1:27" ht="14.25" customHeight="1" x14ac:dyDescent="0.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spans="1:27" ht="14.25" customHeight="1" x14ac:dyDescent="0.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spans="1:27" ht="14.25" customHeight="1" x14ac:dyDescent="0.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spans="1:27" ht="14.25" customHeight="1" x14ac:dyDescent="0.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spans="1:27" ht="14.25" customHeight="1" x14ac:dyDescent="0.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spans="1:27" ht="14.25" customHeight="1" x14ac:dyDescent="0.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spans="1:27" ht="14.25" customHeight="1" x14ac:dyDescent="0.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spans="1:27" ht="14.25" customHeight="1" x14ac:dyDescent="0.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spans="1:27" ht="14.25" customHeight="1" x14ac:dyDescent="0.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spans="1:27" ht="14.25" customHeight="1" x14ac:dyDescent="0.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spans="1:27" ht="14.25" customHeight="1" x14ac:dyDescent="0.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spans="1:27" ht="14.25" customHeight="1" x14ac:dyDescent="0.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spans="1:27" ht="14.25" customHeight="1" x14ac:dyDescent="0.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spans="1:27" ht="14.25" customHeight="1" x14ac:dyDescent="0.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spans="1:27" ht="14.25" customHeight="1" x14ac:dyDescent="0.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spans="1:27" ht="14.25" customHeight="1" x14ac:dyDescent="0.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spans="1:27" ht="14.25" customHeight="1" x14ac:dyDescent="0.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spans="1:27" ht="14.25" customHeight="1" x14ac:dyDescent="0.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spans="1:27" ht="14.25" customHeight="1" x14ac:dyDescent="0.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spans="1:27" ht="14.25" customHeight="1" x14ac:dyDescent="0.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spans="1:27" ht="14.25" customHeight="1" x14ac:dyDescent="0.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spans="1:27" ht="14.25" customHeight="1" x14ac:dyDescent="0.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spans="1:27" ht="14.25" customHeight="1" x14ac:dyDescent="0.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spans="1:27" ht="14.25" customHeight="1" x14ac:dyDescent="0.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spans="1:27" ht="14.25" customHeight="1" x14ac:dyDescent="0.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spans="1:27" ht="14.25" customHeight="1" x14ac:dyDescent="0.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spans="1:27" ht="14.25" customHeight="1" x14ac:dyDescent="0.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spans="1:27" ht="14.25" customHeight="1" x14ac:dyDescent="0.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spans="1:27" ht="14.25" customHeight="1" x14ac:dyDescent="0.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spans="1:27" ht="14.25" customHeight="1" x14ac:dyDescent="0.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spans="1:27" ht="14.25" customHeight="1" x14ac:dyDescent="0.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spans="1:27" ht="14.25" customHeight="1" x14ac:dyDescent="0.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spans="1:27" ht="14.25" customHeight="1" x14ac:dyDescent="0.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spans="1:27" ht="14.25" customHeight="1" x14ac:dyDescent="0.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spans="1:27" ht="14.25" customHeight="1" x14ac:dyDescent="0.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spans="1:27" ht="14.25" customHeight="1" x14ac:dyDescent="0.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spans="1:27" ht="14.25" customHeight="1" x14ac:dyDescent="0.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spans="1:27" ht="14.25" customHeight="1" x14ac:dyDescent="0.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spans="1:27" ht="14.25" customHeight="1" x14ac:dyDescent="0.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spans="1:27" ht="14.25" customHeight="1" x14ac:dyDescent="0.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spans="1:27" ht="14.25" customHeight="1" x14ac:dyDescent="0.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spans="1:27" ht="14.25" customHeight="1" x14ac:dyDescent="0.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spans="1:27" ht="14.25" customHeight="1" x14ac:dyDescent="0.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spans="1:27" ht="14.25" customHeight="1" x14ac:dyDescent="0.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spans="1:27" ht="14.25" customHeight="1" x14ac:dyDescent="0.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spans="1:27" ht="14.25" customHeight="1" x14ac:dyDescent="0.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spans="1:27" ht="14.25" customHeight="1" x14ac:dyDescent="0.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spans="1:27" ht="14.25" customHeight="1" x14ac:dyDescent="0.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spans="1:27" ht="14.25" customHeight="1" x14ac:dyDescent="0.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spans="1:27" ht="14.25" customHeight="1" x14ac:dyDescent="0.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spans="1:27" ht="14.25" customHeight="1" x14ac:dyDescent="0.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spans="1:27" ht="14.25" customHeight="1" x14ac:dyDescent="0.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spans="1:27" ht="14.25" customHeight="1" x14ac:dyDescent="0.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spans="1:27" ht="14.25" customHeight="1" x14ac:dyDescent="0.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spans="1:27" ht="14.25" customHeight="1" x14ac:dyDescent="0.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spans="1:27" ht="14.25" customHeight="1" x14ac:dyDescent="0.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spans="1:27" ht="14.25" customHeight="1" x14ac:dyDescent="0.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spans="1:27" ht="14.25" customHeight="1" x14ac:dyDescent="0.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spans="1:27" ht="14.25" customHeight="1" x14ac:dyDescent="0.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spans="1:27" ht="14.25" customHeight="1" x14ac:dyDescent="0.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spans="1:27" ht="14.25" customHeight="1" x14ac:dyDescent="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spans="1:27" ht="14.25" customHeight="1" x14ac:dyDescent="0.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spans="1:27" ht="14.25" customHeight="1" x14ac:dyDescent="0.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spans="1:27" ht="14.25" customHeight="1" x14ac:dyDescent="0.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spans="1:27" ht="14.25" customHeight="1" x14ac:dyDescent="0.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spans="1:27" ht="14.25" customHeight="1" x14ac:dyDescent="0.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spans="1:27" ht="14.25" customHeight="1" x14ac:dyDescent="0.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spans="1:27" ht="14.25" customHeight="1" x14ac:dyDescent="0.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spans="1:27" ht="14.25" customHeight="1" x14ac:dyDescent="0.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spans="1:27" ht="14.25" customHeight="1" x14ac:dyDescent="0.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spans="1:27" ht="14.25" customHeight="1" x14ac:dyDescent="0.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spans="1:27" ht="14.25" customHeight="1" x14ac:dyDescent="0.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spans="1:27" ht="14.25" customHeight="1" x14ac:dyDescent="0.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spans="1:27" ht="14.25" customHeight="1" x14ac:dyDescent="0.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spans="1:27" ht="14.25" customHeight="1" x14ac:dyDescent="0.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spans="1:27" ht="14.25" customHeight="1" x14ac:dyDescent="0.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spans="1:27" ht="14.25" customHeight="1" x14ac:dyDescent="0.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spans="1:27" ht="14.25" customHeight="1" x14ac:dyDescent="0.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spans="1:27" ht="14.25" customHeight="1" x14ac:dyDescent="0.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spans="1:27" ht="14.25" customHeight="1" x14ac:dyDescent="0.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spans="1:27" ht="14.25" customHeight="1" x14ac:dyDescent="0.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spans="1:27" ht="14.25" customHeight="1" x14ac:dyDescent="0.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spans="1:27" ht="14.25" customHeight="1" x14ac:dyDescent="0.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spans="1:27" ht="14.25" customHeight="1" x14ac:dyDescent="0.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spans="1:27" ht="14.25" customHeight="1" x14ac:dyDescent="0.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spans="1:27" ht="14.25" customHeight="1" x14ac:dyDescent="0.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spans="1:27" ht="14.25" customHeight="1" x14ac:dyDescent="0.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spans="1:27" ht="14.25" customHeight="1" x14ac:dyDescent="0.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spans="1:27" ht="14.25" customHeight="1" x14ac:dyDescent="0.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spans="1:27" ht="14.25" customHeight="1" x14ac:dyDescent="0.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spans="1:27" ht="14.25" customHeight="1" x14ac:dyDescent="0.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spans="1:27" ht="14.25" customHeight="1" x14ac:dyDescent="0.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spans="1:27" ht="14.25" customHeight="1" x14ac:dyDescent="0.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spans="1:27" ht="14.25" customHeight="1" x14ac:dyDescent="0.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spans="1:27" ht="14.25" customHeight="1" x14ac:dyDescent="0.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spans="1:27" ht="14.25" customHeight="1" x14ac:dyDescent="0.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spans="1:27" ht="14.25" customHeight="1" x14ac:dyDescent="0.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spans="1:27" ht="14.25" customHeight="1" x14ac:dyDescent="0.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spans="1:27" ht="14.25" customHeight="1" x14ac:dyDescent="0.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spans="1:27" ht="14.25" customHeight="1" x14ac:dyDescent="0.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spans="1:27" ht="14.25" customHeight="1" x14ac:dyDescent="0.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spans="1:27" ht="14.25" customHeight="1" x14ac:dyDescent="0.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spans="1:27" ht="14.25" customHeight="1" x14ac:dyDescent="0.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spans="1:27" ht="14.25" customHeight="1" x14ac:dyDescent="0.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spans="1:27" ht="14.25" customHeight="1" x14ac:dyDescent="0.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spans="1:27" ht="14.25" customHeight="1" x14ac:dyDescent="0.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spans="1:27" ht="14.25" customHeight="1" x14ac:dyDescent="0.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spans="1:27" ht="14.25" customHeight="1" x14ac:dyDescent="0.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spans="1:27" ht="14.25" customHeight="1" x14ac:dyDescent="0.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spans="1:27" ht="14.25" customHeight="1" x14ac:dyDescent="0.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spans="1:27" ht="14.25" customHeight="1" x14ac:dyDescent="0.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spans="1:27" ht="14.25" customHeight="1" x14ac:dyDescent="0.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spans="1:27" ht="14.25" customHeight="1" x14ac:dyDescent="0.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spans="1:27" ht="14.25" customHeight="1" x14ac:dyDescent="0.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spans="1:27" ht="14.25" customHeight="1" x14ac:dyDescent="0.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spans="1:27" ht="14.25" customHeight="1" x14ac:dyDescent="0.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spans="1:27" ht="14.25" customHeight="1" x14ac:dyDescent="0.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spans="1:27" ht="14.25" customHeight="1" x14ac:dyDescent="0.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spans="1:27" ht="14.25" customHeight="1" x14ac:dyDescent="0.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spans="1:27" ht="14.25" customHeight="1" x14ac:dyDescent="0.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spans="1:27" ht="14.25" customHeight="1" x14ac:dyDescent="0.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spans="1:27" ht="14.25" customHeight="1" x14ac:dyDescent="0.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spans="1:27" ht="14.25" customHeight="1" x14ac:dyDescent="0.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spans="1:27" ht="14.25" customHeight="1" x14ac:dyDescent="0.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spans="1:27" ht="14.25" customHeight="1" x14ac:dyDescent="0.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spans="1:27" ht="14.25" customHeight="1" x14ac:dyDescent="0.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spans="1:27" ht="14.25" customHeight="1" x14ac:dyDescent="0.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spans="1:27" ht="14.25" customHeight="1" x14ac:dyDescent="0.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spans="1:27" ht="14.25" customHeight="1" x14ac:dyDescent="0.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spans="1:27" ht="14.25" customHeight="1" x14ac:dyDescent="0.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spans="1:27" ht="14.25" customHeight="1" x14ac:dyDescent="0.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spans="1:27" ht="14.25" customHeight="1" x14ac:dyDescent="0.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spans="1:27" ht="14.25" customHeight="1" x14ac:dyDescent="0.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spans="1:27" ht="14.25" customHeight="1" x14ac:dyDescent="0.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spans="1:27" ht="14.25" customHeight="1" x14ac:dyDescent="0.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spans="1:27" ht="14.25" customHeight="1" x14ac:dyDescent="0.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spans="1:27" ht="14.25" customHeight="1" x14ac:dyDescent="0.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spans="1:27" ht="14.25" customHeight="1" x14ac:dyDescent="0.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spans="1:27" ht="14.25" customHeight="1" x14ac:dyDescent="0.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spans="1:27" ht="14.25" customHeight="1" x14ac:dyDescent="0.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spans="1:27" ht="14.25" customHeight="1" x14ac:dyDescent="0.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spans="1:27" ht="14.25" customHeight="1" x14ac:dyDescent="0.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spans="1:27" ht="14.25" customHeight="1" x14ac:dyDescent="0.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spans="1:27" ht="14.25" customHeight="1" x14ac:dyDescent="0.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spans="1:27" ht="14.25" customHeight="1" x14ac:dyDescent="0.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spans="1:27" ht="14.25" customHeight="1" x14ac:dyDescent="0.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spans="1:27" ht="14.25" customHeight="1" x14ac:dyDescent="0.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spans="1:27" ht="14.25" customHeight="1" x14ac:dyDescent="0.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spans="1:27" ht="14.25" customHeight="1" x14ac:dyDescent="0.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spans="1:27" ht="14.25" customHeight="1" x14ac:dyDescent="0.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spans="1:27" ht="14.25" customHeight="1" x14ac:dyDescent="0.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spans="1:27" ht="14.25" customHeight="1" x14ac:dyDescent="0.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spans="1:27" ht="14.25" customHeight="1" x14ac:dyDescent="0.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spans="1:27" ht="14.25" customHeight="1" x14ac:dyDescent="0.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spans="1:27" ht="14.25" customHeight="1" x14ac:dyDescent="0.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spans="1:27" ht="14.25" customHeight="1" x14ac:dyDescent="0.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spans="1:27" ht="14.25" customHeight="1" x14ac:dyDescent="0.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spans="1:27" ht="14.25" customHeight="1" x14ac:dyDescent="0.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spans="1:27" ht="14.25" customHeight="1" x14ac:dyDescent="0.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spans="1:27" ht="14.25" customHeight="1" x14ac:dyDescent="0.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spans="1:27" ht="14.25" customHeight="1" x14ac:dyDescent="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spans="1:27" ht="14.25" customHeight="1" x14ac:dyDescent="0.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spans="1:27" ht="14.25" customHeight="1" x14ac:dyDescent="0.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spans="1:27" ht="14.25" customHeight="1" x14ac:dyDescent="0.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spans="1:27" ht="14.25" customHeight="1" x14ac:dyDescent="0.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spans="1:27" ht="14.25" customHeight="1" x14ac:dyDescent="0.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spans="1:27" ht="14.25" customHeight="1" x14ac:dyDescent="0.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spans="1:27" ht="14.25" customHeight="1" x14ac:dyDescent="0.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spans="1:27" ht="14.25" customHeight="1" x14ac:dyDescent="0.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spans="1:27" ht="14.25" customHeight="1" x14ac:dyDescent="0.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spans="1:27" ht="14.25" customHeight="1" x14ac:dyDescent="0.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spans="1:27" ht="14.25" customHeight="1" x14ac:dyDescent="0.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spans="1:27" ht="14.25" customHeight="1" x14ac:dyDescent="0.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spans="1:27" ht="14.25" customHeight="1" x14ac:dyDescent="0.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spans="1:27" ht="14.25" customHeight="1" x14ac:dyDescent="0.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spans="1:27" ht="14.25" customHeight="1" x14ac:dyDescent="0.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spans="1:27" ht="14.25" customHeight="1" x14ac:dyDescent="0.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spans="1:27" ht="14.25" customHeight="1" x14ac:dyDescent="0.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spans="1:27" ht="14.25" customHeight="1" x14ac:dyDescent="0.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spans="1:27" ht="14.25" customHeight="1" x14ac:dyDescent="0.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spans="1:27" ht="14.25" customHeight="1" x14ac:dyDescent="0.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spans="1:27" ht="14.25" customHeight="1" x14ac:dyDescent="0.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spans="1:27" ht="14.25" customHeight="1" x14ac:dyDescent="0.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spans="1:27" ht="14.25" customHeight="1" x14ac:dyDescent="0.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spans="1:27" ht="14.25" customHeight="1" x14ac:dyDescent="0.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spans="1:27" ht="14.25" customHeight="1" x14ac:dyDescent="0.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spans="1:27" ht="14.25" customHeight="1" x14ac:dyDescent="0.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spans="1:27" ht="14.25" customHeight="1" x14ac:dyDescent="0.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spans="1:27" ht="14.25" customHeight="1" x14ac:dyDescent="0.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spans="1:27" ht="14.25" customHeight="1" x14ac:dyDescent="0.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spans="1:27" ht="14.25" customHeight="1" x14ac:dyDescent="0.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spans="1:27" ht="14.25" customHeight="1" x14ac:dyDescent="0.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spans="1:27" ht="14.25" customHeight="1" x14ac:dyDescent="0.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spans="1:27" ht="14.25" customHeight="1" x14ac:dyDescent="0.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spans="1:27" ht="14.25" customHeight="1" x14ac:dyDescent="0.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spans="1:27" ht="14.25" customHeight="1" x14ac:dyDescent="0.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spans="1:27" ht="14.25" customHeight="1" x14ac:dyDescent="0.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spans="1:27" ht="14.25" customHeight="1" x14ac:dyDescent="0.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spans="1:27" ht="14.25" customHeight="1" x14ac:dyDescent="0.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spans="1:27" ht="14.25" customHeight="1" x14ac:dyDescent="0.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spans="1:27" ht="14.25" customHeight="1" x14ac:dyDescent="0.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spans="1:27" ht="14.25" customHeight="1" x14ac:dyDescent="0.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spans="1:27" ht="14.25" customHeight="1" x14ac:dyDescent="0.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spans="1:27" ht="14.25" customHeight="1" x14ac:dyDescent="0.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spans="1:27" ht="14.25" customHeight="1" x14ac:dyDescent="0.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spans="1:27" ht="14.25" customHeight="1" x14ac:dyDescent="0.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spans="1:27" ht="14.25" customHeight="1" x14ac:dyDescent="0.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spans="1:27" ht="14.25" customHeight="1" x14ac:dyDescent="0.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spans="1:27" ht="14.25" customHeight="1" x14ac:dyDescent="0.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spans="1:27" ht="14.25" customHeight="1" x14ac:dyDescent="0.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spans="1:27" ht="14.25" customHeight="1" x14ac:dyDescent="0.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spans="1:27" ht="14.25" customHeight="1" x14ac:dyDescent="0.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spans="1:27" ht="14.25" customHeight="1" x14ac:dyDescent="0.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spans="1:27" ht="14.25" customHeight="1" x14ac:dyDescent="0.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spans="1:27" ht="14.25" customHeight="1" x14ac:dyDescent="0.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spans="1:27" ht="14.25" customHeight="1" x14ac:dyDescent="0.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spans="1:27" ht="14.25" customHeight="1" x14ac:dyDescent="0.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spans="1:27" ht="14.25" customHeight="1" x14ac:dyDescent="0.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spans="1:27" ht="14.25" customHeight="1" x14ac:dyDescent="0.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spans="1:27" ht="14.25" customHeight="1" x14ac:dyDescent="0.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spans="1:27" ht="14.25" customHeight="1" x14ac:dyDescent="0.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spans="1:27" ht="14.25" customHeight="1" x14ac:dyDescent="0.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spans="1:27" ht="14.25" customHeight="1" x14ac:dyDescent="0.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spans="1:27" ht="14.25" customHeight="1" x14ac:dyDescent="0.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spans="1:27" ht="14.25" customHeight="1" x14ac:dyDescent="0.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spans="1:27" ht="14.25" customHeight="1" x14ac:dyDescent="0.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spans="1:27" ht="14.25" customHeight="1" x14ac:dyDescent="0.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spans="1:27" ht="14.25" customHeight="1" x14ac:dyDescent="0.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spans="1:27" ht="14.25" customHeight="1" x14ac:dyDescent="0.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spans="1:27" ht="14.25" customHeight="1" x14ac:dyDescent="0.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spans="1:27" ht="14.25" customHeight="1" x14ac:dyDescent="0.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spans="1:27" ht="14.25" customHeight="1" x14ac:dyDescent="0.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spans="1:27" ht="14.25" customHeight="1" x14ac:dyDescent="0.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spans="1:27" ht="14.25" customHeight="1" x14ac:dyDescent="0.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spans="1:27" ht="14.25" customHeight="1" x14ac:dyDescent="0.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spans="1:27" ht="14.25" customHeight="1" x14ac:dyDescent="0.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spans="1:27" ht="14.25" customHeight="1" x14ac:dyDescent="0.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spans="1:27" ht="14.25" customHeight="1" x14ac:dyDescent="0.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spans="1:27" ht="14.25" customHeight="1" x14ac:dyDescent="0.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spans="1:27" ht="14.25" customHeight="1" x14ac:dyDescent="0.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spans="1:27" ht="14.25" customHeight="1" x14ac:dyDescent="0.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spans="1:27" ht="14.25" customHeight="1" x14ac:dyDescent="0.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spans="1:27" ht="14.25" customHeight="1" x14ac:dyDescent="0.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spans="1:27" ht="14.25" customHeight="1" x14ac:dyDescent="0.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spans="1:27" ht="14.25" customHeight="1" x14ac:dyDescent="0.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spans="1:27" ht="14.25" customHeight="1" x14ac:dyDescent="0.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spans="1:27" ht="14.25" customHeight="1" x14ac:dyDescent="0.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spans="1:27" ht="14.25" customHeight="1" x14ac:dyDescent="0.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spans="1:27" ht="14.25" customHeight="1" x14ac:dyDescent="0.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spans="1:27" ht="14.25" customHeight="1" x14ac:dyDescent="0.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spans="1:27" ht="14.25" customHeight="1" x14ac:dyDescent="0.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spans="1:27" ht="14.25" customHeight="1" x14ac:dyDescent="0.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spans="1:27" ht="14.25" customHeight="1" x14ac:dyDescent="0.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spans="1:27" ht="14.25" customHeight="1" x14ac:dyDescent="0.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spans="1:27" ht="14.25" customHeight="1" x14ac:dyDescent="0.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spans="1:27" ht="14.25" customHeight="1" x14ac:dyDescent="0.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spans="1:27" ht="14.25" customHeight="1" x14ac:dyDescent="0.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spans="1:27" ht="14.25" customHeight="1" x14ac:dyDescent="0.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spans="1:27" ht="14.25" customHeight="1" x14ac:dyDescent="0.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spans="1:27" ht="14.25" customHeight="1" x14ac:dyDescent="0.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spans="1:27" ht="14.25" customHeight="1" x14ac:dyDescent="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spans="1:27" ht="14.25" customHeight="1" x14ac:dyDescent="0.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spans="1:27" ht="14.25" customHeight="1" x14ac:dyDescent="0.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spans="1:27" ht="14.25" customHeight="1" x14ac:dyDescent="0.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spans="1:27" ht="14.25" customHeight="1" x14ac:dyDescent="0.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spans="1:27" ht="14.25" customHeight="1" x14ac:dyDescent="0.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spans="1:27" ht="14.25" customHeight="1" x14ac:dyDescent="0.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spans="1:27" ht="14.25" customHeight="1" x14ac:dyDescent="0.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spans="1:27" ht="14.25" customHeight="1" x14ac:dyDescent="0.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spans="1:27" ht="14.25" customHeight="1" x14ac:dyDescent="0.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spans="1:27" ht="14.25" customHeight="1" x14ac:dyDescent="0.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spans="1:27" ht="14.25" customHeight="1" x14ac:dyDescent="0.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spans="1:27" ht="14.25" customHeight="1" x14ac:dyDescent="0.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spans="1:27" ht="14.25" customHeight="1" x14ac:dyDescent="0.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spans="1:27" ht="14.25" customHeight="1" x14ac:dyDescent="0.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spans="1:27" ht="14.25" customHeight="1" x14ac:dyDescent="0.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spans="1:27" ht="14.25" customHeight="1" x14ac:dyDescent="0.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spans="1:27" ht="14.25" customHeight="1" x14ac:dyDescent="0.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spans="1:27" ht="14.25" customHeight="1" x14ac:dyDescent="0.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spans="1:27" ht="14.25" customHeight="1" x14ac:dyDescent="0.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spans="1:27" ht="14.25" customHeight="1" x14ac:dyDescent="0.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spans="1:27" ht="14.25" customHeight="1" x14ac:dyDescent="0.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spans="1:27" ht="14.25" customHeight="1" x14ac:dyDescent="0.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spans="1:27" ht="14.25" customHeight="1" x14ac:dyDescent="0.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spans="1:27" ht="14.25" customHeight="1" x14ac:dyDescent="0.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spans="1:27" ht="14.25" customHeight="1" x14ac:dyDescent="0.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spans="1:27" ht="14.25" customHeight="1" x14ac:dyDescent="0.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spans="1:27" ht="14.25" customHeight="1" x14ac:dyDescent="0.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spans="1:27" ht="14.25" customHeight="1" x14ac:dyDescent="0.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spans="1:27" ht="14.25" customHeight="1" x14ac:dyDescent="0.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spans="1:27" ht="14.25" customHeight="1" x14ac:dyDescent="0.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spans="1:27" ht="14.25" customHeight="1" x14ac:dyDescent="0.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spans="1:27" ht="14.25" customHeight="1" x14ac:dyDescent="0.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spans="1:27" ht="14.25" customHeight="1" x14ac:dyDescent="0.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spans="1:27" ht="14.25" customHeight="1" x14ac:dyDescent="0.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spans="1:27" ht="14.25" customHeight="1" x14ac:dyDescent="0.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spans="1:27" ht="14.25" customHeight="1" x14ac:dyDescent="0.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spans="1:27" ht="14.25" customHeight="1" x14ac:dyDescent="0.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spans="1:27" ht="14.25" customHeight="1" x14ac:dyDescent="0.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spans="1:27" ht="14.25" customHeight="1" x14ac:dyDescent="0.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spans="1:27" ht="14.25" customHeight="1" x14ac:dyDescent="0.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spans="1:27" ht="14.25" customHeight="1" x14ac:dyDescent="0.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spans="1:27" ht="14.25" customHeight="1" x14ac:dyDescent="0.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spans="1:27" ht="14.25" customHeight="1" x14ac:dyDescent="0.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spans="1:27" ht="14.25" customHeight="1" x14ac:dyDescent="0.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spans="1:27" ht="14.25" customHeight="1" x14ac:dyDescent="0.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spans="1:27" ht="14.25" customHeight="1" x14ac:dyDescent="0.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spans="1:27" ht="14.25" customHeight="1" x14ac:dyDescent="0.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spans="1:27" ht="14.25" customHeight="1" x14ac:dyDescent="0.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spans="1:27" ht="14.25" customHeight="1" x14ac:dyDescent="0.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spans="1:27" ht="14.25" customHeight="1" x14ac:dyDescent="0.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spans="1:27" ht="14.25" customHeight="1" x14ac:dyDescent="0.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spans="1:27" ht="14.25" customHeight="1" x14ac:dyDescent="0.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spans="1:27" ht="14.25" customHeight="1" x14ac:dyDescent="0.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spans="1:27" ht="14.25" customHeight="1" x14ac:dyDescent="0.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spans="1:27" ht="14.25" customHeight="1" x14ac:dyDescent="0.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spans="1:27" ht="14.25" customHeight="1" x14ac:dyDescent="0.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spans="1:27" ht="14.25" customHeight="1" x14ac:dyDescent="0.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spans="1:27" ht="14.25" customHeight="1" x14ac:dyDescent="0.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spans="1:27" ht="14.25" customHeight="1" x14ac:dyDescent="0.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spans="1:27" ht="14.25" customHeight="1" x14ac:dyDescent="0.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spans="1:27" ht="14.25" customHeight="1" x14ac:dyDescent="0.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spans="1:27" ht="14.25" customHeight="1" x14ac:dyDescent="0.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spans="1:27" ht="14.25" customHeight="1" x14ac:dyDescent="0.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spans="1:27" ht="14.25" customHeight="1" x14ac:dyDescent="0.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spans="1:27" ht="14.25" customHeight="1" x14ac:dyDescent="0.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spans="1:27" ht="14.25" customHeight="1" x14ac:dyDescent="0.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spans="1:27" ht="14.25" customHeight="1" x14ac:dyDescent="0.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spans="1:27" ht="14.25" customHeight="1" x14ac:dyDescent="0.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spans="1:27" ht="14.25" customHeight="1" x14ac:dyDescent="0.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spans="1:27" ht="14.25" customHeight="1" x14ac:dyDescent="0.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spans="1:27" ht="14.25" customHeight="1" x14ac:dyDescent="0.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spans="1:27" ht="14.25" customHeight="1" x14ac:dyDescent="0.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spans="1:27" ht="14.25" customHeight="1" x14ac:dyDescent="0.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spans="1:27" ht="14.25" customHeight="1" x14ac:dyDescent="0.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spans="1:27" ht="14.25" customHeight="1" x14ac:dyDescent="0.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spans="1:27" ht="14.25" customHeight="1" x14ac:dyDescent="0.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spans="1:27" ht="14.25" customHeight="1" x14ac:dyDescent="0.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spans="1:27" ht="14.25" customHeight="1" x14ac:dyDescent="0.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spans="1:27" ht="14.25" customHeight="1" x14ac:dyDescent="0.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spans="1:27" ht="14.25" customHeight="1" x14ac:dyDescent="0.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spans="1:27" ht="14.25" customHeight="1" x14ac:dyDescent="0.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spans="1:27" ht="14.25" customHeight="1" x14ac:dyDescent="0.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spans="1:27" ht="14.25" customHeight="1" x14ac:dyDescent="0.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spans="1:27" ht="14.25" customHeight="1" x14ac:dyDescent="0.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spans="1:27" ht="14.25" customHeight="1" x14ac:dyDescent="0.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spans="1:27" ht="14.25" customHeight="1" x14ac:dyDescent="0.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spans="1:27" ht="14.25" customHeight="1" x14ac:dyDescent="0.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spans="1:27" ht="14.25" customHeight="1" x14ac:dyDescent="0.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spans="1:27" ht="14.25" customHeight="1" x14ac:dyDescent="0.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spans="1:27" ht="14.25" customHeight="1" x14ac:dyDescent="0.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spans="1:27" ht="14.25" customHeight="1" x14ac:dyDescent="0.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spans="1:27" ht="14.25" customHeight="1" x14ac:dyDescent="0.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spans="1:27" ht="14.25" customHeight="1" x14ac:dyDescent="0.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spans="1:27" ht="14.25" customHeight="1" x14ac:dyDescent="0.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spans="1:27" ht="14.25" customHeight="1" x14ac:dyDescent="0.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spans="1:27" ht="14.25" customHeight="1" x14ac:dyDescent="0.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spans="1:27" ht="14.25" customHeight="1" x14ac:dyDescent="0.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spans="1:27" ht="14.25" customHeight="1" x14ac:dyDescent="0.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spans="1:27" ht="14.25" customHeight="1" x14ac:dyDescent="0.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spans="1:27" ht="14.25" customHeight="1" x14ac:dyDescent="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spans="1:27" ht="14.25" customHeight="1" x14ac:dyDescent="0.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G999"/>
  <sheetViews>
    <sheetView tabSelected="1" workbookViewId="0">
      <selection activeCell="D2" sqref="D2:D17"/>
    </sheetView>
  </sheetViews>
  <sheetFormatPr baseColWidth="10" defaultColWidth="14.5" defaultRowHeight="15" customHeight="1" x14ac:dyDescent="0.2"/>
  <cols>
    <col min="1" max="1" width="20.83203125" customWidth="1"/>
    <col min="2" max="2" width="19.5" customWidth="1"/>
    <col min="3" max="3" width="20.5" customWidth="1"/>
    <col min="4" max="4" width="17.83203125" customWidth="1"/>
    <col min="5" max="26" width="8.6640625" customWidth="1"/>
  </cols>
  <sheetData>
    <row r="1" spans="1:7" ht="14.25" customHeight="1" x14ac:dyDescent="0.2">
      <c r="A1" s="76" t="s">
        <v>81</v>
      </c>
      <c r="B1" s="3" t="s">
        <v>82</v>
      </c>
      <c r="C1" s="77" t="s">
        <v>83</v>
      </c>
      <c r="D1" t="s">
        <v>84</v>
      </c>
      <c r="G1" s="76"/>
    </row>
    <row r="2" spans="1:7" ht="14.25" customHeight="1" x14ac:dyDescent="0.2">
      <c r="A2" s="78" t="s">
        <v>63</v>
      </c>
      <c r="B2" s="83">
        <v>34600</v>
      </c>
      <c r="C2" s="77">
        <v>0</v>
      </c>
      <c r="D2">
        <v>3600</v>
      </c>
      <c r="G2" s="78"/>
    </row>
    <row r="3" spans="1:7" ht="14.25" customHeight="1" x14ac:dyDescent="0.2">
      <c r="A3" s="3" t="s">
        <v>64</v>
      </c>
      <c r="B3" s="83">
        <f>Capacity!B34</f>
        <v>19860.009999999998</v>
      </c>
      <c r="C3" s="77">
        <v>0</v>
      </c>
      <c r="D3">
        <v>0</v>
      </c>
      <c r="F3" s="84"/>
      <c r="G3" s="78"/>
    </row>
    <row r="4" spans="1:7" ht="14.25" customHeight="1" x14ac:dyDescent="0.2">
      <c r="A4" s="3" t="s">
        <v>85</v>
      </c>
      <c r="B4" s="83">
        <v>0</v>
      </c>
      <c r="C4" s="77">
        <f>SUMIF(Capacity!$B$4:$P$4,A4,Capacity!$B$24:$P$24)</f>
        <v>0</v>
      </c>
      <c r="D4">
        <v>0</v>
      </c>
      <c r="G4" s="78"/>
    </row>
    <row r="5" spans="1:7" ht="14.25" customHeight="1" x14ac:dyDescent="0.2">
      <c r="A5" s="3" t="s">
        <v>62</v>
      </c>
      <c r="B5" s="83">
        <v>5980</v>
      </c>
      <c r="C5" s="77">
        <v>0</v>
      </c>
      <c r="D5">
        <v>0</v>
      </c>
      <c r="G5" s="78"/>
    </row>
    <row r="6" spans="1:7" ht="14.25" customHeight="1" x14ac:dyDescent="0.2">
      <c r="A6" s="78" t="s">
        <v>69</v>
      </c>
      <c r="B6" s="83">
        <v>150</v>
      </c>
      <c r="C6" s="77">
        <v>0</v>
      </c>
      <c r="D6">
        <v>0</v>
      </c>
      <c r="G6" s="78"/>
    </row>
    <row r="7" spans="1:7" ht="14.25" customHeight="1" x14ac:dyDescent="0.2">
      <c r="A7" s="3" t="s">
        <v>86</v>
      </c>
      <c r="B7" s="83">
        <v>150</v>
      </c>
      <c r="C7" s="77">
        <v>0</v>
      </c>
      <c r="D7">
        <v>0</v>
      </c>
      <c r="G7" s="78"/>
    </row>
    <row r="8" spans="1:7" ht="14.25" customHeight="1" x14ac:dyDescent="0.2">
      <c r="A8" s="3" t="s">
        <v>87</v>
      </c>
      <c r="B8" s="83">
        <v>0</v>
      </c>
      <c r="C8" s="77">
        <f>SUMIF(Capacity!$B$4:$P$4,A8,Capacity!$B$24:$P$24)</f>
        <v>0</v>
      </c>
      <c r="D8">
        <v>0</v>
      </c>
      <c r="G8" s="78"/>
    </row>
    <row r="9" spans="1:7" ht="14.25" customHeight="1" x14ac:dyDescent="0.2">
      <c r="A9" s="3" t="s">
        <v>73</v>
      </c>
      <c r="B9" s="83">
        <v>1880</v>
      </c>
      <c r="C9" s="77">
        <v>0</v>
      </c>
      <c r="D9">
        <v>0</v>
      </c>
      <c r="G9" s="78"/>
    </row>
    <row r="10" spans="1:7" ht="14.25" customHeight="1" x14ac:dyDescent="0.2">
      <c r="A10" s="3" t="s">
        <v>66</v>
      </c>
      <c r="B10" s="83">
        <v>2140</v>
      </c>
      <c r="C10" s="77">
        <v>0</v>
      </c>
      <c r="D10">
        <v>0</v>
      </c>
      <c r="G10" s="78"/>
    </row>
    <row r="11" spans="1:7" ht="14.25" customHeight="1" x14ac:dyDescent="0.2">
      <c r="A11" s="3" t="s">
        <v>67</v>
      </c>
      <c r="B11" s="83">
        <f>Capacity!G24</f>
        <v>4779.68</v>
      </c>
      <c r="C11" s="77">
        <v>0</v>
      </c>
      <c r="D11">
        <v>0</v>
      </c>
      <c r="G11" s="78"/>
    </row>
    <row r="12" spans="1:7" ht="14.25" customHeight="1" x14ac:dyDescent="0.2">
      <c r="A12" s="3" t="s">
        <v>68</v>
      </c>
      <c r="B12" s="83">
        <v>0</v>
      </c>
      <c r="C12" s="77">
        <v>0</v>
      </c>
      <c r="D12">
        <v>0</v>
      </c>
      <c r="G12" s="78"/>
    </row>
    <row r="13" spans="1:7" ht="14.25" customHeight="1" x14ac:dyDescent="0.2">
      <c r="A13" s="78" t="s">
        <v>88</v>
      </c>
      <c r="B13" s="83">
        <v>0</v>
      </c>
      <c r="C13" s="77">
        <v>0</v>
      </c>
      <c r="D13" s="77">
        <v>0</v>
      </c>
      <c r="G13" s="78"/>
    </row>
    <row r="14" spans="1:7" ht="14.25" customHeight="1" x14ac:dyDescent="0.2">
      <c r="A14" s="78" t="s">
        <v>89</v>
      </c>
      <c r="B14" s="83">
        <v>0</v>
      </c>
      <c r="C14" s="77">
        <v>0</v>
      </c>
      <c r="D14" s="3">
        <v>0</v>
      </c>
      <c r="G14" s="78"/>
    </row>
    <row r="15" spans="1:7" ht="14.25" customHeight="1" x14ac:dyDescent="0.2">
      <c r="A15" s="78" t="s">
        <v>90</v>
      </c>
      <c r="B15" s="83">
        <v>0</v>
      </c>
      <c r="C15" s="77">
        <v>0</v>
      </c>
      <c r="D15" s="77">
        <v>0</v>
      </c>
      <c r="G15" s="78"/>
    </row>
    <row r="16" spans="1:7" ht="14.25" customHeight="1" x14ac:dyDescent="0.2">
      <c r="A16" s="78" t="s">
        <v>91</v>
      </c>
      <c r="B16" s="83">
        <v>0</v>
      </c>
      <c r="C16" s="77">
        <v>0</v>
      </c>
      <c r="D16" s="77">
        <v>0</v>
      </c>
      <c r="G16" s="78"/>
    </row>
    <row r="17" spans="1:4" ht="14.25" customHeight="1" x14ac:dyDescent="0.2">
      <c r="A17" s="78" t="s">
        <v>71</v>
      </c>
      <c r="B17" s="83">
        <v>0</v>
      </c>
      <c r="C17" s="77">
        <v>0</v>
      </c>
      <c r="D17" s="77">
        <v>0</v>
      </c>
    </row>
    <row r="18" spans="1:4" ht="14.25" customHeight="1" x14ac:dyDescent="0.2"/>
    <row r="19" spans="1:4" ht="14.25" customHeight="1" x14ac:dyDescent="0.2"/>
    <row r="20" spans="1:4" ht="14.25" customHeight="1" x14ac:dyDescent="0.2"/>
    <row r="21" spans="1:4" ht="14.25" customHeight="1" x14ac:dyDescent="0.2"/>
    <row r="22" spans="1:4" ht="14.25" customHeight="1" x14ac:dyDescent="0.2"/>
    <row r="23" spans="1:4" ht="14.25" customHeight="1" x14ac:dyDescent="0.2"/>
    <row r="24" spans="1:4" ht="14.25" customHeight="1" x14ac:dyDescent="0.2"/>
    <row r="25" spans="1:4" ht="14.25" customHeight="1" x14ac:dyDescent="0.2"/>
    <row r="26" spans="1:4" ht="14.25" customHeight="1" x14ac:dyDescent="0.2"/>
    <row r="27" spans="1:4" ht="14.25" customHeight="1" x14ac:dyDescent="0.2"/>
    <row r="28" spans="1:4" ht="14.25" customHeight="1" x14ac:dyDescent="0.2"/>
    <row r="29" spans="1:4" ht="14.25" customHeight="1" x14ac:dyDescent="0.2"/>
    <row r="30" spans="1:4" ht="14.25" customHeight="1" x14ac:dyDescent="0.2"/>
    <row r="31" spans="1:4" ht="14.25" customHeight="1" x14ac:dyDescent="0.2"/>
    <row r="32" spans="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C1000"/>
  <sheetViews>
    <sheetView workbookViewId="0"/>
  </sheetViews>
  <sheetFormatPr baseColWidth="10" defaultColWidth="14.5" defaultRowHeight="15" customHeight="1" x14ac:dyDescent="0.2"/>
  <cols>
    <col min="1" max="1" width="15.1640625" customWidth="1"/>
    <col min="2" max="2" width="11" customWidth="1"/>
    <col min="3" max="3" width="24.33203125" customWidth="1"/>
    <col min="4" max="26" width="8.6640625" customWidth="1"/>
  </cols>
  <sheetData>
    <row r="1" spans="1:3" ht="14.25" customHeight="1" x14ac:dyDescent="0.2">
      <c r="B1" s="3" t="s">
        <v>92</v>
      </c>
      <c r="C1" s="79"/>
    </row>
    <row r="2" spans="1:3" ht="14.25" customHeight="1" x14ac:dyDescent="0.2">
      <c r="A2" s="3" t="s">
        <v>93</v>
      </c>
      <c r="B2" s="80">
        <f>1</f>
        <v>1</v>
      </c>
    </row>
    <row r="3" spans="1:3" ht="14.25" customHeight="1" x14ac:dyDescent="0.2">
      <c r="B3" s="77"/>
    </row>
    <row r="4" spans="1:3" ht="14.25" customHeight="1" x14ac:dyDescent="0.2">
      <c r="B4" s="77"/>
    </row>
    <row r="5" spans="1:3" ht="14.25" customHeight="1" x14ac:dyDescent="0.2">
      <c r="B5" s="77"/>
    </row>
    <row r="6" spans="1:3" ht="14.25" customHeight="1" x14ac:dyDescent="0.2">
      <c r="B6" s="77"/>
    </row>
    <row r="7" spans="1:3" ht="14.25" customHeight="1" x14ac:dyDescent="0.2">
      <c r="B7" s="77"/>
    </row>
    <row r="8" spans="1:3" ht="14.25" customHeight="1" x14ac:dyDescent="0.2">
      <c r="B8" s="77"/>
    </row>
    <row r="9" spans="1:3" ht="14.25" customHeight="1" x14ac:dyDescent="0.2">
      <c r="B9" s="77"/>
    </row>
    <row r="10" spans="1:3" ht="14.25" customHeight="1" x14ac:dyDescent="0.2">
      <c r="B10" s="77"/>
    </row>
    <row r="11" spans="1:3" ht="14.25" customHeight="1" x14ac:dyDescent="0.2">
      <c r="B11" s="77"/>
    </row>
    <row r="12" spans="1:3" ht="14.25" customHeight="1" x14ac:dyDescent="0.2">
      <c r="B12" s="77"/>
    </row>
    <row r="13" spans="1:3" ht="14.25" customHeight="1" x14ac:dyDescent="0.2"/>
    <row r="14" spans="1:3" ht="14.25" customHeight="1" x14ac:dyDescent="0.2"/>
    <row r="15" spans="1:3" ht="14.25" customHeight="1" x14ac:dyDescent="0.2"/>
    <row r="16" spans="1: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Generation</vt:lpstr>
      <vt:lpstr>Capacity</vt:lpstr>
      <vt:lpstr>SYC-SYEGC</vt:lpstr>
      <vt:lpstr>SYC-FoPtPFP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Sy, Saidou Abdoulaye</cp:lastModifiedBy>
  <dcterms:created xsi:type="dcterms:W3CDTF">2016-02-27T00:53:39Z</dcterms:created>
  <dcterms:modified xsi:type="dcterms:W3CDTF">2025-03-09T10:12:11Z</dcterms:modified>
</cp:coreProperties>
</file>