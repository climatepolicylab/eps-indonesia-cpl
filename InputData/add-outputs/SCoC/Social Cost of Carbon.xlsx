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Indonesia/InputData/add-outputs/SCoC/"/>
    </mc:Choice>
  </mc:AlternateContent>
  <xr:revisionPtr revIDLastSave="0" documentId="13_ncr:1_{97769EB2-12AF-3B43-AB64-CC2F26EE205A}" xr6:coauthVersionLast="47" xr6:coauthVersionMax="47" xr10:uidLastSave="{00000000-0000-0000-0000-000000000000}"/>
  <bookViews>
    <workbookView xWindow="0" yWindow="760" windowWidth="34200" windowHeight="21380" activeTab="2" xr2:uid="{00000000-000D-0000-FFFF-FFFF00000000}"/>
  </bookViews>
  <sheets>
    <sheet name="About" sheetId="1" r:id="rId1"/>
    <sheet name="SourceData" sheetId="2" r:id="rId2"/>
    <sheet name="SC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3" l="1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H45" i="2"/>
  <c r="I45" i="2"/>
  <c r="J45" i="2"/>
  <c r="K45" i="2"/>
  <c r="H46" i="2"/>
  <c r="I46" i="2"/>
  <c r="J46" i="2"/>
  <c r="K46" i="2"/>
  <c r="H47" i="2"/>
  <c r="I47" i="2"/>
  <c r="J47" i="2"/>
  <c r="K47" i="2"/>
  <c r="H48" i="2"/>
  <c r="I48" i="2"/>
  <c r="J48" i="2"/>
  <c r="K48" i="2"/>
  <c r="H49" i="2"/>
  <c r="I49" i="2"/>
  <c r="J49" i="2"/>
  <c r="K49" i="2"/>
  <c r="H50" i="2"/>
  <c r="I50" i="2"/>
  <c r="J50" i="2"/>
  <c r="K50" i="2"/>
  <c r="H51" i="2"/>
  <c r="I51" i="2"/>
  <c r="J51" i="2"/>
  <c r="K51" i="2"/>
  <c r="H52" i="2"/>
  <c r="I52" i="2"/>
  <c r="J52" i="2"/>
  <c r="K52" i="2"/>
  <c r="H53" i="2"/>
  <c r="I53" i="2"/>
  <c r="J53" i="2"/>
  <c r="K53" i="2"/>
  <c r="H54" i="2"/>
  <c r="I54" i="2"/>
  <c r="J54" i="2"/>
  <c r="K54" i="2"/>
  <c r="H55" i="2"/>
  <c r="I55" i="2"/>
  <c r="J55" i="2"/>
  <c r="K55" i="2"/>
  <c r="H56" i="2"/>
  <c r="I56" i="2"/>
  <c r="J56" i="2"/>
  <c r="K56" i="2"/>
  <c r="H57" i="2"/>
  <c r="I57" i="2"/>
  <c r="J57" i="2"/>
  <c r="K57" i="2"/>
  <c r="H58" i="2"/>
  <c r="I58" i="2"/>
  <c r="J58" i="2"/>
  <c r="K58" i="2"/>
  <c r="H59" i="2"/>
  <c r="I59" i="2"/>
  <c r="J59" i="2"/>
  <c r="K59" i="2"/>
  <c r="H60" i="2"/>
  <c r="I60" i="2"/>
  <c r="J60" i="2"/>
  <c r="K60" i="2"/>
  <c r="H61" i="2"/>
  <c r="I61" i="2"/>
  <c r="J61" i="2"/>
  <c r="K61" i="2"/>
  <c r="H62" i="2"/>
  <c r="I62" i="2"/>
  <c r="J62" i="2"/>
  <c r="K62" i="2"/>
  <c r="H63" i="2"/>
  <c r="I63" i="2"/>
  <c r="J63" i="2"/>
  <c r="K63" i="2"/>
  <c r="H64" i="2"/>
  <c r="I64" i="2"/>
  <c r="J64" i="2"/>
  <c r="K64" i="2"/>
  <c r="B46" i="2"/>
  <c r="C46" i="2" s="1"/>
  <c r="D46" i="2" s="1"/>
  <c r="E46" i="2" s="1"/>
  <c r="C45" i="2"/>
  <c r="D45" i="2" s="1"/>
  <c r="E45" i="2" s="1"/>
  <c r="B45" i="2"/>
  <c r="B47" i="2" l="1"/>
  <c r="H5" i="2"/>
  <c r="I5" i="2"/>
  <c r="J5" i="2"/>
  <c r="K5" i="2"/>
  <c r="H6" i="2"/>
  <c r="I6" i="2"/>
  <c r="J6" i="2"/>
  <c r="K6" i="2"/>
  <c r="H7" i="2"/>
  <c r="I7" i="2"/>
  <c r="J7" i="2"/>
  <c r="K7" i="2"/>
  <c r="H8" i="2"/>
  <c r="I8" i="2"/>
  <c r="J8" i="2"/>
  <c r="K8" i="2"/>
  <c r="H9" i="2"/>
  <c r="I9" i="2"/>
  <c r="J9" i="2"/>
  <c r="K9" i="2"/>
  <c r="H10" i="2"/>
  <c r="I10" i="2"/>
  <c r="J10" i="2"/>
  <c r="K10" i="2"/>
  <c r="H11" i="2"/>
  <c r="I11" i="2"/>
  <c r="J11" i="2"/>
  <c r="K11" i="2"/>
  <c r="H12" i="2"/>
  <c r="I12" i="2"/>
  <c r="J12" i="2"/>
  <c r="K12" i="2"/>
  <c r="H13" i="2"/>
  <c r="I13" i="2"/>
  <c r="J13" i="2"/>
  <c r="K13" i="2"/>
  <c r="H14" i="2"/>
  <c r="I14" i="2"/>
  <c r="J14" i="2"/>
  <c r="K14" i="2"/>
  <c r="H15" i="2"/>
  <c r="I15" i="2"/>
  <c r="J15" i="2"/>
  <c r="K15" i="2"/>
  <c r="H16" i="2"/>
  <c r="I16" i="2"/>
  <c r="J16" i="2"/>
  <c r="K16" i="2"/>
  <c r="H17" i="2"/>
  <c r="I17" i="2"/>
  <c r="J17" i="2"/>
  <c r="K17" i="2"/>
  <c r="H18" i="2"/>
  <c r="I18" i="2"/>
  <c r="J18" i="2"/>
  <c r="K18" i="2"/>
  <c r="H19" i="2"/>
  <c r="I19" i="2"/>
  <c r="J19" i="2"/>
  <c r="K19" i="2"/>
  <c r="H20" i="2"/>
  <c r="I20" i="2"/>
  <c r="J20" i="2"/>
  <c r="K20" i="2"/>
  <c r="H21" i="2"/>
  <c r="I21" i="2"/>
  <c r="J21" i="2"/>
  <c r="K21" i="2"/>
  <c r="H22" i="2"/>
  <c r="I22" i="2"/>
  <c r="J22" i="2"/>
  <c r="K22" i="2"/>
  <c r="H23" i="2"/>
  <c r="I23" i="2"/>
  <c r="J23" i="2"/>
  <c r="K23" i="2"/>
  <c r="H24" i="2"/>
  <c r="I24" i="2"/>
  <c r="J24" i="2"/>
  <c r="K24" i="2"/>
  <c r="H25" i="2"/>
  <c r="I25" i="2"/>
  <c r="J25" i="2"/>
  <c r="K25" i="2"/>
  <c r="H26" i="2"/>
  <c r="I26" i="2"/>
  <c r="J26" i="2"/>
  <c r="K26" i="2"/>
  <c r="H27" i="2"/>
  <c r="I27" i="2"/>
  <c r="J27" i="2"/>
  <c r="K27" i="2"/>
  <c r="H28" i="2"/>
  <c r="I28" i="2"/>
  <c r="J28" i="2"/>
  <c r="K28" i="2"/>
  <c r="H29" i="2"/>
  <c r="I29" i="2"/>
  <c r="J29" i="2"/>
  <c r="K29" i="2"/>
  <c r="H30" i="2"/>
  <c r="I30" i="2"/>
  <c r="J30" i="2"/>
  <c r="K30" i="2"/>
  <c r="H31" i="2"/>
  <c r="I31" i="2"/>
  <c r="J31" i="2"/>
  <c r="K31" i="2"/>
  <c r="H32" i="2"/>
  <c r="I32" i="2"/>
  <c r="J32" i="2"/>
  <c r="K32" i="2"/>
  <c r="H33" i="2"/>
  <c r="I33" i="2"/>
  <c r="J33" i="2"/>
  <c r="K33" i="2"/>
  <c r="H34" i="2"/>
  <c r="I34" i="2"/>
  <c r="J34" i="2"/>
  <c r="K34" i="2"/>
  <c r="H35" i="2"/>
  <c r="I35" i="2"/>
  <c r="J35" i="2"/>
  <c r="K35" i="2"/>
  <c r="H36" i="2"/>
  <c r="I36" i="2"/>
  <c r="J36" i="2"/>
  <c r="K36" i="2"/>
  <c r="H37" i="2"/>
  <c r="I37" i="2"/>
  <c r="J37" i="2"/>
  <c r="K37" i="2"/>
  <c r="H38" i="2"/>
  <c r="I38" i="2"/>
  <c r="J38" i="2"/>
  <c r="K38" i="2"/>
  <c r="H39" i="2"/>
  <c r="I39" i="2"/>
  <c r="J39" i="2"/>
  <c r="K39" i="2"/>
  <c r="H40" i="2"/>
  <c r="I40" i="2"/>
  <c r="J40" i="2"/>
  <c r="K40" i="2"/>
  <c r="H41" i="2"/>
  <c r="I41" i="2"/>
  <c r="J41" i="2"/>
  <c r="K41" i="2"/>
  <c r="H42" i="2"/>
  <c r="I42" i="2"/>
  <c r="J42" i="2"/>
  <c r="K42" i="2"/>
  <c r="H43" i="2"/>
  <c r="I43" i="2"/>
  <c r="J43" i="2"/>
  <c r="K43" i="2"/>
  <c r="H44" i="2"/>
  <c r="I44" i="2"/>
  <c r="J44" i="2"/>
  <c r="K44" i="2"/>
  <c r="I4" i="2"/>
  <c r="J4" i="2"/>
  <c r="K4" i="2"/>
  <c r="H4" i="2"/>
  <c r="C47" i="2" l="1"/>
  <c r="D47" i="2" s="1"/>
  <c r="E47" i="2" s="1"/>
  <c r="B48" i="2"/>
  <c r="C48" i="2" s="1"/>
  <c r="D48" i="2" s="1"/>
  <c r="E48" i="2" s="1"/>
  <c r="B38" i="3"/>
  <c r="B39" i="3"/>
  <c r="B40" i="3"/>
  <c r="B41" i="3"/>
  <c r="B4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2" i="3"/>
  <c r="G5" i="2"/>
  <c r="A3" i="3" s="1"/>
  <c r="G6" i="2"/>
  <c r="A4" i="3" s="1"/>
  <c r="G7" i="2"/>
  <c r="A5" i="3" s="1"/>
  <c r="G8" i="2"/>
  <c r="A6" i="3" s="1"/>
  <c r="G9" i="2"/>
  <c r="A7" i="3" s="1"/>
  <c r="G10" i="2"/>
  <c r="A8" i="3" s="1"/>
  <c r="G11" i="2"/>
  <c r="A9" i="3" s="1"/>
  <c r="G12" i="2"/>
  <c r="A10" i="3" s="1"/>
  <c r="G13" i="2"/>
  <c r="A11" i="3" s="1"/>
  <c r="G14" i="2"/>
  <c r="A12" i="3" s="1"/>
  <c r="G15" i="2"/>
  <c r="A13" i="3" s="1"/>
  <c r="G16" i="2"/>
  <c r="A14" i="3" s="1"/>
  <c r="G17" i="2"/>
  <c r="A15" i="3" s="1"/>
  <c r="G18" i="2"/>
  <c r="A16" i="3" s="1"/>
  <c r="G19" i="2"/>
  <c r="A17" i="3" s="1"/>
  <c r="G20" i="2"/>
  <c r="A18" i="3" s="1"/>
  <c r="G21" i="2"/>
  <c r="A19" i="3" s="1"/>
  <c r="G22" i="2"/>
  <c r="A20" i="3" s="1"/>
  <c r="G23" i="2"/>
  <c r="A21" i="3" s="1"/>
  <c r="G24" i="2"/>
  <c r="A22" i="3" s="1"/>
  <c r="G25" i="2"/>
  <c r="A23" i="3" s="1"/>
  <c r="G26" i="2"/>
  <c r="A24" i="3" s="1"/>
  <c r="G27" i="2"/>
  <c r="A25" i="3" s="1"/>
  <c r="G28" i="2"/>
  <c r="A26" i="3" s="1"/>
  <c r="G29" i="2"/>
  <c r="A27" i="3" s="1"/>
  <c r="G30" i="2"/>
  <c r="A28" i="3" s="1"/>
  <c r="G31" i="2"/>
  <c r="A29" i="3" s="1"/>
  <c r="G32" i="2"/>
  <c r="A30" i="3" s="1"/>
  <c r="G33" i="2"/>
  <c r="A31" i="3" s="1"/>
  <c r="G34" i="2"/>
  <c r="A32" i="3" s="1"/>
  <c r="G35" i="2"/>
  <c r="A33" i="3" s="1"/>
  <c r="G36" i="2"/>
  <c r="A34" i="3" s="1"/>
  <c r="G37" i="2"/>
  <c r="A35" i="3" s="1"/>
  <c r="G38" i="2"/>
  <c r="A36" i="3" s="1"/>
  <c r="G39" i="2"/>
  <c r="A37" i="3" s="1"/>
  <c r="G40" i="2"/>
  <c r="A38" i="3" s="1"/>
  <c r="G41" i="2"/>
  <c r="A39" i="3" s="1"/>
  <c r="G42" i="2"/>
  <c r="A40" i="3" s="1"/>
  <c r="G43" i="2"/>
  <c r="A41" i="3" s="1"/>
  <c r="G44" i="2"/>
  <c r="A42" i="3" s="1"/>
  <c r="G4" i="2"/>
  <c r="A2" i="3" s="1"/>
  <c r="B49" i="2" l="1"/>
  <c r="C49" i="2" s="1"/>
  <c r="D49" i="2" s="1"/>
  <c r="E49" i="2" s="1"/>
  <c r="B50" i="2"/>
  <c r="C50" i="2" s="1"/>
  <c r="D50" i="2" s="1"/>
  <c r="E50" i="2" s="1"/>
  <c r="B51" i="2" l="1"/>
  <c r="C51" i="2" s="1"/>
  <c r="D51" i="2" s="1"/>
  <c r="E51" i="2" s="1"/>
  <c r="B52" i="2" l="1"/>
  <c r="C52" i="2" s="1"/>
  <c r="D52" i="2" s="1"/>
  <c r="E52" i="2" s="1"/>
  <c r="B53" i="2"/>
  <c r="C53" i="2" s="1"/>
  <c r="D53" i="2" s="1"/>
  <c r="E53" i="2" s="1"/>
  <c r="B54" i="2" l="1"/>
  <c r="C54" i="2" s="1"/>
  <c r="D54" i="2" s="1"/>
  <c r="E54" i="2" s="1"/>
  <c r="B55" i="2" l="1"/>
  <c r="C55" i="2" l="1"/>
  <c r="D55" i="2" s="1"/>
  <c r="E55" i="2" s="1"/>
  <c r="B56" i="2"/>
  <c r="C56" i="2" l="1"/>
  <c r="D56" i="2" s="1"/>
  <c r="E56" i="2" s="1"/>
  <c r="B57" i="2"/>
  <c r="C57" i="2" l="1"/>
  <c r="D57" i="2" s="1"/>
  <c r="E57" i="2" s="1"/>
  <c r="B58" i="2"/>
  <c r="C58" i="2" l="1"/>
  <c r="D58" i="2" s="1"/>
  <c r="E58" i="2" s="1"/>
  <c r="B59" i="2"/>
  <c r="C59" i="2" l="1"/>
  <c r="D59" i="2" s="1"/>
  <c r="E59" i="2" s="1"/>
  <c r="B60" i="2"/>
  <c r="C60" i="2" l="1"/>
  <c r="D60" i="2" s="1"/>
  <c r="E60" i="2" s="1"/>
  <c r="B61" i="2"/>
  <c r="C61" i="2" l="1"/>
  <c r="D61" i="2" s="1"/>
  <c r="E61" i="2" s="1"/>
  <c r="B62" i="2"/>
  <c r="C62" i="2" l="1"/>
  <c r="D62" i="2" s="1"/>
  <c r="E62" i="2" s="1"/>
  <c r="B63" i="2"/>
  <c r="C63" i="2" l="1"/>
  <c r="D63" i="2" s="1"/>
  <c r="E63" i="2" s="1"/>
  <c r="B64" i="2"/>
  <c r="C64" i="2" s="1"/>
  <c r="D64" i="2" s="1"/>
  <c r="E64" i="2" s="1"/>
</calcChain>
</file>

<file path=xl/sharedStrings.xml><?xml version="1.0" encoding="utf-8"?>
<sst xmlns="http://schemas.openxmlformats.org/spreadsheetml/2006/main" count="30" uniqueCount="22">
  <si>
    <t>Source:</t>
  </si>
  <si>
    <t>Interagency Working Group on Social Cost of Carbon, United States Government</t>
  </si>
  <si>
    <t>Technical Update of the Social Cost of Carbon for Regulatory Impact Analysis</t>
  </si>
  <si>
    <t>Discount Rate</t>
  </si>
  <si>
    <t>Year</t>
  </si>
  <si>
    <t>Percentile</t>
  </si>
  <si>
    <t>Avg</t>
  </si>
  <si>
    <t>95th%</t>
  </si>
  <si>
    <t>Source Data in 2007 dollars/metric ton CO2</t>
  </si>
  <si>
    <t>Data in 2012 dollars/gram CO2</t>
  </si>
  <si>
    <t>SCoC Social Cost of Carbon</t>
  </si>
  <si>
    <t>Notes:</t>
  </si>
  <si>
    <t>a 3% discount rate, so this is the rate we use in this model.</t>
  </si>
  <si>
    <t>Note that this differs from the discount rate specified in the "DR Discount Rate" variable, which is</t>
  </si>
  <si>
    <t>based on the Office of Management and Budget guidelines for analysis of prospective investments and policies.</t>
  </si>
  <si>
    <t>See "cpi.xlsx" in the InputData folder for source information.</t>
  </si>
  <si>
    <t>We adjust 2007 dollars to 2012 dollars using the following conversion factor:</t>
  </si>
  <si>
    <t>Page 17, Table A1</t>
  </si>
  <si>
    <t>https://www.whitehouse.gov/sites/default/files/omb/inforeg/scc-tsd-final-july-2015.pdf</t>
  </si>
  <si>
    <t>Social Cost of Carbon ($/g CO2e)</t>
  </si>
  <si>
    <t>When considering the Social Cost of Carbon, meant to capture the long-term economic damage caused by one</t>
  </si>
  <si>
    <t>ton of carbon dioxide emitted, the U.S. government typically uses the figures based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</si>
</sst>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164" fontId="1" fillId="2" borderId="0" xfId="0" applyNumberFormat="1" applyFont="1" applyFill="1"/>
    <xf numFmtId="0" fontId="1" fillId="2" borderId="0" xfId="0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165" fontId="0" fillId="0" borderId="0" xfId="0" applyNumberFormat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11" fontId="0" fillId="0" borderId="0" xfId="0" applyNumberFormat="1"/>
    <xf numFmtId="0" fontId="0" fillId="0" borderId="0" xfId="0" applyFont="1"/>
  </cellXfs>
  <cellStyles count="8">
    <cellStyle name="Body: normal cell" xfId="5" xr:uid="{00000000-0005-0000-0000-000000000000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Parent row" xfId="6" xr:uid="{00000000-0005-0000-0000-000006000000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D10" sqref="D10"/>
    </sheetView>
  </sheetViews>
  <sheetFormatPr baseColWidth="10" defaultColWidth="8.83203125" defaultRowHeight="15" x14ac:dyDescent="0.2"/>
  <cols>
    <col min="2" max="2" width="97.1640625" customWidth="1"/>
  </cols>
  <sheetData>
    <row r="1" spans="1:2" x14ac:dyDescent="0.2">
      <c r="A1" s="1" t="s">
        <v>10</v>
      </c>
    </row>
    <row r="3" spans="1:2" x14ac:dyDescent="0.2">
      <c r="A3" s="1" t="s">
        <v>0</v>
      </c>
      <c r="B3" t="s">
        <v>1</v>
      </c>
    </row>
    <row r="4" spans="1:2" x14ac:dyDescent="0.2">
      <c r="B4" s="2">
        <v>2015</v>
      </c>
    </row>
    <row r="5" spans="1:2" x14ac:dyDescent="0.2">
      <c r="B5" t="s">
        <v>2</v>
      </c>
    </row>
    <row r="6" spans="1:2" x14ac:dyDescent="0.2">
      <c r="B6" s="3" t="s">
        <v>18</v>
      </c>
    </row>
    <row r="7" spans="1:2" x14ac:dyDescent="0.2">
      <c r="B7" t="s">
        <v>17</v>
      </c>
    </row>
    <row r="9" spans="1:2" x14ac:dyDescent="0.2">
      <c r="A9" s="1" t="s">
        <v>11</v>
      </c>
    </row>
    <row r="10" spans="1:2" x14ac:dyDescent="0.2">
      <c r="A10" t="s">
        <v>20</v>
      </c>
    </row>
    <row r="11" spans="1:2" x14ac:dyDescent="0.2">
      <c r="A11" t="s">
        <v>21</v>
      </c>
    </row>
    <row r="12" spans="1:2" x14ac:dyDescent="0.2">
      <c r="A12" t="s">
        <v>12</v>
      </c>
    </row>
    <row r="13" spans="1:2" x14ac:dyDescent="0.2">
      <c r="A13" t="s">
        <v>13</v>
      </c>
    </row>
    <row r="14" spans="1:2" x14ac:dyDescent="0.2">
      <c r="A14" t="s">
        <v>14</v>
      </c>
    </row>
    <row r="16" spans="1:2" x14ac:dyDescent="0.2">
      <c r="A16" t="s">
        <v>16</v>
      </c>
    </row>
    <row r="17" spans="1:1" x14ac:dyDescent="0.2">
      <c r="A17">
        <v>1.109</v>
      </c>
    </row>
    <row r="18" spans="1:1" x14ac:dyDescent="0.2">
      <c r="A18" t="s">
        <v>15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4"/>
  <sheetViews>
    <sheetView topLeftCell="A18" workbookViewId="0">
      <selection activeCell="M61" sqref="M61"/>
    </sheetView>
  </sheetViews>
  <sheetFormatPr baseColWidth="10" defaultColWidth="8.83203125" defaultRowHeight="15" x14ac:dyDescent="0.2"/>
  <cols>
    <col min="1" max="1" width="13.5" customWidth="1"/>
    <col min="7" max="7" width="13.83203125" customWidth="1"/>
  </cols>
  <sheetData>
    <row r="1" spans="1:11" x14ac:dyDescent="0.2">
      <c r="A1" s="8" t="s">
        <v>8</v>
      </c>
      <c r="B1" s="9"/>
      <c r="C1" s="9"/>
      <c r="D1" s="9"/>
      <c r="E1" s="9"/>
      <c r="G1" s="10" t="s">
        <v>9</v>
      </c>
      <c r="H1" s="11"/>
      <c r="I1" s="11"/>
      <c r="J1" s="11"/>
      <c r="K1" s="11"/>
    </row>
    <row r="2" spans="1:11" x14ac:dyDescent="0.2">
      <c r="A2" s="5" t="s">
        <v>3</v>
      </c>
      <c r="B2" s="4">
        <v>0.05</v>
      </c>
      <c r="C2" s="4">
        <v>0.03</v>
      </c>
      <c r="D2" s="4">
        <v>2.5000000000000001E-2</v>
      </c>
      <c r="E2" s="4">
        <v>0.03</v>
      </c>
      <c r="G2" s="5" t="s">
        <v>3</v>
      </c>
      <c r="H2" s="4">
        <v>0.05</v>
      </c>
      <c r="I2" s="4">
        <v>0.03</v>
      </c>
      <c r="J2" s="4">
        <v>2.5000000000000001E-2</v>
      </c>
      <c r="K2" s="4">
        <v>0.03</v>
      </c>
    </row>
    <row r="3" spans="1:11" x14ac:dyDescent="0.2">
      <c r="A3" s="5" t="s">
        <v>5</v>
      </c>
      <c r="B3" s="6" t="s">
        <v>6</v>
      </c>
      <c r="C3" s="6" t="s">
        <v>6</v>
      </c>
      <c r="D3" s="6" t="s">
        <v>6</v>
      </c>
      <c r="E3" s="6" t="s">
        <v>7</v>
      </c>
      <c r="G3" s="5" t="s">
        <v>5</v>
      </c>
      <c r="H3" s="6" t="s">
        <v>6</v>
      </c>
      <c r="I3" s="6" t="s">
        <v>6</v>
      </c>
      <c r="J3" s="6" t="s">
        <v>6</v>
      </c>
      <c r="K3" s="6" t="s">
        <v>7</v>
      </c>
    </row>
    <row r="4" spans="1:11" x14ac:dyDescent="0.2">
      <c r="A4">
        <v>2010</v>
      </c>
      <c r="B4" s="7">
        <v>10</v>
      </c>
      <c r="C4" s="7">
        <v>31</v>
      </c>
      <c r="D4" s="7">
        <v>50</v>
      </c>
      <c r="E4" s="7">
        <v>86</v>
      </c>
      <c r="G4" s="1">
        <f>A4</f>
        <v>2010</v>
      </c>
      <c r="H4" s="12">
        <f>B4*(About!$A$17)/10^6</f>
        <v>1.1090000000000001E-5</v>
      </c>
      <c r="I4" s="12">
        <f>C4*(About!$A$17)/10^6</f>
        <v>3.4378999999999997E-5</v>
      </c>
      <c r="J4" s="12">
        <f>D4*(About!$A$17)/10^6</f>
        <v>5.5450000000000006E-5</v>
      </c>
      <c r="K4" s="12">
        <f>E4*(About!$A$17)/10^6</f>
        <v>9.5373999999999999E-5</v>
      </c>
    </row>
    <row r="5" spans="1:11" x14ac:dyDescent="0.2">
      <c r="A5">
        <v>2011</v>
      </c>
      <c r="B5" s="7">
        <v>11</v>
      </c>
      <c r="C5" s="7">
        <v>32</v>
      </c>
      <c r="D5" s="7">
        <v>51</v>
      </c>
      <c r="E5" s="7">
        <v>90</v>
      </c>
      <c r="G5" s="1">
        <f t="shared" ref="G5:G44" si="0">A5</f>
        <v>2011</v>
      </c>
      <c r="H5" s="12">
        <f>B5*(About!$A$17)/10^6</f>
        <v>1.2199E-5</v>
      </c>
      <c r="I5" s="12">
        <f>C5*(About!$A$17)/10^6</f>
        <v>3.5487999999999996E-5</v>
      </c>
      <c r="J5" s="12">
        <f>D5*(About!$A$17)/10^6</f>
        <v>5.6558999999999998E-5</v>
      </c>
      <c r="K5" s="12">
        <f>E5*(About!$A$17)/10^6</f>
        <v>9.9810000000000008E-5</v>
      </c>
    </row>
    <row r="6" spans="1:11" x14ac:dyDescent="0.2">
      <c r="A6">
        <v>2012</v>
      </c>
      <c r="B6" s="7">
        <v>11</v>
      </c>
      <c r="C6" s="7">
        <v>33</v>
      </c>
      <c r="D6" s="7">
        <v>53</v>
      </c>
      <c r="E6" s="7">
        <v>93</v>
      </c>
      <c r="G6" s="1">
        <f t="shared" si="0"/>
        <v>2012</v>
      </c>
      <c r="H6" s="12">
        <f>B6*(About!$A$17)/10^6</f>
        <v>1.2199E-5</v>
      </c>
      <c r="I6" s="12">
        <f>C6*(About!$A$17)/10^6</f>
        <v>3.6597000000000002E-5</v>
      </c>
      <c r="J6" s="12">
        <f>D6*(About!$A$17)/10^6</f>
        <v>5.8777000000000003E-5</v>
      </c>
      <c r="K6" s="12">
        <f>E6*(About!$A$17)/10^6</f>
        <v>1.03137E-4</v>
      </c>
    </row>
    <row r="7" spans="1:11" x14ac:dyDescent="0.2">
      <c r="A7">
        <v>2013</v>
      </c>
      <c r="B7" s="7">
        <v>11</v>
      </c>
      <c r="C7" s="7">
        <v>34</v>
      </c>
      <c r="D7" s="7">
        <v>54</v>
      </c>
      <c r="E7" s="7">
        <v>97</v>
      </c>
      <c r="G7" s="1">
        <f t="shared" si="0"/>
        <v>2013</v>
      </c>
      <c r="H7" s="12">
        <f>B7*(About!$A$17)/10^6</f>
        <v>1.2199E-5</v>
      </c>
      <c r="I7" s="12">
        <f>C7*(About!$A$17)/10^6</f>
        <v>3.7706000000000001E-5</v>
      </c>
      <c r="J7" s="12">
        <f>D7*(About!$A$17)/10^6</f>
        <v>5.9885999999999995E-5</v>
      </c>
      <c r="K7" s="12">
        <f>E7*(About!$A$17)/10^6</f>
        <v>1.0757299999999999E-4</v>
      </c>
    </row>
    <row r="8" spans="1:11" x14ac:dyDescent="0.2">
      <c r="A8">
        <v>2014</v>
      </c>
      <c r="B8" s="7">
        <v>11</v>
      </c>
      <c r="C8" s="7">
        <v>35</v>
      </c>
      <c r="D8" s="7">
        <v>55</v>
      </c>
      <c r="E8" s="7">
        <v>101</v>
      </c>
      <c r="G8" s="1">
        <f t="shared" si="0"/>
        <v>2014</v>
      </c>
      <c r="H8" s="12">
        <f>B8*(About!$A$17)/10^6</f>
        <v>1.2199E-5</v>
      </c>
      <c r="I8" s="12">
        <f>C8*(About!$A$17)/10^6</f>
        <v>3.8815E-5</v>
      </c>
      <c r="J8" s="12">
        <f>D8*(About!$A$17)/10^6</f>
        <v>6.0994999999999995E-5</v>
      </c>
      <c r="K8" s="12">
        <f>E8*(About!$A$17)/10^6</f>
        <v>1.12009E-4</v>
      </c>
    </row>
    <row r="9" spans="1:11" x14ac:dyDescent="0.2">
      <c r="A9">
        <v>2015</v>
      </c>
      <c r="B9" s="7">
        <v>11</v>
      </c>
      <c r="C9" s="7">
        <v>36</v>
      </c>
      <c r="D9" s="7">
        <v>56</v>
      </c>
      <c r="E9" s="7">
        <v>105</v>
      </c>
      <c r="G9" s="1">
        <f t="shared" si="0"/>
        <v>2015</v>
      </c>
      <c r="H9" s="12">
        <f>B9*(About!$A$17)/10^6</f>
        <v>1.2199E-5</v>
      </c>
      <c r="I9" s="12">
        <f>C9*(About!$A$17)/10^6</f>
        <v>3.9923999999999999E-5</v>
      </c>
      <c r="J9" s="12">
        <f>D9*(About!$A$17)/10^6</f>
        <v>6.2104E-5</v>
      </c>
      <c r="K9" s="12">
        <f>E9*(About!$A$17)/10^6</f>
        <v>1.1644499999999999E-4</v>
      </c>
    </row>
    <row r="10" spans="1:11" x14ac:dyDescent="0.2">
      <c r="A10">
        <v>2016</v>
      </c>
      <c r="B10" s="7">
        <v>11</v>
      </c>
      <c r="C10" s="7">
        <v>38</v>
      </c>
      <c r="D10" s="7">
        <v>57</v>
      </c>
      <c r="E10" s="7">
        <v>108</v>
      </c>
      <c r="G10" s="1">
        <f t="shared" si="0"/>
        <v>2016</v>
      </c>
      <c r="H10" s="12">
        <f>B10*(About!$A$17)/10^6</f>
        <v>1.2199E-5</v>
      </c>
      <c r="I10" s="12">
        <f>C10*(About!$A$17)/10^6</f>
        <v>4.2141999999999997E-5</v>
      </c>
      <c r="J10" s="12">
        <f>D10*(About!$A$17)/10^6</f>
        <v>6.3213000000000006E-5</v>
      </c>
      <c r="K10" s="12">
        <f>E10*(About!$A$17)/10^6</f>
        <v>1.1977199999999999E-4</v>
      </c>
    </row>
    <row r="11" spans="1:11" x14ac:dyDescent="0.2">
      <c r="A11">
        <v>2017</v>
      </c>
      <c r="B11" s="7">
        <v>11</v>
      </c>
      <c r="C11" s="7">
        <v>39</v>
      </c>
      <c r="D11" s="7">
        <v>59</v>
      </c>
      <c r="E11" s="7">
        <v>112</v>
      </c>
      <c r="G11" s="1">
        <f t="shared" si="0"/>
        <v>2017</v>
      </c>
      <c r="H11" s="12">
        <f>B11*(About!$A$17)/10^6</f>
        <v>1.2199E-5</v>
      </c>
      <c r="I11" s="12">
        <f>C11*(About!$A$17)/10^6</f>
        <v>4.3250999999999996E-5</v>
      </c>
      <c r="J11" s="12">
        <f>D11*(About!$A$17)/10^6</f>
        <v>6.5430999999999991E-5</v>
      </c>
      <c r="K11" s="12">
        <f>E11*(About!$A$17)/10^6</f>
        <v>1.24208E-4</v>
      </c>
    </row>
    <row r="12" spans="1:11" x14ac:dyDescent="0.2">
      <c r="A12">
        <v>2018</v>
      </c>
      <c r="B12" s="7">
        <v>12</v>
      </c>
      <c r="C12" s="7">
        <v>40</v>
      </c>
      <c r="D12" s="7">
        <v>60</v>
      </c>
      <c r="E12" s="7">
        <v>116</v>
      </c>
      <c r="G12" s="1">
        <f t="shared" si="0"/>
        <v>2018</v>
      </c>
      <c r="H12" s="12">
        <f>B12*(About!$A$17)/10^6</f>
        <v>1.3308E-5</v>
      </c>
      <c r="I12" s="12">
        <f>C12*(About!$A$17)/10^6</f>
        <v>4.4360000000000002E-5</v>
      </c>
      <c r="J12" s="12">
        <f>D12*(About!$A$17)/10^6</f>
        <v>6.6539999999999997E-5</v>
      </c>
      <c r="K12" s="12">
        <f>E12*(About!$A$17)/10^6</f>
        <v>1.28644E-4</v>
      </c>
    </row>
    <row r="13" spans="1:11" x14ac:dyDescent="0.2">
      <c r="A13">
        <v>2019</v>
      </c>
      <c r="B13" s="7">
        <v>12</v>
      </c>
      <c r="C13" s="7">
        <v>41</v>
      </c>
      <c r="D13" s="7">
        <v>61</v>
      </c>
      <c r="E13" s="7">
        <v>120</v>
      </c>
      <c r="G13" s="1">
        <f t="shared" si="0"/>
        <v>2019</v>
      </c>
      <c r="H13" s="12">
        <f>B13*(About!$A$17)/10^6</f>
        <v>1.3308E-5</v>
      </c>
      <c r="I13" s="12">
        <f>C13*(About!$A$17)/10^6</f>
        <v>4.5469000000000001E-5</v>
      </c>
      <c r="J13" s="12">
        <f>D13*(About!$A$17)/10^6</f>
        <v>6.7649000000000002E-5</v>
      </c>
      <c r="K13" s="12">
        <f>E13*(About!$A$17)/10^6</f>
        <v>1.3307999999999999E-4</v>
      </c>
    </row>
    <row r="14" spans="1:11" x14ac:dyDescent="0.2">
      <c r="A14">
        <v>2020</v>
      </c>
      <c r="B14" s="7">
        <v>12</v>
      </c>
      <c r="C14" s="7">
        <v>42</v>
      </c>
      <c r="D14" s="7">
        <v>62</v>
      </c>
      <c r="E14" s="7">
        <v>123</v>
      </c>
      <c r="G14" s="1">
        <f t="shared" si="0"/>
        <v>2020</v>
      </c>
      <c r="H14" s="12">
        <f>B14*(About!$A$17)/10^6</f>
        <v>1.3308E-5</v>
      </c>
      <c r="I14" s="12">
        <f>C14*(About!$A$17)/10^6</f>
        <v>4.6578E-5</v>
      </c>
      <c r="J14" s="12">
        <f>D14*(About!$A$17)/10^6</f>
        <v>6.8757999999999995E-5</v>
      </c>
      <c r="K14" s="12">
        <f>E14*(About!$A$17)/10^6</f>
        <v>1.3640700000000001E-4</v>
      </c>
    </row>
    <row r="15" spans="1:11" x14ac:dyDescent="0.2">
      <c r="A15">
        <v>2021</v>
      </c>
      <c r="B15" s="7">
        <v>12</v>
      </c>
      <c r="C15" s="7">
        <v>42</v>
      </c>
      <c r="D15" s="7">
        <v>63</v>
      </c>
      <c r="E15" s="7">
        <v>126</v>
      </c>
      <c r="G15" s="1">
        <f t="shared" si="0"/>
        <v>2021</v>
      </c>
      <c r="H15" s="12">
        <f>B15*(About!$A$17)/10^6</f>
        <v>1.3308E-5</v>
      </c>
      <c r="I15" s="12">
        <f>C15*(About!$A$17)/10^6</f>
        <v>4.6578E-5</v>
      </c>
      <c r="J15" s="12">
        <f>D15*(About!$A$17)/10^6</f>
        <v>6.9867E-5</v>
      </c>
      <c r="K15" s="12">
        <f>E15*(About!$A$17)/10^6</f>
        <v>1.39734E-4</v>
      </c>
    </row>
    <row r="16" spans="1:11" x14ac:dyDescent="0.2">
      <c r="A16">
        <v>2022</v>
      </c>
      <c r="B16" s="7">
        <v>13</v>
      </c>
      <c r="C16" s="7">
        <v>43</v>
      </c>
      <c r="D16" s="7">
        <v>64</v>
      </c>
      <c r="E16" s="7">
        <v>129</v>
      </c>
      <c r="G16" s="1">
        <f t="shared" si="0"/>
        <v>2022</v>
      </c>
      <c r="H16" s="12">
        <f>B16*(About!$A$17)/10^6</f>
        <v>1.4416999999999999E-5</v>
      </c>
      <c r="I16" s="12">
        <f>C16*(About!$A$17)/10^6</f>
        <v>4.7686999999999999E-5</v>
      </c>
      <c r="J16" s="12">
        <f>D16*(About!$A$17)/10^6</f>
        <v>7.0975999999999993E-5</v>
      </c>
      <c r="K16" s="12">
        <f>E16*(About!$A$17)/10^6</f>
        <v>1.4306100000000002E-4</v>
      </c>
    </row>
    <row r="17" spans="1:11" x14ac:dyDescent="0.2">
      <c r="A17">
        <v>2023</v>
      </c>
      <c r="B17" s="7">
        <v>13</v>
      </c>
      <c r="C17" s="7">
        <v>44</v>
      </c>
      <c r="D17" s="7">
        <v>65</v>
      </c>
      <c r="E17" s="7">
        <v>132</v>
      </c>
      <c r="G17" s="1">
        <f t="shared" si="0"/>
        <v>2023</v>
      </c>
      <c r="H17" s="12">
        <f>B17*(About!$A$17)/10^6</f>
        <v>1.4416999999999999E-5</v>
      </c>
      <c r="I17" s="12">
        <f>C17*(About!$A$17)/10^6</f>
        <v>4.8795999999999998E-5</v>
      </c>
      <c r="J17" s="12">
        <f>D17*(About!$A$17)/10^6</f>
        <v>7.2084999999999998E-5</v>
      </c>
      <c r="K17" s="12">
        <f>E17*(About!$A$17)/10^6</f>
        <v>1.4638800000000001E-4</v>
      </c>
    </row>
    <row r="18" spans="1:11" x14ac:dyDescent="0.2">
      <c r="A18">
        <v>2024</v>
      </c>
      <c r="B18" s="7">
        <v>13</v>
      </c>
      <c r="C18" s="7">
        <v>45</v>
      </c>
      <c r="D18" s="7">
        <v>66</v>
      </c>
      <c r="E18" s="7">
        <v>135</v>
      </c>
      <c r="G18" s="1">
        <f t="shared" si="0"/>
        <v>2024</v>
      </c>
      <c r="H18" s="12">
        <f>B18*(About!$A$17)/10^6</f>
        <v>1.4416999999999999E-5</v>
      </c>
      <c r="I18" s="12">
        <f>C18*(About!$A$17)/10^6</f>
        <v>4.9905000000000004E-5</v>
      </c>
      <c r="J18" s="12">
        <f>D18*(About!$A$17)/10^6</f>
        <v>7.3194000000000004E-5</v>
      </c>
      <c r="K18" s="12">
        <f>E18*(About!$A$17)/10^6</f>
        <v>1.49715E-4</v>
      </c>
    </row>
    <row r="19" spans="1:11" x14ac:dyDescent="0.2">
      <c r="A19">
        <v>2025</v>
      </c>
      <c r="B19" s="7">
        <v>14</v>
      </c>
      <c r="C19" s="7">
        <v>46</v>
      </c>
      <c r="D19" s="7">
        <v>68</v>
      </c>
      <c r="E19" s="7">
        <v>138</v>
      </c>
      <c r="G19" s="1">
        <f t="shared" si="0"/>
        <v>2025</v>
      </c>
      <c r="H19" s="12">
        <f>B19*(About!$A$17)/10^6</f>
        <v>1.5526E-5</v>
      </c>
      <c r="I19" s="12">
        <f>C19*(About!$A$17)/10^6</f>
        <v>5.1013999999999996E-5</v>
      </c>
      <c r="J19" s="12">
        <f>D19*(About!$A$17)/10^6</f>
        <v>7.5412000000000002E-5</v>
      </c>
      <c r="K19" s="12">
        <f>E19*(About!$A$17)/10^6</f>
        <v>1.5304199999999999E-4</v>
      </c>
    </row>
    <row r="20" spans="1:11" x14ac:dyDescent="0.2">
      <c r="A20">
        <v>2026</v>
      </c>
      <c r="B20" s="7">
        <v>14</v>
      </c>
      <c r="C20" s="7">
        <v>47</v>
      </c>
      <c r="D20" s="7">
        <v>69</v>
      </c>
      <c r="E20" s="7">
        <v>141</v>
      </c>
      <c r="G20" s="1">
        <f t="shared" si="0"/>
        <v>2026</v>
      </c>
      <c r="H20" s="12">
        <f>B20*(About!$A$17)/10^6</f>
        <v>1.5526E-5</v>
      </c>
      <c r="I20" s="12">
        <f>C20*(About!$A$17)/10^6</f>
        <v>5.2122999999999995E-5</v>
      </c>
      <c r="J20" s="12">
        <f>D20*(About!$A$17)/10^6</f>
        <v>7.6520999999999995E-5</v>
      </c>
      <c r="K20" s="12">
        <f>E20*(About!$A$17)/10^6</f>
        <v>1.5636900000000001E-4</v>
      </c>
    </row>
    <row r="21" spans="1:11" x14ac:dyDescent="0.2">
      <c r="A21">
        <v>2027</v>
      </c>
      <c r="B21" s="7">
        <v>15</v>
      </c>
      <c r="C21" s="7">
        <v>48</v>
      </c>
      <c r="D21" s="7">
        <v>70</v>
      </c>
      <c r="E21" s="7">
        <v>143</v>
      </c>
      <c r="G21" s="1">
        <f t="shared" si="0"/>
        <v>2027</v>
      </c>
      <c r="H21" s="12">
        <f>B21*(About!$A$17)/10^6</f>
        <v>1.6634999999999999E-5</v>
      </c>
      <c r="I21" s="12">
        <f>C21*(About!$A$17)/10^6</f>
        <v>5.3232000000000001E-5</v>
      </c>
      <c r="J21" s="12">
        <f>D21*(About!$A$17)/10^6</f>
        <v>7.763E-5</v>
      </c>
      <c r="K21" s="12">
        <f>E21*(About!$A$17)/10^6</f>
        <v>1.5858699999999999E-4</v>
      </c>
    </row>
    <row r="22" spans="1:11" x14ac:dyDescent="0.2">
      <c r="A22">
        <v>2028</v>
      </c>
      <c r="B22" s="7">
        <v>15</v>
      </c>
      <c r="C22" s="7">
        <v>49</v>
      </c>
      <c r="D22" s="7">
        <v>71</v>
      </c>
      <c r="E22" s="7">
        <v>146</v>
      </c>
      <c r="G22" s="1">
        <f t="shared" si="0"/>
        <v>2028</v>
      </c>
      <c r="H22" s="12">
        <f>B22*(About!$A$17)/10^6</f>
        <v>1.6634999999999999E-5</v>
      </c>
      <c r="I22" s="12">
        <f>C22*(About!$A$17)/10^6</f>
        <v>5.4341E-5</v>
      </c>
      <c r="J22" s="12">
        <f>D22*(About!$A$17)/10^6</f>
        <v>7.8739000000000006E-5</v>
      </c>
      <c r="K22" s="12">
        <f>E22*(About!$A$17)/10^6</f>
        <v>1.6191399999999998E-4</v>
      </c>
    </row>
    <row r="23" spans="1:11" x14ac:dyDescent="0.2">
      <c r="A23">
        <v>2029</v>
      </c>
      <c r="B23" s="7">
        <v>15</v>
      </c>
      <c r="C23" s="7">
        <v>49</v>
      </c>
      <c r="D23" s="7">
        <v>72</v>
      </c>
      <c r="E23" s="7">
        <v>149</v>
      </c>
      <c r="G23" s="1">
        <f t="shared" si="0"/>
        <v>2029</v>
      </c>
      <c r="H23" s="12">
        <f>B23*(About!$A$17)/10^6</f>
        <v>1.6634999999999999E-5</v>
      </c>
      <c r="I23" s="12">
        <f>C23*(About!$A$17)/10^6</f>
        <v>5.4341E-5</v>
      </c>
      <c r="J23" s="12">
        <f>D23*(About!$A$17)/10^6</f>
        <v>7.9847999999999999E-5</v>
      </c>
      <c r="K23" s="12">
        <f>E23*(About!$A$17)/10^6</f>
        <v>1.65241E-4</v>
      </c>
    </row>
    <row r="24" spans="1:11" x14ac:dyDescent="0.2">
      <c r="A24">
        <v>2030</v>
      </c>
      <c r="B24" s="7">
        <v>16</v>
      </c>
      <c r="C24" s="7">
        <v>50</v>
      </c>
      <c r="D24" s="7">
        <v>73</v>
      </c>
      <c r="E24" s="7">
        <v>152</v>
      </c>
      <c r="G24" s="1">
        <f t="shared" si="0"/>
        <v>2030</v>
      </c>
      <c r="H24" s="12">
        <f>B24*(About!$A$17)/10^6</f>
        <v>1.7743999999999998E-5</v>
      </c>
      <c r="I24" s="12">
        <f>C24*(About!$A$17)/10^6</f>
        <v>5.5450000000000006E-5</v>
      </c>
      <c r="J24" s="12">
        <f>D24*(About!$A$17)/10^6</f>
        <v>8.0956999999999991E-5</v>
      </c>
      <c r="K24" s="12">
        <f>E24*(About!$A$17)/10^6</f>
        <v>1.6856799999999999E-4</v>
      </c>
    </row>
    <row r="25" spans="1:11" x14ac:dyDescent="0.2">
      <c r="A25">
        <v>2031</v>
      </c>
      <c r="B25" s="7">
        <v>16</v>
      </c>
      <c r="C25" s="7">
        <v>51</v>
      </c>
      <c r="D25" s="7">
        <v>74</v>
      </c>
      <c r="E25" s="7">
        <v>155</v>
      </c>
      <c r="G25" s="1">
        <f t="shared" si="0"/>
        <v>2031</v>
      </c>
      <c r="H25" s="12">
        <f>B25*(About!$A$17)/10^6</f>
        <v>1.7743999999999998E-5</v>
      </c>
      <c r="I25" s="12">
        <f>C25*(About!$A$17)/10^6</f>
        <v>5.6558999999999998E-5</v>
      </c>
      <c r="J25" s="12">
        <f>D25*(About!$A$17)/10^6</f>
        <v>8.2065999999999997E-5</v>
      </c>
      <c r="K25" s="12">
        <f>E25*(About!$A$17)/10^6</f>
        <v>1.7189500000000001E-4</v>
      </c>
    </row>
    <row r="26" spans="1:11" x14ac:dyDescent="0.2">
      <c r="A26">
        <v>2032</v>
      </c>
      <c r="B26" s="7">
        <v>17</v>
      </c>
      <c r="C26" s="7">
        <v>52</v>
      </c>
      <c r="D26" s="7">
        <v>75</v>
      </c>
      <c r="E26" s="7">
        <v>158</v>
      </c>
      <c r="G26" s="1">
        <f t="shared" si="0"/>
        <v>2032</v>
      </c>
      <c r="H26" s="12">
        <f>B26*(About!$A$17)/10^6</f>
        <v>1.8853000000000001E-5</v>
      </c>
      <c r="I26" s="12">
        <f>C26*(About!$A$17)/10^6</f>
        <v>5.7667999999999997E-5</v>
      </c>
      <c r="J26" s="12">
        <f>D26*(About!$A$17)/10^6</f>
        <v>8.3175000000000002E-5</v>
      </c>
      <c r="K26" s="12">
        <f>E26*(About!$A$17)/10^6</f>
        <v>1.75222E-4</v>
      </c>
    </row>
    <row r="27" spans="1:11" x14ac:dyDescent="0.2">
      <c r="A27">
        <v>2033</v>
      </c>
      <c r="B27" s="7">
        <v>17</v>
      </c>
      <c r="C27" s="7">
        <v>53</v>
      </c>
      <c r="D27" s="7">
        <v>76</v>
      </c>
      <c r="E27" s="7">
        <v>161</v>
      </c>
      <c r="G27" s="1">
        <f t="shared" si="0"/>
        <v>2033</v>
      </c>
      <c r="H27" s="12">
        <f>B27*(About!$A$17)/10^6</f>
        <v>1.8853000000000001E-5</v>
      </c>
      <c r="I27" s="12">
        <f>C27*(About!$A$17)/10^6</f>
        <v>5.8777000000000003E-5</v>
      </c>
      <c r="J27" s="12">
        <f>D27*(About!$A$17)/10^6</f>
        <v>8.4283999999999995E-5</v>
      </c>
      <c r="K27" s="12">
        <f>E27*(About!$A$17)/10^6</f>
        <v>1.7854900000000001E-4</v>
      </c>
    </row>
    <row r="28" spans="1:11" x14ac:dyDescent="0.2">
      <c r="A28">
        <v>2034</v>
      </c>
      <c r="B28" s="7">
        <v>18</v>
      </c>
      <c r="C28" s="7">
        <v>54</v>
      </c>
      <c r="D28" s="7">
        <v>77</v>
      </c>
      <c r="E28" s="7">
        <v>164</v>
      </c>
      <c r="G28" s="1">
        <f t="shared" si="0"/>
        <v>2034</v>
      </c>
      <c r="H28" s="12">
        <f>B28*(About!$A$17)/10^6</f>
        <v>1.9962E-5</v>
      </c>
      <c r="I28" s="12">
        <f>C28*(About!$A$17)/10^6</f>
        <v>5.9885999999999995E-5</v>
      </c>
      <c r="J28" s="12">
        <f>D28*(About!$A$17)/10^6</f>
        <v>8.5393E-5</v>
      </c>
      <c r="K28" s="12">
        <f>E28*(About!$A$17)/10^6</f>
        <v>1.81876E-4</v>
      </c>
    </row>
    <row r="29" spans="1:11" x14ac:dyDescent="0.2">
      <c r="A29">
        <v>2035</v>
      </c>
      <c r="B29" s="7">
        <v>18</v>
      </c>
      <c r="C29" s="7">
        <v>55</v>
      </c>
      <c r="D29" s="7">
        <v>78</v>
      </c>
      <c r="E29" s="7">
        <v>168</v>
      </c>
      <c r="G29" s="1">
        <f t="shared" si="0"/>
        <v>2035</v>
      </c>
      <c r="H29" s="12">
        <f>B29*(About!$A$17)/10^6</f>
        <v>1.9962E-5</v>
      </c>
      <c r="I29" s="12">
        <f>C29*(About!$A$17)/10^6</f>
        <v>6.0994999999999995E-5</v>
      </c>
      <c r="J29" s="12">
        <f>D29*(About!$A$17)/10^6</f>
        <v>8.6501999999999993E-5</v>
      </c>
      <c r="K29" s="12">
        <f>E29*(About!$A$17)/10^6</f>
        <v>1.86312E-4</v>
      </c>
    </row>
    <row r="30" spans="1:11" x14ac:dyDescent="0.2">
      <c r="A30">
        <v>2036</v>
      </c>
      <c r="B30" s="7">
        <v>19</v>
      </c>
      <c r="C30" s="7">
        <v>56</v>
      </c>
      <c r="D30" s="7">
        <v>79</v>
      </c>
      <c r="E30" s="7">
        <v>171</v>
      </c>
      <c r="G30" s="1">
        <f t="shared" si="0"/>
        <v>2036</v>
      </c>
      <c r="H30" s="12">
        <f>B30*(About!$A$17)/10^6</f>
        <v>2.1070999999999999E-5</v>
      </c>
      <c r="I30" s="12">
        <f>C30*(About!$A$17)/10^6</f>
        <v>6.2104E-5</v>
      </c>
      <c r="J30" s="12">
        <f>D30*(About!$A$17)/10^6</f>
        <v>8.7610999999999999E-5</v>
      </c>
      <c r="K30" s="12">
        <f>E30*(About!$A$17)/10^6</f>
        <v>1.8963900000000002E-4</v>
      </c>
    </row>
    <row r="31" spans="1:11" x14ac:dyDescent="0.2">
      <c r="A31">
        <v>2037</v>
      </c>
      <c r="B31" s="7">
        <v>19</v>
      </c>
      <c r="C31" s="7">
        <v>57</v>
      </c>
      <c r="D31" s="7">
        <v>81</v>
      </c>
      <c r="E31" s="7">
        <v>174</v>
      </c>
      <c r="G31" s="1">
        <f t="shared" si="0"/>
        <v>2037</v>
      </c>
      <c r="H31" s="12">
        <f>B31*(About!$A$17)/10^6</f>
        <v>2.1070999999999999E-5</v>
      </c>
      <c r="I31" s="12">
        <f>C31*(About!$A$17)/10^6</f>
        <v>6.3213000000000006E-5</v>
      </c>
      <c r="J31" s="12">
        <f>D31*(About!$A$17)/10^6</f>
        <v>8.9828999999999997E-5</v>
      </c>
      <c r="K31" s="12">
        <f>E31*(About!$A$17)/10^6</f>
        <v>1.9296600000000001E-4</v>
      </c>
    </row>
    <row r="32" spans="1:11" x14ac:dyDescent="0.2">
      <c r="A32">
        <v>2038</v>
      </c>
      <c r="B32" s="7">
        <v>20</v>
      </c>
      <c r="C32" s="7">
        <v>58</v>
      </c>
      <c r="D32" s="7">
        <v>82</v>
      </c>
      <c r="E32" s="7">
        <v>177</v>
      </c>
      <c r="G32" s="1">
        <f t="shared" si="0"/>
        <v>2038</v>
      </c>
      <c r="H32" s="12">
        <f>B32*(About!$A$17)/10^6</f>
        <v>2.2180000000000001E-5</v>
      </c>
      <c r="I32" s="12">
        <f>C32*(About!$A$17)/10^6</f>
        <v>6.4321999999999998E-5</v>
      </c>
      <c r="J32" s="12">
        <f>D32*(About!$A$17)/10^6</f>
        <v>9.0938000000000002E-5</v>
      </c>
      <c r="K32" s="12">
        <f>E32*(About!$A$17)/10^6</f>
        <v>1.96293E-4</v>
      </c>
    </row>
    <row r="33" spans="1:11" x14ac:dyDescent="0.2">
      <c r="A33">
        <v>2039</v>
      </c>
      <c r="B33" s="7">
        <v>20</v>
      </c>
      <c r="C33" s="7">
        <v>59</v>
      </c>
      <c r="D33" s="7">
        <v>83</v>
      </c>
      <c r="E33" s="7">
        <v>180</v>
      </c>
      <c r="G33" s="1">
        <f t="shared" si="0"/>
        <v>2039</v>
      </c>
      <c r="H33" s="12">
        <f>B33*(About!$A$17)/10^6</f>
        <v>2.2180000000000001E-5</v>
      </c>
      <c r="I33" s="12">
        <f>C33*(About!$A$17)/10^6</f>
        <v>6.5430999999999991E-5</v>
      </c>
      <c r="J33" s="12">
        <f>D33*(About!$A$17)/10^6</f>
        <v>9.2046999999999995E-5</v>
      </c>
      <c r="K33" s="12">
        <f>E33*(About!$A$17)/10^6</f>
        <v>1.9962000000000002E-4</v>
      </c>
    </row>
    <row r="34" spans="1:11" x14ac:dyDescent="0.2">
      <c r="A34">
        <v>2040</v>
      </c>
      <c r="B34" s="7">
        <v>21</v>
      </c>
      <c r="C34" s="7">
        <v>60</v>
      </c>
      <c r="D34" s="7">
        <v>84</v>
      </c>
      <c r="E34" s="7">
        <v>183</v>
      </c>
      <c r="G34" s="1">
        <f t="shared" si="0"/>
        <v>2040</v>
      </c>
      <c r="H34" s="12">
        <f>B34*(About!$A$17)/10^6</f>
        <v>2.3289E-5</v>
      </c>
      <c r="I34" s="12">
        <f>C34*(About!$A$17)/10^6</f>
        <v>6.6539999999999997E-5</v>
      </c>
      <c r="J34" s="12">
        <f>D34*(About!$A$17)/10^6</f>
        <v>9.3156000000000001E-5</v>
      </c>
      <c r="K34" s="12">
        <f>E34*(About!$A$17)/10^6</f>
        <v>2.0294700000000001E-4</v>
      </c>
    </row>
    <row r="35" spans="1:11" x14ac:dyDescent="0.2">
      <c r="A35">
        <v>2041</v>
      </c>
      <c r="B35" s="7">
        <v>21</v>
      </c>
      <c r="C35" s="7">
        <v>61</v>
      </c>
      <c r="D35" s="7">
        <v>85</v>
      </c>
      <c r="E35" s="7">
        <v>186</v>
      </c>
      <c r="G35" s="1">
        <f t="shared" si="0"/>
        <v>2041</v>
      </c>
      <c r="H35" s="12">
        <f>B35*(About!$A$17)/10^6</f>
        <v>2.3289E-5</v>
      </c>
      <c r="I35" s="12">
        <f>C35*(About!$A$17)/10^6</f>
        <v>6.7649000000000002E-5</v>
      </c>
      <c r="J35" s="12">
        <f>D35*(About!$A$17)/10^6</f>
        <v>9.4265000000000006E-5</v>
      </c>
      <c r="K35" s="12">
        <f>E35*(About!$A$17)/10^6</f>
        <v>2.06274E-4</v>
      </c>
    </row>
    <row r="36" spans="1:11" x14ac:dyDescent="0.2">
      <c r="A36">
        <v>2042</v>
      </c>
      <c r="B36" s="7">
        <v>22</v>
      </c>
      <c r="C36" s="7">
        <v>61</v>
      </c>
      <c r="D36" s="7">
        <v>86</v>
      </c>
      <c r="E36" s="7">
        <v>189</v>
      </c>
      <c r="G36" s="1">
        <f t="shared" si="0"/>
        <v>2042</v>
      </c>
      <c r="H36" s="12">
        <f>B36*(About!$A$17)/10^6</f>
        <v>2.4397999999999999E-5</v>
      </c>
      <c r="I36" s="12">
        <f>C36*(About!$A$17)/10^6</f>
        <v>6.7649000000000002E-5</v>
      </c>
      <c r="J36" s="12">
        <f>D36*(About!$A$17)/10^6</f>
        <v>9.5373999999999999E-5</v>
      </c>
      <c r="K36" s="12">
        <f>E36*(About!$A$17)/10^6</f>
        <v>2.0960099999999999E-4</v>
      </c>
    </row>
    <row r="37" spans="1:11" x14ac:dyDescent="0.2">
      <c r="A37">
        <v>2043</v>
      </c>
      <c r="B37" s="7">
        <v>22</v>
      </c>
      <c r="C37" s="7">
        <v>62</v>
      </c>
      <c r="D37" s="7">
        <v>87</v>
      </c>
      <c r="E37" s="7">
        <v>192</v>
      </c>
      <c r="G37" s="1">
        <f t="shared" si="0"/>
        <v>2043</v>
      </c>
      <c r="H37" s="12">
        <f>B37*(About!$A$17)/10^6</f>
        <v>2.4397999999999999E-5</v>
      </c>
      <c r="I37" s="12">
        <f>C37*(About!$A$17)/10^6</f>
        <v>6.8757999999999995E-5</v>
      </c>
      <c r="J37" s="12">
        <f>D37*(About!$A$17)/10^6</f>
        <v>9.6483000000000004E-5</v>
      </c>
      <c r="K37" s="12">
        <f>E37*(About!$A$17)/10^6</f>
        <v>2.1292800000000001E-4</v>
      </c>
    </row>
    <row r="38" spans="1:11" x14ac:dyDescent="0.2">
      <c r="A38">
        <v>2044</v>
      </c>
      <c r="B38" s="7">
        <v>23</v>
      </c>
      <c r="C38" s="7">
        <v>63</v>
      </c>
      <c r="D38" s="7">
        <v>88</v>
      </c>
      <c r="E38" s="7">
        <v>194</v>
      </c>
      <c r="G38" s="1">
        <f t="shared" si="0"/>
        <v>2044</v>
      </c>
      <c r="H38" s="12">
        <f>B38*(About!$A$17)/10^6</f>
        <v>2.5506999999999998E-5</v>
      </c>
      <c r="I38" s="12">
        <f>C38*(About!$A$17)/10^6</f>
        <v>6.9867E-5</v>
      </c>
      <c r="J38" s="12">
        <f>D38*(About!$A$17)/10^6</f>
        <v>9.7591999999999997E-5</v>
      </c>
      <c r="K38" s="12">
        <f>E38*(About!$A$17)/10^6</f>
        <v>2.1514599999999999E-4</v>
      </c>
    </row>
    <row r="39" spans="1:11" x14ac:dyDescent="0.2">
      <c r="A39">
        <v>2045</v>
      </c>
      <c r="B39" s="7">
        <v>23</v>
      </c>
      <c r="C39" s="7">
        <v>64</v>
      </c>
      <c r="D39" s="7">
        <v>89</v>
      </c>
      <c r="E39" s="7">
        <v>197</v>
      </c>
      <c r="G39" s="1">
        <f t="shared" si="0"/>
        <v>2045</v>
      </c>
      <c r="H39" s="12">
        <f>B39*(About!$A$17)/10^6</f>
        <v>2.5506999999999998E-5</v>
      </c>
      <c r="I39" s="12">
        <f>C39*(About!$A$17)/10^6</f>
        <v>7.0975999999999993E-5</v>
      </c>
      <c r="J39" s="12">
        <f>D39*(About!$A$17)/10^6</f>
        <v>9.8700999999999989E-5</v>
      </c>
      <c r="K39" s="12">
        <f>E39*(About!$A$17)/10^6</f>
        <v>2.1847299999999998E-4</v>
      </c>
    </row>
    <row r="40" spans="1:11" x14ac:dyDescent="0.2">
      <c r="A40">
        <v>2046</v>
      </c>
      <c r="B40" s="7">
        <v>24</v>
      </c>
      <c r="C40" s="7">
        <v>65</v>
      </c>
      <c r="D40" s="7">
        <v>90</v>
      </c>
      <c r="E40" s="7">
        <v>200</v>
      </c>
      <c r="G40" s="1">
        <f t="shared" si="0"/>
        <v>2046</v>
      </c>
      <c r="H40" s="12">
        <f>B40*(About!$A$17)/10^6</f>
        <v>2.6616000000000001E-5</v>
      </c>
      <c r="I40" s="12">
        <f>C40*(About!$A$17)/10^6</f>
        <v>7.2084999999999998E-5</v>
      </c>
      <c r="J40" s="12">
        <f>D40*(About!$A$17)/10^6</f>
        <v>9.9810000000000008E-5</v>
      </c>
      <c r="K40" s="12">
        <f>E40*(About!$A$17)/10^6</f>
        <v>2.2180000000000002E-4</v>
      </c>
    </row>
    <row r="41" spans="1:11" x14ac:dyDescent="0.2">
      <c r="A41">
        <v>2047</v>
      </c>
      <c r="B41" s="7">
        <v>24</v>
      </c>
      <c r="C41" s="7">
        <v>66</v>
      </c>
      <c r="D41" s="7">
        <v>92</v>
      </c>
      <c r="E41" s="7">
        <v>203</v>
      </c>
      <c r="G41" s="1">
        <f t="shared" si="0"/>
        <v>2047</v>
      </c>
      <c r="H41" s="12">
        <f>B41*(About!$A$17)/10^6</f>
        <v>2.6616000000000001E-5</v>
      </c>
      <c r="I41" s="12">
        <f>C41*(About!$A$17)/10^6</f>
        <v>7.3194000000000004E-5</v>
      </c>
      <c r="J41" s="12">
        <f>D41*(About!$A$17)/10^6</f>
        <v>1.0202799999999999E-4</v>
      </c>
      <c r="K41" s="12">
        <f>E41*(About!$A$17)/10^6</f>
        <v>2.2512700000000001E-4</v>
      </c>
    </row>
    <row r="42" spans="1:11" x14ac:dyDescent="0.2">
      <c r="A42">
        <v>2048</v>
      </c>
      <c r="B42" s="7">
        <v>25</v>
      </c>
      <c r="C42" s="7">
        <v>67</v>
      </c>
      <c r="D42" s="7">
        <v>93</v>
      </c>
      <c r="E42" s="7">
        <v>206</v>
      </c>
      <c r="G42" s="1">
        <f t="shared" si="0"/>
        <v>2048</v>
      </c>
      <c r="H42" s="12">
        <f>B42*(About!$A$17)/10^6</f>
        <v>2.7725000000000003E-5</v>
      </c>
      <c r="I42" s="12">
        <f>C42*(About!$A$17)/10^6</f>
        <v>7.4302999999999997E-5</v>
      </c>
      <c r="J42" s="12">
        <f>D42*(About!$A$17)/10^6</f>
        <v>1.03137E-4</v>
      </c>
      <c r="K42" s="12">
        <f>E42*(About!$A$17)/10^6</f>
        <v>2.2845400000000001E-4</v>
      </c>
    </row>
    <row r="43" spans="1:11" x14ac:dyDescent="0.2">
      <c r="A43">
        <v>2049</v>
      </c>
      <c r="B43" s="7">
        <v>25</v>
      </c>
      <c r="C43" s="7">
        <v>68</v>
      </c>
      <c r="D43" s="7">
        <v>94</v>
      </c>
      <c r="E43" s="7">
        <v>209</v>
      </c>
      <c r="G43" s="1">
        <f t="shared" si="0"/>
        <v>2049</v>
      </c>
      <c r="H43" s="12">
        <f>B43*(About!$A$17)/10^6</f>
        <v>2.7725000000000003E-5</v>
      </c>
      <c r="I43" s="12">
        <f>C43*(About!$A$17)/10^6</f>
        <v>7.5412000000000002E-5</v>
      </c>
      <c r="J43" s="12">
        <f>D43*(About!$A$17)/10^6</f>
        <v>1.0424599999999999E-4</v>
      </c>
      <c r="K43" s="12">
        <f>E43*(About!$A$17)/10^6</f>
        <v>2.31781E-4</v>
      </c>
    </row>
    <row r="44" spans="1:11" x14ac:dyDescent="0.2">
      <c r="A44">
        <v>2050</v>
      </c>
      <c r="B44" s="7">
        <v>26</v>
      </c>
      <c r="C44" s="7">
        <v>69</v>
      </c>
      <c r="D44" s="7">
        <v>95</v>
      </c>
      <c r="E44" s="7">
        <v>212</v>
      </c>
      <c r="G44" s="1">
        <f t="shared" si="0"/>
        <v>2050</v>
      </c>
      <c r="H44" s="12">
        <f>B44*(About!$A$17)/10^6</f>
        <v>2.8833999999999999E-5</v>
      </c>
      <c r="I44" s="12">
        <f>C44*(About!$A$17)/10^6</f>
        <v>7.6520999999999995E-5</v>
      </c>
      <c r="J44" s="12">
        <f>D44*(About!$A$17)/10^6</f>
        <v>1.0535500000000001E-4</v>
      </c>
      <c r="K44" s="12">
        <f>E44*(About!$A$17)/10^6</f>
        <v>2.3510800000000001E-4</v>
      </c>
    </row>
    <row r="45" spans="1:11" x14ac:dyDescent="0.2">
      <c r="A45" s="13">
        <v>2051</v>
      </c>
      <c r="B45">
        <f>_xlfn.FORECAST.LINEAR(A45,B4:B44,A4:A44)</f>
        <v>25.146341463414615</v>
      </c>
      <c r="C45">
        <f t="shared" ref="C45:E45" si="1">_xlfn.FORECAST.LINEAR(B45,C4:C44,B4:B44)</f>
        <v>69.238104101362381</v>
      </c>
      <c r="D45">
        <f t="shared" si="1"/>
        <v>95.349352804211989</v>
      </c>
      <c r="E45">
        <f t="shared" si="1"/>
        <v>214.48217386448064</v>
      </c>
      <c r="G45" s="1">
        <v>2051</v>
      </c>
      <c r="H45" s="12">
        <f>B45*(About!$A$17)/10^6</f>
        <v>2.788729268292681E-5</v>
      </c>
      <c r="I45" s="12">
        <f>C45*(About!$A$17)/10^6</f>
        <v>7.6785057448410887E-5</v>
      </c>
      <c r="J45" s="12">
        <f>D45*(About!$A$17)/10^6</f>
        <v>1.0574243225987109E-4</v>
      </c>
      <c r="K45" s="12">
        <f>E45*(About!$A$17)/10^6</f>
        <v>2.3786073081570903E-4</v>
      </c>
    </row>
    <row r="46" spans="1:11" x14ac:dyDescent="0.2">
      <c r="A46" s="13">
        <v>2052</v>
      </c>
      <c r="B46">
        <f t="shared" ref="B46:B64" si="2">_xlfn.FORECAST.LINEAR(A46,B5:B45,A5:A45)</f>
        <v>25.625252825699022</v>
      </c>
      <c r="C46">
        <f t="shared" ref="C46:C64" si="3">_xlfn.FORECAST.LINEAR(B46,C5:C45,B5:B45)</f>
        <v>70.13507116364471</v>
      </c>
      <c r="D46">
        <f t="shared" ref="D46:D64" si="4">_xlfn.FORECAST.LINEAR(C46,D5:D45,C5:C45)</f>
        <v>96.430906777724857</v>
      </c>
      <c r="E46">
        <f t="shared" ref="E46:E64" si="5">_xlfn.FORECAST.LINEAR(D46,E5:E45,D5:D45)</f>
        <v>217.39445741754284</v>
      </c>
      <c r="G46" s="1">
        <v>2052</v>
      </c>
      <c r="H46" s="12">
        <f>B46*(About!$A$17)/10^6</f>
        <v>2.8418405383700215E-5</v>
      </c>
      <c r="I46" s="12">
        <f>C46*(About!$A$17)/10^6</f>
        <v>7.7779793920481984E-5</v>
      </c>
      <c r="J46" s="12">
        <f>D46*(About!$A$17)/10^6</f>
        <v>1.0694187561649686E-4</v>
      </c>
      <c r="K46" s="12">
        <f>E46*(About!$A$17)/10^6</f>
        <v>2.4109045327605499E-4</v>
      </c>
    </row>
    <row r="47" spans="1:11" x14ac:dyDescent="0.2">
      <c r="A47" s="13">
        <v>2053</v>
      </c>
      <c r="B47">
        <f t="shared" si="2"/>
        <v>26.147912827730352</v>
      </c>
      <c r="C47">
        <f t="shared" si="3"/>
        <v>71.094552833435401</v>
      </c>
      <c r="D47">
        <f t="shared" si="4"/>
        <v>97.578921591079023</v>
      </c>
      <c r="E47">
        <f t="shared" si="5"/>
        <v>220.5361315635831</v>
      </c>
      <c r="G47" s="1">
        <v>2053</v>
      </c>
      <c r="H47" s="12">
        <f>B47*(About!$A$17)/10^6</f>
        <v>2.8998035325952957E-5</v>
      </c>
      <c r="I47" s="12">
        <f>C47*(About!$A$17)/10^6</f>
        <v>7.8843859092279862E-5</v>
      </c>
      <c r="J47" s="12">
        <f>D47*(About!$A$17)/10^6</f>
        <v>1.0821502404450664E-4</v>
      </c>
      <c r="K47" s="12">
        <f>E47*(About!$A$17)/10^6</f>
        <v>2.4457456990401364E-4</v>
      </c>
    </row>
    <row r="48" spans="1:11" x14ac:dyDescent="0.2">
      <c r="A48" s="13">
        <v>2054</v>
      </c>
      <c r="B48">
        <f t="shared" si="2"/>
        <v>26.668057026938982</v>
      </c>
      <c r="C48">
        <f t="shared" si="3"/>
        <v>72.03371282242847</v>
      </c>
      <c r="D48">
        <f t="shared" si="4"/>
        <v>98.747695403285846</v>
      </c>
      <c r="E48">
        <f t="shared" si="5"/>
        <v>223.59618914930002</v>
      </c>
      <c r="G48" s="1">
        <v>2054</v>
      </c>
      <c r="H48" s="12">
        <f>B48*(About!$A$17)/10^6</f>
        <v>2.9574875242875329E-5</v>
      </c>
      <c r="I48" s="12">
        <f>C48*(About!$A$17)/10^6</f>
        <v>7.9885387520073171E-5</v>
      </c>
      <c r="J48" s="12">
        <f>D48*(About!$A$17)/10^6</f>
        <v>1.09511194202244E-4</v>
      </c>
      <c r="K48" s="12">
        <f>E48*(About!$A$17)/10^6</f>
        <v>2.4796817376657372E-4</v>
      </c>
    </row>
    <row r="49" spans="1:11" x14ac:dyDescent="0.2">
      <c r="A49" s="13">
        <v>2055</v>
      </c>
      <c r="B49">
        <f t="shared" si="2"/>
        <v>27.183527808407916</v>
      </c>
      <c r="C49">
        <f t="shared" si="3"/>
        <v>72.952885528979863</v>
      </c>
      <c r="D49">
        <f t="shared" si="4"/>
        <v>99.890782879628816</v>
      </c>
      <c r="E49">
        <f t="shared" si="5"/>
        <v>226.61308438710225</v>
      </c>
      <c r="G49" s="1">
        <v>2055</v>
      </c>
      <c r="H49" s="12">
        <f>B49*(About!$A$17)/10^6</f>
        <v>3.0146532339524376E-5</v>
      </c>
      <c r="I49" s="12">
        <f>C49*(About!$A$17)/10^6</f>
        <v>8.0904750051638674E-5</v>
      </c>
      <c r="J49" s="12">
        <f>D49*(About!$A$17)/10^6</f>
        <v>1.1077887821350835E-4</v>
      </c>
      <c r="K49" s="12">
        <f>E49*(About!$A$17)/10^6</f>
        <v>2.5131391058529637E-4</v>
      </c>
    </row>
    <row r="50" spans="1:11" x14ac:dyDescent="0.2">
      <c r="A50" s="13">
        <v>2056</v>
      </c>
      <c r="B50">
        <f t="shared" si="2"/>
        <v>27.691966262360665</v>
      </c>
      <c r="C50">
        <f t="shared" si="3"/>
        <v>73.852703071535274</v>
      </c>
      <c r="D50">
        <f t="shared" si="4"/>
        <v>101.00747132573326</v>
      </c>
      <c r="E50">
        <f t="shared" si="5"/>
        <v>229.59517810114383</v>
      </c>
      <c r="G50" s="1">
        <v>2056</v>
      </c>
      <c r="H50" s="12">
        <f>B50*(About!$A$17)/10^6</f>
        <v>3.0710390584957974E-5</v>
      </c>
      <c r="I50" s="12">
        <f>C50*(About!$A$17)/10^6</f>
        <v>8.1902647706332622E-5</v>
      </c>
      <c r="J50" s="12">
        <f>D50*(About!$A$17)/10^6</f>
        <v>1.1201728570023819E-4</v>
      </c>
      <c r="K50" s="12">
        <f>E50*(About!$A$17)/10^6</f>
        <v>2.5462105251416848E-4</v>
      </c>
    </row>
    <row r="51" spans="1:11" x14ac:dyDescent="0.2">
      <c r="A51" s="13">
        <v>2057</v>
      </c>
      <c r="B51">
        <f t="shared" si="2"/>
        <v>28.190800439351278</v>
      </c>
      <c r="C51">
        <f t="shared" si="3"/>
        <v>74.734209944863807</v>
      </c>
      <c r="D51">
        <f t="shared" si="4"/>
        <v>102.0974826017151</v>
      </c>
      <c r="E51">
        <f t="shared" si="5"/>
        <v>232.55270026102519</v>
      </c>
      <c r="G51" s="1">
        <v>2057</v>
      </c>
      <c r="H51" s="12">
        <f>B51*(About!$A$17)/10^6</f>
        <v>3.1263597687240563E-5</v>
      </c>
      <c r="I51" s="12">
        <f>C51*(About!$A$17)/10^6</f>
        <v>8.2880238828853957E-5</v>
      </c>
      <c r="J51" s="12">
        <f>D51*(About!$A$17)/10^6</f>
        <v>1.1322610820530204E-4</v>
      </c>
      <c r="K51" s="12">
        <f>E51*(About!$A$17)/10^6</f>
        <v>2.5790094458947693E-4</v>
      </c>
    </row>
    <row r="52" spans="1:11" x14ac:dyDescent="0.2">
      <c r="A52" s="13">
        <v>2058</v>
      </c>
      <c r="B52">
        <f t="shared" si="2"/>
        <v>28.677233196064094</v>
      </c>
      <c r="C52">
        <f t="shared" si="3"/>
        <v>75.643060138832652</v>
      </c>
      <c r="D52">
        <f t="shared" si="4"/>
        <v>103.15035609891419</v>
      </c>
      <c r="E52">
        <f t="shared" si="5"/>
        <v>235.41407090604022</v>
      </c>
      <c r="G52" s="1">
        <v>2058</v>
      </c>
      <c r="H52" s="12">
        <f>B52*(About!$A$17)/10^6</f>
        <v>3.1803051614435077E-5</v>
      </c>
      <c r="I52" s="12">
        <f>C52*(About!$A$17)/10^6</f>
        <v>8.3888153693965412E-5</v>
      </c>
      <c r="J52" s="12">
        <f>D52*(About!$A$17)/10^6</f>
        <v>1.1439374491369583E-4</v>
      </c>
      <c r="K52" s="12">
        <f>E52*(About!$A$17)/10^6</f>
        <v>2.6107420463479861E-4</v>
      </c>
    </row>
    <row r="53" spans="1:11" x14ac:dyDescent="0.2">
      <c r="A53" s="13">
        <v>2059</v>
      </c>
      <c r="B53">
        <f t="shared" si="2"/>
        <v>29.148229634751146</v>
      </c>
      <c r="C53">
        <f t="shared" si="3"/>
        <v>76.548404105479392</v>
      </c>
      <c r="D53">
        <f t="shared" si="4"/>
        <v>104.2329373036404</v>
      </c>
      <c r="E53">
        <f t="shared" si="5"/>
        <v>238.27650834249363</v>
      </c>
      <c r="G53" s="1">
        <v>2059</v>
      </c>
      <c r="H53" s="12">
        <f>B53*(About!$A$17)/10^6</f>
        <v>3.2325386664939019E-5</v>
      </c>
      <c r="I53" s="12">
        <f>C53*(About!$A$17)/10^6</f>
        <v>8.4892180152976656E-5</v>
      </c>
      <c r="J53" s="12">
        <f>D53*(About!$A$17)/10^6</f>
        <v>1.1559432746973719E-4</v>
      </c>
      <c r="K53" s="12">
        <f>E53*(About!$A$17)/10^6</f>
        <v>2.6424864775182545E-4</v>
      </c>
    </row>
    <row r="54" spans="1:11" x14ac:dyDescent="0.2">
      <c r="A54" s="13">
        <v>2060</v>
      </c>
      <c r="B54">
        <f t="shared" si="2"/>
        <v>29.652943165519559</v>
      </c>
      <c r="C54">
        <f t="shared" si="3"/>
        <v>77.476975832843692</v>
      </c>
      <c r="D54">
        <f t="shared" si="4"/>
        <v>105.33230512736525</v>
      </c>
      <c r="E54">
        <f t="shared" si="5"/>
        <v>241.23049554271282</v>
      </c>
      <c r="G54" s="1">
        <v>2060</v>
      </c>
      <c r="H54" s="12">
        <f>B54*(About!$A$17)/10^6</f>
        <v>3.2885113970561193E-5</v>
      </c>
      <c r="I54" s="12">
        <f>C54*(About!$A$17)/10^6</f>
        <v>8.5921966198623651E-5</v>
      </c>
      <c r="J54" s="12">
        <f>D54*(About!$A$17)/10^6</f>
        <v>1.1681352638624806E-4</v>
      </c>
      <c r="K54" s="12">
        <f>E54*(About!$A$17)/10^6</f>
        <v>2.6752461955686853E-4</v>
      </c>
    </row>
    <row r="55" spans="1:11" x14ac:dyDescent="0.2">
      <c r="A55" s="13">
        <v>2061</v>
      </c>
      <c r="B55">
        <f t="shared" si="2"/>
        <v>30.144159615260378</v>
      </c>
      <c r="C55">
        <f t="shared" si="3"/>
        <v>78.402413372298327</v>
      </c>
      <c r="D55">
        <f t="shared" si="4"/>
        <v>106.41524484943689</v>
      </c>
      <c r="E55">
        <f t="shared" si="5"/>
        <v>244.19523744853441</v>
      </c>
      <c r="G55" s="1">
        <v>2061</v>
      </c>
      <c r="H55" s="12">
        <f>B55*(About!$A$17)/10^6</f>
        <v>3.3429873013323756E-5</v>
      </c>
      <c r="I55" s="12">
        <f>C55*(About!$A$17)/10^6</f>
        <v>8.6948276429878846E-5</v>
      </c>
      <c r="J55" s="12">
        <f>D55*(About!$A$17)/10^6</f>
        <v>1.1801450653802551E-4</v>
      </c>
      <c r="K55" s="12">
        <f>E55*(About!$A$17)/10^6</f>
        <v>2.7081251833042469E-4</v>
      </c>
    </row>
    <row r="56" spans="1:11" x14ac:dyDescent="0.2">
      <c r="A56" s="13">
        <v>2062</v>
      </c>
      <c r="B56">
        <f t="shared" si="2"/>
        <v>30.618715682663037</v>
      </c>
      <c r="C56">
        <f t="shared" si="3"/>
        <v>79.329450600374969</v>
      </c>
      <c r="D56">
        <f t="shared" si="4"/>
        <v>107.48590343683686</v>
      </c>
      <c r="E56">
        <f t="shared" si="5"/>
        <v>247.1406830162536</v>
      </c>
      <c r="G56" s="1">
        <v>2062</v>
      </c>
      <c r="H56" s="12">
        <f>B56*(About!$A$17)/10^6</f>
        <v>3.3956155692073307E-5</v>
      </c>
      <c r="I56" s="12">
        <f>C56*(About!$A$17)/10^6</f>
        <v>8.7976360715815845E-5</v>
      </c>
      <c r="J56" s="12">
        <f>D56*(About!$A$17)/10^6</f>
        <v>1.1920186691145209E-4</v>
      </c>
      <c r="K56" s="12">
        <f>E56*(About!$A$17)/10^6</f>
        <v>2.7407901746502524E-4</v>
      </c>
    </row>
    <row r="57" spans="1:11" x14ac:dyDescent="0.2">
      <c r="A57" s="13">
        <v>2063</v>
      </c>
      <c r="B57">
        <f t="shared" si="2"/>
        <v>31.073188831219682</v>
      </c>
      <c r="C57">
        <f t="shared" si="3"/>
        <v>80.212540124961123</v>
      </c>
      <c r="D57">
        <f t="shared" si="4"/>
        <v>108.54736921772884</v>
      </c>
      <c r="E57">
        <f t="shared" si="5"/>
        <v>250.07784597732541</v>
      </c>
      <c r="G57" s="1">
        <v>2063</v>
      </c>
      <c r="H57" s="12">
        <f>B57*(About!$A$17)/10^6</f>
        <v>3.4460166413822628E-5</v>
      </c>
      <c r="I57" s="12">
        <f>C57*(About!$A$17)/10^6</f>
        <v>8.8955706998581889E-5</v>
      </c>
      <c r="J57" s="12">
        <f>D57*(About!$A$17)/10^6</f>
        <v>1.2037903246246129E-4</v>
      </c>
      <c r="K57" s="12">
        <f>E57*(About!$A$17)/10^6</f>
        <v>2.7733633118885389E-4</v>
      </c>
    </row>
    <row r="58" spans="1:11" x14ac:dyDescent="0.2">
      <c r="A58" s="13">
        <v>2064</v>
      </c>
      <c r="B58">
        <f t="shared" si="2"/>
        <v>31.556322595430856</v>
      </c>
      <c r="C58">
        <f t="shared" si="3"/>
        <v>81.104664853025639</v>
      </c>
      <c r="D58">
        <f t="shared" si="4"/>
        <v>109.61029818927253</v>
      </c>
      <c r="E58">
        <f t="shared" si="5"/>
        <v>253.03875751639066</v>
      </c>
      <c r="G58" s="1">
        <v>2064</v>
      </c>
      <c r="H58" s="12">
        <f>B58*(About!$A$17)/10^6</f>
        <v>3.4995961758332817E-5</v>
      </c>
      <c r="I58" s="12">
        <f>C58*(About!$A$17)/10^6</f>
        <v>8.994507332200543E-5</v>
      </c>
      <c r="J58" s="12">
        <f>D58*(About!$A$17)/10^6</f>
        <v>1.2155782069190323E-4</v>
      </c>
      <c r="K58" s="12">
        <f>E58*(About!$A$17)/10^6</f>
        <v>2.8061998208567723E-4</v>
      </c>
    </row>
    <row r="59" spans="1:11" x14ac:dyDescent="0.2">
      <c r="A59" s="13">
        <v>2065</v>
      </c>
      <c r="B59">
        <f t="shared" si="2"/>
        <v>32.02046993847523</v>
      </c>
      <c r="C59">
        <f t="shared" si="3"/>
        <v>81.993808430489082</v>
      </c>
      <c r="D59">
        <f t="shared" si="4"/>
        <v>110.65877845537133</v>
      </c>
      <c r="E59">
        <f t="shared" si="5"/>
        <v>255.98294586664764</v>
      </c>
      <c r="G59" s="1">
        <v>2065</v>
      </c>
      <c r="H59" s="12">
        <f>B59*(About!$A$17)/10^6</f>
        <v>3.551070116176903E-5</v>
      </c>
      <c r="I59" s="12">
        <f>C59*(About!$A$17)/10^6</f>
        <v>9.0931133549412388E-5</v>
      </c>
      <c r="J59" s="12">
        <f>D59*(About!$A$17)/10^6</f>
        <v>1.2272058530700679E-4</v>
      </c>
      <c r="K59" s="12">
        <f>E59*(About!$A$17)/10^6</f>
        <v>2.8388508696611221E-4</v>
      </c>
    </row>
    <row r="60" spans="1:11" x14ac:dyDescent="0.2">
      <c r="A60" s="13">
        <v>2066</v>
      </c>
      <c r="B60">
        <f t="shared" si="2"/>
        <v>32.462010964028309</v>
      </c>
      <c r="C60">
        <f t="shared" si="3"/>
        <v>82.886534939177665</v>
      </c>
      <c r="D60">
        <f t="shared" si="4"/>
        <v>111.69903314569318</v>
      </c>
      <c r="E60">
        <f t="shared" si="5"/>
        <v>258.93090509191018</v>
      </c>
      <c r="G60" s="1">
        <v>2066</v>
      </c>
      <c r="H60" s="12">
        <f>B60*(About!$A$17)/10^6</f>
        <v>3.60003701591074E-5</v>
      </c>
      <c r="I60" s="12">
        <f>C60*(About!$A$17)/10^6</f>
        <v>9.1921167247548021E-5</v>
      </c>
      <c r="J60" s="12">
        <f>D60*(About!$A$17)/10^6</f>
        <v>1.2387422775857375E-4</v>
      </c>
      <c r="K60" s="12">
        <f>E60*(About!$A$17)/10^6</f>
        <v>2.8715437374692839E-4</v>
      </c>
    </row>
    <row r="61" spans="1:11" x14ac:dyDescent="0.2">
      <c r="A61" s="13">
        <v>2067</v>
      </c>
      <c r="B61">
        <f t="shared" si="2"/>
        <v>32.929481102055661</v>
      </c>
      <c r="C61">
        <f t="shared" si="3"/>
        <v>83.783576788626718</v>
      </c>
      <c r="D61">
        <f t="shared" si="4"/>
        <v>112.78236009309623</v>
      </c>
      <c r="E61">
        <f t="shared" si="5"/>
        <v>261.87921134320777</v>
      </c>
      <c r="G61" s="1">
        <v>2067</v>
      </c>
      <c r="H61" s="12">
        <f>B61*(About!$A$17)/10^6</f>
        <v>3.6518794542179729E-5</v>
      </c>
      <c r="I61" s="12">
        <f>C61*(About!$A$17)/10^6</f>
        <v>9.2915986658587027E-5</v>
      </c>
      <c r="J61" s="12">
        <f>D61*(About!$A$17)/10^6</f>
        <v>1.2507563734324371E-4</v>
      </c>
      <c r="K61" s="12">
        <f>E61*(About!$A$17)/10^6</f>
        <v>2.9042404537961745E-4</v>
      </c>
    </row>
    <row r="62" spans="1:11" x14ac:dyDescent="0.2">
      <c r="A62" s="13">
        <v>2068</v>
      </c>
      <c r="B62">
        <f t="shared" si="2"/>
        <v>33.375014140265989</v>
      </c>
      <c r="C62">
        <f t="shared" si="3"/>
        <v>84.685234069305068</v>
      </c>
      <c r="D62">
        <f t="shared" si="4"/>
        <v>113.86348765161344</v>
      </c>
      <c r="E62">
        <f t="shared" si="5"/>
        <v>264.82845027887151</v>
      </c>
      <c r="G62" s="1">
        <v>2068</v>
      </c>
      <c r="H62" s="12">
        <f>B62*(About!$A$17)/10^6</f>
        <v>3.7012890681554977E-5</v>
      </c>
      <c r="I62" s="12">
        <f>C62*(About!$A$17)/10^6</f>
        <v>9.3915924582859314E-5</v>
      </c>
      <c r="J62" s="12">
        <f>D62*(About!$A$17)/10^6</f>
        <v>1.2627460780563932E-4</v>
      </c>
      <c r="K62" s="12">
        <f>E62*(About!$A$17)/10^6</f>
        <v>2.9369475135926847E-4</v>
      </c>
    </row>
    <row r="63" spans="1:11" x14ac:dyDescent="0.2">
      <c r="A63" s="13">
        <v>2069</v>
      </c>
      <c r="B63">
        <f t="shared" si="2"/>
        <v>33.847198641586942</v>
      </c>
      <c r="C63">
        <f t="shared" si="3"/>
        <v>85.593399144233587</v>
      </c>
      <c r="D63">
        <f t="shared" si="4"/>
        <v>114.94333224179115</v>
      </c>
      <c r="E63">
        <f t="shared" si="5"/>
        <v>267.73141128138741</v>
      </c>
      <c r="G63" s="1">
        <v>2069</v>
      </c>
      <c r="H63" s="12">
        <f>B63*(About!$A$17)/10^6</f>
        <v>3.7536543293519921E-5</v>
      </c>
      <c r="I63" s="12">
        <f>C63*(About!$A$17)/10^6</f>
        <v>9.4923079650955047E-5</v>
      </c>
      <c r="J63" s="12">
        <f>D63*(About!$A$17)/10^6</f>
        <v>1.2747215545614638E-4</v>
      </c>
      <c r="K63" s="12">
        <f>E63*(About!$A$17)/10^6</f>
        <v>2.9691413511105864E-4</v>
      </c>
    </row>
    <row r="64" spans="1:11" x14ac:dyDescent="0.2">
      <c r="A64" s="13">
        <v>2070</v>
      </c>
      <c r="B64">
        <f t="shared" si="2"/>
        <v>34.298224262035887</v>
      </c>
      <c r="C64">
        <f t="shared" si="3"/>
        <v>86.507342744777162</v>
      </c>
      <c r="D64">
        <f t="shared" si="4"/>
        <v>116.01962841052305</v>
      </c>
      <c r="E64">
        <f t="shared" si="5"/>
        <v>270.62642897051728</v>
      </c>
      <c r="G64" s="1">
        <v>2070</v>
      </c>
      <c r="H64" s="12">
        <f>B64*(About!$A$17)/10^6</f>
        <v>3.8036730706597802E-5</v>
      </c>
      <c r="I64" s="12">
        <f>C64*(About!$A$17)/10^6</f>
        <v>9.5936643103957875E-5</v>
      </c>
      <c r="J64" s="12">
        <f>D64*(About!$A$17)/10^6</f>
        <v>1.2866576790727005E-4</v>
      </c>
      <c r="K64" s="12">
        <f>E64*(About!$A$17)/10^6</f>
        <v>3.0012470972830366E-4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62"/>
  <sheetViews>
    <sheetView tabSelected="1" topLeftCell="A23" workbookViewId="0">
      <selection activeCell="D58" sqref="D58"/>
    </sheetView>
  </sheetViews>
  <sheetFormatPr baseColWidth="10" defaultColWidth="8.83203125" defaultRowHeight="15" x14ac:dyDescent="0.2"/>
  <cols>
    <col min="2" max="2" width="24.1640625" customWidth="1"/>
  </cols>
  <sheetData>
    <row r="1" spans="1:2" x14ac:dyDescent="0.2">
      <c r="A1" s="5" t="s">
        <v>4</v>
      </c>
      <c r="B1" s="5" t="s">
        <v>19</v>
      </c>
    </row>
    <row r="2" spans="1:2" x14ac:dyDescent="0.2">
      <c r="A2">
        <f>SourceData!G4</f>
        <v>2010</v>
      </c>
      <c r="B2" s="12">
        <f>SourceData!I4</f>
        <v>3.4378999999999997E-5</v>
      </c>
    </row>
    <row r="3" spans="1:2" x14ac:dyDescent="0.2">
      <c r="A3">
        <f>SourceData!G5</f>
        <v>2011</v>
      </c>
      <c r="B3" s="12">
        <f>SourceData!I5</f>
        <v>3.5487999999999996E-5</v>
      </c>
    </row>
    <row r="4" spans="1:2" x14ac:dyDescent="0.2">
      <c r="A4">
        <f>SourceData!G6</f>
        <v>2012</v>
      </c>
      <c r="B4" s="12">
        <f>SourceData!I6</f>
        <v>3.6597000000000002E-5</v>
      </c>
    </row>
    <row r="5" spans="1:2" x14ac:dyDescent="0.2">
      <c r="A5">
        <f>SourceData!G7</f>
        <v>2013</v>
      </c>
      <c r="B5" s="12">
        <f>SourceData!I7</f>
        <v>3.7706000000000001E-5</v>
      </c>
    </row>
    <row r="6" spans="1:2" x14ac:dyDescent="0.2">
      <c r="A6">
        <f>SourceData!G8</f>
        <v>2014</v>
      </c>
      <c r="B6" s="12">
        <f>SourceData!I8</f>
        <v>3.8815E-5</v>
      </c>
    </row>
    <row r="7" spans="1:2" x14ac:dyDescent="0.2">
      <c r="A7">
        <f>SourceData!G9</f>
        <v>2015</v>
      </c>
      <c r="B7" s="12">
        <f>SourceData!I9</f>
        <v>3.9923999999999999E-5</v>
      </c>
    </row>
    <row r="8" spans="1:2" x14ac:dyDescent="0.2">
      <c r="A8">
        <f>SourceData!G10</f>
        <v>2016</v>
      </c>
      <c r="B8" s="12">
        <f>SourceData!I10</f>
        <v>4.2141999999999997E-5</v>
      </c>
    </row>
    <row r="9" spans="1:2" x14ac:dyDescent="0.2">
      <c r="A9">
        <f>SourceData!G11</f>
        <v>2017</v>
      </c>
      <c r="B9" s="12">
        <f>SourceData!I11</f>
        <v>4.3250999999999996E-5</v>
      </c>
    </row>
    <row r="10" spans="1:2" x14ac:dyDescent="0.2">
      <c r="A10">
        <f>SourceData!G12</f>
        <v>2018</v>
      </c>
      <c r="B10" s="12">
        <f>SourceData!I12</f>
        <v>4.4360000000000002E-5</v>
      </c>
    </row>
    <row r="11" spans="1:2" x14ac:dyDescent="0.2">
      <c r="A11">
        <f>SourceData!G13</f>
        <v>2019</v>
      </c>
      <c r="B11" s="12">
        <f>SourceData!I13</f>
        <v>4.5469000000000001E-5</v>
      </c>
    </row>
    <row r="12" spans="1:2" x14ac:dyDescent="0.2">
      <c r="A12">
        <f>SourceData!G14</f>
        <v>2020</v>
      </c>
      <c r="B12" s="12">
        <f>SourceData!I14</f>
        <v>4.6578E-5</v>
      </c>
    </row>
    <row r="13" spans="1:2" x14ac:dyDescent="0.2">
      <c r="A13">
        <f>SourceData!G15</f>
        <v>2021</v>
      </c>
      <c r="B13" s="12">
        <f>SourceData!I15</f>
        <v>4.6578E-5</v>
      </c>
    </row>
    <row r="14" spans="1:2" x14ac:dyDescent="0.2">
      <c r="A14">
        <f>SourceData!G16</f>
        <v>2022</v>
      </c>
      <c r="B14" s="12">
        <f>SourceData!I16</f>
        <v>4.7686999999999999E-5</v>
      </c>
    </row>
    <row r="15" spans="1:2" x14ac:dyDescent="0.2">
      <c r="A15">
        <f>SourceData!G17</f>
        <v>2023</v>
      </c>
      <c r="B15" s="12">
        <f>SourceData!I17</f>
        <v>4.8795999999999998E-5</v>
      </c>
    </row>
    <row r="16" spans="1:2" x14ac:dyDescent="0.2">
      <c r="A16">
        <f>SourceData!G18</f>
        <v>2024</v>
      </c>
      <c r="B16" s="12">
        <f>SourceData!I18</f>
        <v>4.9905000000000004E-5</v>
      </c>
    </row>
    <row r="17" spans="1:2" x14ac:dyDescent="0.2">
      <c r="A17">
        <f>SourceData!G19</f>
        <v>2025</v>
      </c>
      <c r="B17" s="12">
        <f>SourceData!I19</f>
        <v>5.1013999999999996E-5</v>
      </c>
    </row>
    <row r="18" spans="1:2" x14ac:dyDescent="0.2">
      <c r="A18">
        <f>SourceData!G20</f>
        <v>2026</v>
      </c>
      <c r="B18" s="12">
        <f>SourceData!I20</f>
        <v>5.2122999999999995E-5</v>
      </c>
    </row>
    <row r="19" spans="1:2" x14ac:dyDescent="0.2">
      <c r="A19">
        <f>SourceData!G21</f>
        <v>2027</v>
      </c>
      <c r="B19" s="12">
        <f>SourceData!I21</f>
        <v>5.3232000000000001E-5</v>
      </c>
    </row>
    <row r="20" spans="1:2" x14ac:dyDescent="0.2">
      <c r="A20">
        <f>SourceData!G22</f>
        <v>2028</v>
      </c>
      <c r="B20" s="12">
        <f>SourceData!I22</f>
        <v>5.4341E-5</v>
      </c>
    </row>
    <row r="21" spans="1:2" x14ac:dyDescent="0.2">
      <c r="A21">
        <f>SourceData!G23</f>
        <v>2029</v>
      </c>
      <c r="B21" s="12">
        <f>SourceData!I23</f>
        <v>5.4341E-5</v>
      </c>
    </row>
    <row r="22" spans="1:2" x14ac:dyDescent="0.2">
      <c r="A22">
        <f>SourceData!G24</f>
        <v>2030</v>
      </c>
      <c r="B22" s="12">
        <f>SourceData!I24</f>
        <v>5.5450000000000006E-5</v>
      </c>
    </row>
    <row r="23" spans="1:2" x14ac:dyDescent="0.2">
      <c r="A23">
        <f>SourceData!G25</f>
        <v>2031</v>
      </c>
      <c r="B23" s="12">
        <f>SourceData!I25</f>
        <v>5.6558999999999998E-5</v>
      </c>
    </row>
    <row r="24" spans="1:2" x14ac:dyDescent="0.2">
      <c r="A24">
        <f>SourceData!G26</f>
        <v>2032</v>
      </c>
      <c r="B24" s="12">
        <f>SourceData!I26</f>
        <v>5.7667999999999997E-5</v>
      </c>
    </row>
    <row r="25" spans="1:2" x14ac:dyDescent="0.2">
      <c r="A25">
        <f>SourceData!G27</f>
        <v>2033</v>
      </c>
      <c r="B25" s="12">
        <f>SourceData!I27</f>
        <v>5.8777000000000003E-5</v>
      </c>
    </row>
    <row r="26" spans="1:2" x14ac:dyDescent="0.2">
      <c r="A26">
        <f>SourceData!G28</f>
        <v>2034</v>
      </c>
      <c r="B26" s="12">
        <f>SourceData!I28</f>
        <v>5.9885999999999995E-5</v>
      </c>
    </row>
    <row r="27" spans="1:2" x14ac:dyDescent="0.2">
      <c r="A27">
        <f>SourceData!G29</f>
        <v>2035</v>
      </c>
      <c r="B27" s="12">
        <f>SourceData!I29</f>
        <v>6.0994999999999995E-5</v>
      </c>
    </row>
    <row r="28" spans="1:2" x14ac:dyDescent="0.2">
      <c r="A28">
        <f>SourceData!G30</f>
        <v>2036</v>
      </c>
      <c r="B28" s="12">
        <f>SourceData!I30</f>
        <v>6.2104E-5</v>
      </c>
    </row>
    <row r="29" spans="1:2" x14ac:dyDescent="0.2">
      <c r="A29">
        <f>SourceData!G31</f>
        <v>2037</v>
      </c>
      <c r="B29" s="12">
        <f>SourceData!I31</f>
        <v>6.3213000000000006E-5</v>
      </c>
    </row>
    <row r="30" spans="1:2" x14ac:dyDescent="0.2">
      <c r="A30">
        <f>SourceData!G32</f>
        <v>2038</v>
      </c>
      <c r="B30" s="12">
        <f>SourceData!I32</f>
        <v>6.4321999999999998E-5</v>
      </c>
    </row>
    <row r="31" spans="1:2" x14ac:dyDescent="0.2">
      <c r="A31">
        <f>SourceData!G33</f>
        <v>2039</v>
      </c>
      <c r="B31" s="12">
        <f>SourceData!I33</f>
        <v>6.5430999999999991E-5</v>
      </c>
    </row>
    <row r="32" spans="1:2" x14ac:dyDescent="0.2">
      <c r="A32">
        <f>SourceData!G34</f>
        <v>2040</v>
      </c>
      <c r="B32" s="12">
        <f>SourceData!I34</f>
        <v>6.6539999999999997E-5</v>
      </c>
    </row>
    <row r="33" spans="1:2" x14ac:dyDescent="0.2">
      <c r="A33">
        <f>SourceData!G35</f>
        <v>2041</v>
      </c>
      <c r="B33" s="12">
        <f>SourceData!I35</f>
        <v>6.7649000000000002E-5</v>
      </c>
    </row>
    <row r="34" spans="1:2" x14ac:dyDescent="0.2">
      <c r="A34">
        <f>SourceData!G36</f>
        <v>2042</v>
      </c>
      <c r="B34" s="12">
        <f>SourceData!I36</f>
        <v>6.7649000000000002E-5</v>
      </c>
    </row>
    <row r="35" spans="1:2" x14ac:dyDescent="0.2">
      <c r="A35">
        <f>SourceData!G37</f>
        <v>2043</v>
      </c>
      <c r="B35" s="12">
        <f>SourceData!I37</f>
        <v>6.8757999999999995E-5</v>
      </c>
    </row>
    <row r="36" spans="1:2" x14ac:dyDescent="0.2">
      <c r="A36">
        <f>SourceData!G38</f>
        <v>2044</v>
      </c>
      <c r="B36" s="12">
        <f>SourceData!I38</f>
        <v>6.9867E-5</v>
      </c>
    </row>
    <row r="37" spans="1:2" x14ac:dyDescent="0.2">
      <c r="A37">
        <f>SourceData!G39</f>
        <v>2045</v>
      </c>
      <c r="B37" s="12">
        <f>SourceData!I39</f>
        <v>7.0975999999999993E-5</v>
      </c>
    </row>
    <row r="38" spans="1:2" x14ac:dyDescent="0.2">
      <c r="A38">
        <f>SourceData!G40</f>
        <v>2046</v>
      </c>
      <c r="B38" s="12">
        <f>SourceData!I40</f>
        <v>7.2084999999999998E-5</v>
      </c>
    </row>
    <row r="39" spans="1:2" x14ac:dyDescent="0.2">
      <c r="A39">
        <f>SourceData!G41</f>
        <v>2047</v>
      </c>
      <c r="B39" s="12">
        <f>SourceData!I41</f>
        <v>7.3194000000000004E-5</v>
      </c>
    </row>
    <row r="40" spans="1:2" x14ac:dyDescent="0.2">
      <c r="A40">
        <f>SourceData!G42</f>
        <v>2048</v>
      </c>
      <c r="B40" s="12">
        <f>SourceData!I42</f>
        <v>7.4302999999999997E-5</v>
      </c>
    </row>
    <row r="41" spans="1:2" x14ac:dyDescent="0.2">
      <c r="A41">
        <f>SourceData!G43</f>
        <v>2049</v>
      </c>
      <c r="B41" s="12">
        <f>SourceData!I43</f>
        <v>7.5412000000000002E-5</v>
      </c>
    </row>
    <row r="42" spans="1:2" x14ac:dyDescent="0.2">
      <c r="A42">
        <f>SourceData!G44</f>
        <v>2050</v>
      </c>
      <c r="B42" s="12">
        <f>SourceData!I44</f>
        <v>7.6520999999999995E-5</v>
      </c>
    </row>
    <row r="43" spans="1:2" x14ac:dyDescent="0.2">
      <c r="A43" s="13">
        <v>2051</v>
      </c>
      <c r="B43" s="12">
        <f>SourceData!I45</f>
        <v>7.6785057448410887E-5</v>
      </c>
    </row>
    <row r="44" spans="1:2" x14ac:dyDescent="0.2">
      <c r="A44" s="13">
        <v>2052</v>
      </c>
      <c r="B44" s="12">
        <f>SourceData!I46</f>
        <v>7.7779793920481984E-5</v>
      </c>
    </row>
    <row r="45" spans="1:2" x14ac:dyDescent="0.2">
      <c r="A45" s="13">
        <v>2053</v>
      </c>
      <c r="B45" s="12">
        <f>SourceData!I47</f>
        <v>7.8843859092279862E-5</v>
      </c>
    </row>
    <row r="46" spans="1:2" x14ac:dyDescent="0.2">
      <c r="A46" s="13">
        <v>2054</v>
      </c>
      <c r="B46" s="12">
        <f>SourceData!I48</f>
        <v>7.9885387520073171E-5</v>
      </c>
    </row>
    <row r="47" spans="1:2" x14ac:dyDescent="0.2">
      <c r="A47" s="13">
        <v>2055</v>
      </c>
      <c r="B47" s="12">
        <f>SourceData!I49</f>
        <v>8.0904750051638674E-5</v>
      </c>
    </row>
    <row r="48" spans="1:2" x14ac:dyDescent="0.2">
      <c r="A48" s="13">
        <v>2056</v>
      </c>
      <c r="B48" s="12">
        <f>SourceData!I50</f>
        <v>8.1902647706332622E-5</v>
      </c>
    </row>
    <row r="49" spans="1:2" x14ac:dyDescent="0.2">
      <c r="A49" s="13">
        <v>2057</v>
      </c>
      <c r="B49" s="12">
        <f>SourceData!I51</f>
        <v>8.2880238828853957E-5</v>
      </c>
    </row>
    <row r="50" spans="1:2" x14ac:dyDescent="0.2">
      <c r="A50" s="13">
        <v>2058</v>
      </c>
      <c r="B50" s="12">
        <f>SourceData!I52</f>
        <v>8.3888153693965412E-5</v>
      </c>
    </row>
    <row r="51" spans="1:2" x14ac:dyDescent="0.2">
      <c r="A51" s="13">
        <v>2059</v>
      </c>
      <c r="B51" s="12">
        <f>SourceData!I53</f>
        <v>8.4892180152976656E-5</v>
      </c>
    </row>
    <row r="52" spans="1:2" x14ac:dyDescent="0.2">
      <c r="A52" s="13">
        <v>2060</v>
      </c>
      <c r="B52" s="12">
        <f>SourceData!I54</f>
        <v>8.5921966198623651E-5</v>
      </c>
    </row>
    <row r="53" spans="1:2" x14ac:dyDescent="0.2">
      <c r="A53" s="13">
        <v>2061</v>
      </c>
      <c r="B53" s="12">
        <f>SourceData!I55</f>
        <v>8.6948276429878846E-5</v>
      </c>
    </row>
    <row r="54" spans="1:2" x14ac:dyDescent="0.2">
      <c r="A54" s="13">
        <v>2062</v>
      </c>
      <c r="B54" s="12">
        <f>SourceData!I56</f>
        <v>8.7976360715815845E-5</v>
      </c>
    </row>
    <row r="55" spans="1:2" x14ac:dyDescent="0.2">
      <c r="A55" s="13">
        <v>2063</v>
      </c>
      <c r="B55" s="12">
        <f>SourceData!I57</f>
        <v>8.8955706998581889E-5</v>
      </c>
    </row>
    <row r="56" spans="1:2" x14ac:dyDescent="0.2">
      <c r="A56" s="13">
        <v>2064</v>
      </c>
      <c r="B56" s="12">
        <f>SourceData!I58</f>
        <v>8.994507332200543E-5</v>
      </c>
    </row>
    <row r="57" spans="1:2" x14ac:dyDescent="0.2">
      <c r="A57" s="13">
        <v>2065</v>
      </c>
      <c r="B57" s="12">
        <f>SourceData!I59</f>
        <v>9.0931133549412388E-5</v>
      </c>
    </row>
    <row r="58" spans="1:2" x14ac:dyDescent="0.2">
      <c r="A58" s="13">
        <v>2066</v>
      </c>
      <c r="B58" s="12">
        <f>SourceData!I60</f>
        <v>9.1921167247548021E-5</v>
      </c>
    </row>
    <row r="59" spans="1:2" x14ac:dyDescent="0.2">
      <c r="A59" s="13">
        <v>2067</v>
      </c>
      <c r="B59" s="12">
        <f>SourceData!I61</f>
        <v>9.2915986658587027E-5</v>
      </c>
    </row>
    <row r="60" spans="1:2" x14ac:dyDescent="0.2">
      <c r="A60" s="13">
        <v>2068</v>
      </c>
      <c r="B60" s="12">
        <f>SourceData!I62</f>
        <v>9.3915924582859314E-5</v>
      </c>
    </row>
    <row r="61" spans="1:2" x14ac:dyDescent="0.2">
      <c r="A61" s="13">
        <v>2069</v>
      </c>
      <c r="B61" s="12">
        <f>SourceData!I63</f>
        <v>9.4923079650955047E-5</v>
      </c>
    </row>
    <row r="62" spans="1:2" x14ac:dyDescent="0.2">
      <c r="A62" s="13">
        <v>2070</v>
      </c>
      <c r="B62" s="12">
        <f>SourceData!I64</f>
        <v>9.5936643103957875E-5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SourceData</vt:lpstr>
      <vt:lpstr>SCoC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2014-12-03T01:41:26Z</dcterms:created>
  <dcterms:modified xsi:type="dcterms:W3CDTF">2024-08-19T17:01:40Z</dcterms:modified>
</cp:coreProperties>
</file>