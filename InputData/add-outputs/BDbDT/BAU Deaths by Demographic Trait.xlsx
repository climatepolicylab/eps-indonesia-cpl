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sy02/Desktop/Indonesia/InputData/add-outputs/BDbDT/"/>
    </mc:Choice>
  </mc:AlternateContent>
  <xr:revisionPtr revIDLastSave="0" documentId="13_ncr:1_{590D765B-EF25-8D42-B55C-0E713BFCB65B}" xr6:coauthVersionLast="47" xr6:coauthVersionMax="47" xr10:uidLastSave="{00000000-0000-0000-0000-000000000000}"/>
  <bookViews>
    <workbookView xWindow="0" yWindow="780" windowWidth="34200" windowHeight="21360" activeTab="2" xr2:uid="{07D21EFD-220B-4C60-85BD-FCD4C246A818}"/>
  </bookViews>
  <sheets>
    <sheet name="About" sheetId="1" r:id="rId1"/>
    <sheet name="Census T3" sheetId="2" r:id="rId2"/>
    <sheet name="BDbD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232" i="2" l="1"/>
  <c r="D1233" i="2" s="1"/>
  <c r="D694" i="2"/>
  <c r="D695" i="2" s="1"/>
  <c r="D640" i="2"/>
  <c r="D641" i="2" s="1"/>
  <c r="D642" i="2" s="1"/>
  <c r="D586" i="2"/>
  <c r="D587" i="2" s="1"/>
  <c r="D532" i="2"/>
  <c r="D533" i="2" s="1"/>
  <c r="D534" i="2" s="1"/>
  <c r="D478" i="2"/>
  <c r="D479" i="2" s="1"/>
  <c r="D480" i="2" s="1"/>
  <c r="D424" i="2"/>
  <c r="D425" i="2" s="1"/>
  <c r="D426" i="2" s="1"/>
  <c r="D370" i="2"/>
  <c r="D371" i="2" s="1"/>
  <c r="D316" i="2"/>
  <c r="D317" i="2" s="1"/>
  <c r="D318" i="2" s="1"/>
  <c r="D262" i="2"/>
  <c r="D263" i="2" s="1"/>
  <c r="D264" i="2" s="1"/>
  <c r="D208" i="2"/>
  <c r="D209" i="2" s="1"/>
  <c r="D154" i="2"/>
  <c r="D155" i="2" s="1"/>
  <c r="AQ6" i="3"/>
  <c r="AQ8" i="3"/>
  <c r="D100" i="2"/>
  <c r="D101" i="2" s="1"/>
  <c r="AP2" i="3"/>
  <c r="D46" i="2"/>
  <c r="AG8" i="3"/>
  <c r="AG9" i="3" s="1"/>
  <c r="AH8" i="3"/>
  <c r="AH9" i="3" s="1"/>
  <c r="AI8" i="3"/>
  <c r="AI9" i="3" s="1"/>
  <c r="AJ8" i="3"/>
  <c r="AJ9" i="3" s="1"/>
  <c r="AK8" i="3"/>
  <c r="AK9" i="3" s="1"/>
  <c r="AL8" i="3"/>
  <c r="AL9" i="3" s="1"/>
  <c r="AM8" i="3"/>
  <c r="AM9" i="3" s="1"/>
  <c r="AN8" i="3"/>
  <c r="AN9" i="3" s="1"/>
  <c r="AO8" i="3"/>
  <c r="AO9" i="3" s="1"/>
  <c r="AP8" i="3"/>
  <c r="AP9" i="3" s="1"/>
  <c r="AG6" i="3"/>
  <c r="AH6" i="3"/>
  <c r="AI6" i="3"/>
  <c r="AJ6" i="3"/>
  <c r="AK6" i="3"/>
  <c r="AL6" i="3"/>
  <c r="AM6" i="3"/>
  <c r="AN6" i="3"/>
  <c r="AO6" i="3"/>
  <c r="AP6" i="3"/>
  <c r="AG5" i="3"/>
  <c r="AH5" i="3"/>
  <c r="AI5" i="3"/>
  <c r="AJ5" i="3"/>
  <c r="AK5" i="3"/>
  <c r="AL5" i="3"/>
  <c r="AM5" i="3"/>
  <c r="AN5" i="3"/>
  <c r="AO5" i="3"/>
  <c r="AP5" i="3"/>
  <c r="AG4" i="3"/>
  <c r="AH4" i="3"/>
  <c r="AI4" i="3"/>
  <c r="AJ4" i="3"/>
  <c r="AK4" i="3"/>
  <c r="AL4" i="3"/>
  <c r="AM4" i="3"/>
  <c r="AN4" i="3"/>
  <c r="AO4" i="3"/>
  <c r="AP4" i="3"/>
  <c r="AG3" i="3"/>
  <c r="AH3" i="3"/>
  <c r="AI3" i="3"/>
  <c r="AJ3" i="3"/>
  <c r="AK3" i="3"/>
  <c r="AL3" i="3"/>
  <c r="AM3" i="3"/>
  <c r="AN3" i="3"/>
  <c r="AO3" i="3"/>
  <c r="AP3" i="3"/>
  <c r="AG2" i="3"/>
  <c r="AH2" i="3"/>
  <c r="AI2" i="3"/>
  <c r="AJ2" i="3"/>
  <c r="AK2" i="3"/>
  <c r="AL2" i="3"/>
  <c r="AM2" i="3"/>
  <c r="AN2" i="3"/>
  <c r="AO2" i="3"/>
  <c r="P2" i="3"/>
  <c r="Q2" i="3"/>
  <c r="R2" i="3"/>
  <c r="S2" i="3"/>
  <c r="T2" i="3"/>
  <c r="U2" i="3"/>
  <c r="V2" i="3"/>
  <c r="W2" i="3"/>
  <c r="X2" i="3"/>
  <c r="Y2" i="3"/>
  <c r="Z2" i="3"/>
  <c r="AA2" i="3"/>
  <c r="AB2" i="3"/>
  <c r="AC2" i="3"/>
  <c r="AD2" i="3"/>
  <c r="AE2" i="3"/>
  <c r="AF2" i="3"/>
  <c r="P3" i="3"/>
  <c r="Q3" i="3"/>
  <c r="R3" i="3"/>
  <c r="S3" i="3"/>
  <c r="T3" i="3"/>
  <c r="U3" i="3"/>
  <c r="V3" i="3"/>
  <c r="W3" i="3"/>
  <c r="X3" i="3"/>
  <c r="Y3" i="3"/>
  <c r="Z3" i="3"/>
  <c r="AA3" i="3"/>
  <c r="AB3" i="3"/>
  <c r="AC3" i="3"/>
  <c r="AD3" i="3"/>
  <c r="AE3" i="3"/>
  <c r="AF3" i="3"/>
  <c r="P4" i="3"/>
  <c r="Q4" i="3"/>
  <c r="R4" i="3"/>
  <c r="S4" i="3"/>
  <c r="T4" i="3"/>
  <c r="U4" i="3"/>
  <c r="V4" i="3"/>
  <c r="W4" i="3"/>
  <c r="X4" i="3"/>
  <c r="Y4" i="3"/>
  <c r="Z4" i="3"/>
  <c r="AA4" i="3"/>
  <c r="AB4" i="3"/>
  <c r="AC4" i="3"/>
  <c r="AD4" i="3"/>
  <c r="AE4" i="3"/>
  <c r="AF4" i="3"/>
  <c r="P5" i="3"/>
  <c r="Q5" i="3"/>
  <c r="R5" i="3"/>
  <c r="S5" i="3"/>
  <c r="T5" i="3"/>
  <c r="U5" i="3"/>
  <c r="V5" i="3"/>
  <c r="W5" i="3"/>
  <c r="X5" i="3"/>
  <c r="Y5" i="3"/>
  <c r="Z5" i="3"/>
  <c r="AA5" i="3"/>
  <c r="AB5" i="3"/>
  <c r="AC5" i="3"/>
  <c r="AD5" i="3"/>
  <c r="AE5" i="3"/>
  <c r="AF5" i="3"/>
  <c r="P6" i="3"/>
  <c r="Q6" i="3"/>
  <c r="R6" i="3"/>
  <c r="S6" i="3"/>
  <c r="T6" i="3"/>
  <c r="U6" i="3"/>
  <c r="V6" i="3"/>
  <c r="W6" i="3"/>
  <c r="X6" i="3"/>
  <c r="Y6" i="3"/>
  <c r="Z6" i="3"/>
  <c r="AA6" i="3"/>
  <c r="AB6" i="3"/>
  <c r="AC6" i="3"/>
  <c r="AD6" i="3"/>
  <c r="AE6" i="3"/>
  <c r="AF6" i="3"/>
  <c r="P8" i="3"/>
  <c r="P9" i="3" s="1"/>
  <c r="Q8" i="3"/>
  <c r="Q9" i="3" s="1"/>
  <c r="R8" i="3"/>
  <c r="R9" i="3" s="1"/>
  <c r="S8" i="3"/>
  <c r="S9" i="3" s="1"/>
  <c r="T8" i="3"/>
  <c r="T9" i="3" s="1"/>
  <c r="U8" i="3"/>
  <c r="U9" i="3" s="1"/>
  <c r="V8" i="3"/>
  <c r="V9" i="3" s="1"/>
  <c r="W8" i="3"/>
  <c r="W9" i="3" s="1"/>
  <c r="X8" i="3"/>
  <c r="X9" i="3" s="1"/>
  <c r="Y8" i="3"/>
  <c r="Y9" i="3" s="1"/>
  <c r="Z8" i="3"/>
  <c r="Z9" i="3" s="1"/>
  <c r="AA8" i="3"/>
  <c r="AA9" i="3" s="1"/>
  <c r="AB8" i="3"/>
  <c r="AB9" i="3" s="1"/>
  <c r="AC8" i="3"/>
  <c r="AC9" i="3" s="1"/>
  <c r="AD8" i="3"/>
  <c r="AD9" i="3" s="1"/>
  <c r="AE8" i="3"/>
  <c r="AE9" i="3" s="1"/>
  <c r="AF8" i="3"/>
  <c r="AF9" i="3" s="1"/>
  <c r="C2" i="3"/>
  <c r="D2" i="3"/>
  <c r="E2" i="3"/>
  <c r="F2" i="3"/>
  <c r="G2" i="3"/>
  <c r="H2" i="3"/>
  <c r="I2" i="3"/>
  <c r="J2" i="3"/>
  <c r="K2" i="3"/>
  <c r="L2" i="3"/>
  <c r="M2" i="3"/>
  <c r="N2" i="3"/>
  <c r="O2" i="3"/>
  <c r="C3" i="3"/>
  <c r="D3" i="3"/>
  <c r="E3" i="3"/>
  <c r="F3" i="3"/>
  <c r="G3" i="3"/>
  <c r="H3" i="3"/>
  <c r="I3" i="3"/>
  <c r="J3" i="3"/>
  <c r="K3" i="3"/>
  <c r="L3" i="3"/>
  <c r="M3" i="3"/>
  <c r="N3" i="3"/>
  <c r="O3" i="3"/>
  <c r="C4" i="3"/>
  <c r="D4" i="3"/>
  <c r="E4" i="3"/>
  <c r="F4" i="3"/>
  <c r="G4" i="3"/>
  <c r="H4" i="3"/>
  <c r="I4" i="3"/>
  <c r="J4" i="3"/>
  <c r="K4" i="3"/>
  <c r="L4" i="3"/>
  <c r="M4" i="3"/>
  <c r="N4" i="3"/>
  <c r="O4" i="3"/>
  <c r="C5" i="3"/>
  <c r="D5" i="3"/>
  <c r="E5" i="3"/>
  <c r="F5" i="3"/>
  <c r="G5" i="3"/>
  <c r="H5" i="3"/>
  <c r="I5" i="3"/>
  <c r="J5" i="3"/>
  <c r="K5" i="3"/>
  <c r="L5" i="3"/>
  <c r="M5" i="3"/>
  <c r="N5" i="3"/>
  <c r="O5" i="3"/>
  <c r="C6" i="3"/>
  <c r="D6" i="3"/>
  <c r="E6" i="3"/>
  <c r="F6" i="3"/>
  <c r="G6" i="3"/>
  <c r="H6" i="3"/>
  <c r="I6" i="3"/>
  <c r="J6" i="3"/>
  <c r="K6" i="3"/>
  <c r="L6" i="3"/>
  <c r="M6" i="3"/>
  <c r="N6" i="3"/>
  <c r="O6" i="3"/>
  <c r="C8" i="3"/>
  <c r="C9" i="3" s="1"/>
  <c r="D8" i="3"/>
  <c r="D9" i="3" s="1"/>
  <c r="E8" i="3"/>
  <c r="E9" i="3" s="1"/>
  <c r="F8" i="3"/>
  <c r="F9" i="3" s="1"/>
  <c r="G8" i="3"/>
  <c r="G9" i="3" s="1"/>
  <c r="H8" i="3"/>
  <c r="H9" i="3" s="1"/>
  <c r="I8" i="3"/>
  <c r="I9" i="3" s="1"/>
  <c r="J8" i="3"/>
  <c r="J9" i="3" s="1"/>
  <c r="K8" i="3"/>
  <c r="K9" i="3" s="1"/>
  <c r="L8" i="3"/>
  <c r="L9" i="3" s="1"/>
  <c r="M8" i="3"/>
  <c r="M9" i="3" s="1"/>
  <c r="N8" i="3"/>
  <c r="N9" i="3" s="1"/>
  <c r="O8" i="3"/>
  <c r="O9" i="3" s="1"/>
  <c r="B8" i="3"/>
  <c r="B9" i="3" s="1"/>
  <c r="B6" i="3"/>
  <c r="B5" i="3"/>
  <c r="B4" i="3"/>
  <c r="B3" i="3"/>
  <c r="B2" i="3"/>
  <c r="D1234" i="2" l="1"/>
  <c r="AR8" i="3"/>
  <c r="AS8" i="3"/>
  <c r="D1235" i="2"/>
  <c r="AT8" i="3" s="1"/>
  <c r="D696" i="2"/>
  <c r="D697" i="2" s="1"/>
  <c r="AT6" i="3" s="1"/>
  <c r="AR6" i="3"/>
  <c r="AS6" i="3"/>
  <c r="D643" i="2"/>
  <c r="D588" i="2"/>
  <c r="D589" i="2" s="1"/>
  <c r="D535" i="2"/>
  <c r="D481" i="2"/>
  <c r="AQ5" i="3"/>
  <c r="D427" i="2"/>
  <c r="D372" i="2"/>
  <c r="D373" i="2" s="1"/>
  <c r="AT5" i="3" s="1"/>
  <c r="AR5" i="3"/>
  <c r="D319" i="2"/>
  <c r="AQ4" i="3"/>
  <c r="D265" i="2"/>
  <c r="AQ3" i="3"/>
  <c r="D210" i="2"/>
  <c r="D211" i="2" s="1"/>
  <c r="AT4" i="3" s="1"/>
  <c r="AR4" i="3"/>
  <c r="D156" i="2"/>
  <c r="D157" i="2" s="1"/>
  <c r="AT3" i="3" s="1"/>
  <c r="AR3" i="3"/>
  <c r="D102" i="2"/>
  <c r="D103" i="2" s="1"/>
  <c r="AT2" i="3" s="1"/>
  <c r="AR2" i="3"/>
  <c r="AQ2" i="3"/>
  <c r="AQ9" i="3"/>
  <c r="D47" i="2"/>
  <c r="AF7" i="3"/>
  <c r="X7" i="3"/>
  <c r="P7" i="3"/>
  <c r="Y7" i="3"/>
  <c r="Q7" i="3"/>
  <c r="AJ7" i="3"/>
  <c r="AL7" i="3"/>
  <c r="AO7" i="3"/>
  <c r="AG7" i="3"/>
  <c r="K7" i="3"/>
  <c r="AP7" i="3"/>
  <c r="AH7" i="3"/>
  <c r="H7" i="3"/>
  <c r="Z7" i="3"/>
  <c r="R7" i="3"/>
  <c r="AA7" i="3"/>
  <c r="B7" i="3"/>
  <c r="AI7" i="3"/>
  <c r="AK7" i="3"/>
  <c r="AE7" i="3"/>
  <c r="W7" i="3"/>
  <c r="C7" i="3"/>
  <c r="AN7" i="3"/>
  <c r="AM7" i="3"/>
  <c r="L7" i="3"/>
  <c r="D7" i="3"/>
  <c r="AD7" i="3"/>
  <c r="V7" i="3"/>
  <c r="M7" i="3"/>
  <c r="E7" i="3"/>
  <c r="J7" i="3"/>
  <c r="O7" i="3"/>
  <c r="G7" i="3"/>
  <c r="I7" i="3"/>
  <c r="N7" i="3"/>
  <c r="F7" i="3"/>
  <c r="AC7" i="3"/>
  <c r="U7" i="3"/>
  <c r="S7" i="3"/>
  <c r="AB7" i="3"/>
  <c r="T7" i="3"/>
  <c r="D1236" i="2" l="1"/>
  <c r="AU8" i="3" s="1"/>
  <c r="D698" i="2"/>
  <c r="AU6" i="3" s="1"/>
  <c r="D644" i="2"/>
  <c r="D590" i="2"/>
  <c r="D591" i="2" s="1"/>
  <c r="D592" i="2" s="1"/>
  <c r="AS5" i="3"/>
  <c r="D536" i="2"/>
  <c r="D482" i="2"/>
  <c r="AQ7" i="3"/>
  <c r="D428" i="2"/>
  <c r="AS2" i="3"/>
  <c r="D374" i="2"/>
  <c r="AU5" i="3" s="1"/>
  <c r="AS4" i="3"/>
  <c r="D320" i="2"/>
  <c r="D321" i="2" s="1"/>
  <c r="AR7" i="3"/>
  <c r="D266" i="2"/>
  <c r="AS3" i="3"/>
  <c r="D212" i="2"/>
  <c r="AU4" i="3" s="1"/>
  <c r="D158" i="2"/>
  <c r="AU3" i="3" s="1"/>
  <c r="D104" i="2"/>
  <c r="AU2" i="3" s="1"/>
  <c r="D48" i="2"/>
  <c r="AR9" i="3"/>
  <c r="D1237" i="2" l="1"/>
  <c r="D699" i="2"/>
  <c r="D700" i="2" s="1"/>
  <c r="D645" i="2"/>
  <c r="D646" i="2" s="1"/>
  <c r="D593" i="2"/>
  <c r="D594" i="2" s="1"/>
  <c r="D537" i="2"/>
  <c r="D483" i="2"/>
  <c r="D484" i="2" s="1"/>
  <c r="D429" i="2"/>
  <c r="D430" i="2" s="1"/>
  <c r="D431" i="2" s="1"/>
  <c r="D375" i="2"/>
  <c r="AV5" i="3" s="1"/>
  <c r="D322" i="2"/>
  <c r="D267" i="2"/>
  <c r="D268" i="2" s="1"/>
  <c r="D213" i="2"/>
  <c r="AV4" i="3" s="1"/>
  <c r="D159" i="2"/>
  <c r="AV3" i="3" s="1"/>
  <c r="AS9" i="3"/>
  <c r="AS7" i="3"/>
  <c r="D105" i="2"/>
  <c r="AV2" i="3" s="1"/>
  <c r="D49" i="2"/>
  <c r="AV8" i="3" l="1"/>
  <c r="D1238" i="2"/>
  <c r="AW8" i="3" s="1"/>
  <c r="AW6" i="3"/>
  <c r="D701" i="2"/>
  <c r="AX6" i="3" s="1"/>
  <c r="AV6" i="3"/>
  <c r="D647" i="2"/>
  <c r="D648" i="2" s="1"/>
  <c r="D649" i="2" s="1"/>
  <c r="D595" i="2"/>
  <c r="D538" i="2"/>
  <c r="D485" i="2"/>
  <c r="D486" i="2" s="1"/>
  <c r="D487" i="2" s="1"/>
  <c r="D432" i="2"/>
  <c r="D433" i="2" s="1"/>
  <c r="D376" i="2"/>
  <c r="AW5" i="3" s="1"/>
  <c r="D323" i="2"/>
  <c r="D324" i="2" s="1"/>
  <c r="D325" i="2" s="1"/>
  <c r="D269" i="2"/>
  <c r="D270" i="2" s="1"/>
  <c r="D271" i="2" s="1"/>
  <c r="D214" i="2"/>
  <c r="D160" i="2"/>
  <c r="AT9" i="3"/>
  <c r="AT7" i="3"/>
  <c r="D106" i="2"/>
  <c r="D50" i="2"/>
  <c r="D1239" i="2" l="1"/>
  <c r="AX8" i="3" s="1"/>
  <c r="D702" i="2"/>
  <c r="D539" i="2"/>
  <c r="D540" i="2" s="1"/>
  <c r="D541" i="2" s="1"/>
  <c r="D377" i="2"/>
  <c r="AX5" i="3" s="1"/>
  <c r="AW4" i="3"/>
  <c r="D215" i="2"/>
  <c r="AX4" i="3" s="1"/>
  <c r="AW3" i="3"/>
  <c r="D161" i="2"/>
  <c r="AX3" i="3" s="1"/>
  <c r="AU9" i="3"/>
  <c r="AU7" i="3"/>
  <c r="AW2" i="3"/>
  <c r="D107" i="2"/>
  <c r="AX2" i="3" s="1"/>
  <c r="D51" i="2"/>
  <c r="D1240" i="2" l="1"/>
  <c r="AY8" i="3" s="1"/>
  <c r="AY6" i="3"/>
  <c r="D703" i="2"/>
  <c r="AZ6" i="3" s="1"/>
  <c r="D378" i="2"/>
  <c r="AY5" i="3" s="1"/>
  <c r="D216" i="2"/>
  <c r="D162" i="2"/>
  <c r="AV9" i="3"/>
  <c r="AV7" i="3"/>
  <c r="D108" i="2"/>
  <c r="D52" i="2"/>
  <c r="D1241" i="2" l="1"/>
  <c r="AZ8" i="3" s="1"/>
  <c r="D379" i="2"/>
  <c r="AZ5" i="3" s="1"/>
  <c r="AY4" i="3"/>
  <c r="D217" i="2"/>
  <c r="AZ4" i="3" s="1"/>
  <c r="AY3" i="3"/>
  <c r="D163" i="2"/>
  <c r="AZ3" i="3" s="1"/>
  <c r="AW9" i="3"/>
  <c r="AW7" i="3"/>
  <c r="AY2" i="3"/>
  <c r="D109" i="2"/>
  <c r="AZ2" i="3" s="1"/>
  <c r="D53" i="2"/>
  <c r="AX7" i="3" s="1"/>
  <c r="D54" i="2" l="1"/>
  <c r="AY7" i="3" s="1"/>
  <c r="AX9" i="3"/>
  <c r="D55" i="2" l="1"/>
  <c r="AY9" i="3"/>
  <c r="AZ9" i="3" l="1"/>
  <c r="AZ7" i="3"/>
</calcChain>
</file>

<file path=xl/sharedStrings.xml><?xml version="1.0" encoding="utf-8"?>
<sst xmlns="http://schemas.openxmlformats.org/spreadsheetml/2006/main" count="36" uniqueCount="34">
  <si>
    <t>BDbDT BAU Deaths by Demographic Trait</t>
  </si>
  <si>
    <t>Source:</t>
  </si>
  <si>
    <t>U.S. Census Bureau</t>
  </si>
  <si>
    <t>Projections for the United States: 2017-2060</t>
  </si>
  <si>
    <t>https://www.census.gov/data/datasets/2017/demo/popproj/2017-popproj.html</t>
  </si>
  <si>
    <t>Datasets, Table 3, Main Series</t>
  </si>
  <si>
    <t>Age columns have been removed to reduce filesize</t>
  </si>
  <si>
    <t>RACE_HISP</t>
  </si>
  <si>
    <t>SEX</t>
  </si>
  <si>
    <t>YEAR</t>
  </si>
  <si>
    <t>TOTAL_DEATHS</t>
  </si>
  <si>
    <t>Notes</t>
  </si>
  <si>
    <t>Key information for the U.S. census file is:</t>
  </si>
  <si>
    <t>RACE_HISP column</t>
  </si>
  <si>
    <t>total population</t>
  </si>
  <si>
    <t>white alone</t>
  </si>
  <si>
    <t>black alone</t>
  </si>
  <si>
    <t>Asian alone</t>
  </si>
  <si>
    <t>Native Hawaiian and Pacific Islander alone</t>
  </si>
  <si>
    <t>Two or more races</t>
  </si>
  <si>
    <t>Not Hispanic</t>
  </si>
  <si>
    <t>Hispanic</t>
  </si>
  <si>
    <t>Non-Hispanic White Alone</t>
  </si>
  <si>
    <t>SEX column</t>
  </si>
  <si>
    <t>both sexes</t>
  </si>
  <si>
    <t>male</t>
  </si>
  <si>
    <t>female</t>
  </si>
  <si>
    <t>American Indian and Alaska Native alone</t>
  </si>
  <si>
    <t>white</t>
  </si>
  <si>
    <t>black</t>
  </si>
  <si>
    <t>asian</t>
  </si>
  <si>
    <t>other race</t>
  </si>
  <si>
    <t>hispanic</t>
  </si>
  <si>
    <t>nonhispanic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</si>
</sst>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0" fontId="3" fillId="0" borderId="0" xfId="0" applyFont="1"/>
    <xf numFmtId="11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36CFD-0A84-4062-AAF5-5F189C33D342}">
  <dimension ref="A1:B27"/>
  <sheetViews>
    <sheetView workbookViewId="0"/>
  </sheetViews>
  <sheetFormatPr baseColWidth="10" defaultColWidth="8.83203125" defaultRowHeight="15" x14ac:dyDescent="0.2"/>
  <cols>
    <col min="2" max="2" width="81.5" customWidth="1"/>
  </cols>
  <sheetData>
    <row r="1" spans="1:2" x14ac:dyDescent="0.2">
      <c r="A1" s="1" t="s">
        <v>0</v>
      </c>
    </row>
    <row r="3" spans="1:2" x14ac:dyDescent="0.2">
      <c r="A3" t="s">
        <v>1</v>
      </c>
      <c r="B3" t="s">
        <v>2</v>
      </c>
    </row>
    <row r="4" spans="1:2" x14ac:dyDescent="0.2">
      <c r="B4" s="2">
        <v>2017</v>
      </c>
    </row>
    <row r="5" spans="1:2" x14ac:dyDescent="0.2">
      <c r="B5" t="s">
        <v>3</v>
      </c>
    </row>
    <row r="6" spans="1:2" x14ac:dyDescent="0.2">
      <c r="B6" s="3" t="s">
        <v>4</v>
      </c>
    </row>
    <row r="7" spans="1:2" x14ac:dyDescent="0.2">
      <c r="B7" t="s">
        <v>5</v>
      </c>
    </row>
    <row r="8" spans="1:2" x14ac:dyDescent="0.2">
      <c r="B8" s="4" t="s">
        <v>6</v>
      </c>
    </row>
    <row r="10" spans="1:2" x14ac:dyDescent="0.2">
      <c r="A10" s="1" t="s">
        <v>11</v>
      </c>
    </row>
    <row r="11" spans="1:2" x14ac:dyDescent="0.2">
      <c r="A11" t="s">
        <v>12</v>
      </c>
    </row>
    <row r="12" spans="1:2" x14ac:dyDescent="0.2">
      <c r="A12" t="s">
        <v>13</v>
      </c>
    </row>
    <row r="13" spans="1:2" x14ac:dyDescent="0.2">
      <c r="A13">
        <v>0</v>
      </c>
      <c r="B13" t="s">
        <v>14</v>
      </c>
    </row>
    <row r="14" spans="1:2" x14ac:dyDescent="0.2">
      <c r="A14">
        <v>1</v>
      </c>
      <c r="B14" t="s">
        <v>15</v>
      </c>
    </row>
    <row r="15" spans="1:2" x14ac:dyDescent="0.2">
      <c r="A15">
        <v>2</v>
      </c>
      <c r="B15" t="s">
        <v>16</v>
      </c>
    </row>
    <row r="16" spans="1:2" x14ac:dyDescent="0.2">
      <c r="A16">
        <v>3</v>
      </c>
      <c r="B16" t="s">
        <v>27</v>
      </c>
    </row>
    <row r="17" spans="1:2" x14ac:dyDescent="0.2">
      <c r="A17">
        <v>4</v>
      </c>
      <c r="B17" t="s">
        <v>17</v>
      </c>
    </row>
    <row r="18" spans="1:2" x14ac:dyDescent="0.2">
      <c r="A18">
        <v>5</v>
      </c>
      <c r="B18" t="s">
        <v>18</v>
      </c>
    </row>
    <row r="19" spans="1:2" x14ac:dyDescent="0.2">
      <c r="A19">
        <v>6</v>
      </c>
      <c r="B19" t="s">
        <v>19</v>
      </c>
    </row>
    <row r="20" spans="1:2" x14ac:dyDescent="0.2">
      <c r="A20">
        <v>7</v>
      </c>
      <c r="B20" t="s">
        <v>20</v>
      </c>
    </row>
    <row r="21" spans="1:2" x14ac:dyDescent="0.2">
      <c r="A21">
        <v>8</v>
      </c>
      <c r="B21" t="s">
        <v>21</v>
      </c>
    </row>
    <row r="22" spans="1:2" x14ac:dyDescent="0.2">
      <c r="A22">
        <v>9</v>
      </c>
      <c r="B22" t="s">
        <v>22</v>
      </c>
    </row>
    <row r="24" spans="1:2" x14ac:dyDescent="0.2">
      <c r="A24" t="s">
        <v>23</v>
      </c>
    </row>
    <row r="25" spans="1:2" x14ac:dyDescent="0.2">
      <c r="A25">
        <v>0</v>
      </c>
      <c r="B25" t="s">
        <v>24</v>
      </c>
    </row>
    <row r="26" spans="1:2" x14ac:dyDescent="0.2">
      <c r="A26">
        <v>1</v>
      </c>
      <c r="B26" t="s">
        <v>25</v>
      </c>
    </row>
    <row r="27" spans="1:2" x14ac:dyDescent="0.2">
      <c r="A27">
        <v>2</v>
      </c>
      <c r="B27" t="s">
        <v>26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919F3-6D9E-4385-A829-E23EE2202C4D}">
  <dimension ref="A1:D1461"/>
  <sheetViews>
    <sheetView topLeftCell="A1199" workbookViewId="0">
      <selection activeCell="F1236" sqref="F1236"/>
    </sheetView>
  </sheetViews>
  <sheetFormatPr baseColWidth="10" defaultColWidth="8.83203125" defaultRowHeight="15" x14ac:dyDescent="0.2"/>
  <cols>
    <col min="1" max="1" width="11.6640625" customWidth="1"/>
  </cols>
  <sheetData>
    <row r="1" spans="1:4" x14ac:dyDescent="0.2">
      <c r="A1" t="s">
        <v>7</v>
      </c>
      <c r="B1" t="s">
        <v>8</v>
      </c>
      <c r="C1" t="s">
        <v>9</v>
      </c>
      <c r="D1" t="s">
        <v>10</v>
      </c>
    </row>
    <row r="2" spans="1:4" x14ac:dyDescent="0.2">
      <c r="A2">
        <v>0</v>
      </c>
      <c r="B2">
        <v>0</v>
      </c>
      <c r="C2">
        <v>2017</v>
      </c>
      <c r="D2">
        <v>2667093</v>
      </c>
    </row>
    <row r="3" spans="1:4" x14ac:dyDescent="0.2">
      <c r="A3">
        <v>0</v>
      </c>
      <c r="B3">
        <v>0</v>
      </c>
      <c r="C3">
        <v>2018</v>
      </c>
      <c r="D3">
        <v>2696006</v>
      </c>
    </row>
    <row r="4" spans="1:4" x14ac:dyDescent="0.2">
      <c r="A4">
        <v>0</v>
      </c>
      <c r="B4">
        <v>0</v>
      </c>
      <c r="C4">
        <v>2019</v>
      </c>
      <c r="D4">
        <v>2723837</v>
      </c>
    </row>
    <row r="5" spans="1:4" x14ac:dyDescent="0.2">
      <c r="A5">
        <v>0</v>
      </c>
      <c r="B5">
        <v>0</v>
      </c>
      <c r="C5">
        <v>2020</v>
      </c>
      <c r="D5">
        <v>2751811</v>
      </c>
    </row>
    <row r="6" spans="1:4" x14ac:dyDescent="0.2">
      <c r="A6">
        <v>0</v>
      </c>
      <c r="B6">
        <v>0</v>
      </c>
      <c r="C6">
        <v>2021</v>
      </c>
      <c r="D6">
        <v>2780803</v>
      </c>
    </row>
    <row r="7" spans="1:4" x14ac:dyDescent="0.2">
      <c r="A7">
        <v>0</v>
      </c>
      <c r="B7">
        <v>0</v>
      </c>
      <c r="C7">
        <v>2022</v>
      </c>
      <c r="D7">
        <v>2811336</v>
      </c>
    </row>
    <row r="8" spans="1:4" x14ac:dyDescent="0.2">
      <c r="A8">
        <v>0</v>
      </c>
      <c r="B8">
        <v>0</v>
      </c>
      <c r="C8">
        <v>2023</v>
      </c>
      <c r="D8">
        <v>2843763</v>
      </c>
    </row>
    <row r="9" spans="1:4" x14ac:dyDescent="0.2">
      <c r="A9">
        <v>0</v>
      </c>
      <c r="B9">
        <v>0</v>
      </c>
      <c r="C9">
        <v>2024</v>
      </c>
      <c r="D9">
        <v>2878325</v>
      </c>
    </row>
    <row r="10" spans="1:4" x14ac:dyDescent="0.2">
      <c r="A10">
        <v>0</v>
      </c>
      <c r="B10">
        <v>0</v>
      </c>
      <c r="C10">
        <v>2025</v>
      </c>
      <c r="D10">
        <v>2915138</v>
      </c>
    </row>
    <row r="11" spans="1:4" x14ac:dyDescent="0.2">
      <c r="A11">
        <v>0</v>
      </c>
      <c r="B11">
        <v>0</v>
      </c>
      <c r="C11">
        <v>2026</v>
      </c>
      <c r="D11">
        <v>2954248</v>
      </c>
    </row>
    <row r="12" spans="1:4" x14ac:dyDescent="0.2">
      <c r="A12">
        <v>0</v>
      </c>
      <c r="B12">
        <v>0</v>
      </c>
      <c r="C12">
        <v>2027</v>
      </c>
      <c r="D12">
        <v>2995840</v>
      </c>
    </row>
    <row r="13" spans="1:4" x14ac:dyDescent="0.2">
      <c r="A13">
        <v>0</v>
      </c>
      <c r="B13">
        <v>0</v>
      </c>
      <c r="C13">
        <v>2028</v>
      </c>
      <c r="D13">
        <v>3039790</v>
      </c>
    </row>
    <row r="14" spans="1:4" x14ac:dyDescent="0.2">
      <c r="A14">
        <v>0</v>
      </c>
      <c r="B14">
        <v>0</v>
      </c>
      <c r="C14">
        <v>2029</v>
      </c>
      <c r="D14">
        <v>3085826</v>
      </c>
    </row>
    <row r="15" spans="1:4" x14ac:dyDescent="0.2">
      <c r="A15">
        <v>0</v>
      </c>
      <c r="B15">
        <v>0</v>
      </c>
      <c r="C15">
        <v>2030</v>
      </c>
      <c r="D15">
        <v>3133875</v>
      </c>
    </row>
    <row r="16" spans="1:4" x14ac:dyDescent="0.2">
      <c r="A16">
        <v>0</v>
      </c>
      <c r="B16">
        <v>0</v>
      </c>
      <c r="C16">
        <v>2031</v>
      </c>
      <c r="D16">
        <v>3183579</v>
      </c>
    </row>
    <row r="17" spans="1:4" x14ac:dyDescent="0.2">
      <c r="A17">
        <v>0</v>
      </c>
      <c r="B17">
        <v>0</v>
      </c>
      <c r="C17">
        <v>2032</v>
      </c>
      <c r="D17">
        <v>3234590</v>
      </c>
    </row>
    <row r="18" spans="1:4" x14ac:dyDescent="0.2">
      <c r="A18">
        <v>0</v>
      </c>
      <c r="B18">
        <v>0</v>
      </c>
      <c r="C18">
        <v>2033</v>
      </c>
      <c r="D18">
        <v>3286501</v>
      </c>
    </row>
    <row r="19" spans="1:4" x14ac:dyDescent="0.2">
      <c r="A19">
        <v>0</v>
      </c>
      <c r="B19">
        <v>0</v>
      </c>
      <c r="C19">
        <v>2034</v>
      </c>
      <c r="D19">
        <v>3338858</v>
      </c>
    </row>
    <row r="20" spans="1:4" x14ac:dyDescent="0.2">
      <c r="A20">
        <v>0</v>
      </c>
      <c r="B20">
        <v>0</v>
      </c>
      <c r="C20">
        <v>2035</v>
      </c>
      <c r="D20">
        <v>3391416</v>
      </c>
    </row>
    <row r="21" spans="1:4" x14ac:dyDescent="0.2">
      <c r="A21">
        <v>0</v>
      </c>
      <c r="B21">
        <v>0</v>
      </c>
      <c r="C21">
        <v>2036</v>
      </c>
      <c r="D21">
        <v>3443557</v>
      </c>
    </row>
    <row r="22" spans="1:4" x14ac:dyDescent="0.2">
      <c r="A22">
        <v>0</v>
      </c>
      <c r="B22">
        <v>0</v>
      </c>
      <c r="C22">
        <v>2037</v>
      </c>
      <c r="D22">
        <v>3494728</v>
      </c>
    </row>
    <row r="23" spans="1:4" x14ac:dyDescent="0.2">
      <c r="A23">
        <v>0</v>
      </c>
      <c r="B23">
        <v>0</v>
      </c>
      <c r="C23">
        <v>2038</v>
      </c>
      <c r="D23">
        <v>3544528</v>
      </c>
    </row>
    <row r="24" spans="1:4" x14ac:dyDescent="0.2">
      <c r="A24">
        <v>0</v>
      </c>
      <c r="B24">
        <v>0</v>
      </c>
      <c r="C24">
        <v>2039</v>
      </c>
      <c r="D24">
        <v>3592367</v>
      </c>
    </row>
    <row r="25" spans="1:4" x14ac:dyDescent="0.2">
      <c r="A25">
        <v>0</v>
      </c>
      <c r="B25">
        <v>0</v>
      </c>
      <c r="C25">
        <v>2040</v>
      </c>
      <c r="D25">
        <v>3637878</v>
      </c>
    </row>
    <row r="26" spans="1:4" x14ac:dyDescent="0.2">
      <c r="A26">
        <v>0</v>
      </c>
      <c r="B26">
        <v>0</v>
      </c>
      <c r="C26">
        <v>2041</v>
      </c>
      <c r="D26">
        <v>3680648</v>
      </c>
    </row>
    <row r="27" spans="1:4" x14ac:dyDescent="0.2">
      <c r="A27">
        <v>0</v>
      </c>
      <c r="B27">
        <v>0</v>
      </c>
      <c r="C27">
        <v>2042</v>
      </c>
      <c r="D27">
        <v>3720459</v>
      </c>
    </row>
    <row r="28" spans="1:4" x14ac:dyDescent="0.2">
      <c r="A28">
        <v>0</v>
      </c>
      <c r="B28">
        <v>0</v>
      </c>
      <c r="C28">
        <v>2043</v>
      </c>
      <c r="D28">
        <v>3757293</v>
      </c>
    </row>
    <row r="29" spans="1:4" x14ac:dyDescent="0.2">
      <c r="A29">
        <v>0</v>
      </c>
      <c r="B29">
        <v>0</v>
      </c>
      <c r="C29">
        <v>2044</v>
      </c>
      <c r="D29">
        <v>3790300</v>
      </c>
    </row>
    <row r="30" spans="1:4" x14ac:dyDescent="0.2">
      <c r="A30">
        <v>0</v>
      </c>
      <c r="B30">
        <v>0</v>
      </c>
      <c r="C30">
        <v>2045</v>
      </c>
      <c r="D30">
        <v>3819287</v>
      </c>
    </row>
    <row r="31" spans="1:4" x14ac:dyDescent="0.2">
      <c r="A31">
        <v>0</v>
      </c>
      <c r="B31">
        <v>0</v>
      </c>
      <c r="C31">
        <v>2046</v>
      </c>
      <c r="D31">
        <v>3844137</v>
      </c>
    </row>
    <row r="32" spans="1:4" x14ac:dyDescent="0.2">
      <c r="A32">
        <v>0</v>
      </c>
      <c r="B32">
        <v>0</v>
      </c>
      <c r="C32">
        <v>2047</v>
      </c>
      <c r="D32">
        <v>3866515</v>
      </c>
    </row>
    <row r="33" spans="1:4" x14ac:dyDescent="0.2">
      <c r="A33">
        <v>0</v>
      </c>
      <c r="B33">
        <v>0</v>
      </c>
      <c r="C33">
        <v>2048</v>
      </c>
      <c r="D33">
        <v>3885111</v>
      </c>
    </row>
    <row r="34" spans="1:4" x14ac:dyDescent="0.2">
      <c r="A34">
        <v>0</v>
      </c>
      <c r="B34">
        <v>0</v>
      </c>
      <c r="C34">
        <v>2049</v>
      </c>
      <c r="D34">
        <v>3899684</v>
      </c>
    </row>
    <row r="35" spans="1:4" x14ac:dyDescent="0.2">
      <c r="A35">
        <v>0</v>
      </c>
      <c r="B35">
        <v>0</v>
      </c>
      <c r="C35">
        <v>2050</v>
      </c>
      <c r="D35">
        <v>3910461</v>
      </c>
    </row>
    <row r="36" spans="1:4" x14ac:dyDescent="0.2">
      <c r="A36">
        <v>0</v>
      </c>
      <c r="B36">
        <v>0</v>
      </c>
      <c r="C36">
        <v>2051</v>
      </c>
      <c r="D36">
        <v>3917796</v>
      </c>
    </row>
    <row r="37" spans="1:4" x14ac:dyDescent="0.2">
      <c r="A37">
        <v>0</v>
      </c>
      <c r="B37">
        <v>0</v>
      </c>
      <c r="C37">
        <v>2052</v>
      </c>
      <c r="D37">
        <v>3922096</v>
      </c>
    </row>
    <row r="38" spans="1:4" x14ac:dyDescent="0.2">
      <c r="A38">
        <v>0</v>
      </c>
      <c r="B38">
        <v>0</v>
      </c>
      <c r="C38">
        <v>2053</v>
      </c>
      <c r="D38">
        <v>3923937</v>
      </c>
    </row>
    <row r="39" spans="1:4" x14ac:dyDescent="0.2">
      <c r="A39">
        <v>0</v>
      </c>
      <c r="B39">
        <v>0</v>
      </c>
      <c r="C39">
        <v>2054</v>
      </c>
      <c r="D39">
        <v>3923849</v>
      </c>
    </row>
    <row r="40" spans="1:4" x14ac:dyDescent="0.2">
      <c r="A40">
        <v>0</v>
      </c>
      <c r="B40">
        <v>0</v>
      </c>
      <c r="C40">
        <v>2055</v>
      </c>
      <c r="D40">
        <v>3922358</v>
      </c>
    </row>
    <row r="41" spans="1:4" x14ac:dyDescent="0.2">
      <c r="A41">
        <v>0</v>
      </c>
      <c r="B41">
        <v>0</v>
      </c>
      <c r="C41">
        <v>2056</v>
      </c>
      <c r="D41">
        <v>3919578</v>
      </c>
    </row>
    <row r="42" spans="1:4" x14ac:dyDescent="0.2">
      <c r="A42">
        <v>0</v>
      </c>
      <c r="B42">
        <v>0</v>
      </c>
      <c r="C42">
        <v>2057</v>
      </c>
      <c r="D42">
        <v>3916096</v>
      </c>
    </row>
    <row r="43" spans="1:4" x14ac:dyDescent="0.2">
      <c r="A43">
        <v>0</v>
      </c>
      <c r="B43">
        <v>0</v>
      </c>
      <c r="C43">
        <v>2058</v>
      </c>
      <c r="D43">
        <v>3912289</v>
      </c>
    </row>
    <row r="44" spans="1:4" x14ac:dyDescent="0.2">
      <c r="A44">
        <v>0</v>
      </c>
      <c r="B44">
        <v>0</v>
      </c>
      <c r="C44">
        <v>2059</v>
      </c>
      <c r="D44">
        <v>3908592</v>
      </c>
    </row>
    <row r="45" spans="1:4" x14ac:dyDescent="0.2">
      <c r="A45">
        <v>0</v>
      </c>
      <c r="B45">
        <v>0</v>
      </c>
      <c r="C45">
        <v>2060</v>
      </c>
      <c r="D45">
        <v>3905835</v>
      </c>
    </row>
    <row r="46" spans="1:4" x14ac:dyDescent="0.2">
      <c r="A46">
        <v>0</v>
      </c>
      <c r="B46">
        <v>0</v>
      </c>
      <c r="C46">
        <v>2061</v>
      </c>
      <c r="D46">
        <f>_xlfn.FORECAST.LINEAR(C46,D2:D45,C2:C45)</f>
        <v>4212891.6522198766</v>
      </c>
    </row>
    <row r="47" spans="1:4" x14ac:dyDescent="0.2">
      <c r="A47">
        <v>0</v>
      </c>
      <c r="B47">
        <v>0</v>
      </c>
      <c r="C47">
        <v>2062</v>
      </c>
      <c r="D47">
        <f t="shared" ref="D47:D55" si="0">_xlfn.FORECAST.LINEAR(C47,D3:D46,C3:C46)</f>
        <v>4244264.7157409117</v>
      </c>
    </row>
    <row r="48" spans="1:4" x14ac:dyDescent="0.2">
      <c r="A48">
        <v>0</v>
      </c>
      <c r="B48">
        <v>0</v>
      </c>
      <c r="C48">
        <v>2063</v>
      </c>
      <c r="D48">
        <f t="shared" si="0"/>
        <v>4274993.683602497</v>
      </c>
    </row>
    <row r="49" spans="1:4" x14ac:dyDescent="0.2">
      <c r="A49">
        <v>0</v>
      </c>
      <c r="B49">
        <v>0</v>
      </c>
      <c r="C49">
        <v>2064</v>
      </c>
      <c r="D49">
        <f t="shared" si="0"/>
        <v>4304959.5870760009</v>
      </c>
    </row>
    <row r="50" spans="1:4" x14ac:dyDescent="0.2">
      <c r="A50">
        <v>0</v>
      </c>
      <c r="B50">
        <v>0</v>
      </c>
      <c r="C50">
        <v>2065</v>
      </c>
      <c r="D50">
        <f t="shared" si="0"/>
        <v>4334090.8199870586</v>
      </c>
    </row>
    <row r="51" spans="1:4" x14ac:dyDescent="0.2">
      <c r="A51">
        <v>0</v>
      </c>
      <c r="B51">
        <v>0</v>
      </c>
      <c r="C51">
        <v>2066</v>
      </c>
      <c r="D51">
        <f t="shared" si="0"/>
        <v>4362354.6874320507</v>
      </c>
    </row>
    <row r="52" spans="1:4" x14ac:dyDescent="0.2">
      <c r="A52">
        <v>0</v>
      </c>
      <c r="B52">
        <v>0</v>
      </c>
      <c r="C52">
        <v>2067</v>
      </c>
      <c r="D52">
        <f t="shared" si="0"/>
        <v>4389746.8288097233</v>
      </c>
    </row>
    <row r="53" spans="1:4" x14ac:dyDescent="0.2">
      <c r="A53">
        <v>0</v>
      </c>
      <c r="B53">
        <v>0</v>
      </c>
      <c r="C53">
        <v>2068</v>
      </c>
      <c r="D53">
        <f t="shared" si="0"/>
        <v>4416287.2895279601</v>
      </c>
    </row>
    <row r="54" spans="1:4" x14ac:dyDescent="0.2">
      <c r="A54">
        <v>0</v>
      </c>
      <c r="B54">
        <v>0</v>
      </c>
      <c r="C54">
        <v>2069</v>
      </c>
      <c r="D54">
        <f t="shared" si="0"/>
        <v>4442018.4269220456</v>
      </c>
    </row>
    <row r="55" spans="1:4" x14ac:dyDescent="0.2">
      <c r="A55">
        <v>0</v>
      </c>
      <c r="B55">
        <v>0</v>
      </c>
      <c r="C55">
        <v>2070</v>
      </c>
      <c r="D55">
        <f t="shared" si="0"/>
        <v>4467001.5610891804</v>
      </c>
    </row>
    <row r="56" spans="1:4" x14ac:dyDescent="0.2">
      <c r="A56">
        <v>0</v>
      </c>
      <c r="B56">
        <v>1</v>
      </c>
      <c r="C56">
        <v>2017</v>
      </c>
      <c r="D56">
        <v>1349944</v>
      </c>
    </row>
    <row r="57" spans="1:4" x14ac:dyDescent="0.2">
      <c r="A57">
        <v>0</v>
      </c>
      <c r="B57">
        <v>1</v>
      </c>
      <c r="C57">
        <v>2018</v>
      </c>
      <c r="D57">
        <v>1366331</v>
      </c>
    </row>
    <row r="58" spans="1:4" x14ac:dyDescent="0.2">
      <c r="A58">
        <v>0</v>
      </c>
      <c r="B58">
        <v>1</v>
      </c>
      <c r="C58">
        <v>2019</v>
      </c>
      <c r="D58">
        <v>1382584</v>
      </c>
    </row>
    <row r="59" spans="1:4" x14ac:dyDescent="0.2">
      <c r="A59">
        <v>0</v>
      </c>
      <c r="B59">
        <v>1</v>
      </c>
      <c r="C59">
        <v>2020</v>
      </c>
      <c r="D59">
        <v>1399014</v>
      </c>
    </row>
    <row r="60" spans="1:4" x14ac:dyDescent="0.2">
      <c r="A60">
        <v>0</v>
      </c>
      <c r="B60">
        <v>1</v>
      </c>
      <c r="C60">
        <v>2021</v>
      </c>
      <c r="D60">
        <v>1415904</v>
      </c>
    </row>
    <row r="61" spans="1:4" x14ac:dyDescent="0.2">
      <c r="A61">
        <v>0</v>
      </c>
      <c r="B61">
        <v>1</v>
      </c>
      <c r="C61">
        <v>2022</v>
      </c>
      <c r="D61">
        <v>1433335</v>
      </c>
    </row>
    <row r="62" spans="1:4" x14ac:dyDescent="0.2">
      <c r="A62">
        <v>0</v>
      </c>
      <c r="B62">
        <v>1</v>
      </c>
      <c r="C62">
        <v>2023</v>
      </c>
      <c r="D62">
        <v>1451474</v>
      </c>
    </row>
    <row r="63" spans="1:4" x14ac:dyDescent="0.2">
      <c r="A63">
        <v>0</v>
      </c>
      <c r="B63">
        <v>1</v>
      </c>
      <c r="C63">
        <v>2024</v>
      </c>
      <c r="D63">
        <v>1470351</v>
      </c>
    </row>
    <row r="64" spans="1:4" x14ac:dyDescent="0.2">
      <c r="A64">
        <v>0</v>
      </c>
      <c r="B64">
        <v>1</v>
      </c>
      <c r="C64">
        <v>2025</v>
      </c>
      <c r="D64">
        <v>1490023</v>
      </c>
    </row>
    <row r="65" spans="1:4" x14ac:dyDescent="0.2">
      <c r="A65">
        <v>0</v>
      </c>
      <c r="B65">
        <v>1</v>
      </c>
      <c r="C65">
        <v>2026</v>
      </c>
      <c r="D65">
        <v>1510466</v>
      </c>
    </row>
    <row r="66" spans="1:4" x14ac:dyDescent="0.2">
      <c r="A66">
        <v>0</v>
      </c>
      <c r="B66">
        <v>1</v>
      </c>
      <c r="C66">
        <v>2027</v>
      </c>
      <c r="D66">
        <v>1531731</v>
      </c>
    </row>
    <row r="67" spans="1:4" x14ac:dyDescent="0.2">
      <c r="A67">
        <v>0</v>
      </c>
      <c r="B67">
        <v>1</v>
      </c>
      <c r="C67">
        <v>2028</v>
      </c>
      <c r="D67">
        <v>1553790</v>
      </c>
    </row>
    <row r="68" spans="1:4" x14ac:dyDescent="0.2">
      <c r="A68">
        <v>0</v>
      </c>
      <c r="B68">
        <v>1</v>
      </c>
      <c r="C68">
        <v>2029</v>
      </c>
      <c r="D68">
        <v>1576409</v>
      </c>
    </row>
    <row r="69" spans="1:4" x14ac:dyDescent="0.2">
      <c r="A69">
        <v>0</v>
      </c>
      <c r="B69">
        <v>1</v>
      </c>
      <c r="C69">
        <v>2030</v>
      </c>
      <c r="D69">
        <v>1599622</v>
      </c>
    </row>
    <row r="70" spans="1:4" x14ac:dyDescent="0.2">
      <c r="A70">
        <v>0</v>
      </c>
      <c r="B70">
        <v>1</v>
      </c>
      <c r="C70">
        <v>2031</v>
      </c>
      <c r="D70">
        <v>1623126</v>
      </c>
    </row>
    <row r="71" spans="1:4" x14ac:dyDescent="0.2">
      <c r="A71">
        <v>0</v>
      </c>
      <c r="B71">
        <v>1</v>
      </c>
      <c r="C71">
        <v>2032</v>
      </c>
      <c r="D71">
        <v>1646815</v>
      </c>
    </row>
    <row r="72" spans="1:4" x14ac:dyDescent="0.2">
      <c r="A72">
        <v>0</v>
      </c>
      <c r="B72">
        <v>1</v>
      </c>
      <c r="C72">
        <v>2033</v>
      </c>
      <c r="D72">
        <v>1670459</v>
      </c>
    </row>
    <row r="73" spans="1:4" x14ac:dyDescent="0.2">
      <c r="A73">
        <v>0</v>
      </c>
      <c r="B73">
        <v>1</v>
      </c>
      <c r="C73">
        <v>2034</v>
      </c>
      <c r="D73">
        <v>1693916</v>
      </c>
    </row>
    <row r="74" spans="1:4" x14ac:dyDescent="0.2">
      <c r="A74">
        <v>0</v>
      </c>
      <c r="B74">
        <v>1</v>
      </c>
      <c r="C74">
        <v>2035</v>
      </c>
      <c r="D74">
        <v>1717014</v>
      </c>
    </row>
    <row r="75" spans="1:4" x14ac:dyDescent="0.2">
      <c r="A75">
        <v>0</v>
      </c>
      <c r="B75">
        <v>1</v>
      </c>
      <c r="C75">
        <v>2036</v>
      </c>
      <c r="D75">
        <v>1739536</v>
      </c>
    </row>
    <row r="76" spans="1:4" x14ac:dyDescent="0.2">
      <c r="A76">
        <v>0</v>
      </c>
      <c r="B76">
        <v>1</v>
      </c>
      <c r="C76">
        <v>2037</v>
      </c>
      <c r="D76">
        <v>1761331</v>
      </c>
    </row>
    <row r="77" spans="1:4" x14ac:dyDescent="0.2">
      <c r="A77">
        <v>0</v>
      </c>
      <c r="B77">
        <v>1</v>
      </c>
      <c r="C77">
        <v>2038</v>
      </c>
      <c r="D77">
        <v>1782074</v>
      </c>
    </row>
    <row r="78" spans="1:4" x14ac:dyDescent="0.2">
      <c r="A78">
        <v>0</v>
      </c>
      <c r="B78">
        <v>1</v>
      </c>
      <c r="C78">
        <v>2039</v>
      </c>
      <c r="D78">
        <v>1801727</v>
      </c>
    </row>
    <row r="79" spans="1:4" x14ac:dyDescent="0.2">
      <c r="A79">
        <v>0</v>
      </c>
      <c r="B79">
        <v>1</v>
      </c>
      <c r="C79">
        <v>2040</v>
      </c>
      <c r="D79">
        <v>1820048</v>
      </c>
    </row>
    <row r="80" spans="1:4" x14ac:dyDescent="0.2">
      <c r="A80">
        <v>0</v>
      </c>
      <c r="B80">
        <v>1</v>
      </c>
      <c r="C80">
        <v>2041</v>
      </c>
      <c r="D80">
        <v>1836978</v>
      </c>
    </row>
    <row r="81" spans="1:4" x14ac:dyDescent="0.2">
      <c r="A81">
        <v>0</v>
      </c>
      <c r="B81">
        <v>1</v>
      </c>
      <c r="C81">
        <v>2042</v>
      </c>
      <c r="D81">
        <v>1852429</v>
      </c>
    </row>
    <row r="82" spans="1:4" x14ac:dyDescent="0.2">
      <c r="A82">
        <v>0</v>
      </c>
      <c r="B82">
        <v>1</v>
      </c>
      <c r="C82">
        <v>2043</v>
      </c>
      <c r="D82">
        <v>1866421</v>
      </c>
    </row>
    <row r="83" spans="1:4" x14ac:dyDescent="0.2">
      <c r="A83">
        <v>0</v>
      </c>
      <c r="B83">
        <v>1</v>
      </c>
      <c r="C83">
        <v>2044</v>
      </c>
      <c r="D83">
        <v>1878578</v>
      </c>
    </row>
    <row r="84" spans="1:4" x14ac:dyDescent="0.2">
      <c r="A84">
        <v>0</v>
      </c>
      <c r="B84">
        <v>1</v>
      </c>
      <c r="C84">
        <v>2045</v>
      </c>
      <c r="D84">
        <v>1889035</v>
      </c>
    </row>
    <row r="85" spans="1:4" x14ac:dyDescent="0.2">
      <c r="A85">
        <v>0</v>
      </c>
      <c r="B85">
        <v>1</v>
      </c>
      <c r="C85">
        <v>2046</v>
      </c>
      <c r="D85">
        <v>1897754</v>
      </c>
    </row>
    <row r="86" spans="1:4" x14ac:dyDescent="0.2">
      <c r="A86">
        <v>0</v>
      </c>
      <c r="B86">
        <v>1</v>
      </c>
      <c r="C86">
        <v>2047</v>
      </c>
      <c r="D86">
        <v>1905227</v>
      </c>
    </row>
    <row r="87" spans="1:4" x14ac:dyDescent="0.2">
      <c r="A87">
        <v>0</v>
      </c>
      <c r="B87">
        <v>1</v>
      </c>
      <c r="C87">
        <v>2048</v>
      </c>
      <c r="D87">
        <v>1911162</v>
      </c>
    </row>
    <row r="88" spans="1:4" x14ac:dyDescent="0.2">
      <c r="A88">
        <v>0</v>
      </c>
      <c r="B88">
        <v>1</v>
      </c>
      <c r="C88">
        <v>2049</v>
      </c>
      <c r="D88">
        <v>1915462</v>
      </c>
    </row>
    <row r="89" spans="1:4" x14ac:dyDescent="0.2">
      <c r="A89">
        <v>0</v>
      </c>
      <c r="B89">
        <v>1</v>
      </c>
      <c r="C89">
        <v>2050</v>
      </c>
      <c r="D89">
        <v>1918329</v>
      </c>
    </row>
    <row r="90" spans="1:4" x14ac:dyDescent="0.2">
      <c r="A90">
        <v>0</v>
      </c>
      <c r="B90">
        <v>1</v>
      </c>
      <c r="C90">
        <v>2051</v>
      </c>
      <c r="D90">
        <v>1919949</v>
      </c>
    </row>
    <row r="91" spans="1:4" x14ac:dyDescent="0.2">
      <c r="A91">
        <v>0</v>
      </c>
      <c r="B91">
        <v>1</v>
      </c>
      <c r="C91">
        <v>2052</v>
      </c>
      <c r="D91">
        <v>1920518</v>
      </c>
    </row>
    <row r="92" spans="1:4" x14ac:dyDescent="0.2">
      <c r="A92">
        <v>0</v>
      </c>
      <c r="B92">
        <v>1</v>
      </c>
      <c r="C92">
        <v>2053</v>
      </c>
      <c r="D92">
        <v>1920271</v>
      </c>
    </row>
    <row r="93" spans="1:4" x14ac:dyDescent="0.2">
      <c r="A93">
        <v>0</v>
      </c>
      <c r="B93">
        <v>1</v>
      </c>
      <c r="C93">
        <v>2054</v>
      </c>
      <c r="D93">
        <v>1919472</v>
      </c>
    </row>
    <row r="94" spans="1:4" x14ac:dyDescent="0.2">
      <c r="A94">
        <v>0</v>
      </c>
      <c r="B94">
        <v>1</v>
      </c>
      <c r="C94">
        <v>2055</v>
      </c>
      <c r="D94">
        <v>1918306</v>
      </c>
    </row>
    <row r="95" spans="1:4" x14ac:dyDescent="0.2">
      <c r="A95">
        <v>0</v>
      </c>
      <c r="B95">
        <v>1</v>
      </c>
      <c r="C95">
        <v>2056</v>
      </c>
      <c r="D95">
        <v>1916988</v>
      </c>
    </row>
    <row r="96" spans="1:4" x14ac:dyDescent="0.2">
      <c r="A96">
        <v>0</v>
      </c>
      <c r="B96">
        <v>1</v>
      </c>
      <c r="C96">
        <v>2057</v>
      </c>
      <c r="D96">
        <v>1915630</v>
      </c>
    </row>
    <row r="97" spans="1:4" x14ac:dyDescent="0.2">
      <c r="A97">
        <v>0</v>
      </c>
      <c r="B97">
        <v>1</v>
      </c>
      <c r="C97">
        <v>2058</v>
      </c>
      <c r="D97">
        <v>1914595</v>
      </c>
    </row>
    <row r="98" spans="1:4" x14ac:dyDescent="0.2">
      <c r="A98">
        <v>0</v>
      </c>
      <c r="B98">
        <v>1</v>
      </c>
      <c r="C98">
        <v>2059</v>
      </c>
      <c r="D98">
        <v>1914018</v>
      </c>
    </row>
    <row r="99" spans="1:4" x14ac:dyDescent="0.2">
      <c r="A99">
        <v>0</v>
      </c>
      <c r="B99">
        <v>1</v>
      </c>
      <c r="C99">
        <v>2060</v>
      </c>
      <c r="D99">
        <v>1914265</v>
      </c>
    </row>
    <row r="100" spans="1:4" x14ac:dyDescent="0.2">
      <c r="A100">
        <v>0</v>
      </c>
      <c r="B100">
        <v>1</v>
      </c>
      <c r="C100">
        <v>2061</v>
      </c>
      <c r="D100">
        <f>_xlfn.FORECAST.LINEAR(C100,D56:D99,C56:C99)</f>
        <v>2056961.3646934442</v>
      </c>
    </row>
    <row r="101" spans="1:4" x14ac:dyDescent="0.2">
      <c r="A101">
        <v>0</v>
      </c>
      <c r="B101">
        <v>1</v>
      </c>
      <c r="C101">
        <v>2062</v>
      </c>
      <c r="D101">
        <f t="shared" ref="D101:D109" si="1">_xlfn.FORECAST.LINEAR(C101,D57:D100,C57:C100)</f>
        <v>2069116.6166634597</v>
      </c>
    </row>
    <row r="102" spans="1:4" x14ac:dyDescent="0.2">
      <c r="A102">
        <v>0</v>
      </c>
      <c r="B102">
        <v>1</v>
      </c>
      <c r="C102">
        <v>2063</v>
      </c>
      <c r="D102">
        <f t="shared" si="1"/>
        <v>2080931.595457308</v>
      </c>
    </row>
    <row r="103" spans="1:4" x14ac:dyDescent="0.2">
      <c r="A103">
        <v>0</v>
      </c>
      <c r="B103">
        <v>1</v>
      </c>
      <c r="C103">
        <v>2064</v>
      </c>
      <c r="D103">
        <f t="shared" si="1"/>
        <v>2092382.2712133937</v>
      </c>
    </row>
    <row r="104" spans="1:4" x14ac:dyDescent="0.2">
      <c r="A104">
        <v>0</v>
      </c>
      <c r="B104">
        <v>1</v>
      </c>
      <c r="C104">
        <v>2065</v>
      </c>
      <c r="D104">
        <f t="shared" si="1"/>
        <v>2103458.2063020952</v>
      </c>
    </row>
    <row r="105" spans="1:4" x14ac:dyDescent="0.2">
      <c r="A105">
        <v>0</v>
      </c>
      <c r="B105">
        <v>1</v>
      </c>
      <c r="C105">
        <v>2066</v>
      </c>
      <c r="D105">
        <f t="shared" si="1"/>
        <v>2114163.4919235483</v>
      </c>
    </row>
    <row r="106" spans="1:4" x14ac:dyDescent="0.2">
      <c r="A106">
        <v>0</v>
      </c>
      <c r="B106">
        <v>1</v>
      </c>
      <c r="C106">
        <v>2067</v>
      </c>
      <c r="D106">
        <f t="shared" si="1"/>
        <v>2124509.1770635471</v>
      </c>
    </row>
    <row r="107" spans="1:4" x14ac:dyDescent="0.2">
      <c r="A107">
        <v>0</v>
      </c>
      <c r="B107">
        <v>1</v>
      </c>
      <c r="C107">
        <v>2068</v>
      </c>
      <c r="D107">
        <f t="shared" si="1"/>
        <v>2134518.3267344795</v>
      </c>
    </row>
    <row r="108" spans="1:4" x14ac:dyDescent="0.2">
      <c r="A108">
        <v>0</v>
      </c>
      <c r="B108">
        <v>1</v>
      </c>
      <c r="C108">
        <v>2069</v>
      </c>
      <c r="D108">
        <f t="shared" si="1"/>
        <v>2144220.9471670538</v>
      </c>
    </row>
    <row r="109" spans="1:4" x14ac:dyDescent="0.2">
      <c r="A109">
        <v>0</v>
      </c>
      <c r="B109">
        <v>1</v>
      </c>
      <c r="C109">
        <v>2070</v>
      </c>
      <c r="D109">
        <f t="shared" si="1"/>
        <v>2153655.9517190792</v>
      </c>
    </row>
    <row r="110" spans="1:4" x14ac:dyDescent="0.2">
      <c r="A110">
        <v>0</v>
      </c>
      <c r="B110">
        <v>2</v>
      </c>
      <c r="C110">
        <v>2017</v>
      </c>
      <c r="D110">
        <v>1317149</v>
      </c>
    </row>
    <row r="111" spans="1:4" x14ac:dyDescent="0.2">
      <c r="A111">
        <v>0</v>
      </c>
      <c r="B111">
        <v>2</v>
      </c>
      <c r="C111">
        <v>2018</v>
      </c>
      <c r="D111">
        <v>1329675</v>
      </c>
    </row>
    <row r="112" spans="1:4" x14ac:dyDescent="0.2">
      <c r="A112">
        <v>0</v>
      </c>
      <c r="B112">
        <v>2</v>
      </c>
      <c r="C112">
        <v>2019</v>
      </c>
      <c r="D112">
        <v>1341253</v>
      </c>
    </row>
    <row r="113" spans="1:4" x14ac:dyDescent="0.2">
      <c r="A113">
        <v>0</v>
      </c>
      <c r="B113">
        <v>2</v>
      </c>
      <c r="C113">
        <v>2020</v>
      </c>
      <c r="D113">
        <v>1352797</v>
      </c>
    </row>
    <row r="114" spans="1:4" x14ac:dyDescent="0.2">
      <c r="A114">
        <v>0</v>
      </c>
      <c r="B114">
        <v>2</v>
      </c>
      <c r="C114">
        <v>2021</v>
      </c>
      <c r="D114">
        <v>1364899</v>
      </c>
    </row>
    <row r="115" spans="1:4" x14ac:dyDescent="0.2">
      <c r="A115">
        <v>0</v>
      </c>
      <c r="B115">
        <v>2</v>
      </c>
      <c r="C115">
        <v>2022</v>
      </c>
      <c r="D115">
        <v>1378001</v>
      </c>
    </row>
    <row r="116" spans="1:4" x14ac:dyDescent="0.2">
      <c r="A116">
        <v>0</v>
      </c>
      <c r="B116">
        <v>2</v>
      </c>
      <c r="C116">
        <v>2023</v>
      </c>
      <c r="D116">
        <v>1392289</v>
      </c>
    </row>
    <row r="117" spans="1:4" x14ac:dyDescent="0.2">
      <c r="A117">
        <v>0</v>
      </c>
      <c r="B117">
        <v>2</v>
      </c>
      <c r="C117">
        <v>2024</v>
      </c>
      <c r="D117">
        <v>1407974</v>
      </c>
    </row>
    <row r="118" spans="1:4" x14ac:dyDescent="0.2">
      <c r="A118">
        <v>0</v>
      </c>
      <c r="B118">
        <v>2</v>
      </c>
      <c r="C118">
        <v>2025</v>
      </c>
      <c r="D118">
        <v>1425115</v>
      </c>
    </row>
    <row r="119" spans="1:4" x14ac:dyDescent="0.2">
      <c r="A119">
        <v>0</v>
      </c>
      <c r="B119">
        <v>2</v>
      </c>
      <c r="C119">
        <v>2026</v>
      </c>
      <c r="D119">
        <v>1443782</v>
      </c>
    </row>
    <row r="120" spans="1:4" x14ac:dyDescent="0.2">
      <c r="A120">
        <v>0</v>
      </c>
      <c r="B120">
        <v>2</v>
      </c>
      <c r="C120">
        <v>2027</v>
      </c>
      <c r="D120">
        <v>1464109</v>
      </c>
    </row>
    <row r="121" spans="1:4" x14ac:dyDescent="0.2">
      <c r="A121">
        <v>0</v>
      </c>
      <c r="B121">
        <v>2</v>
      </c>
      <c r="C121">
        <v>2028</v>
      </c>
      <c r="D121">
        <v>1486000</v>
      </c>
    </row>
    <row r="122" spans="1:4" x14ac:dyDescent="0.2">
      <c r="A122">
        <v>0</v>
      </c>
      <c r="B122">
        <v>2</v>
      </c>
      <c r="C122">
        <v>2029</v>
      </c>
      <c r="D122">
        <v>1509417</v>
      </c>
    </row>
    <row r="123" spans="1:4" x14ac:dyDescent="0.2">
      <c r="A123">
        <v>0</v>
      </c>
      <c r="B123">
        <v>2</v>
      </c>
      <c r="C123">
        <v>2030</v>
      </c>
      <c r="D123">
        <v>1534253</v>
      </c>
    </row>
    <row r="124" spans="1:4" x14ac:dyDescent="0.2">
      <c r="A124">
        <v>0</v>
      </c>
      <c r="B124">
        <v>2</v>
      </c>
      <c r="C124">
        <v>2031</v>
      </c>
      <c r="D124">
        <v>1560453</v>
      </c>
    </row>
    <row r="125" spans="1:4" x14ac:dyDescent="0.2">
      <c r="A125">
        <v>0</v>
      </c>
      <c r="B125">
        <v>2</v>
      </c>
      <c r="C125">
        <v>2032</v>
      </c>
      <c r="D125">
        <v>1587775</v>
      </c>
    </row>
    <row r="126" spans="1:4" x14ac:dyDescent="0.2">
      <c r="A126">
        <v>0</v>
      </c>
      <c r="B126">
        <v>2</v>
      </c>
      <c r="C126">
        <v>2033</v>
      </c>
      <c r="D126">
        <v>1616042</v>
      </c>
    </row>
    <row r="127" spans="1:4" x14ac:dyDescent="0.2">
      <c r="A127">
        <v>0</v>
      </c>
      <c r="B127">
        <v>2</v>
      </c>
      <c r="C127">
        <v>2034</v>
      </c>
      <c r="D127">
        <v>1644942</v>
      </c>
    </row>
    <row r="128" spans="1:4" x14ac:dyDescent="0.2">
      <c r="A128">
        <v>0</v>
      </c>
      <c r="B128">
        <v>2</v>
      </c>
      <c r="C128">
        <v>2035</v>
      </c>
      <c r="D128">
        <v>1674402</v>
      </c>
    </row>
    <row r="129" spans="1:4" x14ac:dyDescent="0.2">
      <c r="A129">
        <v>0</v>
      </c>
      <c r="B129">
        <v>2</v>
      </c>
      <c r="C129">
        <v>2036</v>
      </c>
      <c r="D129">
        <v>1704021</v>
      </c>
    </row>
    <row r="130" spans="1:4" x14ac:dyDescent="0.2">
      <c r="A130">
        <v>0</v>
      </c>
      <c r="B130">
        <v>2</v>
      </c>
      <c r="C130">
        <v>2037</v>
      </c>
      <c r="D130">
        <v>1733397</v>
      </c>
    </row>
    <row r="131" spans="1:4" x14ac:dyDescent="0.2">
      <c r="A131">
        <v>0</v>
      </c>
      <c r="B131">
        <v>2</v>
      </c>
      <c r="C131">
        <v>2038</v>
      </c>
      <c r="D131">
        <v>1762454</v>
      </c>
    </row>
    <row r="132" spans="1:4" x14ac:dyDescent="0.2">
      <c r="A132">
        <v>0</v>
      </c>
      <c r="B132">
        <v>2</v>
      </c>
      <c r="C132">
        <v>2039</v>
      </c>
      <c r="D132">
        <v>1790640</v>
      </c>
    </row>
    <row r="133" spans="1:4" x14ac:dyDescent="0.2">
      <c r="A133">
        <v>0</v>
      </c>
      <c r="B133">
        <v>2</v>
      </c>
      <c r="C133">
        <v>2040</v>
      </c>
      <c r="D133">
        <v>1817830</v>
      </c>
    </row>
    <row r="134" spans="1:4" x14ac:dyDescent="0.2">
      <c r="A134">
        <v>0</v>
      </c>
      <c r="B134">
        <v>2</v>
      </c>
      <c r="C134">
        <v>2041</v>
      </c>
      <c r="D134">
        <v>1843670</v>
      </c>
    </row>
    <row r="135" spans="1:4" x14ac:dyDescent="0.2">
      <c r="A135">
        <v>0</v>
      </c>
      <c r="B135">
        <v>2</v>
      </c>
      <c r="C135">
        <v>2042</v>
      </c>
      <c r="D135">
        <v>1868030</v>
      </c>
    </row>
    <row r="136" spans="1:4" x14ac:dyDescent="0.2">
      <c r="A136">
        <v>0</v>
      </c>
      <c r="B136">
        <v>2</v>
      </c>
      <c r="C136">
        <v>2043</v>
      </c>
      <c r="D136">
        <v>1890872</v>
      </c>
    </row>
    <row r="137" spans="1:4" x14ac:dyDescent="0.2">
      <c r="A137">
        <v>0</v>
      </c>
      <c r="B137">
        <v>2</v>
      </c>
      <c r="C137">
        <v>2044</v>
      </c>
      <c r="D137">
        <v>1911722</v>
      </c>
    </row>
    <row r="138" spans="1:4" x14ac:dyDescent="0.2">
      <c r="A138">
        <v>0</v>
      </c>
      <c r="B138">
        <v>2</v>
      </c>
      <c r="C138">
        <v>2045</v>
      </c>
      <c r="D138">
        <v>1930252</v>
      </c>
    </row>
    <row r="139" spans="1:4" x14ac:dyDescent="0.2">
      <c r="A139">
        <v>0</v>
      </c>
      <c r="B139">
        <v>2</v>
      </c>
      <c r="C139">
        <v>2046</v>
      </c>
      <c r="D139">
        <v>1946383</v>
      </c>
    </row>
    <row r="140" spans="1:4" x14ac:dyDescent="0.2">
      <c r="A140">
        <v>0</v>
      </c>
      <c r="B140">
        <v>2</v>
      </c>
      <c r="C140">
        <v>2047</v>
      </c>
      <c r="D140">
        <v>1961288</v>
      </c>
    </row>
    <row r="141" spans="1:4" x14ac:dyDescent="0.2">
      <c r="A141">
        <v>0</v>
      </c>
      <c r="B141">
        <v>2</v>
      </c>
      <c r="C141">
        <v>2048</v>
      </c>
      <c r="D141">
        <v>1973949</v>
      </c>
    </row>
    <row r="142" spans="1:4" x14ac:dyDescent="0.2">
      <c r="A142">
        <v>0</v>
      </c>
      <c r="B142">
        <v>2</v>
      </c>
      <c r="C142">
        <v>2049</v>
      </c>
      <c r="D142">
        <v>1984222</v>
      </c>
    </row>
    <row r="143" spans="1:4" x14ac:dyDescent="0.2">
      <c r="A143">
        <v>0</v>
      </c>
      <c r="B143">
        <v>2</v>
      </c>
      <c r="C143">
        <v>2050</v>
      </c>
      <c r="D143">
        <v>1992132</v>
      </c>
    </row>
    <row r="144" spans="1:4" x14ac:dyDescent="0.2">
      <c r="A144">
        <v>0</v>
      </c>
      <c r="B144">
        <v>2</v>
      </c>
      <c r="C144">
        <v>2051</v>
      </c>
      <c r="D144">
        <v>1997847</v>
      </c>
    </row>
    <row r="145" spans="1:4" x14ac:dyDescent="0.2">
      <c r="A145">
        <v>0</v>
      </c>
      <c r="B145">
        <v>2</v>
      </c>
      <c r="C145">
        <v>2052</v>
      </c>
      <c r="D145">
        <v>2001578</v>
      </c>
    </row>
    <row r="146" spans="1:4" x14ac:dyDescent="0.2">
      <c r="A146">
        <v>0</v>
      </c>
      <c r="B146">
        <v>2</v>
      </c>
      <c r="C146">
        <v>2053</v>
      </c>
      <c r="D146">
        <v>2003666</v>
      </c>
    </row>
    <row r="147" spans="1:4" x14ac:dyDescent="0.2">
      <c r="A147">
        <v>0</v>
      </c>
      <c r="B147">
        <v>2</v>
      </c>
      <c r="C147">
        <v>2054</v>
      </c>
      <c r="D147">
        <v>2004377</v>
      </c>
    </row>
    <row r="148" spans="1:4" x14ac:dyDescent="0.2">
      <c r="A148">
        <v>0</v>
      </c>
      <c r="B148">
        <v>2</v>
      </c>
      <c r="C148">
        <v>2055</v>
      </c>
      <c r="D148">
        <v>2004052</v>
      </c>
    </row>
    <row r="149" spans="1:4" x14ac:dyDescent="0.2">
      <c r="A149">
        <v>0</v>
      </c>
      <c r="B149">
        <v>2</v>
      </c>
      <c r="C149">
        <v>2056</v>
      </c>
      <c r="D149">
        <v>2002590</v>
      </c>
    </row>
    <row r="150" spans="1:4" x14ac:dyDescent="0.2">
      <c r="A150">
        <v>0</v>
      </c>
      <c r="B150">
        <v>2</v>
      </c>
      <c r="C150">
        <v>2057</v>
      </c>
      <c r="D150">
        <v>2000466</v>
      </c>
    </row>
    <row r="151" spans="1:4" x14ac:dyDescent="0.2">
      <c r="A151">
        <v>0</v>
      </c>
      <c r="B151">
        <v>2</v>
      </c>
      <c r="C151">
        <v>2058</v>
      </c>
      <c r="D151">
        <v>1997694</v>
      </c>
    </row>
    <row r="152" spans="1:4" x14ac:dyDescent="0.2">
      <c r="A152">
        <v>0</v>
      </c>
      <c r="B152">
        <v>2</v>
      </c>
      <c r="C152">
        <v>2059</v>
      </c>
      <c r="D152">
        <v>1994574</v>
      </c>
    </row>
    <row r="153" spans="1:4" x14ac:dyDescent="0.2">
      <c r="A153">
        <v>0</v>
      </c>
      <c r="B153">
        <v>2</v>
      </c>
      <c r="C153">
        <v>2060</v>
      </c>
      <c r="D153">
        <v>1991570</v>
      </c>
    </row>
    <row r="154" spans="1:4" x14ac:dyDescent="0.2">
      <c r="A154">
        <v>0</v>
      </c>
      <c r="B154">
        <v>2</v>
      </c>
      <c r="C154">
        <v>2061</v>
      </c>
      <c r="D154">
        <f>_xlfn.FORECAST.LINEAR(C154,D110:D153,C110:C153)</f>
        <v>2155930.2875264287</v>
      </c>
    </row>
    <row r="155" spans="1:4" x14ac:dyDescent="0.2">
      <c r="A155">
        <v>0</v>
      </c>
      <c r="B155">
        <v>2</v>
      </c>
      <c r="C155">
        <v>2062</v>
      </c>
      <c r="D155">
        <f t="shared" ref="D155:D163" si="2">_xlfn.FORECAST.LINEAR(C155,D111:D154,C111:C154)</f>
        <v>2175148.0990774557</v>
      </c>
    </row>
    <row r="156" spans="1:4" x14ac:dyDescent="0.2">
      <c r="A156">
        <v>0</v>
      </c>
      <c r="B156">
        <v>2</v>
      </c>
      <c r="C156">
        <v>2063</v>
      </c>
      <c r="D156">
        <f t="shared" si="2"/>
        <v>2194062.088145189</v>
      </c>
    </row>
    <row r="157" spans="1:4" x14ac:dyDescent="0.2">
      <c r="A157">
        <v>0</v>
      </c>
      <c r="B157">
        <v>2</v>
      </c>
      <c r="C157">
        <v>2064</v>
      </c>
      <c r="D157">
        <f t="shared" si="2"/>
        <v>2212577.3158626109</v>
      </c>
    </row>
    <row r="158" spans="1:4" x14ac:dyDescent="0.2">
      <c r="A158">
        <v>0</v>
      </c>
      <c r="B158">
        <v>2</v>
      </c>
      <c r="C158">
        <v>2065</v>
      </c>
      <c r="D158">
        <f t="shared" si="2"/>
        <v>2230632.6136849523</v>
      </c>
    </row>
    <row r="159" spans="1:4" x14ac:dyDescent="0.2">
      <c r="A159">
        <v>0</v>
      </c>
      <c r="B159">
        <v>2</v>
      </c>
      <c r="C159">
        <v>2066</v>
      </c>
      <c r="D159">
        <f t="shared" si="2"/>
        <v>2248191.195508495</v>
      </c>
    </row>
    <row r="160" spans="1:4" x14ac:dyDescent="0.2">
      <c r="A160">
        <v>0</v>
      </c>
      <c r="B160">
        <v>2</v>
      </c>
      <c r="C160">
        <v>2067</v>
      </c>
      <c r="D160">
        <f t="shared" si="2"/>
        <v>2265237.6517461687</v>
      </c>
    </row>
    <row r="161" spans="1:4" x14ac:dyDescent="0.2">
      <c r="A161">
        <v>0</v>
      </c>
      <c r="B161">
        <v>2</v>
      </c>
      <c r="C161">
        <v>2068</v>
      </c>
      <c r="D161">
        <f t="shared" si="2"/>
        <v>2281768.9627934769</v>
      </c>
    </row>
    <row r="162" spans="1:4" x14ac:dyDescent="0.2">
      <c r="A162">
        <v>0</v>
      </c>
      <c r="B162">
        <v>2</v>
      </c>
      <c r="C162">
        <v>2069</v>
      </c>
      <c r="D162">
        <f t="shared" si="2"/>
        <v>2297797.4797549918</v>
      </c>
    </row>
    <row r="163" spans="1:4" x14ac:dyDescent="0.2">
      <c r="A163">
        <v>0</v>
      </c>
      <c r="B163">
        <v>2</v>
      </c>
      <c r="C163">
        <v>2070</v>
      </c>
      <c r="D163">
        <f t="shared" si="2"/>
        <v>2313345.6093700975</v>
      </c>
    </row>
    <row r="164" spans="1:4" x14ac:dyDescent="0.2">
      <c r="A164">
        <v>1</v>
      </c>
      <c r="B164">
        <v>0</v>
      </c>
      <c r="C164">
        <v>2017</v>
      </c>
      <c r="D164">
        <v>2201288</v>
      </c>
    </row>
    <row r="165" spans="1:4" x14ac:dyDescent="0.2">
      <c r="A165">
        <v>1</v>
      </c>
      <c r="B165">
        <v>0</v>
      </c>
      <c r="C165">
        <v>2018</v>
      </c>
      <c r="D165">
        <v>2223859</v>
      </c>
    </row>
    <row r="166" spans="1:4" x14ac:dyDescent="0.2">
      <c r="A166">
        <v>1</v>
      </c>
      <c r="B166">
        <v>0</v>
      </c>
      <c r="C166">
        <v>2019</v>
      </c>
      <c r="D166">
        <v>2245264</v>
      </c>
    </row>
    <row r="167" spans="1:4" x14ac:dyDescent="0.2">
      <c r="A167">
        <v>1</v>
      </c>
      <c r="B167">
        <v>0</v>
      </c>
      <c r="C167">
        <v>2020</v>
      </c>
      <c r="D167">
        <v>2266508</v>
      </c>
    </row>
    <row r="168" spans="1:4" x14ac:dyDescent="0.2">
      <c r="A168">
        <v>1</v>
      </c>
      <c r="B168">
        <v>0</v>
      </c>
      <c r="C168">
        <v>2021</v>
      </c>
      <c r="D168">
        <v>2288372</v>
      </c>
    </row>
    <row r="169" spans="1:4" x14ac:dyDescent="0.2">
      <c r="A169">
        <v>1</v>
      </c>
      <c r="B169">
        <v>0</v>
      </c>
      <c r="C169">
        <v>2022</v>
      </c>
      <c r="D169">
        <v>2311305</v>
      </c>
    </row>
    <row r="170" spans="1:4" x14ac:dyDescent="0.2">
      <c r="A170">
        <v>1</v>
      </c>
      <c r="B170">
        <v>0</v>
      </c>
      <c r="C170">
        <v>2023</v>
      </c>
      <c r="D170">
        <v>2335658</v>
      </c>
    </row>
    <row r="171" spans="1:4" x14ac:dyDescent="0.2">
      <c r="A171">
        <v>1</v>
      </c>
      <c r="B171">
        <v>0</v>
      </c>
      <c r="C171">
        <v>2024</v>
      </c>
      <c r="D171">
        <v>2361634</v>
      </c>
    </row>
    <row r="172" spans="1:4" x14ac:dyDescent="0.2">
      <c r="A172">
        <v>1</v>
      </c>
      <c r="B172">
        <v>0</v>
      </c>
      <c r="C172">
        <v>2025</v>
      </c>
      <c r="D172">
        <v>2389358</v>
      </c>
    </row>
    <row r="173" spans="1:4" x14ac:dyDescent="0.2">
      <c r="A173">
        <v>1</v>
      </c>
      <c r="B173">
        <v>0</v>
      </c>
      <c r="C173">
        <v>2026</v>
      </c>
      <c r="D173">
        <v>2418894</v>
      </c>
    </row>
    <row r="174" spans="1:4" x14ac:dyDescent="0.2">
      <c r="A174">
        <v>1</v>
      </c>
      <c r="B174">
        <v>0</v>
      </c>
      <c r="C174">
        <v>2027</v>
      </c>
      <c r="D174">
        <v>2450373</v>
      </c>
    </row>
    <row r="175" spans="1:4" x14ac:dyDescent="0.2">
      <c r="A175">
        <v>1</v>
      </c>
      <c r="B175">
        <v>0</v>
      </c>
      <c r="C175">
        <v>2028</v>
      </c>
      <c r="D175">
        <v>2483710</v>
      </c>
    </row>
    <row r="176" spans="1:4" x14ac:dyDescent="0.2">
      <c r="A176">
        <v>1</v>
      </c>
      <c r="B176">
        <v>0</v>
      </c>
      <c r="C176">
        <v>2029</v>
      </c>
      <c r="D176">
        <v>2518661</v>
      </c>
    </row>
    <row r="177" spans="1:4" x14ac:dyDescent="0.2">
      <c r="A177">
        <v>1</v>
      </c>
      <c r="B177">
        <v>0</v>
      </c>
      <c r="C177">
        <v>2030</v>
      </c>
      <c r="D177">
        <v>2555182</v>
      </c>
    </row>
    <row r="178" spans="1:4" x14ac:dyDescent="0.2">
      <c r="A178">
        <v>1</v>
      </c>
      <c r="B178">
        <v>0</v>
      </c>
      <c r="C178">
        <v>2031</v>
      </c>
      <c r="D178">
        <v>2592915</v>
      </c>
    </row>
    <row r="179" spans="1:4" x14ac:dyDescent="0.2">
      <c r="A179">
        <v>1</v>
      </c>
      <c r="B179">
        <v>0</v>
      </c>
      <c r="C179">
        <v>2032</v>
      </c>
      <c r="D179">
        <v>2631544</v>
      </c>
    </row>
    <row r="180" spans="1:4" x14ac:dyDescent="0.2">
      <c r="A180">
        <v>1</v>
      </c>
      <c r="B180">
        <v>0</v>
      </c>
      <c r="C180">
        <v>2033</v>
      </c>
      <c r="D180">
        <v>2670665</v>
      </c>
    </row>
    <row r="181" spans="1:4" x14ac:dyDescent="0.2">
      <c r="A181">
        <v>1</v>
      </c>
      <c r="B181">
        <v>0</v>
      </c>
      <c r="C181">
        <v>2034</v>
      </c>
      <c r="D181">
        <v>2709880</v>
      </c>
    </row>
    <row r="182" spans="1:4" x14ac:dyDescent="0.2">
      <c r="A182">
        <v>1</v>
      </c>
      <c r="B182">
        <v>0</v>
      </c>
      <c r="C182">
        <v>2035</v>
      </c>
      <c r="D182">
        <v>2749028</v>
      </c>
    </row>
    <row r="183" spans="1:4" x14ac:dyDescent="0.2">
      <c r="A183">
        <v>1</v>
      </c>
      <c r="B183">
        <v>0</v>
      </c>
      <c r="C183">
        <v>2036</v>
      </c>
      <c r="D183">
        <v>2787487</v>
      </c>
    </row>
    <row r="184" spans="1:4" x14ac:dyDescent="0.2">
      <c r="A184">
        <v>1</v>
      </c>
      <c r="B184">
        <v>0</v>
      </c>
      <c r="C184">
        <v>2037</v>
      </c>
      <c r="D184">
        <v>2824803</v>
      </c>
    </row>
    <row r="185" spans="1:4" x14ac:dyDescent="0.2">
      <c r="A185">
        <v>1</v>
      </c>
      <c r="B185">
        <v>0</v>
      </c>
      <c r="C185">
        <v>2038</v>
      </c>
      <c r="D185">
        <v>2860661</v>
      </c>
    </row>
    <row r="186" spans="1:4" x14ac:dyDescent="0.2">
      <c r="A186">
        <v>1</v>
      </c>
      <c r="B186">
        <v>0</v>
      </c>
      <c r="C186">
        <v>2039</v>
      </c>
      <c r="D186">
        <v>2894554</v>
      </c>
    </row>
    <row r="187" spans="1:4" x14ac:dyDescent="0.2">
      <c r="A187">
        <v>1</v>
      </c>
      <c r="B187">
        <v>0</v>
      </c>
      <c r="C187">
        <v>2040</v>
      </c>
      <c r="D187">
        <v>2926113</v>
      </c>
    </row>
    <row r="188" spans="1:4" x14ac:dyDescent="0.2">
      <c r="A188">
        <v>1</v>
      </c>
      <c r="B188">
        <v>0</v>
      </c>
      <c r="C188">
        <v>2041</v>
      </c>
      <c r="D188">
        <v>2955004</v>
      </c>
    </row>
    <row r="189" spans="1:4" x14ac:dyDescent="0.2">
      <c r="A189">
        <v>1</v>
      </c>
      <c r="B189">
        <v>0</v>
      </c>
      <c r="C189">
        <v>2042</v>
      </c>
      <c r="D189">
        <v>2981129</v>
      </c>
    </row>
    <row r="190" spans="1:4" x14ac:dyDescent="0.2">
      <c r="A190">
        <v>1</v>
      </c>
      <c r="B190">
        <v>0</v>
      </c>
      <c r="C190">
        <v>2043</v>
      </c>
      <c r="D190">
        <v>3004515</v>
      </c>
    </row>
    <row r="191" spans="1:4" x14ac:dyDescent="0.2">
      <c r="A191">
        <v>1</v>
      </c>
      <c r="B191">
        <v>0</v>
      </c>
      <c r="C191">
        <v>2044</v>
      </c>
      <c r="D191">
        <v>3024344</v>
      </c>
    </row>
    <row r="192" spans="1:4" x14ac:dyDescent="0.2">
      <c r="A192">
        <v>1</v>
      </c>
      <c r="B192">
        <v>0</v>
      </c>
      <c r="C192">
        <v>2045</v>
      </c>
      <c r="D192">
        <v>3040446</v>
      </c>
    </row>
    <row r="193" spans="1:4" x14ac:dyDescent="0.2">
      <c r="A193">
        <v>1</v>
      </c>
      <c r="B193">
        <v>0</v>
      </c>
      <c r="C193">
        <v>2046</v>
      </c>
      <c r="D193">
        <v>3052853</v>
      </c>
    </row>
    <row r="194" spans="1:4" x14ac:dyDescent="0.2">
      <c r="A194">
        <v>1</v>
      </c>
      <c r="B194">
        <v>0</v>
      </c>
      <c r="C194">
        <v>2047</v>
      </c>
      <c r="D194">
        <v>3063089</v>
      </c>
    </row>
    <row r="195" spans="1:4" x14ac:dyDescent="0.2">
      <c r="A195">
        <v>1</v>
      </c>
      <c r="B195">
        <v>0</v>
      </c>
      <c r="C195">
        <v>2048</v>
      </c>
      <c r="D195">
        <v>3069927</v>
      </c>
    </row>
    <row r="196" spans="1:4" x14ac:dyDescent="0.2">
      <c r="A196">
        <v>1</v>
      </c>
      <c r="B196">
        <v>0</v>
      </c>
      <c r="C196">
        <v>2049</v>
      </c>
      <c r="D196">
        <v>3073176</v>
      </c>
    </row>
    <row r="197" spans="1:4" x14ac:dyDescent="0.2">
      <c r="A197">
        <v>1</v>
      </c>
      <c r="B197">
        <v>0</v>
      </c>
      <c r="C197">
        <v>2050</v>
      </c>
      <c r="D197">
        <v>3073035</v>
      </c>
    </row>
    <row r="198" spans="1:4" x14ac:dyDescent="0.2">
      <c r="A198">
        <v>1</v>
      </c>
      <c r="B198">
        <v>0</v>
      </c>
      <c r="C198">
        <v>2051</v>
      </c>
      <c r="D198">
        <v>3069924</v>
      </c>
    </row>
    <row r="199" spans="1:4" x14ac:dyDescent="0.2">
      <c r="A199">
        <v>1</v>
      </c>
      <c r="B199">
        <v>0</v>
      </c>
      <c r="C199">
        <v>2052</v>
      </c>
      <c r="D199">
        <v>3064216</v>
      </c>
    </row>
    <row r="200" spans="1:4" x14ac:dyDescent="0.2">
      <c r="A200">
        <v>1</v>
      </c>
      <c r="B200">
        <v>0</v>
      </c>
      <c r="C200">
        <v>2053</v>
      </c>
      <c r="D200">
        <v>3056352</v>
      </c>
    </row>
    <row r="201" spans="1:4" x14ac:dyDescent="0.2">
      <c r="A201">
        <v>1</v>
      </c>
      <c r="B201">
        <v>0</v>
      </c>
      <c r="C201">
        <v>2054</v>
      </c>
      <c r="D201">
        <v>3046796</v>
      </c>
    </row>
    <row r="202" spans="1:4" x14ac:dyDescent="0.2">
      <c r="A202">
        <v>1</v>
      </c>
      <c r="B202">
        <v>0</v>
      </c>
      <c r="C202">
        <v>2055</v>
      </c>
      <c r="D202">
        <v>3035938</v>
      </c>
    </row>
    <row r="203" spans="1:4" x14ac:dyDescent="0.2">
      <c r="A203">
        <v>1</v>
      </c>
      <c r="B203">
        <v>0</v>
      </c>
      <c r="C203">
        <v>2056</v>
      </c>
      <c r="D203">
        <v>3023921</v>
      </c>
    </row>
    <row r="204" spans="1:4" x14ac:dyDescent="0.2">
      <c r="A204">
        <v>1</v>
      </c>
      <c r="B204">
        <v>0</v>
      </c>
      <c r="C204">
        <v>2057</v>
      </c>
      <c r="D204">
        <v>3011255</v>
      </c>
    </row>
    <row r="205" spans="1:4" x14ac:dyDescent="0.2">
      <c r="A205">
        <v>1</v>
      </c>
      <c r="B205">
        <v>0</v>
      </c>
      <c r="C205">
        <v>2058</v>
      </c>
      <c r="D205">
        <v>2998303</v>
      </c>
    </row>
    <row r="206" spans="1:4" x14ac:dyDescent="0.2">
      <c r="A206">
        <v>1</v>
      </c>
      <c r="B206">
        <v>0</v>
      </c>
      <c r="C206">
        <v>2059</v>
      </c>
      <c r="D206">
        <v>2985330</v>
      </c>
    </row>
    <row r="207" spans="1:4" x14ac:dyDescent="0.2">
      <c r="A207">
        <v>1</v>
      </c>
      <c r="B207">
        <v>0</v>
      </c>
      <c r="C207">
        <v>2060</v>
      </c>
      <c r="D207">
        <v>2973108</v>
      </c>
    </row>
    <row r="208" spans="1:4" x14ac:dyDescent="0.2">
      <c r="A208">
        <v>1</v>
      </c>
      <c r="B208">
        <v>0</v>
      </c>
      <c r="C208">
        <v>2061</v>
      </c>
      <c r="D208">
        <f>_xlfn.FORECAST.LINEAR(C208,D164:D207,C164:C207)</f>
        <v>3256368.6596194506</v>
      </c>
    </row>
    <row r="209" spans="1:4" x14ac:dyDescent="0.2">
      <c r="A209">
        <v>1</v>
      </c>
      <c r="B209">
        <v>0</v>
      </c>
      <c r="C209">
        <v>2062</v>
      </c>
      <c r="D209">
        <f t="shared" ref="D209:D217" si="3">_xlfn.FORECAST.LINEAR(C209,D165:D208,C165:C208)</f>
        <v>3274768.0483375043</v>
      </c>
    </row>
    <row r="210" spans="1:4" x14ac:dyDescent="0.2">
      <c r="A210">
        <v>1</v>
      </c>
      <c r="B210">
        <v>0</v>
      </c>
      <c r="C210">
        <v>2063</v>
      </c>
      <c r="D210">
        <f t="shared" si="3"/>
        <v>3292591.7197731882</v>
      </c>
    </row>
    <row r="211" spans="1:4" x14ac:dyDescent="0.2">
      <c r="A211">
        <v>1</v>
      </c>
      <c r="B211">
        <v>0</v>
      </c>
      <c r="C211">
        <v>2064</v>
      </c>
      <c r="D211">
        <f t="shared" si="3"/>
        <v>3309743.8675286099</v>
      </c>
    </row>
    <row r="212" spans="1:4" x14ac:dyDescent="0.2">
      <c r="A212">
        <v>1</v>
      </c>
      <c r="B212">
        <v>0</v>
      </c>
      <c r="C212">
        <v>2065</v>
      </c>
      <c r="D212">
        <f t="shared" si="3"/>
        <v>3326166.9725225493</v>
      </c>
    </row>
    <row r="213" spans="1:4" x14ac:dyDescent="0.2">
      <c r="A213">
        <v>1</v>
      </c>
      <c r="B213">
        <v>0</v>
      </c>
      <c r="C213">
        <v>2066</v>
      </c>
      <c r="D213">
        <f t="shared" si="3"/>
        <v>3341837.8824075013</v>
      </c>
    </row>
    <row r="214" spans="1:4" x14ac:dyDescent="0.2">
      <c r="A214">
        <v>1</v>
      </c>
      <c r="B214">
        <v>0</v>
      </c>
      <c r="C214">
        <v>2067</v>
      </c>
      <c r="D214">
        <f t="shared" si="3"/>
        <v>3356757.4512063414</v>
      </c>
    </row>
    <row r="215" spans="1:4" x14ac:dyDescent="0.2">
      <c r="A215">
        <v>1</v>
      </c>
      <c r="B215">
        <v>0</v>
      </c>
      <c r="C215">
        <v>2068</v>
      </c>
      <c r="D215">
        <f t="shared" si="3"/>
        <v>3370949.4536938444</v>
      </c>
    </row>
    <row r="216" spans="1:4" x14ac:dyDescent="0.2">
      <c r="A216">
        <v>1</v>
      </c>
      <c r="B216">
        <v>0</v>
      </c>
      <c r="C216">
        <v>2069</v>
      </c>
      <c r="D216">
        <f t="shared" si="3"/>
        <v>3384456.5828835741</v>
      </c>
    </row>
    <row r="217" spans="1:4" x14ac:dyDescent="0.2">
      <c r="A217">
        <v>1</v>
      </c>
      <c r="B217">
        <v>0</v>
      </c>
      <c r="C217">
        <v>2070</v>
      </c>
      <c r="D217">
        <f t="shared" si="3"/>
        <v>3397338.9454234466</v>
      </c>
    </row>
    <row r="218" spans="1:4" x14ac:dyDescent="0.2">
      <c r="A218">
        <v>1</v>
      </c>
      <c r="B218">
        <v>1</v>
      </c>
      <c r="C218">
        <v>2017</v>
      </c>
      <c r="D218">
        <v>1111947</v>
      </c>
    </row>
    <row r="219" spans="1:4" x14ac:dyDescent="0.2">
      <c r="A219">
        <v>1</v>
      </c>
      <c r="B219">
        <v>1</v>
      </c>
      <c r="C219">
        <v>2018</v>
      </c>
      <c r="D219">
        <v>1125228</v>
      </c>
    </row>
    <row r="220" spans="1:4" x14ac:dyDescent="0.2">
      <c r="A220">
        <v>1</v>
      </c>
      <c r="B220">
        <v>1</v>
      </c>
      <c r="C220">
        <v>2019</v>
      </c>
      <c r="D220">
        <v>1138302</v>
      </c>
    </row>
    <row r="221" spans="1:4" x14ac:dyDescent="0.2">
      <c r="A221">
        <v>1</v>
      </c>
      <c r="B221">
        <v>1</v>
      </c>
      <c r="C221">
        <v>2020</v>
      </c>
      <c r="D221">
        <v>1151412</v>
      </c>
    </row>
    <row r="222" spans="1:4" x14ac:dyDescent="0.2">
      <c r="A222">
        <v>1</v>
      </c>
      <c r="B222">
        <v>1</v>
      </c>
      <c r="C222">
        <v>2021</v>
      </c>
      <c r="D222">
        <v>1164776</v>
      </c>
    </row>
    <row r="223" spans="1:4" x14ac:dyDescent="0.2">
      <c r="A223">
        <v>1</v>
      </c>
      <c r="B223">
        <v>1</v>
      </c>
      <c r="C223">
        <v>2022</v>
      </c>
      <c r="D223">
        <v>1178508</v>
      </c>
    </row>
    <row r="224" spans="1:4" x14ac:dyDescent="0.2">
      <c r="A224">
        <v>1</v>
      </c>
      <c r="B224">
        <v>1</v>
      </c>
      <c r="C224">
        <v>2023</v>
      </c>
      <c r="D224">
        <v>1192753</v>
      </c>
    </row>
    <row r="225" spans="1:4" x14ac:dyDescent="0.2">
      <c r="A225">
        <v>1</v>
      </c>
      <c r="B225">
        <v>1</v>
      </c>
      <c r="C225">
        <v>2024</v>
      </c>
      <c r="D225">
        <v>1207540</v>
      </c>
    </row>
    <row r="226" spans="1:4" x14ac:dyDescent="0.2">
      <c r="A226">
        <v>1</v>
      </c>
      <c r="B226">
        <v>1</v>
      </c>
      <c r="C226">
        <v>2025</v>
      </c>
      <c r="D226">
        <v>1222957</v>
      </c>
    </row>
    <row r="227" spans="1:4" x14ac:dyDescent="0.2">
      <c r="A227">
        <v>1</v>
      </c>
      <c r="B227">
        <v>1</v>
      </c>
      <c r="C227">
        <v>2026</v>
      </c>
      <c r="D227">
        <v>1238964</v>
      </c>
    </row>
    <row r="228" spans="1:4" x14ac:dyDescent="0.2">
      <c r="A228">
        <v>1</v>
      </c>
      <c r="B228">
        <v>1</v>
      </c>
      <c r="C228">
        <v>2027</v>
      </c>
      <c r="D228">
        <v>1255590</v>
      </c>
    </row>
    <row r="229" spans="1:4" x14ac:dyDescent="0.2">
      <c r="A229">
        <v>1</v>
      </c>
      <c r="B229">
        <v>1</v>
      </c>
      <c r="C229">
        <v>2028</v>
      </c>
      <c r="D229">
        <v>1272778</v>
      </c>
    </row>
    <row r="230" spans="1:4" x14ac:dyDescent="0.2">
      <c r="A230">
        <v>1</v>
      </c>
      <c r="B230">
        <v>1</v>
      </c>
      <c r="C230">
        <v>2029</v>
      </c>
      <c r="D230">
        <v>1290422</v>
      </c>
    </row>
    <row r="231" spans="1:4" x14ac:dyDescent="0.2">
      <c r="A231">
        <v>1</v>
      </c>
      <c r="B231">
        <v>1</v>
      </c>
      <c r="C231">
        <v>2030</v>
      </c>
      <c r="D231">
        <v>1308427</v>
      </c>
    </row>
    <row r="232" spans="1:4" x14ac:dyDescent="0.2">
      <c r="A232">
        <v>1</v>
      </c>
      <c r="B232">
        <v>1</v>
      </c>
      <c r="C232">
        <v>2031</v>
      </c>
      <c r="D232">
        <v>1326615</v>
      </c>
    </row>
    <row r="233" spans="1:4" x14ac:dyDescent="0.2">
      <c r="A233">
        <v>1</v>
      </c>
      <c r="B233">
        <v>1</v>
      </c>
      <c r="C233">
        <v>2032</v>
      </c>
      <c r="D233">
        <v>1344839</v>
      </c>
    </row>
    <row r="234" spans="1:4" x14ac:dyDescent="0.2">
      <c r="A234">
        <v>1</v>
      </c>
      <c r="B234">
        <v>1</v>
      </c>
      <c r="C234">
        <v>2033</v>
      </c>
      <c r="D234">
        <v>1362886</v>
      </c>
    </row>
    <row r="235" spans="1:4" x14ac:dyDescent="0.2">
      <c r="A235">
        <v>1</v>
      </c>
      <c r="B235">
        <v>1</v>
      </c>
      <c r="C235">
        <v>2034</v>
      </c>
      <c r="D235">
        <v>1380629</v>
      </c>
    </row>
    <row r="236" spans="1:4" x14ac:dyDescent="0.2">
      <c r="A236">
        <v>1</v>
      </c>
      <c r="B236">
        <v>1</v>
      </c>
      <c r="C236">
        <v>2035</v>
      </c>
      <c r="D236">
        <v>1397954</v>
      </c>
    </row>
    <row r="237" spans="1:4" x14ac:dyDescent="0.2">
      <c r="A237">
        <v>1</v>
      </c>
      <c r="B237">
        <v>1</v>
      </c>
      <c r="C237">
        <v>2036</v>
      </c>
      <c r="D237">
        <v>1414604</v>
      </c>
    </row>
    <row r="238" spans="1:4" x14ac:dyDescent="0.2">
      <c r="A238">
        <v>1</v>
      </c>
      <c r="B238">
        <v>1</v>
      </c>
      <c r="C238">
        <v>2037</v>
      </c>
      <c r="D238">
        <v>1430442</v>
      </c>
    </row>
    <row r="239" spans="1:4" x14ac:dyDescent="0.2">
      <c r="A239">
        <v>1</v>
      </c>
      <c r="B239">
        <v>1</v>
      </c>
      <c r="C239">
        <v>2038</v>
      </c>
      <c r="D239">
        <v>1445321</v>
      </c>
    </row>
    <row r="240" spans="1:4" x14ac:dyDescent="0.2">
      <c r="A240">
        <v>1</v>
      </c>
      <c r="B240">
        <v>1</v>
      </c>
      <c r="C240">
        <v>2039</v>
      </c>
      <c r="D240">
        <v>1459060</v>
      </c>
    </row>
    <row r="241" spans="1:4" x14ac:dyDescent="0.2">
      <c r="A241">
        <v>1</v>
      </c>
      <c r="B241">
        <v>1</v>
      </c>
      <c r="C241">
        <v>2040</v>
      </c>
      <c r="D241">
        <v>1471515</v>
      </c>
    </row>
    <row r="242" spans="1:4" x14ac:dyDescent="0.2">
      <c r="A242">
        <v>1</v>
      </c>
      <c r="B242">
        <v>1</v>
      </c>
      <c r="C242">
        <v>2041</v>
      </c>
      <c r="D242">
        <v>1482588</v>
      </c>
    </row>
    <row r="243" spans="1:4" x14ac:dyDescent="0.2">
      <c r="A243">
        <v>1</v>
      </c>
      <c r="B243">
        <v>1</v>
      </c>
      <c r="C243">
        <v>2042</v>
      </c>
      <c r="D243">
        <v>1492280</v>
      </c>
    </row>
    <row r="244" spans="1:4" x14ac:dyDescent="0.2">
      <c r="A244">
        <v>1</v>
      </c>
      <c r="B244">
        <v>1</v>
      </c>
      <c r="C244">
        <v>2043</v>
      </c>
      <c r="D244">
        <v>1500556</v>
      </c>
    </row>
    <row r="245" spans="1:4" x14ac:dyDescent="0.2">
      <c r="A245">
        <v>1</v>
      </c>
      <c r="B245">
        <v>1</v>
      </c>
      <c r="C245">
        <v>2044</v>
      </c>
      <c r="D245">
        <v>1507219</v>
      </c>
    </row>
    <row r="246" spans="1:4" x14ac:dyDescent="0.2">
      <c r="A246">
        <v>1</v>
      </c>
      <c r="B246">
        <v>1</v>
      </c>
      <c r="C246">
        <v>2045</v>
      </c>
      <c r="D246">
        <v>1512255</v>
      </c>
    </row>
    <row r="247" spans="1:4" x14ac:dyDescent="0.2">
      <c r="A247">
        <v>1</v>
      </c>
      <c r="B247">
        <v>1</v>
      </c>
      <c r="C247">
        <v>2046</v>
      </c>
      <c r="D247">
        <v>1515681</v>
      </c>
    </row>
    <row r="248" spans="1:4" x14ac:dyDescent="0.2">
      <c r="A248">
        <v>1</v>
      </c>
      <c r="B248">
        <v>1</v>
      </c>
      <c r="C248">
        <v>2047</v>
      </c>
      <c r="D248">
        <v>1518018</v>
      </c>
    </row>
    <row r="249" spans="1:4" x14ac:dyDescent="0.2">
      <c r="A249">
        <v>1</v>
      </c>
      <c r="B249">
        <v>1</v>
      </c>
      <c r="C249">
        <v>2048</v>
      </c>
      <c r="D249">
        <v>1518915</v>
      </c>
    </row>
    <row r="250" spans="1:4" x14ac:dyDescent="0.2">
      <c r="A250">
        <v>1</v>
      </c>
      <c r="B250">
        <v>1</v>
      </c>
      <c r="C250">
        <v>2049</v>
      </c>
      <c r="D250">
        <v>1518372</v>
      </c>
    </row>
    <row r="251" spans="1:4" x14ac:dyDescent="0.2">
      <c r="A251">
        <v>1</v>
      </c>
      <c r="B251">
        <v>1</v>
      </c>
      <c r="C251">
        <v>2050</v>
      </c>
      <c r="D251">
        <v>1516510</v>
      </c>
    </row>
    <row r="252" spans="1:4" x14ac:dyDescent="0.2">
      <c r="A252">
        <v>1</v>
      </c>
      <c r="B252">
        <v>1</v>
      </c>
      <c r="C252">
        <v>2051</v>
      </c>
      <c r="D252">
        <v>1513562</v>
      </c>
    </row>
    <row r="253" spans="1:4" x14ac:dyDescent="0.2">
      <c r="A253">
        <v>1</v>
      </c>
      <c r="B253">
        <v>1</v>
      </c>
      <c r="C253">
        <v>2052</v>
      </c>
      <c r="D253">
        <v>1509666</v>
      </c>
    </row>
    <row r="254" spans="1:4" x14ac:dyDescent="0.2">
      <c r="A254">
        <v>1</v>
      </c>
      <c r="B254">
        <v>1</v>
      </c>
      <c r="C254">
        <v>2053</v>
      </c>
      <c r="D254">
        <v>1505037</v>
      </c>
    </row>
    <row r="255" spans="1:4" x14ac:dyDescent="0.2">
      <c r="A255">
        <v>1</v>
      </c>
      <c r="B255">
        <v>1</v>
      </c>
      <c r="C255">
        <v>2054</v>
      </c>
      <c r="D255">
        <v>1499861</v>
      </c>
    </row>
    <row r="256" spans="1:4" x14ac:dyDescent="0.2">
      <c r="A256">
        <v>1</v>
      </c>
      <c r="B256">
        <v>1</v>
      </c>
      <c r="C256">
        <v>2055</v>
      </c>
      <c r="D256">
        <v>1494349</v>
      </c>
    </row>
    <row r="257" spans="1:4" x14ac:dyDescent="0.2">
      <c r="A257">
        <v>1</v>
      </c>
      <c r="B257">
        <v>1</v>
      </c>
      <c r="C257">
        <v>2056</v>
      </c>
      <c r="D257">
        <v>1488616</v>
      </c>
    </row>
    <row r="258" spans="1:4" x14ac:dyDescent="0.2">
      <c r="A258">
        <v>1</v>
      </c>
      <c r="B258">
        <v>1</v>
      </c>
      <c r="C258">
        <v>2057</v>
      </c>
      <c r="D258">
        <v>1482878</v>
      </c>
    </row>
    <row r="259" spans="1:4" x14ac:dyDescent="0.2">
      <c r="A259">
        <v>1</v>
      </c>
      <c r="B259">
        <v>1</v>
      </c>
      <c r="C259">
        <v>2058</v>
      </c>
      <c r="D259">
        <v>1477353</v>
      </c>
    </row>
    <row r="260" spans="1:4" x14ac:dyDescent="0.2">
      <c r="A260">
        <v>1</v>
      </c>
      <c r="B260">
        <v>1</v>
      </c>
      <c r="C260">
        <v>2059</v>
      </c>
      <c r="D260">
        <v>1472154</v>
      </c>
    </row>
    <row r="261" spans="1:4" x14ac:dyDescent="0.2">
      <c r="A261">
        <v>1</v>
      </c>
      <c r="B261">
        <v>1</v>
      </c>
      <c r="C261">
        <v>2060</v>
      </c>
      <c r="D261">
        <v>1467622</v>
      </c>
    </row>
    <row r="262" spans="1:4" x14ac:dyDescent="0.2">
      <c r="A262">
        <v>1</v>
      </c>
      <c r="B262">
        <v>1</v>
      </c>
      <c r="C262">
        <v>2061</v>
      </c>
      <c r="D262">
        <f>_xlfn.FORECAST.LINEAR(C262,D218:D261,C218:C261)</f>
        <v>1601652.6670190245</v>
      </c>
    </row>
    <row r="263" spans="1:4" x14ac:dyDescent="0.2">
      <c r="A263">
        <v>1</v>
      </c>
      <c r="B263">
        <v>1</v>
      </c>
      <c r="C263">
        <v>2062</v>
      </c>
      <c r="D263">
        <f t="shared" ref="D263:D271" si="4">_xlfn.FORECAST.LINEAR(C263,D219:D262,C219:C262)</f>
        <v>1608239.1452046894</v>
      </c>
    </row>
    <row r="264" spans="1:4" x14ac:dyDescent="0.2">
      <c r="A264">
        <v>1</v>
      </c>
      <c r="B264">
        <v>1</v>
      </c>
      <c r="C264">
        <v>2063</v>
      </c>
      <c r="D264">
        <f t="shared" si="4"/>
        <v>1614517.2154864483</v>
      </c>
    </row>
    <row r="265" spans="1:4" x14ac:dyDescent="0.2">
      <c r="A265">
        <v>1</v>
      </c>
      <c r="B265">
        <v>1</v>
      </c>
      <c r="C265">
        <v>2064</v>
      </c>
      <c r="D265">
        <f t="shared" si="4"/>
        <v>1620470.0052276403</v>
      </c>
    </row>
    <row r="266" spans="1:4" x14ac:dyDescent="0.2">
      <c r="A266">
        <v>1</v>
      </c>
      <c r="B266">
        <v>1</v>
      </c>
      <c r="C266">
        <v>2065</v>
      </c>
      <c r="D266">
        <f t="shared" si="4"/>
        <v>1626091.245572716</v>
      </c>
    </row>
    <row r="267" spans="1:4" x14ac:dyDescent="0.2">
      <c r="A267">
        <v>1</v>
      </c>
      <c r="B267">
        <v>1</v>
      </c>
      <c r="C267">
        <v>2066</v>
      </c>
      <c r="D267">
        <f t="shared" si="4"/>
        <v>1631385.8439029939</v>
      </c>
    </row>
    <row r="268" spans="1:4" x14ac:dyDescent="0.2">
      <c r="A268">
        <v>1</v>
      </c>
      <c r="B268">
        <v>1</v>
      </c>
      <c r="C268">
        <v>2067</v>
      </c>
      <c r="D268">
        <f t="shared" si="4"/>
        <v>1636366.553987693</v>
      </c>
    </row>
    <row r="269" spans="1:4" x14ac:dyDescent="0.2">
      <c r="A269">
        <v>1</v>
      </c>
      <c r="B269">
        <v>1</v>
      </c>
      <c r="C269">
        <v>2068</v>
      </c>
      <c r="D269">
        <f t="shared" si="4"/>
        <v>1641056.5426512267</v>
      </c>
    </row>
    <row r="270" spans="1:4" x14ac:dyDescent="0.2">
      <c r="A270">
        <v>1</v>
      </c>
      <c r="B270">
        <v>1</v>
      </c>
      <c r="C270">
        <v>2069</v>
      </c>
      <c r="D270">
        <f t="shared" si="4"/>
        <v>1645485.1152080987</v>
      </c>
    </row>
    <row r="271" spans="1:4" x14ac:dyDescent="0.2">
      <c r="A271">
        <v>1</v>
      </c>
      <c r="B271">
        <v>1</v>
      </c>
      <c r="C271">
        <v>2070</v>
      </c>
      <c r="D271">
        <f t="shared" si="4"/>
        <v>1649691.1609276962</v>
      </c>
    </row>
    <row r="272" spans="1:4" x14ac:dyDescent="0.2">
      <c r="A272">
        <v>1</v>
      </c>
      <c r="B272">
        <v>2</v>
      </c>
      <c r="C272">
        <v>2017</v>
      </c>
      <c r="D272">
        <v>1089341</v>
      </c>
    </row>
    <row r="273" spans="1:4" x14ac:dyDescent="0.2">
      <c r="A273">
        <v>1</v>
      </c>
      <c r="B273">
        <v>2</v>
      </c>
      <c r="C273">
        <v>2018</v>
      </c>
      <c r="D273">
        <v>1098631</v>
      </c>
    </row>
    <row r="274" spans="1:4" x14ac:dyDescent="0.2">
      <c r="A274">
        <v>1</v>
      </c>
      <c r="B274">
        <v>2</v>
      </c>
      <c r="C274">
        <v>2019</v>
      </c>
      <c r="D274">
        <v>1106962</v>
      </c>
    </row>
    <row r="275" spans="1:4" x14ac:dyDescent="0.2">
      <c r="A275">
        <v>1</v>
      </c>
      <c r="B275">
        <v>2</v>
      </c>
      <c r="C275">
        <v>2020</v>
      </c>
      <c r="D275">
        <v>1115096</v>
      </c>
    </row>
    <row r="276" spans="1:4" x14ac:dyDescent="0.2">
      <c r="A276">
        <v>1</v>
      </c>
      <c r="B276">
        <v>2</v>
      </c>
      <c r="C276">
        <v>2021</v>
      </c>
      <c r="D276">
        <v>1123596</v>
      </c>
    </row>
    <row r="277" spans="1:4" x14ac:dyDescent="0.2">
      <c r="A277">
        <v>1</v>
      </c>
      <c r="B277">
        <v>2</v>
      </c>
      <c r="C277">
        <v>2022</v>
      </c>
      <c r="D277">
        <v>1132797</v>
      </c>
    </row>
    <row r="278" spans="1:4" x14ac:dyDescent="0.2">
      <c r="A278">
        <v>1</v>
      </c>
      <c r="B278">
        <v>2</v>
      </c>
      <c r="C278">
        <v>2023</v>
      </c>
      <c r="D278">
        <v>1142905</v>
      </c>
    </row>
    <row r="279" spans="1:4" x14ac:dyDescent="0.2">
      <c r="A279">
        <v>1</v>
      </c>
      <c r="B279">
        <v>2</v>
      </c>
      <c r="C279">
        <v>2024</v>
      </c>
      <c r="D279">
        <v>1154094</v>
      </c>
    </row>
    <row r="280" spans="1:4" x14ac:dyDescent="0.2">
      <c r="A280">
        <v>1</v>
      </c>
      <c r="B280">
        <v>2</v>
      </c>
      <c r="C280">
        <v>2025</v>
      </c>
      <c r="D280">
        <v>1166401</v>
      </c>
    </row>
    <row r="281" spans="1:4" x14ac:dyDescent="0.2">
      <c r="A281">
        <v>1</v>
      </c>
      <c r="B281">
        <v>2</v>
      </c>
      <c r="C281">
        <v>2026</v>
      </c>
      <c r="D281">
        <v>1179930</v>
      </c>
    </row>
    <row r="282" spans="1:4" x14ac:dyDescent="0.2">
      <c r="A282">
        <v>1</v>
      </c>
      <c r="B282">
        <v>2</v>
      </c>
      <c r="C282">
        <v>2027</v>
      </c>
      <c r="D282">
        <v>1194783</v>
      </c>
    </row>
    <row r="283" spans="1:4" x14ac:dyDescent="0.2">
      <c r="A283">
        <v>1</v>
      </c>
      <c r="B283">
        <v>2</v>
      </c>
      <c r="C283">
        <v>2028</v>
      </c>
      <c r="D283">
        <v>1210932</v>
      </c>
    </row>
    <row r="284" spans="1:4" x14ac:dyDescent="0.2">
      <c r="A284">
        <v>1</v>
      </c>
      <c r="B284">
        <v>2</v>
      </c>
      <c r="C284">
        <v>2029</v>
      </c>
      <c r="D284">
        <v>1228239</v>
      </c>
    </row>
    <row r="285" spans="1:4" x14ac:dyDescent="0.2">
      <c r="A285">
        <v>1</v>
      </c>
      <c r="B285">
        <v>2</v>
      </c>
      <c r="C285">
        <v>2030</v>
      </c>
      <c r="D285">
        <v>1246755</v>
      </c>
    </row>
    <row r="286" spans="1:4" x14ac:dyDescent="0.2">
      <c r="A286">
        <v>1</v>
      </c>
      <c r="B286">
        <v>2</v>
      </c>
      <c r="C286">
        <v>2031</v>
      </c>
      <c r="D286">
        <v>1266300</v>
      </c>
    </row>
    <row r="287" spans="1:4" x14ac:dyDescent="0.2">
      <c r="A287">
        <v>1</v>
      </c>
      <c r="B287">
        <v>2</v>
      </c>
      <c r="C287">
        <v>2032</v>
      </c>
      <c r="D287">
        <v>1286705</v>
      </c>
    </row>
    <row r="288" spans="1:4" x14ac:dyDescent="0.2">
      <c r="A288">
        <v>1</v>
      </c>
      <c r="B288">
        <v>2</v>
      </c>
      <c r="C288">
        <v>2033</v>
      </c>
      <c r="D288">
        <v>1307779</v>
      </c>
    </row>
    <row r="289" spans="1:4" x14ac:dyDescent="0.2">
      <c r="A289">
        <v>1</v>
      </c>
      <c r="B289">
        <v>2</v>
      </c>
      <c r="C289">
        <v>2034</v>
      </c>
      <c r="D289">
        <v>1329251</v>
      </c>
    </row>
    <row r="290" spans="1:4" x14ac:dyDescent="0.2">
      <c r="A290">
        <v>1</v>
      </c>
      <c r="B290">
        <v>2</v>
      </c>
      <c r="C290">
        <v>2035</v>
      </c>
      <c r="D290">
        <v>1351074</v>
      </c>
    </row>
    <row r="291" spans="1:4" x14ac:dyDescent="0.2">
      <c r="A291">
        <v>1</v>
      </c>
      <c r="B291">
        <v>2</v>
      </c>
      <c r="C291">
        <v>2036</v>
      </c>
      <c r="D291">
        <v>1372883</v>
      </c>
    </row>
    <row r="292" spans="1:4" x14ac:dyDescent="0.2">
      <c r="A292">
        <v>1</v>
      </c>
      <c r="B292">
        <v>2</v>
      </c>
      <c r="C292">
        <v>2037</v>
      </c>
      <c r="D292">
        <v>1394361</v>
      </c>
    </row>
    <row r="293" spans="1:4" x14ac:dyDescent="0.2">
      <c r="A293">
        <v>1</v>
      </c>
      <c r="B293">
        <v>2</v>
      </c>
      <c r="C293">
        <v>2038</v>
      </c>
      <c r="D293">
        <v>1415340</v>
      </c>
    </row>
    <row r="294" spans="1:4" x14ac:dyDescent="0.2">
      <c r="A294">
        <v>1</v>
      </c>
      <c r="B294">
        <v>2</v>
      </c>
      <c r="C294">
        <v>2039</v>
      </c>
      <c r="D294">
        <v>1435494</v>
      </c>
    </row>
    <row r="295" spans="1:4" x14ac:dyDescent="0.2">
      <c r="A295">
        <v>1</v>
      </c>
      <c r="B295">
        <v>2</v>
      </c>
      <c r="C295">
        <v>2040</v>
      </c>
      <c r="D295">
        <v>1454598</v>
      </c>
    </row>
    <row r="296" spans="1:4" x14ac:dyDescent="0.2">
      <c r="A296">
        <v>1</v>
      </c>
      <c r="B296">
        <v>2</v>
      </c>
      <c r="C296">
        <v>2041</v>
      </c>
      <c r="D296">
        <v>1472416</v>
      </c>
    </row>
    <row r="297" spans="1:4" x14ac:dyDescent="0.2">
      <c r="A297">
        <v>1</v>
      </c>
      <c r="B297">
        <v>2</v>
      </c>
      <c r="C297">
        <v>2042</v>
      </c>
      <c r="D297">
        <v>1488849</v>
      </c>
    </row>
    <row r="298" spans="1:4" x14ac:dyDescent="0.2">
      <c r="A298">
        <v>1</v>
      </c>
      <c r="B298">
        <v>2</v>
      </c>
      <c r="C298">
        <v>2043</v>
      </c>
      <c r="D298">
        <v>1503959</v>
      </c>
    </row>
    <row r="299" spans="1:4" x14ac:dyDescent="0.2">
      <c r="A299">
        <v>1</v>
      </c>
      <c r="B299">
        <v>2</v>
      </c>
      <c r="C299">
        <v>2044</v>
      </c>
      <c r="D299">
        <v>1517125</v>
      </c>
    </row>
    <row r="300" spans="1:4" x14ac:dyDescent="0.2">
      <c r="A300">
        <v>1</v>
      </c>
      <c r="B300">
        <v>2</v>
      </c>
      <c r="C300">
        <v>2045</v>
      </c>
      <c r="D300">
        <v>1528191</v>
      </c>
    </row>
    <row r="301" spans="1:4" x14ac:dyDescent="0.2">
      <c r="A301">
        <v>1</v>
      </c>
      <c r="B301">
        <v>2</v>
      </c>
      <c r="C301">
        <v>2046</v>
      </c>
      <c r="D301">
        <v>1537172</v>
      </c>
    </row>
    <row r="302" spans="1:4" x14ac:dyDescent="0.2">
      <c r="A302">
        <v>1</v>
      </c>
      <c r="B302">
        <v>2</v>
      </c>
      <c r="C302">
        <v>2047</v>
      </c>
      <c r="D302">
        <v>1545071</v>
      </c>
    </row>
    <row r="303" spans="1:4" x14ac:dyDescent="0.2">
      <c r="A303">
        <v>1</v>
      </c>
      <c r="B303">
        <v>2</v>
      </c>
      <c r="C303">
        <v>2048</v>
      </c>
      <c r="D303">
        <v>1551012</v>
      </c>
    </row>
    <row r="304" spans="1:4" x14ac:dyDescent="0.2">
      <c r="A304">
        <v>1</v>
      </c>
      <c r="B304">
        <v>2</v>
      </c>
      <c r="C304">
        <v>2049</v>
      </c>
      <c r="D304">
        <v>1554804</v>
      </c>
    </row>
    <row r="305" spans="1:4" x14ac:dyDescent="0.2">
      <c r="A305">
        <v>1</v>
      </c>
      <c r="B305">
        <v>2</v>
      </c>
      <c r="C305">
        <v>2050</v>
      </c>
      <c r="D305">
        <v>1556525</v>
      </c>
    </row>
    <row r="306" spans="1:4" x14ac:dyDescent="0.2">
      <c r="A306">
        <v>1</v>
      </c>
      <c r="B306">
        <v>2</v>
      </c>
      <c r="C306">
        <v>2051</v>
      </c>
      <c r="D306">
        <v>1556362</v>
      </c>
    </row>
    <row r="307" spans="1:4" x14ac:dyDescent="0.2">
      <c r="A307">
        <v>1</v>
      </c>
      <c r="B307">
        <v>2</v>
      </c>
      <c r="C307">
        <v>2052</v>
      </c>
      <c r="D307">
        <v>1554550</v>
      </c>
    </row>
    <row r="308" spans="1:4" x14ac:dyDescent="0.2">
      <c r="A308">
        <v>1</v>
      </c>
      <c r="B308">
        <v>2</v>
      </c>
      <c r="C308">
        <v>2053</v>
      </c>
      <c r="D308">
        <v>1551315</v>
      </c>
    </row>
    <row r="309" spans="1:4" x14ac:dyDescent="0.2">
      <c r="A309">
        <v>1</v>
      </c>
      <c r="B309">
        <v>2</v>
      </c>
      <c r="C309">
        <v>2054</v>
      </c>
      <c r="D309">
        <v>1546935</v>
      </c>
    </row>
    <row r="310" spans="1:4" x14ac:dyDescent="0.2">
      <c r="A310">
        <v>1</v>
      </c>
      <c r="B310">
        <v>2</v>
      </c>
      <c r="C310">
        <v>2055</v>
      </c>
      <c r="D310">
        <v>1541589</v>
      </c>
    </row>
    <row r="311" spans="1:4" x14ac:dyDescent="0.2">
      <c r="A311">
        <v>1</v>
      </c>
      <c r="B311">
        <v>2</v>
      </c>
      <c r="C311">
        <v>2056</v>
      </c>
      <c r="D311">
        <v>1535305</v>
      </c>
    </row>
    <row r="312" spans="1:4" x14ac:dyDescent="0.2">
      <c r="A312">
        <v>1</v>
      </c>
      <c r="B312">
        <v>2</v>
      </c>
      <c r="C312">
        <v>2057</v>
      </c>
      <c r="D312">
        <v>1528377</v>
      </c>
    </row>
    <row r="313" spans="1:4" x14ac:dyDescent="0.2">
      <c r="A313">
        <v>1</v>
      </c>
      <c r="B313">
        <v>2</v>
      </c>
      <c r="C313">
        <v>2058</v>
      </c>
      <c r="D313">
        <v>1520950</v>
      </c>
    </row>
    <row r="314" spans="1:4" x14ac:dyDescent="0.2">
      <c r="A314">
        <v>1</v>
      </c>
      <c r="B314">
        <v>2</v>
      </c>
      <c r="C314">
        <v>2059</v>
      </c>
      <c r="D314">
        <v>1513176</v>
      </c>
    </row>
    <row r="315" spans="1:4" x14ac:dyDescent="0.2">
      <c r="A315">
        <v>1</v>
      </c>
      <c r="B315">
        <v>2</v>
      </c>
      <c r="C315">
        <v>2060</v>
      </c>
      <c r="D315">
        <v>1505486</v>
      </c>
    </row>
    <row r="316" spans="1:4" x14ac:dyDescent="0.2">
      <c r="A316">
        <v>1</v>
      </c>
      <c r="B316">
        <v>2</v>
      </c>
      <c r="C316">
        <v>2061</v>
      </c>
      <c r="D316">
        <f>_xlfn.FORECAST.LINEAR(C316,D272:D315,C272:C315)</f>
        <v>1654715.9926004261</v>
      </c>
    </row>
    <row r="317" spans="1:4" x14ac:dyDescent="0.2">
      <c r="A317">
        <v>1</v>
      </c>
      <c r="B317">
        <v>2</v>
      </c>
      <c r="C317">
        <v>2062</v>
      </c>
      <c r="D317">
        <f t="shared" ref="D317:D325" si="5">_xlfn.FORECAST.LINEAR(C317,D273:D316,C273:C316)</f>
        <v>1666528.9031328112</v>
      </c>
    </row>
    <row r="318" spans="1:4" x14ac:dyDescent="0.2">
      <c r="A318">
        <v>1</v>
      </c>
      <c r="B318">
        <v>2</v>
      </c>
      <c r="C318">
        <v>2063</v>
      </c>
      <c r="D318">
        <f t="shared" si="5"/>
        <v>1678074.50428674</v>
      </c>
    </row>
    <row r="319" spans="1:4" x14ac:dyDescent="0.2">
      <c r="A319">
        <v>1</v>
      </c>
      <c r="B319">
        <v>2</v>
      </c>
      <c r="C319">
        <v>2064</v>
      </c>
      <c r="D319">
        <f t="shared" si="5"/>
        <v>1689273.8623009734</v>
      </c>
    </row>
    <row r="320" spans="1:4" x14ac:dyDescent="0.2">
      <c r="A320">
        <v>1</v>
      </c>
      <c r="B320">
        <v>2</v>
      </c>
      <c r="C320">
        <v>2065</v>
      </c>
      <c r="D320">
        <f t="shared" si="5"/>
        <v>1700075.7269498333</v>
      </c>
    </row>
    <row r="321" spans="1:4" x14ac:dyDescent="0.2">
      <c r="A321">
        <v>1</v>
      </c>
      <c r="B321">
        <v>2</v>
      </c>
      <c r="C321">
        <v>2066</v>
      </c>
      <c r="D321">
        <f t="shared" si="5"/>
        <v>1710452.0385045074</v>
      </c>
    </row>
    <row r="322" spans="1:4" x14ac:dyDescent="0.2">
      <c r="A322">
        <v>1</v>
      </c>
      <c r="B322">
        <v>2</v>
      </c>
      <c r="C322">
        <v>2067</v>
      </c>
      <c r="D322">
        <f t="shared" si="5"/>
        <v>1720390.8972186446</v>
      </c>
    </row>
    <row r="323" spans="1:4" x14ac:dyDescent="0.2">
      <c r="A323">
        <v>1</v>
      </c>
      <c r="B323">
        <v>2</v>
      </c>
      <c r="C323">
        <v>2068</v>
      </c>
      <c r="D323">
        <f t="shared" si="5"/>
        <v>1729892.9110426195</v>
      </c>
    </row>
    <row r="324" spans="1:4" x14ac:dyDescent="0.2">
      <c r="A324">
        <v>1</v>
      </c>
      <c r="B324">
        <v>2</v>
      </c>
      <c r="C324">
        <v>2069</v>
      </c>
      <c r="D324">
        <f t="shared" si="5"/>
        <v>1738971.4676754735</v>
      </c>
    </row>
    <row r="325" spans="1:4" x14ac:dyDescent="0.2">
      <c r="A325">
        <v>1</v>
      </c>
      <c r="B325">
        <v>2</v>
      </c>
      <c r="C325">
        <v>2070</v>
      </c>
      <c r="D325">
        <f t="shared" si="5"/>
        <v>1747647.7844957523</v>
      </c>
    </row>
    <row r="326" spans="1:4" x14ac:dyDescent="0.2">
      <c r="A326">
        <v>2</v>
      </c>
      <c r="B326">
        <v>0</v>
      </c>
      <c r="C326">
        <v>2017</v>
      </c>
      <c r="D326">
        <v>323341</v>
      </c>
    </row>
    <row r="327" spans="1:4" x14ac:dyDescent="0.2">
      <c r="A327">
        <v>2</v>
      </c>
      <c r="B327">
        <v>0</v>
      </c>
      <c r="C327">
        <v>2018</v>
      </c>
      <c r="D327">
        <v>326330</v>
      </c>
    </row>
    <row r="328" spans="1:4" x14ac:dyDescent="0.2">
      <c r="A328">
        <v>2</v>
      </c>
      <c r="B328">
        <v>0</v>
      </c>
      <c r="C328">
        <v>2019</v>
      </c>
      <c r="D328">
        <v>329318</v>
      </c>
    </row>
    <row r="329" spans="1:4" x14ac:dyDescent="0.2">
      <c r="A329">
        <v>2</v>
      </c>
      <c r="B329">
        <v>0</v>
      </c>
      <c r="C329">
        <v>2020</v>
      </c>
      <c r="D329">
        <v>332414</v>
      </c>
    </row>
    <row r="330" spans="1:4" x14ac:dyDescent="0.2">
      <c r="A330">
        <v>2</v>
      </c>
      <c r="B330">
        <v>0</v>
      </c>
      <c r="C330">
        <v>2021</v>
      </c>
      <c r="D330">
        <v>335694</v>
      </c>
    </row>
    <row r="331" spans="1:4" x14ac:dyDescent="0.2">
      <c r="A331">
        <v>2</v>
      </c>
      <c r="B331">
        <v>0</v>
      </c>
      <c r="C331">
        <v>2022</v>
      </c>
      <c r="D331">
        <v>339204</v>
      </c>
    </row>
    <row r="332" spans="1:4" x14ac:dyDescent="0.2">
      <c r="A332">
        <v>2</v>
      </c>
      <c r="B332">
        <v>0</v>
      </c>
      <c r="C332">
        <v>2023</v>
      </c>
      <c r="D332">
        <v>342968</v>
      </c>
    </row>
    <row r="333" spans="1:4" x14ac:dyDescent="0.2">
      <c r="A333">
        <v>2</v>
      </c>
      <c r="B333">
        <v>0</v>
      </c>
      <c r="C333">
        <v>2024</v>
      </c>
      <c r="D333">
        <v>346991</v>
      </c>
    </row>
    <row r="334" spans="1:4" x14ac:dyDescent="0.2">
      <c r="A334">
        <v>2</v>
      </c>
      <c r="B334">
        <v>0</v>
      </c>
      <c r="C334">
        <v>2025</v>
      </c>
      <c r="D334">
        <v>351241</v>
      </c>
    </row>
    <row r="335" spans="1:4" x14ac:dyDescent="0.2">
      <c r="A335">
        <v>2</v>
      </c>
      <c r="B335">
        <v>0</v>
      </c>
      <c r="C335">
        <v>2026</v>
      </c>
      <c r="D335">
        <v>355775</v>
      </c>
    </row>
    <row r="336" spans="1:4" x14ac:dyDescent="0.2">
      <c r="A336">
        <v>2</v>
      </c>
      <c r="B336">
        <v>0</v>
      </c>
      <c r="C336">
        <v>2027</v>
      </c>
      <c r="D336">
        <v>360569</v>
      </c>
    </row>
    <row r="337" spans="1:4" x14ac:dyDescent="0.2">
      <c r="A337">
        <v>2</v>
      </c>
      <c r="B337">
        <v>0</v>
      </c>
      <c r="C337">
        <v>2028</v>
      </c>
      <c r="D337">
        <v>365554</v>
      </c>
    </row>
    <row r="338" spans="1:4" x14ac:dyDescent="0.2">
      <c r="A338">
        <v>2</v>
      </c>
      <c r="B338">
        <v>0</v>
      </c>
      <c r="C338">
        <v>2029</v>
      </c>
      <c r="D338">
        <v>370799</v>
      </c>
    </row>
    <row r="339" spans="1:4" x14ac:dyDescent="0.2">
      <c r="A339">
        <v>2</v>
      </c>
      <c r="B339">
        <v>0</v>
      </c>
      <c r="C339">
        <v>2030</v>
      </c>
      <c r="D339">
        <v>376278</v>
      </c>
    </row>
    <row r="340" spans="1:4" x14ac:dyDescent="0.2">
      <c r="A340">
        <v>2</v>
      </c>
      <c r="B340">
        <v>0</v>
      </c>
      <c r="C340">
        <v>2031</v>
      </c>
      <c r="D340">
        <v>381963</v>
      </c>
    </row>
    <row r="341" spans="1:4" x14ac:dyDescent="0.2">
      <c r="A341">
        <v>2</v>
      </c>
      <c r="B341">
        <v>0</v>
      </c>
      <c r="C341">
        <v>2032</v>
      </c>
      <c r="D341">
        <v>387899</v>
      </c>
    </row>
    <row r="342" spans="1:4" x14ac:dyDescent="0.2">
      <c r="A342">
        <v>2</v>
      </c>
      <c r="B342">
        <v>0</v>
      </c>
      <c r="C342">
        <v>2033</v>
      </c>
      <c r="D342">
        <v>394000</v>
      </c>
    </row>
    <row r="343" spans="1:4" x14ac:dyDescent="0.2">
      <c r="A343">
        <v>2</v>
      </c>
      <c r="B343">
        <v>0</v>
      </c>
      <c r="C343">
        <v>2034</v>
      </c>
      <c r="D343">
        <v>400324</v>
      </c>
    </row>
    <row r="344" spans="1:4" x14ac:dyDescent="0.2">
      <c r="A344">
        <v>2</v>
      </c>
      <c r="B344">
        <v>0</v>
      </c>
      <c r="C344">
        <v>2035</v>
      </c>
      <c r="D344">
        <v>406761</v>
      </c>
    </row>
    <row r="345" spans="1:4" x14ac:dyDescent="0.2">
      <c r="A345">
        <v>2</v>
      </c>
      <c r="B345">
        <v>0</v>
      </c>
      <c r="C345">
        <v>2036</v>
      </c>
      <c r="D345">
        <v>413354</v>
      </c>
    </row>
    <row r="346" spans="1:4" x14ac:dyDescent="0.2">
      <c r="A346">
        <v>2</v>
      </c>
      <c r="B346">
        <v>0</v>
      </c>
      <c r="C346">
        <v>2037</v>
      </c>
      <c r="D346">
        <v>420015</v>
      </c>
    </row>
    <row r="347" spans="1:4" x14ac:dyDescent="0.2">
      <c r="A347">
        <v>2</v>
      </c>
      <c r="B347">
        <v>0</v>
      </c>
      <c r="C347">
        <v>2038</v>
      </c>
      <c r="D347">
        <v>426673</v>
      </c>
    </row>
    <row r="348" spans="1:4" x14ac:dyDescent="0.2">
      <c r="A348">
        <v>2</v>
      </c>
      <c r="B348">
        <v>0</v>
      </c>
      <c r="C348">
        <v>2039</v>
      </c>
      <c r="D348">
        <v>433341</v>
      </c>
    </row>
    <row r="349" spans="1:4" x14ac:dyDescent="0.2">
      <c r="A349">
        <v>2</v>
      </c>
      <c r="B349">
        <v>0</v>
      </c>
      <c r="C349">
        <v>2040</v>
      </c>
      <c r="D349">
        <v>439962</v>
      </c>
    </row>
    <row r="350" spans="1:4" x14ac:dyDescent="0.2">
      <c r="A350">
        <v>2</v>
      </c>
      <c r="B350">
        <v>0</v>
      </c>
      <c r="C350">
        <v>2041</v>
      </c>
      <c r="D350">
        <v>446507</v>
      </c>
    </row>
    <row r="351" spans="1:4" x14ac:dyDescent="0.2">
      <c r="A351">
        <v>2</v>
      </c>
      <c r="B351">
        <v>0</v>
      </c>
      <c r="C351">
        <v>2042</v>
      </c>
      <c r="D351">
        <v>452925</v>
      </c>
    </row>
    <row r="352" spans="1:4" x14ac:dyDescent="0.2">
      <c r="A352">
        <v>2</v>
      </c>
      <c r="B352">
        <v>0</v>
      </c>
      <c r="C352">
        <v>2043</v>
      </c>
      <c r="D352">
        <v>459140</v>
      </c>
    </row>
    <row r="353" spans="1:4" x14ac:dyDescent="0.2">
      <c r="A353">
        <v>2</v>
      </c>
      <c r="B353">
        <v>0</v>
      </c>
      <c r="C353">
        <v>2044</v>
      </c>
      <c r="D353">
        <v>465151</v>
      </c>
    </row>
    <row r="354" spans="1:4" x14ac:dyDescent="0.2">
      <c r="A354">
        <v>2</v>
      </c>
      <c r="B354">
        <v>0</v>
      </c>
      <c r="C354">
        <v>2045</v>
      </c>
      <c r="D354">
        <v>470941</v>
      </c>
    </row>
    <row r="355" spans="1:4" x14ac:dyDescent="0.2">
      <c r="A355">
        <v>2</v>
      </c>
      <c r="B355">
        <v>0</v>
      </c>
      <c r="C355">
        <v>2046</v>
      </c>
      <c r="D355">
        <v>476368</v>
      </c>
    </row>
    <row r="356" spans="1:4" x14ac:dyDescent="0.2">
      <c r="A356">
        <v>2</v>
      </c>
      <c r="B356">
        <v>0</v>
      </c>
      <c r="C356">
        <v>2047</v>
      </c>
      <c r="D356">
        <v>481543</v>
      </c>
    </row>
    <row r="357" spans="1:4" x14ac:dyDescent="0.2">
      <c r="A357">
        <v>2</v>
      </c>
      <c r="B357">
        <v>0</v>
      </c>
      <c r="C357">
        <v>2048</v>
      </c>
      <c r="D357">
        <v>486451</v>
      </c>
    </row>
    <row r="358" spans="1:4" x14ac:dyDescent="0.2">
      <c r="A358">
        <v>2</v>
      </c>
      <c r="B358">
        <v>0</v>
      </c>
      <c r="C358">
        <v>2049</v>
      </c>
      <c r="D358">
        <v>490963</v>
      </c>
    </row>
    <row r="359" spans="1:4" x14ac:dyDescent="0.2">
      <c r="A359">
        <v>2</v>
      </c>
      <c r="B359">
        <v>0</v>
      </c>
      <c r="C359">
        <v>2050</v>
      </c>
      <c r="D359">
        <v>495178</v>
      </c>
    </row>
    <row r="360" spans="1:4" x14ac:dyDescent="0.2">
      <c r="A360">
        <v>2</v>
      </c>
      <c r="B360">
        <v>0</v>
      </c>
      <c r="C360">
        <v>2051</v>
      </c>
      <c r="D360">
        <v>498971</v>
      </c>
    </row>
    <row r="361" spans="1:4" x14ac:dyDescent="0.2">
      <c r="A361">
        <v>2</v>
      </c>
      <c r="B361">
        <v>0</v>
      </c>
      <c r="C361">
        <v>2052</v>
      </c>
      <c r="D361">
        <v>502393</v>
      </c>
    </row>
    <row r="362" spans="1:4" x14ac:dyDescent="0.2">
      <c r="A362">
        <v>2</v>
      </c>
      <c r="B362">
        <v>0</v>
      </c>
      <c r="C362">
        <v>2053</v>
      </c>
      <c r="D362">
        <v>505529</v>
      </c>
    </row>
    <row r="363" spans="1:4" x14ac:dyDescent="0.2">
      <c r="A363">
        <v>2</v>
      </c>
      <c r="B363">
        <v>0</v>
      </c>
      <c r="C363">
        <v>2054</v>
      </c>
      <c r="D363">
        <v>508413</v>
      </c>
    </row>
    <row r="364" spans="1:4" x14ac:dyDescent="0.2">
      <c r="A364">
        <v>2</v>
      </c>
      <c r="B364">
        <v>0</v>
      </c>
      <c r="C364">
        <v>2055</v>
      </c>
      <c r="D364">
        <v>511158</v>
      </c>
    </row>
    <row r="365" spans="1:4" x14ac:dyDescent="0.2">
      <c r="A365">
        <v>2</v>
      </c>
      <c r="B365">
        <v>0</v>
      </c>
      <c r="C365">
        <v>2056</v>
      </c>
      <c r="D365">
        <v>513749</v>
      </c>
    </row>
    <row r="366" spans="1:4" x14ac:dyDescent="0.2">
      <c r="A366">
        <v>2</v>
      </c>
      <c r="B366">
        <v>0</v>
      </c>
      <c r="C366">
        <v>2057</v>
      </c>
      <c r="D366">
        <v>516247</v>
      </c>
    </row>
    <row r="367" spans="1:4" x14ac:dyDescent="0.2">
      <c r="A367">
        <v>2</v>
      </c>
      <c r="B367">
        <v>0</v>
      </c>
      <c r="C367">
        <v>2058</v>
      </c>
      <c r="D367">
        <v>518655</v>
      </c>
    </row>
    <row r="368" spans="1:4" x14ac:dyDescent="0.2">
      <c r="A368">
        <v>2</v>
      </c>
      <c r="B368">
        <v>0</v>
      </c>
      <c r="C368">
        <v>2059</v>
      </c>
      <c r="D368">
        <v>521101</v>
      </c>
    </row>
    <row r="369" spans="1:4" x14ac:dyDescent="0.2">
      <c r="A369">
        <v>2</v>
      </c>
      <c r="B369">
        <v>0</v>
      </c>
      <c r="C369">
        <v>2060</v>
      </c>
      <c r="D369">
        <v>523596</v>
      </c>
    </row>
    <row r="370" spans="1:4" x14ac:dyDescent="0.2">
      <c r="A370">
        <v>2</v>
      </c>
      <c r="B370">
        <v>0</v>
      </c>
      <c r="C370">
        <v>2061</v>
      </c>
      <c r="D370">
        <f>_xlfn.FORECAST.LINEAR(C370,D326:D369,C326:C369)</f>
        <v>544986.668076111</v>
      </c>
    </row>
    <row r="371" spans="1:4" x14ac:dyDescent="0.2">
      <c r="A371">
        <v>2</v>
      </c>
      <c r="B371">
        <v>0</v>
      </c>
      <c r="C371">
        <v>2062</v>
      </c>
      <c r="D371">
        <f t="shared" ref="D371:D379" si="6">_xlfn.FORECAST.LINEAR(C371,D327:D370,C327:C370)</f>
        <v>550615.94762636907</v>
      </c>
    </row>
    <row r="372" spans="1:4" x14ac:dyDescent="0.2">
      <c r="A372">
        <v>2</v>
      </c>
      <c r="B372">
        <v>0</v>
      </c>
      <c r="C372">
        <v>2063</v>
      </c>
      <c r="D372">
        <f t="shared" si="6"/>
        <v>556199.4291185867</v>
      </c>
    </row>
    <row r="373" spans="1:4" x14ac:dyDescent="0.2">
      <c r="A373">
        <v>2</v>
      </c>
      <c r="B373">
        <v>0</v>
      </c>
      <c r="C373">
        <v>2064</v>
      </c>
      <c r="D373">
        <f t="shared" si="6"/>
        <v>561724.52748760767</v>
      </c>
    </row>
    <row r="374" spans="1:4" x14ac:dyDescent="0.2">
      <c r="A374">
        <v>2</v>
      </c>
      <c r="B374">
        <v>0</v>
      </c>
      <c r="C374">
        <v>2065</v>
      </c>
      <c r="D374">
        <f t="shared" si="6"/>
        <v>567182.95584856905</v>
      </c>
    </row>
    <row r="375" spans="1:4" x14ac:dyDescent="0.2">
      <c r="A375">
        <v>2</v>
      </c>
      <c r="B375">
        <v>0</v>
      </c>
      <c r="C375">
        <v>2066</v>
      </c>
      <c r="D375">
        <f t="shared" si="6"/>
        <v>572569.89716574922</v>
      </c>
    </row>
    <row r="376" spans="1:4" x14ac:dyDescent="0.2">
      <c r="A376">
        <v>2</v>
      </c>
      <c r="B376">
        <v>0</v>
      </c>
      <c r="C376">
        <v>2067</v>
      </c>
      <c r="D376">
        <f t="shared" si="6"/>
        <v>577883.12821414508</v>
      </c>
    </row>
    <row r="377" spans="1:4" x14ac:dyDescent="0.2">
      <c r="A377">
        <v>2</v>
      </c>
      <c r="B377">
        <v>0</v>
      </c>
      <c r="C377">
        <v>2068</v>
      </c>
      <c r="D377">
        <f t="shared" si="6"/>
        <v>583122.34676641412</v>
      </c>
    </row>
    <row r="378" spans="1:4" x14ac:dyDescent="0.2">
      <c r="A378">
        <v>2</v>
      </c>
      <c r="B378">
        <v>0</v>
      </c>
      <c r="C378">
        <v>2069</v>
      </c>
      <c r="D378">
        <f t="shared" si="6"/>
        <v>588288.50549928844</v>
      </c>
    </row>
    <row r="379" spans="1:4" x14ac:dyDescent="0.2">
      <c r="A379">
        <v>2</v>
      </c>
      <c r="B379">
        <v>0</v>
      </c>
      <c r="C379">
        <v>2070</v>
      </c>
      <c r="D379">
        <f t="shared" si="6"/>
        <v>593382.14373610541</v>
      </c>
    </row>
    <row r="380" spans="1:4" x14ac:dyDescent="0.2">
      <c r="A380">
        <v>2</v>
      </c>
      <c r="B380">
        <v>1</v>
      </c>
      <c r="C380">
        <v>2017</v>
      </c>
      <c r="D380">
        <v>163314</v>
      </c>
    </row>
    <row r="381" spans="1:4" x14ac:dyDescent="0.2">
      <c r="A381">
        <v>2</v>
      </c>
      <c r="B381">
        <v>1</v>
      </c>
      <c r="C381">
        <v>2018</v>
      </c>
      <c r="D381">
        <v>164770</v>
      </c>
    </row>
    <row r="382" spans="1:4" x14ac:dyDescent="0.2">
      <c r="A382">
        <v>2</v>
      </c>
      <c r="B382">
        <v>1</v>
      </c>
      <c r="C382">
        <v>2019</v>
      </c>
      <c r="D382">
        <v>166251</v>
      </c>
    </row>
    <row r="383" spans="1:4" x14ac:dyDescent="0.2">
      <c r="A383">
        <v>2</v>
      </c>
      <c r="B383">
        <v>1</v>
      </c>
      <c r="C383">
        <v>2020</v>
      </c>
      <c r="D383">
        <v>167804</v>
      </c>
    </row>
    <row r="384" spans="1:4" x14ac:dyDescent="0.2">
      <c r="A384">
        <v>2</v>
      </c>
      <c r="B384">
        <v>1</v>
      </c>
      <c r="C384">
        <v>2021</v>
      </c>
      <c r="D384">
        <v>169408</v>
      </c>
    </row>
    <row r="385" spans="1:4" x14ac:dyDescent="0.2">
      <c r="A385">
        <v>2</v>
      </c>
      <c r="B385">
        <v>1</v>
      </c>
      <c r="C385">
        <v>2022</v>
      </c>
      <c r="D385">
        <v>171112</v>
      </c>
    </row>
    <row r="386" spans="1:4" x14ac:dyDescent="0.2">
      <c r="A386">
        <v>2</v>
      </c>
      <c r="B386">
        <v>1</v>
      </c>
      <c r="C386">
        <v>2023</v>
      </c>
      <c r="D386">
        <v>172858</v>
      </c>
    </row>
    <row r="387" spans="1:4" x14ac:dyDescent="0.2">
      <c r="A387">
        <v>2</v>
      </c>
      <c r="B387">
        <v>1</v>
      </c>
      <c r="C387">
        <v>2024</v>
      </c>
      <c r="D387">
        <v>174735</v>
      </c>
    </row>
    <row r="388" spans="1:4" x14ac:dyDescent="0.2">
      <c r="A388">
        <v>2</v>
      </c>
      <c r="B388">
        <v>1</v>
      </c>
      <c r="C388">
        <v>2025</v>
      </c>
      <c r="D388">
        <v>176660</v>
      </c>
    </row>
    <row r="389" spans="1:4" x14ac:dyDescent="0.2">
      <c r="A389">
        <v>2</v>
      </c>
      <c r="B389">
        <v>1</v>
      </c>
      <c r="C389">
        <v>2026</v>
      </c>
      <c r="D389">
        <v>178684</v>
      </c>
    </row>
    <row r="390" spans="1:4" x14ac:dyDescent="0.2">
      <c r="A390">
        <v>2</v>
      </c>
      <c r="B390">
        <v>1</v>
      </c>
      <c r="C390">
        <v>2027</v>
      </c>
      <c r="D390">
        <v>180807</v>
      </c>
    </row>
    <row r="391" spans="1:4" x14ac:dyDescent="0.2">
      <c r="A391">
        <v>2</v>
      </c>
      <c r="B391">
        <v>1</v>
      </c>
      <c r="C391">
        <v>2028</v>
      </c>
      <c r="D391">
        <v>182995</v>
      </c>
    </row>
    <row r="392" spans="1:4" x14ac:dyDescent="0.2">
      <c r="A392">
        <v>2</v>
      </c>
      <c r="B392">
        <v>1</v>
      </c>
      <c r="C392">
        <v>2029</v>
      </c>
      <c r="D392">
        <v>185262</v>
      </c>
    </row>
    <row r="393" spans="1:4" x14ac:dyDescent="0.2">
      <c r="A393">
        <v>2</v>
      </c>
      <c r="B393">
        <v>1</v>
      </c>
      <c r="C393">
        <v>2030</v>
      </c>
      <c r="D393">
        <v>187609</v>
      </c>
    </row>
    <row r="394" spans="1:4" x14ac:dyDescent="0.2">
      <c r="A394">
        <v>2</v>
      </c>
      <c r="B394">
        <v>1</v>
      </c>
      <c r="C394">
        <v>2031</v>
      </c>
      <c r="D394">
        <v>190036</v>
      </c>
    </row>
    <row r="395" spans="1:4" x14ac:dyDescent="0.2">
      <c r="A395">
        <v>2</v>
      </c>
      <c r="B395">
        <v>1</v>
      </c>
      <c r="C395">
        <v>2032</v>
      </c>
      <c r="D395">
        <v>192543</v>
      </c>
    </row>
    <row r="396" spans="1:4" x14ac:dyDescent="0.2">
      <c r="A396">
        <v>2</v>
      </c>
      <c r="B396">
        <v>1</v>
      </c>
      <c r="C396">
        <v>2033</v>
      </c>
      <c r="D396">
        <v>195094</v>
      </c>
    </row>
    <row r="397" spans="1:4" x14ac:dyDescent="0.2">
      <c r="A397">
        <v>2</v>
      </c>
      <c r="B397">
        <v>1</v>
      </c>
      <c r="C397">
        <v>2034</v>
      </c>
      <c r="D397">
        <v>197711</v>
      </c>
    </row>
    <row r="398" spans="1:4" x14ac:dyDescent="0.2">
      <c r="A398">
        <v>2</v>
      </c>
      <c r="B398">
        <v>1</v>
      </c>
      <c r="C398">
        <v>2035</v>
      </c>
      <c r="D398">
        <v>200344</v>
      </c>
    </row>
    <row r="399" spans="1:4" x14ac:dyDescent="0.2">
      <c r="A399">
        <v>2</v>
      </c>
      <c r="B399">
        <v>1</v>
      </c>
      <c r="C399">
        <v>2036</v>
      </c>
      <c r="D399">
        <v>203039</v>
      </c>
    </row>
    <row r="400" spans="1:4" x14ac:dyDescent="0.2">
      <c r="A400">
        <v>2</v>
      </c>
      <c r="B400">
        <v>1</v>
      </c>
      <c r="C400">
        <v>2037</v>
      </c>
      <c r="D400">
        <v>205754</v>
      </c>
    </row>
    <row r="401" spans="1:4" x14ac:dyDescent="0.2">
      <c r="A401">
        <v>2</v>
      </c>
      <c r="B401">
        <v>1</v>
      </c>
      <c r="C401">
        <v>2038</v>
      </c>
      <c r="D401">
        <v>208430</v>
      </c>
    </row>
    <row r="402" spans="1:4" x14ac:dyDescent="0.2">
      <c r="A402">
        <v>2</v>
      </c>
      <c r="B402">
        <v>1</v>
      </c>
      <c r="C402">
        <v>2039</v>
      </c>
      <c r="D402">
        <v>211095</v>
      </c>
    </row>
    <row r="403" spans="1:4" x14ac:dyDescent="0.2">
      <c r="A403">
        <v>2</v>
      </c>
      <c r="B403">
        <v>1</v>
      </c>
      <c r="C403">
        <v>2040</v>
      </c>
      <c r="D403">
        <v>213730</v>
      </c>
    </row>
    <row r="404" spans="1:4" x14ac:dyDescent="0.2">
      <c r="A404">
        <v>2</v>
      </c>
      <c r="B404">
        <v>1</v>
      </c>
      <c r="C404">
        <v>2041</v>
      </c>
      <c r="D404">
        <v>216334</v>
      </c>
    </row>
    <row r="405" spans="1:4" x14ac:dyDescent="0.2">
      <c r="A405">
        <v>2</v>
      </c>
      <c r="B405">
        <v>1</v>
      </c>
      <c r="C405">
        <v>2042</v>
      </c>
      <c r="D405">
        <v>218866</v>
      </c>
    </row>
    <row r="406" spans="1:4" x14ac:dyDescent="0.2">
      <c r="A406">
        <v>2</v>
      </c>
      <c r="B406">
        <v>1</v>
      </c>
      <c r="C406">
        <v>2043</v>
      </c>
      <c r="D406">
        <v>221289</v>
      </c>
    </row>
    <row r="407" spans="1:4" x14ac:dyDescent="0.2">
      <c r="A407">
        <v>2</v>
      </c>
      <c r="B407">
        <v>1</v>
      </c>
      <c r="C407">
        <v>2044</v>
      </c>
      <c r="D407">
        <v>223641</v>
      </c>
    </row>
    <row r="408" spans="1:4" x14ac:dyDescent="0.2">
      <c r="A408">
        <v>2</v>
      </c>
      <c r="B408">
        <v>1</v>
      </c>
      <c r="C408">
        <v>2045</v>
      </c>
      <c r="D408">
        <v>225909</v>
      </c>
    </row>
    <row r="409" spans="1:4" x14ac:dyDescent="0.2">
      <c r="A409">
        <v>2</v>
      </c>
      <c r="B409">
        <v>1</v>
      </c>
      <c r="C409">
        <v>2046</v>
      </c>
      <c r="D409">
        <v>228028</v>
      </c>
    </row>
    <row r="410" spans="1:4" x14ac:dyDescent="0.2">
      <c r="A410">
        <v>2</v>
      </c>
      <c r="B410">
        <v>1</v>
      </c>
      <c r="C410">
        <v>2047</v>
      </c>
      <c r="D410">
        <v>230052</v>
      </c>
    </row>
    <row r="411" spans="1:4" x14ac:dyDescent="0.2">
      <c r="A411">
        <v>2</v>
      </c>
      <c r="B411">
        <v>1</v>
      </c>
      <c r="C411">
        <v>2048</v>
      </c>
      <c r="D411">
        <v>231968</v>
      </c>
    </row>
    <row r="412" spans="1:4" x14ac:dyDescent="0.2">
      <c r="A412">
        <v>2</v>
      </c>
      <c r="B412">
        <v>1</v>
      </c>
      <c r="C412">
        <v>2049</v>
      </c>
      <c r="D412">
        <v>233726</v>
      </c>
    </row>
    <row r="413" spans="1:4" x14ac:dyDescent="0.2">
      <c r="A413">
        <v>2</v>
      </c>
      <c r="B413">
        <v>1</v>
      </c>
      <c r="C413">
        <v>2050</v>
      </c>
      <c r="D413">
        <v>235393</v>
      </c>
    </row>
    <row r="414" spans="1:4" x14ac:dyDescent="0.2">
      <c r="A414">
        <v>2</v>
      </c>
      <c r="B414">
        <v>1</v>
      </c>
      <c r="C414">
        <v>2051</v>
      </c>
      <c r="D414">
        <v>236905</v>
      </c>
    </row>
    <row r="415" spans="1:4" x14ac:dyDescent="0.2">
      <c r="A415">
        <v>2</v>
      </c>
      <c r="B415">
        <v>1</v>
      </c>
      <c r="C415">
        <v>2052</v>
      </c>
      <c r="D415">
        <v>238305</v>
      </c>
    </row>
    <row r="416" spans="1:4" x14ac:dyDescent="0.2">
      <c r="A416">
        <v>2</v>
      </c>
      <c r="B416">
        <v>1</v>
      </c>
      <c r="C416">
        <v>2053</v>
      </c>
      <c r="D416">
        <v>239617</v>
      </c>
    </row>
    <row r="417" spans="1:4" x14ac:dyDescent="0.2">
      <c r="A417">
        <v>2</v>
      </c>
      <c r="B417">
        <v>1</v>
      </c>
      <c r="C417">
        <v>2054</v>
      </c>
      <c r="D417">
        <v>240898</v>
      </c>
    </row>
    <row r="418" spans="1:4" x14ac:dyDescent="0.2">
      <c r="A418">
        <v>2</v>
      </c>
      <c r="B418">
        <v>1</v>
      </c>
      <c r="C418">
        <v>2055</v>
      </c>
      <c r="D418">
        <v>242151</v>
      </c>
    </row>
    <row r="419" spans="1:4" x14ac:dyDescent="0.2">
      <c r="A419">
        <v>2</v>
      </c>
      <c r="B419">
        <v>1</v>
      </c>
      <c r="C419">
        <v>2056</v>
      </c>
      <c r="D419">
        <v>243379</v>
      </c>
    </row>
    <row r="420" spans="1:4" x14ac:dyDescent="0.2">
      <c r="A420">
        <v>2</v>
      </c>
      <c r="B420">
        <v>1</v>
      </c>
      <c r="C420">
        <v>2057</v>
      </c>
      <c r="D420">
        <v>244621</v>
      </c>
    </row>
    <row r="421" spans="1:4" x14ac:dyDescent="0.2">
      <c r="A421">
        <v>2</v>
      </c>
      <c r="B421">
        <v>1</v>
      </c>
      <c r="C421">
        <v>2058</v>
      </c>
      <c r="D421">
        <v>245880</v>
      </c>
    </row>
    <row r="422" spans="1:4" x14ac:dyDescent="0.2">
      <c r="A422">
        <v>2</v>
      </c>
      <c r="B422">
        <v>1</v>
      </c>
      <c r="C422">
        <v>2059</v>
      </c>
      <c r="D422">
        <v>247219</v>
      </c>
    </row>
    <row r="423" spans="1:4" x14ac:dyDescent="0.2">
      <c r="A423">
        <v>2</v>
      </c>
      <c r="B423">
        <v>1</v>
      </c>
      <c r="C423">
        <v>2060</v>
      </c>
      <c r="D423">
        <v>248650</v>
      </c>
    </row>
    <row r="424" spans="1:4" x14ac:dyDescent="0.2">
      <c r="A424">
        <v>2</v>
      </c>
      <c r="B424">
        <v>1</v>
      </c>
      <c r="C424">
        <v>2061</v>
      </c>
      <c r="D424">
        <f>_xlfn.FORECAST.LINEAR(C424,D380:D423,C380:C423)</f>
        <v>256736.61099365726</v>
      </c>
    </row>
    <row r="425" spans="1:4" x14ac:dyDescent="0.2">
      <c r="A425">
        <v>2</v>
      </c>
      <c r="B425">
        <v>1</v>
      </c>
      <c r="C425">
        <v>2062</v>
      </c>
      <c r="D425">
        <f t="shared" ref="D425:D433" si="7">_xlfn.FORECAST.LINEAR(C425,D381:D424,C381:C424)</f>
        <v>258991.54180280585</v>
      </c>
    </row>
    <row r="426" spans="1:4" x14ac:dyDescent="0.2">
      <c r="A426">
        <v>2</v>
      </c>
      <c r="B426">
        <v>1</v>
      </c>
      <c r="C426">
        <v>2063</v>
      </c>
      <c r="D426">
        <f t="shared" si="7"/>
        <v>261225.99926798604</v>
      </c>
    </row>
    <row r="427" spans="1:4" x14ac:dyDescent="0.2">
      <c r="A427">
        <v>2</v>
      </c>
      <c r="B427">
        <v>1</v>
      </c>
      <c r="C427">
        <v>2064</v>
      </c>
      <c r="D427">
        <f t="shared" si="7"/>
        <v>263436.80421371292</v>
      </c>
    </row>
    <row r="428" spans="1:4" x14ac:dyDescent="0.2">
      <c r="A428">
        <v>2</v>
      </c>
      <c r="B428">
        <v>1</v>
      </c>
      <c r="C428">
        <v>2065</v>
      </c>
      <c r="D428">
        <f t="shared" si="7"/>
        <v>265622.91806803271</v>
      </c>
    </row>
    <row r="429" spans="1:4" x14ac:dyDescent="0.2">
      <c r="A429">
        <v>2</v>
      </c>
      <c r="B429">
        <v>1</v>
      </c>
      <c r="C429">
        <v>2066</v>
      </c>
      <c r="D429">
        <f t="shared" si="7"/>
        <v>267782.49003950786</v>
      </c>
    </row>
    <row r="430" spans="1:4" x14ac:dyDescent="0.2">
      <c r="A430">
        <v>2</v>
      </c>
      <c r="B430">
        <v>1</v>
      </c>
      <c r="C430">
        <v>2067</v>
      </c>
      <c r="D430">
        <f t="shared" si="7"/>
        <v>269916.12378195953</v>
      </c>
    </row>
    <row r="431" spans="1:4" x14ac:dyDescent="0.2">
      <c r="A431">
        <v>2</v>
      </c>
      <c r="B431">
        <v>1</v>
      </c>
      <c r="C431">
        <v>2068</v>
      </c>
      <c r="D431">
        <f t="shared" si="7"/>
        <v>272022.05882645305</v>
      </c>
    </row>
    <row r="432" spans="1:4" x14ac:dyDescent="0.2">
      <c r="A432">
        <v>2</v>
      </c>
      <c r="B432">
        <v>1</v>
      </c>
      <c r="C432">
        <v>2069</v>
      </c>
      <c r="D432">
        <f t="shared" si="7"/>
        <v>274102.91780591663</v>
      </c>
    </row>
    <row r="433" spans="1:4" x14ac:dyDescent="0.2">
      <c r="A433">
        <v>2</v>
      </c>
      <c r="B433">
        <v>1</v>
      </c>
      <c r="C433">
        <v>2070</v>
      </c>
      <c r="D433">
        <f t="shared" si="7"/>
        <v>276158.02910647262</v>
      </c>
    </row>
    <row r="434" spans="1:4" x14ac:dyDescent="0.2">
      <c r="A434">
        <v>2</v>
      </c>
      <c r="B434">
        <v>2</v>
      </c>
      <c r="C434">
        <v>2017</v>
      </c>
      <c r="D434">
        <v>160027</v>
      </c>
    </row>
    <row r="435" spans="1:4" x14ac:dyDescent="0.2">
      <c r="A435">
        <v>2</v>
      </c>
      <c r="B435">
        <v>2</v>
      </c>
      <c r="C435">
        <v>2018</v>
      </c>
      <c r="D435">
        <v>161560</v>
      </c>
    </row>
    <row r="436" spans="1:4" x14ac:dyDescent="0.2">
      <c r="A436">
        <v>2</v>
      </c>
      <c r="B436">
        <v>2</v>
      </c>
      <c r="C436">
        <v>2019</v>
      </c>
      <c r="D436">
        <v>163067</v>
      </c>
    </row>
    <row r="437" spans="1:4" x14ac:dyDescent="0.2">
      <c r="A437">
        <v>2</v>
      </c>
      <c r="B437">
        <v>2</v>
      </c>
      <c r="C437">
        <v>2020</v>
      </c>
      <c r="D437">
        <v>164610</v>
      </c>
    </row>
    <row r="438" spans="1:4" x14ac:dyDescent="0.2">
      <c r="A438">
        <v>2</v>
      </c>
      <c r="B438">
        <v>2</v>
      </c>
      <c r="C438">
        <v>2021</v>
      </c>
      <c r="D438">
        <v>166286</v>
      </c>
    </row>
    <row r="439" spans="1:4" x14ac:dyDescent="0.2">
      <c r="A439">
        <v>2</v>
      </c>
      <c r="B439">
        <v>2</v>
      </c>
      <c r="C439">
        <v>2022</v>
      </c>
      <c r="D439">
        <v>168092</v>
      </c>
    </row>
    <row r="440" spans="1:4" x14ac:dyDescent="0.2">
      <c r="A440">
        <v>2</v>
      </c>
      <c r="B440">
        <v>2</v>
      </c>
      <c r="C440">
        <v>2023</v>
      </c>
      <c r="D440">
        <v>170110</v>
      </c>
    </row>
    <row r="441" spans="1:4" x14ac:dyDescent="0.2">
      <c r="A441">
        <v>2</v>
      </c>
      <c r="B441">
        <v>2</v>
      </c>
      <c r="C441">
        <v>2024</v>
      </c>
      <c r="D441">
        <v>172256</v>
      </c>
    </row>
    <row r="442" spans="1:4" x14ac:dyDescent="0.2">
      <c r="A442">
        <v>2</v>
      </c>
      <c r="B442">
        <v>2</v>
      </c>
      <c r="C442">
        <v>2025</v>
      </c>
      <c r="D442">
        <v>174581</v>
      </c>
    </row>
    <row r="443" spans="1:4" x14ac:dyDescent="0.2">
      <c r="A443">
        <v>2</v>
      </c>
      <c r="B443">
        <v>2</v>
      </c>
      <c r="C443">
        <v>2026</v>
      </c>
      <c r="D443">
        <v>177091</v>
      </c>
    </row>
    <row r="444" spans="1:4" x14ac:dyDescent="0.2">
      <c r="A444">
        <v>2</v>
      </c>
      <c r="B444">
        <v>2</v>
      </c>
      <c r="C444">
        <v>2027</v>
      </c>
      <c r="D444">
        <v>179762</v>
      </c>
    </row>
    <row r="445" spans="1:4" x14ac:dyDescent="0.2">
      <c r="A445">
        <v>2</v>
      </c>
      <c r="B445">
        <v>2</v>
      </c>
      <c r="C445">
        <v>2028</v>
      </c>
      <c r="D445">
        <v>182559</v>
      </c>
    </row>
    <row r="446" spans="1:4" x14ac:dyDescent="0.2">
      <c r="A446">
        <v>2</v>
      </c>
      <c r="B446">
        <v>2</v>
      </c>
      <c r="C446">
        <v>2029</v>
      </c>
      <c r="D446">
        <v>185537</v>
      </c>
    </row>
    <row r="447" spans="1:4" x14ac:dyDescent="0.2">
      <c r="A447">
        <v>2</v>
      </c>
      <c r="B447">
        <v>2</v>
      </c>
      <c r="C447">
        <v>2030</v>
      </c>
      <c r="D447">
        <v>188669</v>
      </c>
    </row>
    <row r="448" spans="1:4" x14ac:dyDescent="0.2">
      <c r="A448">
        <v>2</v>
      </c>
      <c r="B448">
        <v>2</v>
      </c>
      <c r="C448">
        <v>2031</v>
      </c>
      <c r="D448">
        <v>191927</v>
      </c>
    </row>
    <row r="449" spans="1:4" x14ac:dyDescent="0.2">
      <c r="A449">
        <v>2</v>
      </c>
      <c r="B449">
        <v>2</v>
      </c>
      <c r="C449">
        <v>2032</v>
      </c>
      <c r="D449">
        <v>195356</v>
      </c>
    </row>
    <row r="450" spans="1:4" x14ac:dyDescent="0.2">
      <c r="A450">
        <v>2</v>
      </c>
      <c r="B450">
        <v>2</v>
      </c>
      <c r="C450">
        <v>2033</v>
      </c>
      <c r="D450">
        <v>198906</v>
      </c>
    </row>
    <row r="451" spans="1:4" x14ac:dyDescent="0.2">
      <c r="A451">
        <v>2</v>
      </c>
      <c r="B451">
        <v>2</v>
      </c>
      <c r="C451">
        <v>2034</v>
      </c>
      <c r="D451">
        <v>202613</v>
      </c>
    </row>
    <row r="452" spans="1:4" x14ac:dyDescent="0.2">
      <c r="A452">
        <v>2</v>
      </c>
      <c r="B452">
        <v>2</v>
      </c>
      <c r="C452">
        <v>2035</v>
      </c>
      <c r="D452">
        <v>206417</v>
      </c>
    </row>
    <row r="453" spans="1:4" x14ac:dyDescent="0.2">
      <c r="A453">
        <v>2</v>
      </c>
      <c r="B453">
        <v>2</v>
      </c>
      <c r="C453">
        <v>2036</v>
      </c>
      <c r="D453">
        <v>210315</v>
      </c>
    </row>
    <row r="454" spans="1:4" x14ac:dyDescent="0.2">
      <c r="A454">
        <v>2</v>
      </c>
      <c r="B454">
        <v>2</v>
      </c>
      <c r="C454">
        <v>2037</v>
      </c>
      <c r="D454">
        <v>214261</v>
      </c>
    </row>
    <row r="455" spans="1:4" x14ac:dyDescent="0.2">
      <c r="A455">
        <v>2</v>
      </c>
      <c r="B455">
        <v>2</v>
      </c>
      <c r="C455">
        <v>2038</v>
      </c>
      <c r="D455">
        <v>218243</v>
      </c>
    </row>
    <row r="456" spans="1:4" x14ac:dyDescent="0.2">
      <c r="A456">
        <v>2</v>
      </c>
      <c r="B456">
        <v>2</v>
      </c>
      <c r="C456">
        <v>2039</v>
      </c>
      <c r="D456">
        <v>222246</v>
      </c>
    </row>
    <row r="457" spans="1:4" x14ac:dyDescent="0.2">
      <c r="A457">
        <v>2</v>
      </c>
      <c r="B457">
        <v>2</v>
      </c>
      <c r="C457">
        <v>2040</v>
      </c>
      <c r="D457">
        <v>226232</v>
      </c>
    </row>
    <row r="458" spans="1:4" x14ac:dyDescent="0.2">
      <c r="A458">
        <v>2</v>
      </c>
      <c r="B458">
        <v>2</v>
      </c>
      <c r="C458">
        <v>2041</v>
      </c>
      <c r="D458">
        <v>230173</v>
      </c>
    </row>
    <row r="459" spans="1:4" x14ac:dyDescent="0.2">
      <c r="A459">
        <v>2</v>
      </c>
      <c r="B459">
        <v>2</v>
      </c>
      <c r="C459">
        <v>2042</v>
      </c>
      <c r="D459">
        <v>234059</v>
      </c>
    </row>
    <row r="460" spans="1:4" x14ac:dyDescent="0.2">
      <c r="A460">
        <v>2</v>
      </c>
      <c r="B460">
        <v>2</v>
      </c>
      <c r="C460">
        <v>2043</v>
      </c>
      <c r="D460">
        <v>237851</v>
      </c>
    </row>
    <row r="461" spans="1:4" x14ac:dyDescent="0.2">
      <c r="A461">
        <v>2</v>
      </c>
      <c r="B461">
        <v>2</v>
      </c>
      <c r="C461">
        <v>2044</v>
      </c>
      <c r="D461">
        <v>241510</v>
      </c>
    </row>
    <row r="462" spans="1:4" x14ac:dyDescent="0.2">
      <c r="A462">
        <v>2</v>
      </c>
      <c r="B462">
        <v>2</v>
      </c>
      <c r="C462">
        <v>2045</v>
      </c>
      <c r="D462">
        <v>245032</v>
      </c>
    </row>
    <row r="463" spans="1:4" x14ac:dyDescent="0.2">
      <c r="A463">
        <v>2</v>
      </c>
      <c r="B463">
        <v>2</v>
      </c>
      <c r="C463">
        <v>2046</v>
      </c>
      <c r="D463">
        <v>248340</v>
      </c>
    </row>
    <row r="464" spans="1:4" x14ac:dyDescent="0.2">
      <c r="A464">
        <v>2</v>
      </c>
      <c r="B464">
        <v>2</v>
      </c>
      <c r="C464">
        <v>2047</v>
      </c>
      <c r="D464">
        <v>251491</v>
      </c>
    </row>
    <row r="465" spans="1:4" x14ac:dyDescent="0.2">
      <c r="A465">
        <v>2</v>
      </c>
      <c r="B465">
        <v>2</v>
      </c>
      <c r="C465">
        <v>2048</v>
      </c>
      <c r="D465">
        <v>254483</v>
      </c>
    </row>
    <row r="466" spans="1:4" x14ac:dyDescent="0.2">
      <c r="A466">
        <v>2</v>
      </c>
      <c r="B466">
        <v>2</v>
      </c>
      <c r="C466">
        <v>2049</v>
      </c>
      <c r="D466">
        <v>257237</v>
      </c>
    </row>
    <row r="467" spans="1:4" x14ac:dyDescent="0.2">
      <c r="A467">
        <v>2</v>
      </c>
      <c r="B467">
        <v>2</v>
      </c>
      <c r="C467">
        <v>2050</v>
      </c>
      <c r="D467">
        <v>259785</v>
      </c>
    </row>
    <row r="468" spans="1:4" x14ac:dyDescent="0.2">
      <c r="A468">
        <v>2</v>
      </c>
      <c r="B468">
        <v>2</v>
      </c>
      <c r="C468">
        <v>2051</v>
      </c>
      <c r="D468">
        <v>262066</v>
      </c>
    </row>
    <row r="469" spans="1:4" x14ac:dyDescent="0.2">
      <c r="A469">
        <v>2</v>
      </c>
      <c r="B469">
        <v>2</v>
      </c>
      <c r="C469">
        <v>2052</v>
      </c>
      <c r="D469">
        <v>264088</v>
      </c>
    </row>
    <row r="470" spans="1:4" x14ac:dyDescent="0.2">
      <c r="A470">
        <v>2</v>
      </c>
      <c r="B470">
        <v>2</v>
      </c>
      <c r="C470">
        <v>2053</v>
      </c>
      <c r="D470">
        <v>265912</v>
      </c>
    </row>
    <row r="471" spans="1:4" x14ac:dyDescent="0.2">
      <c r="A471">
        <v>2</v>
      </c>
      <c r="B471">
        <v>2</v>
      </c>
      <c r="C471">
        <v>2054</v>
      </c>
      <c r="D471">
        <v>267515</v>
      </c>
    </row>
    <row r="472" spans="1:4" x14ac:dyDescent="0.2">
      <c r="A472">
        <v>2</v>
      </c>
      <c r="B472">
        <v>2</v>
      </c>
      <c r="C472">
        <v>2055</v>
      </c>
      <c r="D472">
        <v>269007</v>
      </c>
    </row>
    <row r="473" spans="1:4" x14ac:dyDescent="0.2">
      <c r="A473">
        <v>2</v>
      </c>
      <c r="B473">
        <v>2</v>
      </c>
      <c r="C473">
        <v>2056</v>
      </c>
      <c r="D473">
        <v>270370</v>
      </c>
    </row>
    <row r="474" spans="1:4" x14ac:dyDescent="0.2">
      <c r="A474">
        <v>2</v>
      </c>
      <c r="B474">
        <v>2</v>
      </c>
      <c r="C474">
        <v>2057</v>
      </c>
      <c r="D474">
        <v>271626</v>
      </c>
    </row>
    <row r="475" spans="1:4" x14ac:dyDescent="0.2">
      <c r="A475">
        <v>2</v>
      </c>
      <c r="B475">
        <v>2</v>
      </c>
      <c r="C475">
        <v>2058</v>
      </c>
      <c r="D475">
        <v>272775</v>
      </c>
    </row>
    <row r="476" spans="1:4" x14ac:dyDescent="0.2">
      <c r="A476">
        <v>2</v>
      </c>
      <c r="B476">
        <v>2</v>
      </c>
      <c r="C476">
        <v>2059</v>
      </c>
      <c r="D476">
        <v>273882</v>
      </c>
    </row>
    <row r="477" spans="1:4" x14ac:dyDescent="0.2">
      <c r="A477">
        <v>2</v>
      </c>
      <c r="B477">
        <v>2</v>
      </c>
      <c r="C477">
        <v>2060</v>
      </c>
      <c r="D477">
        <v>274946</v>
      </c>
    </row>
    <row r="478" spans="1:4" x14ac:dyDescent="0.2">
      <c r="A478">
        <v>2</v>
      </c>
      <c r="B478">
        <v>2</v>
      </c>
      <c r="C478">
        <v>2061</v>
      </c>
      <c r="D478">
        <f>_xlfn.FORECAST.LINEAR(C478,D434:D477,C434:C477)</f>
        <v>288250.05708245188</v>
      </c>
    </row>
    <row r="479" spans="1:4" x14ac:dyDescent="0.2">
      <c r="A479">
        <v>2</v>
      </c>
      <c r="B479">
        <v>2</v>
      </c>
      <c r="C479">
        <v>2062</v>
      </c>
      <c r="D479">
        <f t="shared" ref="D479:D487" si="8">_xlfn.FORECAST.LINEAR(C479,D435:D478,C435:C478)</f>
        <v>291624.40582356323</v>
      </c>
    </row>
    <row r="480" spans="1:4" x14ac:dyDescent="0.2">
      <c r="A480">
        <v>2</v>
      </c>
      <c r="B480">
        <v>2</v>
      </c>
      <c r="C480">
        <v>2063</v>
      </c>
      <c r="D480">
        <f t="shared" si="8"/>
        <v>294973.42985060252</v>
      </c>
    </row>
    <row r="481" spans="1:4" x14ac:dyDescent="0.2">
      <c r="A481">
        <v>2</v>
      </c>
      <c r="B481">
        <v>2</v>
      </c>
      <c r="C481">
        <v>2064</v>
      </c>
      <c r="D481">
        <f t="shared" si="8"/>
        <v>298287.72327389382</v>
      </c>
    </row>
    <row r="482" spans="1:4" x14ac:dyDescent="0.2">
      <c r="A482">
        <v>2</v>
      </c>
      <c r="B482">
        <v>2</v>
      </c>
      <c r="C482">
        <v>2065</v>
      </c>
      <c r="D482">
        <f t="shared" si="8"/>
        <v>301560.0377805382</v>
      </c>
    </row>
    <row r="483" spans="1:4" x14ac:dyDescent="0.2">
      <c r="A483">
        <v>2</v>
      </c>
      <c r="B483">
        <v>2</v>
      </c>
      <c r="C483">
        <v>2066</v>
      </c>
      <c r="D483">
        <f t="shared" si="8"/>
        <v>304787.40712624043</v>
      </c>
    </row>
    <row r="484" spans="1:4" x14ac:dyDescent="0.2">
      <c r="A484">
        <v>2</v>
      </c>
      <c r="B484">
        <v>2</v>
      </c>
      <c r="C484">
        <v>2067</v>
      </c>
      <c r="D484">
        <f t="shared" si="8"/>
        <v>307967.00443218462</v>
      </c>
    </row>
    <row r="485" spans="1:4" x14ac:dyDescent="0.2">
      <c r="A485">
        <v>2</v>
      </c>
      <c r="B485">
        <v>2</v>
      </c>
      <c r="C485">
        <v>2068</v>
      </c>
      <c r="D485">
        <f t="shared" si="8"/>
        <v>311100.28793996107</v>
      </c>
    </row>
    <row r="486" spans="1:4" x14ac:dyDescent="0.2">
      <c r="A486">
        <v>2</v>
      </c>
      <c r="B486">
        <v>2</v>
      </c>
      <c r="C486">
        <v>2069</v>
      </c>
      <c r="D486">
        <f t="shared" si="8"/>
        <v>314185.58769337367</v>
      </c>
    </row>
    <row r="487" spans="1:4" x14ac:dyDescent="0.2">
      <c r="A487">
        <v>2</v>
      </c>
      <c r="B487">
        <v>2</v>
      </c>
      <c r="C487">
        <v>2070</v>
      </c>
      <c r="D487">
        <f t="shared" si="8"/>
        <v>317224.11462963372</v>
      </c>
    </row>
    <row r="488" spans="1:4" x14ac:dyDescent="0.2">
      <c r="A488">
        <v>3</v>
      </c>
      <c r="B488">
        <v>0</v>
      </c>
      <c r="C488">
        <v>2017</v>
      </c>
      <c r="D488">
        <v>23347</v>
      </c>
    </row>
    <row r="489" spans="1:4" x14ac:dyDescent="0.2">
      <c r="A489">
        <v>3</v>
      </c>
      <c r="B489">
        <v>0</v>
      </c>
      <c r="C489">
        <v>2018</v>
      </c>
      <c r="D489">
        <v>23700</v>
      </c>
    </row>
    <row r="490" spans="1:4" x14ac:dyDescent="0.2">
      <c r="A490">
        <v>3</v>
      </c>
      <c r="B490">
        <v>0</v>
      </c>
      <c r="C490">
        <v>2019</v>
      </c>
      <c r="D490">
        <v>24049</v>
      </c>
    </row>
    <row r="491" spans="1:4" x14ac:dyDescent="0.2">
      <c r="A491">
        <v>3</v>
      </c>
      <c r="B491">
        <v>0</v>
      </c>
      <c r="C491">
        <v>2020</v>
      </c>
      <c r="D491">
        <v>24437</v>
      </c>
    </row>
    <row r="492" spans="1:4" x14ac:dyDescent="0.2">
      <c r="A492">
        <v>3</v>
      </c>
      <c r="B492">
        <v>0</v>
      </c>
      <c r="C492">
        <v>2021</v>
      </c>
      <c r="D492">
        <v>24842</v>
      </c>
    </row>
    <row r="493" spans="1:4" x14ac:dyDescent="0.2">
      <c r="A493">
        <v>3</v>
      </c>
      <c r="B493">
        <v>0</v>
      </c>
      <c r="C493">
        <v>2022</v>
      </c>
      <c r="D493">
        <v>25251</v>
      </c>
    </row>
    <row r="494" spans="1:4" x14ac:dyDescent="0.2">
      <c r="A494">
        <v>3</v>
      </c>
      <c r="B494">
        <v>0</v>
      </c>
      <c r="C494">
        <v>2023</v>
      </c>
      <c r="D494">
        <v>25665</v>
      </c>
    </row>
    <row r="495" spans="1:4" x14ac:dyDescent="0.2">
      <c r="A495">
        <v>3</v>
      </c>
      <c r="B495">
        <v>0</v>
      </c>
      <c r="C495">
        <v>2024</v>
      </c>
      <c r="D495">
        <v>26117</v>
      </c>
    </row>
    <row r="496" spans="1:4" x14ac:dyDescent="0.2">
      <c r="A496">
        <v>3</v>
      </c>
      <c r="B496">
        <v>0</v>
      </c>
      <c r="C496">
        <v>2025</v>
      </c>
      <c r="D496">
        <v>26619</v>
      </c>
    </row>
    <row r="497" spans="1:4" x14ac:dyDescent="0.2">
      <c r="A497">
        <v>3</v>
      </c>
      <c r="B497">
        <v>0</v>
      </c>
      <c r="C497">
        <v>2026</v>
      </c>
      <c r="D497">
        <v>27096</v>
      </c>
    </row>
    <row r="498" spans="1:4" x14ac:dyDescent="0.2">
      <c r="A498">
        <v>3</v>
      </c>
      <c r="B498">
        <v>0</v>
      </c>
      <c r="C498">
        <v>2027</v>
      </c>
      <c r="D498">
        <v>27633</v>
      </c>
    </row>
    <row r="499" spans="1:4" x14ac:dyDescent="0.2">
      <c r="A499">
        <v>3</v>
      </c>
      <c r="B499">
        <v>0</v>
      </c>
      <c r="C499">
        <v>2028</v>
      </c>
      <c r="D499">
        <v>28186</v>
      </c>
    </row>
    <row r="500" spans="1:4" x14ac:dyDescent="0.2">
      <c r="A500">
        <v>3</v>
      </c>
      <c r="B500">
        <v>0</v>
      </c>
      <c r="C500">
        <v>2029</v>
      </c>
      <c r="D500">
        <v>28765</v>
      </c>
    </row>
    <row r="501" spans="1:4" x14ac:dyDescent="0.2">
      <c r="A501">
        <v>3</v>
      </c>
      <c r="B501">
        <v>0</v>
      </c>
      <c r="C501">
        <v>2030</v>
      </c>
      <c r="D501">
        <v>29344</v>
      </c>
    </row>
    <row r="502" spans="1:4" x14ac:dyDescent="0.2">
      <c r="A502">
        <v>3</v>
      </c>
      <c r="B502">
        <v>0</v>
      </c>
      <c r="C502">
        <v>2031</v>
      </c>
      <c r="D502">
        <v>29959</v>
      </c>
    </row>
    <row r="503" spans="1:4" x14ac:dyDescent="0.2">
      <c r="A503">
        <v>3</v>
      </c>
      <c r="B503">
        <v>0</v>
      </c>
      <c r="C503">
        <v>2032</v>
      </c>
      <c r="D503">
        <v>30596</v>
      </c>
    </row>
    <row r="504" spans="1:4" x14ac:dyDescent="0.2">
      <c r="A504">
        <v>3</v>
      </c>
      <c r="B504">
        <v>0</v>
      </c>
      <c r="C504">
        <v>2033</v>
      </c>
      <c r="D504">
        <v>31234</v>
      </c>
    </row>
    <row r="505" spans="1:4" x14ac:dyDescent="0.2">
      <c r="A505">
        <v>3</v>
      </c>
      <c r="B505">
        <v>0</v>
      </c>
      <c r="C505">
        <v>2034</v>
      </c>
      <c r="D505">
        <v>31900</v>
      </c>
    </row>
    <row r="506" spans="1:4" x14ac:dyDescent="0.2">
      <c r="A506">
        <v>3</v>
      </c>
      <c r="B506">
        <v>0</v>
      </c>
      <c r="C506">
        <v>2035</v>
      </c>
      <c r="D506">
        <v>32583</v>
      </c>
    </row>
    <row r="507" spans="1:4" x14ac:dyDescent="0.2">
      <c r="A507">
        <v>3</v>
      </c>
      <c r="B507">
        <v>0</v>
      </c>
      <c r="C507">
        <v>2036</v>
      </c>
      <c r="D507">
        <v>33270</v>
      </c>
    </row>
    <row r="508" spans="1:4" x14ac:dyDescent="0.2">
      <c r="A508">
        <v>3</v>
      </c>
      <c r="B508">
        <v>0</v>
      </c>
      <c r="C508">
        <v>2037</v>
      </c>
      <c r="D508">
        <v>33968</v>
      </c>
    </row>
    <row r="509" spans="1:4" x14ac:dyDescent="0.2">
      <c r="A509">
        <v>3</v>
      </c>
      <c r="B509">
        <v>0</v>
      </c>
      <c r="C509">
        <v>2038</v>
      </c>
      <c r="D509">
        <v>34664</v>
      </c>
    </row>
    <row r="510" spans="1:4" x14ac:dyDescent="0.2">
      <c r="A510">
        <v>3</v>
      </c>
      <c r="B510">
        <v>0</v>
      </c>
      <c r="C510">
        <v>2039</v>
      </c>
      <c r="D510">
        <v>35388</v>
      </c>
    </row>
    <row r="511" spans="1:4" x14ac:dyDescent="0.2">
      <c r="A511">
        <v>3</v>
      </c>
      <c r="B511">
        <v>0</v>
      </c>
      <c r="C511">
        <v>2040</v>
      </c>
      <c r="D511">
        <v>36091</v>
      </c>
    </row>
    <row r="512" spans="1:4" x14ac:dyDescent="0.2">
      <c r="A512">
        <v>3</v>
      </c>
      <c r="B512">
        <v>0</v>
      </c>
      <c r="C512">
        <v>2041</v>
      </c>
      <c r="D512">
        <v>36804</v>
      </c>
    </row>
    <row r="513" spans="1:4" x14ac:dyDescent="0.2">
      <c r="A513">
        <v>3</v>
      </c>
      <c r="B513">
        <v>0</v>
      </c>
      <c r="C513">
        <v>2042</v>
      </c>
      <c r="D513">
        <v>37495</v>
      </c>
    </row>
    <row r="514" spans="1:4" x14ac:dyDescent="0.2">
      <c r="A514">
        <v>3</v>
      </c>
      <c r="B514">
        <v>0</v>
      </c>
      <c r="C514">
        <v>2043</v>
      </c>
      <c r="D514">
        <v>38187</v>
      </c>
    </row>
    <row r="515" spans="1:4" x14ac:dyDescent="0.2">
      <c r="A515">
        <v>3</v>
      </c>
      <c r="B515">
        <v>0</v>
      </c>
      <c r="C515">
        <v>2044</v>
      </c>
      <c r="D515">
        <v>38855</v>
      </c>
    </row>
    <row r="516" spans="1:4" x14ac:dyDescent="0.2">
      <c r="A516">
        <v>3</v>
      </c>
      <c r="B516">
        <v>0</v>
      </c>
      <c r="C516">
        <v>2045</v>
      </c>
      <c r="D516">
        <v>39516</v>
      </c>
    </row>
    <row r="517" spans="1:4" x14ac:dyDescent="0.2">
      <c r="A517">
        <v>3</v>
      </c>
      <c r="B517">
        <v>0</v>
      </c>
      <c r="C517">
        <v>2046</v>
      </c>
      <c r="D517">
        <v>40152</v>
      </c>
    </row>
    <row r="518" spans="1:4" x14ac:dyDescent="0.2">
      <c r="A518">
        <v>3</v>
      </c>
      <c r="B518">
        <v>0</v>
      </c>
      <c r="C518">
        <v>2047</v>
      </c>
      <c r="D518">
        <v>40779</v>
      </c>
    </row>
    <row r="519" spans="1:4" x14ac:dyDescent="0.2">
      <c r="A519">
        <v>3</v>
      </c>
      <c r="B519">
        <v>0</v>
      </c>
      <c r="C519">
        <v>2048</v>
      </c>
      <c r="D519">
        <v>41385</v>
      </c>
    </row>
    <row r="520" spans="1:4" x14ac:dyDescent="0.2">
      <c r="A520">
        <v>3</v>
      </c>
      <c r="B520">
        <v>0</v>
      </c>
      <c r="C520">
        <v>2049</v>
      </c>
      <c r="D520">
        <v>41946</v>
      </c>
    </row>
    <row r="521" spans="1:4" x14ac:dyDescent="0.2">
      <c r="A521">
        <v>3</v>
      </c>
      <c r="B521">
        <v>0</v>
      </c>
      <c r="C521">
        <v>2050</v>
      </c>
      <c r="D521">
        <v>42499</v>
      </c>
    </row>
    <row r="522" spans="1:4" x14ac:dyDescent="0.2">
      <c r="A522">
        <v>3</v>
      </c>
      <c r="B522">
        <v>0</v>
      </c>
      <c r="C522">
        <v>2051</v>
      </c>
      <c r="D522">
        <v>43015</v>
      </c>
    </row>
    <row r="523" spans="1:4" x14ac:dyDescent="0.2">
      <c r="A523">
        <v>3</v>
      </c>
      <c r="B523">
        <v>0</v>
      </c>
      <c r="C523">
        <v>2052</v>
      </c>
      <c r="D523">
        <v>43507</v>
      </c>
    </row>
    <row r="524" spans="1:4" x14ac:dyDescent="0.2">
      <c r="A524">
        <v>3</v>
      </c>
      <c r="B524">
        <v>0</v>
      </c>
      <c r="C524">
        <v>2053</v>
      </c>
      <c r="D524">
        <v>43960</v>
      </c>
    </row>
    <row r="525" spans="1:4" x14ac:dyDescent="0.2">
      <c r="A525">
        <v>3</v>
      </c>
      <c r="B525">
        <v>0</v>
      </c>
      <c r="C525">
        <v>2054</v>
      </c>
      <c r="D525">
        <v>44395</v>
      </c>
    </row>
    <row r="526" spans="1:4" x14ac:dyDescent="0.2">
      <c r="A526">
        <v>3</v>
      </c>
      <c r="B526">
        <v>0</v>
      </c>
      <c r="C526">
        <v>2055</v>
      </c>
      <c r="D526">
        <v>44829</v>
      </c>
    </row>
    <row r="527" spans="1:4" x14ac:dyDescent="0.2">
      <c r="A527">
        <v>3</v>
      </c>
      <c r="B527">
        <v>0</v>
      </c>
      <c r="C527">
        <v>2056</v>
      </c>
      <c r="D527">
        <v>45223</v>
      </c>
    </row>
    <row r="528" spans="1:4" x14ac:dyDescent="0.2">
      <c r="A528">
        <v>3</v>
      </c>
      <c r="B528">
        <v>0</v>
      </c>
      <c r="C528">
        <v>2057</v>
      </c>
      <c r="D528">
        <v>45615</v>
      </c>
    </row>
    <row r="529" spans="1:4" x14ac:dyDescent="0.2">
      <c r="A529">
        <v>3</v>
      </c>
      <c r="B529">
        <v>0</v>
      </c>
      <c r="C529">
        <v>2058</v>
      </c>
      <c r="D529">
        <v>46000</v>
      </c>
    </row>
    <row r="530" spans="1:4" x14ac:dyDescent="0.2">
      <c r="A530">
        <v>3</v>
      </c>
      <c r="B530">
        <v>0</v>
      </c>
      <c r="C530">
        <v>2059</v>
      </c>
      <c r="D530">
        <v>46373</v>
      </c>
    </row>
    <row r="531" spans="1:4" x14ac:dyDescent="0.2">
      <c r="A531">
        <v>3</v>
      </c>
      <c r="B531">
        <v>0</v>
      </c>
      <c r="C531">
        <v>2060</v>
      </c>
      <c r="D531">
        <v>46735</v>
      </c>
    </row>
    <row r="532" spans="1:4" x14ac:dyDescent="0.2">
      <c r="A532">
        <v>3</v>
      </c>
      <c r="B532">
        <v>0</v>
      </c>
      <c r="C532">
        <v>2061</v>
      </c>
      <c r="D532">
        <f>_xlfn.FORECAST.LINEAR(C532,D488:D531,C488:C531)</f>
        <v>48395.58985200827</v>
      </c>
    </row>
    <row r="533" spans="1:4" x14ac:dyDescent="0.2">
      <c r="A533">
        <v>3</v>
      </c>
      <c r="B533">
        <v>0</v>
      </c>
      <c r="C533">
        <v>2062</v>
      </c>
      <c r="D533">
        <f t="shared" ref="D533:D541" si="9">_xlfn.FORECAST.LINEAR(C533,D489:D532,C489:C532)</f>
        <v>49040.474341726163</v>
      </c>
    </row>
    <row r="534" spans="1:4" x14ac:dyDescent="0.2">
      <c r="A534">
        <v>3</v>
      </c>
      <c r="B534">
        <v>0</v>
      </c>
      <c r="C534">
        <v>2063</v>
      </c>
      <c r="D534">
        <f t="shared" si="9"/>
        <v>49681.714324635454</v>
      </c>
    </row>
    <row r="535" spans="1:4" x14ac:dyDescent="0.2">
      <c r="A535">
        <v>3</v>
      </c>
      <c r="B535">
        <v>0</v>
      </c>
      <c r="C535">
        <v>2064</v>
      </c>
      <c r="D535">
        <f t="shared" si="9"/>
        <v>50317.85834084847</v>
      </c>
    </row>
    <row r="536" spans="1:4" x14ac:dyDescent="0.2">
      <c r="A536">
        <v>3</v>
      </c>
      <c r="B536">
        <v>0</v>
      </c>
      <c r="C536">
        <v>2065</v>
      </c>
      <c r="D536">
        <f t="shared" si="9"/>
        <v>50949.41276131128</v>
      </c>
    </row>
    <row r="537" spans="1:4" x14ac:dyDescent="0.2">
      <c r="A537">
        <v>3</v>
      </c>
      <c r="B537">
        <v>0</v>
      </c>
      <c r="C537">
        <v>2066</v>
      </c>
      <c r="D537">
        <f t="shared" si="9"/>
        <v>51576.000062468695</v>
      </c>
    </row>
    <row r="538" spans="1:4" x14ac:dyDescent="0.2">
      <c r="A538">
        <v>3</v>
      </c>
      <c r="B538">
        <v>0</v>
      </c>
      <c r="C538">
        <v>2067</v>
      </c>
      <c r="D538">
        <f t="shared" si="9"/>
        <v>52196.644731084816</v>
      </c>
    </row>
    <row r="539" spans="1:4" x14ac:dyDescent="0.2">
      <c r="A539">
        <v>3</v>
      </c>
      <c r="B539">
        <v>0</v>
      </c>
      <c r="C539">
        <v>2068</v>
      </c>
      <c r="D539">
        <f t="shared" si="9"/>
        <v>52810.359633647604</v>
      </c>
    </row>
    <row r="540" spans="1:4" x14ac:dyDescent="0.2">
      <c r="A540">
        <v>3</v>
      </c>
      <c r="B540">
        <v>0</v>
      </c>
      <c r="C540">
        <v>2069</v>
      </c>
      <c r="D540">
        <f t="shared" si="9"/>
        <v>53417.707250192296</v>
      </c>
    </row>
    <row r="541" spans="1:4" x14ac:dyDescent="0.2">
      <c r="A541">
        <v>3</v>
      </c>
      <c r="B541">
        <v>0</v>
      </c>
      <c r="C541">
        <v>2070</v>
      </c>
      <c r="D541">
        <f t="shared" si="9"/>
        <v>54020.027188218897</v>
      </c>
    </row>
    <row r="542" spans="1:4" x14ac:dyDescent="0.2">
      <c r="A542">
        <v>3</v>
      </c>
      <c r="B542">
        <v>1</v>
      </c>
      <c r="C542">
        <v>2017</v>
      </c>
      <c r="D542">
        <v>13030</v>
      </c>
    </row>
    <row r="543" spans="1:4" x14ac:dyDescent="0.2">
      <c r="A543">
        <v>3</v>
      </c>
      <c r="B543">
        <v>1</v>
      </c>
      <c r="C543">
        <v>2018</v>
      </c>
      <c r="D543">
        <v>13185</v>
      </c>
    </row>
    <row r="544" spans="1:4" x14ac:dyDescent="0.2">
      <c r="A544">
        <v>3</v>
      </c>
      <c r="B544">
        <v>1</v>
      </c>
      <c r="C544">
        <v>2019</v>
      </c>
      <c r="D544">
        <v>13357</v>
      </c>
    </row>
    <row r="545" spans="1:4" x14ac:dyDescent="0.2">
      <c r="A545">
        <v>3</v>
      </c>
      <c r="B545">
        <v>1</v>
      </c>
      <c r="C545">
        <v>2020</v>
      </c>
      <c r="D545">
        <v>13529</v>
      </c>
    </row>
    <row r="546" spans="1:4" x14ac:dyDescent="0.2">
      <c r="A546">
        <v>3</v>
      </c>
      <c r="B546">
        <v>1</v>
      </c>
      <c r="C546">
        <v>2021</v>
      </c>
      <c r="D546">
        <v>13722</v>
      </c>
    </row>
    <row r="547" spans="1:4" x14ac:dyDescent="0.2">
      <c r="A547">
        <v>3</v>
      </c>
      <c r="B547">
        <v>1</v>
      </c>
      <c r="C547">
        <v>2022</v>
      </c>
      <c r="D547">
        <v>13902</v>
      </c>
    </row>
    <row r="548" spans="1:4" x14ac:dyDescent="0.2">
      <c r="A548">
        <v>3</v>
      </c>
      <c r="B548">
        <v>1</v>
      </c>
      <c r="C548">
        <v>2023</v>
      </c>
      <c r="D548">
        <v>14087</v>
      </c>
    </row>
    <row r="549" spans="1:4" x14ac:dyDescent="0.2">
      <c r="A549">
        <v>3</v>
      </c>
      <c r="B549">
        <v>1</v>
      </c>
      <c r="C549">
        <v>2024</v>
      </c>
      <c r="D549">
        <v>14295</v>
      </c>
    </row>
    <row r="550" spans="1:4" x14ac:dyDescent="0.2">
      <c r="A550">
        <v>3</v>
      </c>
      <c r="B550">
        <v>1</v>
      </c>
      <c r="C550">
        <v>2025</v>
      </c>
      <c r="D550">
        <v>14524</v>
      </c>
    </row>
    <row r="551" spans="1:4" x14ac:dyDescent="0.2">
      <c r="A551">
        <v>3</v>
      </c>
      <c r="B551">
        <v>1</v>
      </c>
      <c r="C551">
        <v>2026</v>
      </c>
      <c r="D551">
        <v>14742</v>
      </c>
    </row>
    <row r="552" spans="1:4" x14ac:dyDescent="0.2">
      <c r="A552">
        <v>3</v>
      </c>
      <c r="B552">
        <v>1</v>
      </c>
      <c r="C552">
        <v>2027</v>
      </c>
      <c r="D552">
        <v>14991</v>
      </c>
    </row>
    <row r="553" spans="1:4" x14ac:dyDescent="0.2">
      <c r="A553">
        <v>3</v>
      </c>
      <c r="B553">
        <v>1</v>
      </c>
      <c r="C553">
        <v>2028</v>
      </c>
      <c r="D553">
        <v>15244</v>
      </c>
    </row>
    <row r="554" spans="1:4" x14ac:dyDescent="0.2">
      <c r="A554">
        <v>3</v>
      </c>
      <c r="B554">
        <v>1</v>
      </c>
      <c r="C554">
        <v>2029</v>
      </c>
      <c r="D554">
        <v>15513</v>
      </c>
    </row>
    <row r="555" spans="1:4" x14ac:dyDescent="0.2">
      <c r="A555">
        <v>3</v>
      </c>
      <c r="B555">
        <v>1</v>
      </c>
      <c r="C555">
        <v>2030</v>
      </c>
      <c r="D555">
        <v>15766</v>
      </c>
    </row>
    <row r="556" spans="1:4" x14ac:dyDescent="0.2">
      <c r="A556">
        <v>3</v>
      </c>
      <c r="B556">
        <v>1</v>
      </c>
      <c r="C556">
        <v>2031</v>
      </c>
      <c r="D556">
        <v>16037</v>
      </c>
    </row>
    <row r="557" spans="1:4" x14ac:dyDescent="0.2">
      <c r="A557">
        <v>3</v>
      </c>
      <c r="B557">
        <v>1</v>
      </c>
      <c r="C557">
        <v>2032</v>
      </c>
      <c r="D557">
        <v>16339</v>
      </c>
    </row>
    <row r="558" spans="1:4" x14ac:dyDescent="0.2">
      <c r="A558">
        <v>3</v>
      </c>
      <c r="B558">
        <v>1</v>
      </c>
      <c r="C558">
        <v>2033</v>
      </c>
      <c r="D558">
        <v>16610</v>
      </c>
    </row>
    <row r="559" spans="1:4" x14ac:dyDescent="0.2">
      <c r="A559">
        <v>3</v>
      </c>
      <c r="B559">
        <v>1</v>
      </c>
      <c r="C559">
        <v>2034</v>
      </c>
      <c r="D559">
        <v>16902</v>
      </c>
    </row>
    <row r="560" spans="1:4" x14ac:dyDescent="0.2">
      <c r="A560">
        <v>3</v>
      </c>
      <c r="B560">
        <v>1</v>
      </c>
      <c r="C560">
        <v>2035</v>
      </c>
      <c r="D560">
        <v>17207</v>
      </c>
    </row>
    <row r="561" spans="1:4" x14ac:dyDescent="0.2">
      <c r="A561">
        <v>3</v>
      </c>
      <c r="B561">
        <v>1</v>
      </c>
      <c r="C561">
        <v>2036</v>
      </c>
      <c r="D561">
        <v>17506</v>
      </c>
    </row>
    <row r="562" spans="1:4" x14ac:dyDescent="0.2">
      <c r="A562">
        <v>3</v>
      </c>
      <c r="B562">
        <v>1</v>
      </c>
      <c r="C562">
        <v>2037</v>
      </c>
      <c r="D562">
        <v>17816</v>
      </c>
    </row>
    <row r="563" spans="1:4" x14ac:dyDescent="0.2">
      <c r="A563">
        <v>3</v>
      </c>
      <c r="B563">
        <v>1</v>
      </c>
      <c r="C563">
        <v>2038</v>
      </c>
      <c r="D563">
        <v>18115</v>
      </c>
    </row>
    <row r="564" spans="1:4" x14ac:dyDescent="0.2">
      <c r="A564">
        <v>3</v>
      </c>
      <c r="B564">
        <v>1</v>
      </c>
      <c r="C564">
        <v>2039</v>
      </c>
      <c r="D564">
        <v>18434</v>
      </c>
    </row>
    <row r="565" spans="1:4" x14ac:dyDescent="0.2">
      <c r="A565">
        <v>3</v>
      </c>
      <c r="B565">
        <v>1</v>
      </c>
      <c r="C565">
        <v>2040</v>
      </c>
      <c r="D565">
        <v>18726</v>
      </c>
    </row>
    <row r="566" spans="1:4" x14ac:dyDescent="0.2">
      <c r="A566">
        <v>3</v>
      </c>
      <c r="B566">
        <v>1</v>
      </c>
      <c r="C566">
        <v>2041</v>
      </c>
      <c r="D566">
        <v>19038</v>
      </c>
    </row>
    <row r="567" spans="1:4" x14ac:dyDescent="0.2">
      <c r="A567">
        <v>3</v>
      </c>
      <c r="B567">
        <v>1</v>
      </c>
      <c r="C567">
        <v>2042</v>
      </c>
      <c r="D567">
        <v>19340</v>
      </c>
    </row>
    <row r="568" spans="1:4" x14ac:dyDescent="0.2">
      <c r="A568">
        <v>3</v>
      </c>
      <c r="B568">
        <v>1</v>
      </c>
      <c r="C568">
        <v>2043</v>
      </c>
      <c r="D568">
        <v>19633</v>
      </c>
    </row>
    <row r="569" spans="1:4" x14ac:dyDescent="0.2">
      <c r="A569">
        <v>3</v>
      </c>
      <c r="B569">
        <v>1</v>
      </c>
      <c r="C569">
        <v>2044</v>
      </c>
      <c r="D569">
        <v>19924</v>
      </c>
    </row>
    <row r="570" spans="1:4" x14ac:dyDescent="0.2">
      <c r="A570">
        <v>3</v>
      </c>
      <c r="B570">
        <v>1</v>
      </c>
      <c r="C570">
        <v>2045</v>
      </c>
      <c r="D570">
        <v>20214</v>
      </c>
    </row>
    <row r="571" spans="1:4" x14ac:dyDescent="0.2">
      <c r="A571">
        <v>3</v>
      </c>
      <c r="B571">
        <v>1</v>
      </c>
      <c r="C571">
        <v>2046</v>
      </c>
      <c r="D571">
        <v>20473</v>
      </c>
    </row>
    <row r="572" spans="1:4" x14ac:dyDescent="0.2">
      <c r="A572">
        <v>3</v>
      </c>
      <c r="B572">
        <v>1</v>
      </c>
      <c r="C572">
        <v>2047</v>
      </c>
      <c r="D572">
        <v>20757</v>
      </c>
    </row>
    <row r="573" spans="1:4" x14ac:dyDescent="0.2">
      <c r="A573">
        <v>3</v>
      </c>
      <c r="B573">
        <v>1</v>
      </c>
      <c r="C573">
        <v>2048</v>
      </c>
      <c r="D573">
        <v>21036</v>
      </c>
    </row>
    <row r="574" spans="1:4" x14ac:dyDescent="0.2">
      <c r="A574">
        <v>3</v>
      </c>
      <c r="B574">
        <v>1</v>
      </c>
      <c r="C574">
        <v>2049</v>
      </c>
      <c r="D574">
        <v>21270</v>
      </c>
    </row>
    <row r="575" spans="1:4" x14ac:dyDescent="0.2">
      <c r="A575">
        <v>3</v>
      </c>
      <c r="B575">
        <v>1</v>
      </c>
      <c r="C575">
        <v>2050</v>
      </c>
      <c r="D575">
        <v>21518</v>
      </c>
    </row>
    <row r="576" spans="1:4" x14ac:dyDescent="0.2">
      <c r="A576">
        <v>3</v>
      </c>
      <c r="B576">
        <v>1</v>
      </c>
      <c r="C576">
        <v>2051</v>
      </c>
      <c r="D576">
        <v>21757</v>
      </c>
    </row>
    <row r="577" spans="1:4" x14ac:dyDescent="0.2">
      <c r="A577">
        <v>3</v>
      </c>
      <c r="B577">
        <v>1</v>
      </c>
      <c r="C577">
        <v>2052</v>
      </c>
      <c r="D577">
        <v>21981</v>
      </c>
    </row>
    <row r="578" spans="1:4" x14ac:dyDescent="0.2">
      <c r="A578">
        <v>3</v>
      </c>
      <c r="B578">
        <v>1</v>
      </c>
      <c r="C578">
        <v>2053</v>
      </c>
      <c r="D578">
        <v>22201</v>
      </c>
    </row>
    <row r="579" spans="1:4" x14ac:dyDescent="0.2">
      <c r="A579">
        <v>3</v>
      </c>
      <c r="B579">
        <v>1</v>
      </c>
      <c r="C579">
        <v>2054</v>
      </c>
      <c r="D579">
        <v>22416</v>
      </c>
    </row>
    <row r="580" spans="1:4" x14ac:dyDescent="0.2">
      <c r="A580">
        <v>3</v>
      </c>
      <c r="B580">
        <v>1</v>
      </c>
      <c r="C580">
        <v>2055</v>
      </c>
      <c r="D580">
        <v>22638</v>
      </c>
    </row>
    <row r="581" spans="1:4" x14ac:dyDescent="0.2">
      <c r="A581">
        <v>3</v>
      </c>
      <c r="B581">
        <v>1</v>
      </c>
      <c r="C581">
        <v>2056</v>
      </c>
      <c r="D581">
        <v>22829</v>
      </c>
    </row>
    <row r="582" spans="1:4" x14ac:dyDescent="0.2">
      <c r="A582">
        <v>3</v>
      </c>
      <c r="B582">
        <v>1</v>
      </c>
      <c r="C582">
        <v>2057</v>
      </c>
      <c r="D582">
        <v>23038</v>
      </c>
    </row>
    <row r="583" spans="1:4" x14ac:dyDescent="0.2">
      <c r="A583">
        <v>3</v>
      </c>
      <c r="B583">
        <v>1</v>
      </c>
      <c r="C583">
        <v>2058</v>
      </c>
      <c r="D583">
        <v>23240</v>
      </c>
    </row>
    <row r="584" spans="1:4" x14ac:dyDescent="0.2">
      <c r="A584">
        <v>3</v>
      </c>
      <c r="B584">
        <v>1</v>
      </c>
      <c r="C584">
        <v>2059</v>
      </c>
      <c r="D584">
        <v>23439</v>
      </c>
    </row>
    <row r="585" spans="1:4" x14ac:dyDescent="0.2">
      <c r="A585">
        <v>3</v>
      </c>
      <c r="B585">
        <v>1</v>
      </c>
      <c r="C585">
        <v>2060</v>
      </c>
      <c r="D585">
        <v>23651</v>
      </c>
    </row>
    <row r="586" spans="1:4" x14ac:dyDescent="0.2">
      <c r="A586">
        <v>3</v>
      </c>
      <c r="B586">
        <v>1</v>
      </c>
      <c r="C586">
        <v>2061</v>
      </c>
      <c r="D586">
        <f>_xlfn.FORECAST.LINEAR(C586,D542:D585,C542:C585)</f>
        <v>24227.132135306543</v>
      </c>
    </row>
    <row r="587" spans="1:4" x14ac:dyDescent="0.2">
      <c r="A587">
        <v>3</v>
      </c>
      <c r="B587">
        <v>1</v>
      </c>
      <c r="C587">
        <v>2062</v>
      </c>
      <c r="D587">
        <f t="shared" ref="D587:D595" si="10">_xlfn.FORECAST.LINEAR(C587,D543:D586,C543:C586)</f>
        <v>24513.598693061678</v>
      </c>
    </row>
    <row r="588" spans="1:4" x14ac:dyDescent="0.2">
      <c r="A588">
        <v>3</v>
      </c>
      <c r="B588">
        <v>1</v>
      </c>
      <c r="C588">
        <v>2063</v>
      </c>
      <c r="D588">
        <f t="shared" si="10"/>
        <v>24798.135787350708</v>
      </c>
    </row>
    <row r="589" spans="1:4" x14ac:dyDescent="0.2">
      <c r="A589">
        <v>3</v>
      </c>
      <c r="B589">
        <v>1</v>
      </c>
      <c r="C589">
        <v>2064</v>
      </c>
      <c r="D589">
        <f t="shared" si="10"/>
        <v>25080.977737907786</v>
      </c>
    </row>
    <row r="590" spans="1:4" x14ac:dyDescent="0.2">
      <c r="A590">
        <v>3</v>
      </c>
      <c r="B590">
        <v>1</v>
      </c>
      <c r="C590">
        <v>2065</v>
      </c>
      <c r="D590">
        <f t="shared" si="10"/>
        <v>25361.613557794597</v>
      </c>
    </row>
    <row r="591" spans="1:4" x14ac:dyDescent="0.2">
      <c r="A591">
        <v>3</v>
      </c>
      <c r="B591">
        <v>1</v>
      </c>
      <c r="C591">
        <v>2066</v>
      </c>
      <c r="D591">
        <f t="shared" si="10"/>
        <v>25640.512324083596</v>
      </c>
    </row>
    <row r="592" spans="1:4" x14ac:dyDescent="0.2">
      <c r="A592">
        <v>3</v>
      </c>
      <c r="B592">
        <v>1</v>
      </c>
      <c r="C592">
        <v>2067</v>
      </c>
      <c r="D592">
        <f t="shared" si="10"/>
        <v>25916.60607264284</v>
      </c>
    </row>
    <row r="593" spans="1:4" x14ac:dyDescent="0.2">
      <c r="A593">
        <v>3</v>
      </c>
      <c r="B593">
        <v>1</v>
      </c>
      <c r="C593">
        <v>2068</v>
      </c>
      <c r="D593">
        <f t="shared" si="10"/>
        <v>26189.569298372953</v>
      </c>
    </row>
    <row r="594" spans="1:4" x14ac:dyDescent="0.2">
      <c r="A594">
        <v>3</v>
      </c>
      <c r="B594">
        <v>1</v>
      </c>
      <c r="C594">
        <v>2069</v>
      </c>
      <c r="D594">
        <f t="shared" si="10"/>
        <v>26459.94692071504</v>
      </c>
    </row>
    <row r="595" spans="1:4" x14ac:dyDescent="0.2">
      <c r="A595">
        <v>3</v>
      </c>
      <c r="B595">
        <v>1</v>
      </c>
      <c r="C595">
        <v>2070</v>
      </c>
      <c r="D595">
        <f t="shared" si="10"/>
        <v>26728.319012006745</v>
      </c>
    </row>
    <row r="596" spans="1:4" x14ac:dyDescent="0.2">
      <c r="A596">
        <v>3</v>
      </c>
      <c r="B596">
        <v>2</v>
      </c>
      <c r="C596">
        <v>2017</v>
      </c>
      <c r="D596">
        <v>10317</v>
      </c>
    </row>
    <row r="597" spans="1:4" x14ac:dyDescent="0.2">
      <c r="A597">
        <v>3</v>
      </c>
      <c r="B597">
        <v>2</v>
      </c>
      <c r="C597">
        <v>2018</v>
      </c>
      <c r="D597">
        <v>10515</v>
      </c>
    </row>
    <row r="598" spans="1:4" x14ac:dyDescent="0.2">
      <c r="A598">
        <v>3</v>
      </c>
      <c r="B598">
        <v>2</v>
      </c>
      <c r="C598">
        <v>2019</v>
      </c>
      <c r="D598">
        <v>10692</v>
      </c>
    </row>
    <row r="599" spans="1:4" x14ac:dyDescent="0.2">
      <c r="A599">
        <v>3</v>
      </c>
      <c r="B599">
        <v>2</v>
      </c>
      <c r="C599">
        <v>2020</v>
      </c>
      <c r="D599">
        <v>10908</v>
      </c>
    </row>
    <row r="600" spans="1:4" x14ac:dyDescent="0.2">
      <c r="A600">
        <v>3</v>
      </c>
      <c r="B600">
        <v>2</v>
      </c>
      <c r="C600">
        <v>2021</v>
      </c>
      <c r="D600">
        <v>11120</v>
      </c>
    </row>
    <row r="601" spans="1:4" x14ac:dyDescent="0.2">
      <c r="A601">
        <v>3</v>
      </c>
      <c r="B601">
        <v>2</v>
      </c>
      <c r="C601">
        <v>2022</v>
      </c>
      <c r="D601">
        <v>11349</v>
      </c>
    </row>
    <row r="602" spans="1:4" x14ac:dyDescent="0.2">
      <c r="A602">
        <v>3</v>
      </c>
      <c r="B602">
        <v>2</v>
      </c>
      <c r="C602">
        <v>2023</v>
      </c>
      <c r="D602">
        <v>11578</v>
      </c>
    </row>
    <row r="603" spans="1:4" x14ac:dyDescent="0.2">
      <c r="A603">
        <v>3</v>
      </c>
      <c r="B603">
        <v>2</v>
      </c>
      <c r="C603">
        <v>2024</v>
      </c>
      <c r="D603">
        <v>11822</v>
      </c>
    </row>
    <row r="604" spans="1:4" x14ac:dyDescent="0.2">
      <c r="A604">
        <v>3</v>
      </c>
      <c r="B604">
        <v>2</v>
      </c>
      <c r="C604">
        <v>2025</v>
      </c>
      <c r="D604">
        <v>12095</v>
      </c>
    </row>
    <row r="605" spans="1:4" x14ac:dyDescent="0.2">
      <c r="A605">
        <v>3</v>
      </c>
      <c r="B605">
        <v>2</v>
      </c>
      <c r="C605">
        <v>2026</v>
      </c>
      <c r="D605">
        <v>12354</v>
      </c>
    </row>
    <row r="606" spans="1:4" x14ac:dyDescent="0.2">
      <c r="A606">
        <v>3</v>
      </c>
      <c r="B606">
        <v>2</v>
      </c>
      <c r="C606">
        <v>2027</v>
      </c>
      <c r="D606">
        <v>12642</v>
      </c>
    </row>
    <row r="607" spans="1:4" x14ac:dyDescent="0.2">
      <c r="A607">
        <v>3</v>
      </c>
      <c r="B607">
        <v>2</v>
      </c>
      <c r="C607">
        <v>2028</v>
      </c>
      <c r="D607">
        <v>12942</v>
      </c>
    </row>
    <row r="608" spans="1:4" x14ac:dyDescent="0.2">
      <c r="A608">
        <v>3</v>
      </c>
      <c r="B608">
        <v>2</v>
      </c>
      <c r="C608">
        <v>2029</v>
      </c>
      <c r="D608">
        <v>13252</v>
      </c>
    </row>
    <row r="609" spans="1:4" x14ac:dyDescent="0.2">
      <c r="A609">
        <v>3</v>
      </c>
      <c r="B609">
        <v>2</v>
      </c>
      <c r="C609">
        <v>2030</v>
      </c>
      <c r="D609">
        <v>13578</v>
      </c>
    </row>
    <row r="610" spans="1:4" x14ac:dyDescent="0.2">
      <c r="A610">
        <v>3</v>
      </c>
      <c r="B610">
        <v>2</v>
      </c>
      <c r="C610">
        <v>2031</v>
      </c>
      <c r="D610">
        <v>13922</v>
      </c>
    </row>
    <row r="611" spans="1:4" x14ac:dyDescent="0.2">
      <c r="A611">
        <v>3</v>
      </c>
      <c r="B611">
        <v>2</v>
      </c>
      <c r="C611">
        <v>2032</v>
      </c>
      <c r="D611">
        <v>14257</v>
      </c>
    </row>
    <row r="612" spans="1:4" x14ac:dyDescent="0.2">
      <c r="A612">
        <v>3</v>
      </c>
      <c r="B612">
        <v>2</v>
      </c>
      <c r="C612">
        <v>2033</v>
      </c>
      <c r="D612">
        <v>14624</v>
      </c>
    </row>
    <row r="613" spans="1:4" x14ac:dyDescent="0.2">
      <c r="A613">
        <v>3</v>
      </c>
      <c r="B613">
        <v>2</v>
      </c>
      <c r="C613">
        <v>2034</v>
      </c>
      <c r="D613">
        <v>14998</v>
      </c>
    </row>
    <row r="614" spans="1:4" x14ac:dyDescent="0.2">
      <c r="A614">
        <v>3</v>
      </c>
      <c r="B614">
        <v>2</v>
      </c>
      <c r="C614">
        <v>2035</v>
      </c>
      <c r="D614">
        <v>15376</v>
      </c>
    </row>
    <row r="615" spans="1:4" x14ac:dyDescent="0.2">
      <c r="A615">
        <v>3</v>
      </c>
      <c r="B615">
        <v>2</v>
      </c>
      <c r="C615">
        <v>2036</v>
      </c>
      <c r="D615">
        <v>15764</v>
      </c>
    </row>
    <row r="616" spans="1:4" x14ac:dyDescent="0.2">
      <c r="A616">
        <v>3</v>
      </c>
      <c r="B616">
        <v>2</v>
      </c>
      <c r="C616">
        <v>2037</v>
      </c>
      <c r="D616">
        <v>16152</v>
      </c>
    </row>
    <row r="617" spans="1:4" x14ac:dyDescent="0.2">
      <c r="A617">
        <v>3</v>
      </c>
      <c r="B617">
        <v>2</v>
      </c>
      <c r="C617">
        <v>2038</v>
      </c>
      <c r="D617">
        <v>16549</v>
      </c>
    </row>
    <row r="618" spans="1:4" x14ac:dyDescent="0.2">
      <c r="A618">
        <v>3</v>
      </c>
      <c r="B618">
        <v>2</v>
      </c>
      <c r="C618">
        <v>2039</v>
      </c>
      <c r="D618">
        <v>16954</v>
      </c>
    </row>
    <row r="619" spans="1:4" x14ac:dyDescent="0.2">
      <c r="A619">
        <v>3</v>
      </c>
      <c r="B619">
        <v>2</v>
      </c>
      <c r="C619">
        <v>2040</v>
      </c>
      <c r="D619">
        <v>17365</v>
      </c>
    </row>
    <row r="620" spans="1:4" x14ac:dyDescent="0.2">
      <c r="A620">
        <v>3</v>
      </c>
      <c r="B620">
        <v>2</v>
      </c>
      <c r="C620">
        <v>2041</v>
      </c>
      <c r="D620">
        <v>17766</v>
      </c>
    </row>
    <row r="621" spans="1:4" x14ac:dyDescent="0.2">
      <c r="A621">
        <v>3</v>
      </c>
      <c r="B621">
        <v>2</v>
      </c>
      <c r="C621">
        <v>2042</v>
      </c>
      <c r="D621">
        <v>18155</v>
      </c>
    </row>
    <row r="622" spans="1:4" x14ac:dyDescent="0.2">
      <c r="A622">
        <v>3</v>
      </c>
      <c r="B622">
        <v>2</v>
      </c>
      <c r="C622">
        <v>2043</v>
      </c>
      <c r="D622">
        <v>18554</v>
      </c>
    </row>
    <row r="623" spans="1:4" x14ac:dyDescent="0.2">
      <c r="A623">
        <v>3</v>
      </c>
      <c r="B623">
        <v>2</v>
      </c>
      <c r="C623">
        <v>2044</v>
      </c>
      <c r="D623">
        <v>18931</v>
      </c>
    </row>
    <row r="624" spans="1:4" x14ac:dyDescent="0.2">
      <c r="A624">
        <v>3</v>
      </c>
      <c r="B624">
        <v>2</v>
      </c>
      <c r="C624">
        <v>2045</v>
      </c>
      <c r="D624">
        <v>19302</v>
      </c>
    </row>
    <row r="625" spans="1:4" x14ac:dyDescent="0.2">
      <c r="A625">
        <v>3</v>
      </c>
      <c r="B625">
        <v>2</v>
      </c>
      <c r="C625">
        <v>2046</v>
      </c>
      <c r="D625">
        <v>19679</v>
      </c>
    </row>
    <row r="626" spans="1:4" x14ac:dyDescent="0.2">
      <c r="A626">
        <v>3</v>
      </c>
      <c r="B626">
        <v>2</v>
      </c>
      <c r="C626">
        <v>2047</v>
      </c>
      <c r="D626">
        <v>20022</v>
      </c>
    </row>
    <row r="627" spans="1:4" x14ac:dyDescent="0.2">
      <c r="A627">
        <v>3</v>
      </c>
      <c r="B627">
        <v>2</v>
      </c>
      <c r="C627">
        <v>2048</v>
      </c>
      <c r="D627">
        <v>20349</v>
      </c>
    </row>
    <row r="628" spans="1:4" x14ac:dyDescent="0.2">
      <c r="A628">
        <v>3</v>
      </c>
      <c r="B628">
        <v>2</v>
      </c>
      <c r="C628">
        <v>2049</v>
      </c>
      <c r="D628">
        <v>20676</v>
      </c>
    </row>
    <row r="629" spans="1:4" x14ac:dyDescent="0.2">
      <c r="A629">
        <v>3</v>
      </c>
      <c r="B629">
        <v>2</v>
      </c>
      <c r="C629">
        <v>2050</v>
      </c>
      <c r="D629">
        <v>20981</v>
      </c>
    </row>
    <row r="630" spans="1:4" x14ac:dyDescent="0.2">
      <c r="A630">
        <v>3</v>
      </c>
      <c r="B630">
        <v>2</v>
      </c>
      <c r="C630">
        <v>2051</v>
      </c>
      <c r="D630">
        <v>21258</v>
      </c>
    </row>
    <row r="631" spans="1:4" x14ac:dyDescent="0.2">
      <c r="A631">
        <v>3</v>
      </c>
      <c r="B631">
        <v>2</v>
      </c>
      <c r="C631">
        <v>2052</v>
      </c>
      <c r="D631">
        <v>21526</v>
      </c>
    </row>
    <row r="632" spans="1:4" x14ac:dyDescent="0.2">
      <c r="A632">
        <v>3</v>
      </c>
      <c r="B632">
        <v>2</v>
      </c>
      <c r="C632">
        <v>2053</v>
      </c>
      <c r="D632">
        <v>21759</v>
      </c>
    </row>
    <row r="633" spans="1:4" x14ac:dyDescent="0.2">
      <c r="A633">
        <v>3</v>
      </c>
      <c r="B633">
        <v>2</v>
      </c>
      <c r="C633">
        <v>2054</v>
      </c>
      <c r="D633">
        <v>21979</v>
      </c>
    </row>
    <row r="634" spans="1:4" x14ac:dyDescent="0.2">
      <c r="A634">
        <v>3</v>
      </c>
      <c r="B634">
        <v>2</v>
      </c>
      <c r="C634">
        <v>2055</v>
      </c>
      <c r="D634">
        <v>22191</v>
      </c>
    </row>
    <row r="635" spans="1:4" x14ac:dyDescent="0.2">
      <c r="A635">
        <v>3</v>
      </c>
      <c r="B635">
        <v>2</v>
      </c>
      <c r="C635">
        <v>2056</v>
      </c>
      <c r="D635">
        <v>22394</v>
      </c>
    </row>
    <row r="636" spans="1:4" x14ac:dyDescent="0.2">
      <c r="A636">
        <v>3</v>
      </c>
      <c r="B636">
        <v>2</v>
      </c>
      <c r="C636">
        <v>2057</v>
      </c>
      <c r="D636">
        <v>22577</v>
      </c>
    </row>
    <row r="637" spans="1:4" x14ac:dyDescent="0.2">
      <c r="A637">
        <v>3</v>
      </c>
      <c r="B637">
        <v>2</v>
      </c>
      <c r="C637">
        <v>2058</v>
      </c>
      <c r="D637">
        <v>22760</v>
      </c>
    </row>
    <row r="638" spans="1:4" x14ac:dyDescent="0.2">
      <c r="A638">
        <v>3</v>
      </c>
      <c r="B638">
        <v>2</v>
      </c>
      <c r="C638">
        <v>2059</v>
      </c>
      <c r="D638">
        <v>22934</v>
      </c>
    </row>
    <row r="639" spans="1:4" x14ac:dyDescent="0.2">
      <c r="A639">
        <v>3</v>
      </c>
      <c r="B639">
        <v>2</v>
      </c>
      <c r="C639">
        <v>2060</v>
      </c>
      <c r="D639">
        <v>23084</v>
      </c>
    </row>
    <row r="640" spans="1:4" x14ac:dyDescent="0.2">
      <c r="A640">
        <v>3</v>
      </c>
      <c r="B640">
        <v>2</v>
      </c>
      <c r="C640">
        <v>2061</v>
      </c>
      <c r="D640">
        <f>_xlfn.FORECAST.LINEAR(C640,D596:D639,C596:C639)</f>
        <v>24168.457716701902</v>
      </c>
    </row>
    <row r="641" spans="1:4" x14ac:dyDescent="0.2">
      <c r="A641">
        <v>3</v>
      </c>
      <c r="B641">
        <v>2</v>
      </c>
      <c r="C641">
        <v>2062</v>
      </c>
      <c r="D641">
        <f t="shared" ref="D641:D649" si="11">_xlfn.FORECAST.LINEAR(C641,D597:D640,C597:C640)</f>
        <v>24526.875648664194</v>
      </c>
    </row>
    <row r="642" spans="1:4" x14ac:dyDescent="0.2">
      <c r="A642">
        <v>3</v>
      </c>
      <c r="B642">
        <v>2</v>
      </c>
      <c r="C642">
        <v>2063</v>
      </c>
      <c r="D642">
        <f t="shared" si="11"/>
        <v>24883.578537284746</v>
      </c>
    </row>
    <row r="643" spans="1:4" x14ac:dyDescent="0.2">
      <c r="A643">
        <v>3</v>
      </c>
      <c r="B643">
        <v>2</v>
      </c>
      <c r="C643">
        <v>2064</v>
      </c>
      <c r="D643">
        <f t="shared" si="11"/>
        <v>25236.880602940568</v>
      </c>
    </row>
    <row r="644" spans="1:4" x14ac:dyDescent="0.2">
      <c r="A644">
        <v>3</v>
      </c>
      <c r="B644">
        <v>2</v>
      </c>
      <c r="C644">
        <v>2065</v>
      </c>
      <c r="D644">
        <f t="shared" si="11"/>
        <v>25587.799203516566</v>
      </c>
    </row>
    <row r="645" spans="1:4" x14ac:dyDescent="0.2">
      <c r="A645">
        <v>3</v>
      </c>
      <c r="B645">
        <v>2</v>
      </c>
      <c r="C645">
        <v>2066</v>
      </c>
      <c r="D645">
        <f t="shared" si="11"/>
        <v>25935.487738385214</v>
      </c>
    </row>
    <row r="646" spans="1:4" x14ac:dyDescent="0.2">
      <c r="A646">
        <v>3</v>
      </c>
      <c r="B646">
        <v>2</v>
      </c>
      <c r="C646">
        <v>2067</v>
      </c>
      <c r="D646">
        <f t="shared" si="11"/>
        <v>26280.038658442092</v>
      </c>
    </row>
    <row r="647" spans="1:4" x14ac:dyDescent="0.2">
      <c r="A647">
        <v>3</v>
      </c>
      <c r="B647">
        <v>2</v>
      </c>
      <c r="C647">
        <v>2068</v>
      </c>
      <c r="D647">
        <f t="shared" si="11"/>
        <v>26620.790335274534</v>
      </c>
    </row>
    <row r="648" spans="1:4" x14ac:dyDescent="0.2">
      <c r="A648">
        <v>3</v>
      </c>
      <c r="B648">
        <v>2</v>
      </c>
      <c r="C648">
        <v>2069</v>
      </c>
      <c r="D648">
        <f t="shared" si="11"/>
        <v>26957.760329477256</v>
      </c>
    </row>
    <row r="649" spans="1:4" x14ac:dyDescent="0.2">
      <c r="A649">
        <v>3</v>
      </c>
      <c r="B649">
        <v>2</v>
      </c>
      <c r="C649">
        <v>2070</v>
      </c>
      <c r="D649">
        <f t="shared" si="11"/>
        <v>27291.708176212385</v>
      </c>
    </row>
    <row r="650" spans="1:4" x14ac:dyDescent="0.2">
      <c r="A650">
        <v>4</v>
      </c>
      <c r="B650">
        <v>0</v>
      </c>
      <c r="C650">
        <v>2017</v>
      </c>
      <c r="D650">
        <v>90725</v>
      </c>
    </row>
    <row r="651" spans="1:4" x14ac:dyDescent="0.2">
      <c r="A651">
        <v>4</v>
      </c>
      <c r="B651">
        <v>0</v>
      </c>
      <c r="C651">
        <v>2018</v>
      </c>
      <c r="D651">
        <v>92963</v>
      </c>
    </row>
    <row r="652" spans="1:4" x14ac:dyDescent="0.2">
      <c r="A652">
        <v>4</v>
      </c>
      <c r="B652">
        <v>0</v>
      </c>
      <c r="C652">
        <v>2019</v>
      </c>
      <c r="D652">
        <v>95265</v>
      </c>
    </row>
    <row r="653" spans="1:4" x14ac:dyDescent="0.2">
      <c r="A653">
        <v>4</v>
      </c>
      <c r="B653">
        <v>0</v>
      </c>
      <c r="C653">
        <v>2020</v>
      </c>
      <c r="D653">
        <v>97716</v>
      </c>
    </row>
    <row r="654" spans="1:4" x14ac:dyDescent="0.2">
      <c r="A654">
        <v>4</v>
      </c>
      <c r="B654">
        <v>0</v>
      </c>
      <c r="C654">
        <v>2021</v>
      </c>
      <c r="D654">
        <v>100313</v>
      </c>
    </row>
    <row r="655" spans="1:4" x14ac:dyDescent="0.2">
      <c r="A655">
        <v>4</v>
      </c>
      <c r="B655">
        <v>0</v>
      </c>
      <c r="C655">
        <v>2022</v>
      </c>
      <c r="D655">
        <v>103074</v>
      </c>
    </row>
    <row r="656" spans="1:4" x14ac:dyDescent="0.2">
      <c r="A656">
        <v>4</v>
      </c>
      <c r="B656">
        <v>0</v>
      </c>
      <c r="C656">
        <v>2023</v>
      </c>
      <c r="D656">
        <v>106023</v>
      </c>
    </row>
    <row r="657" spans="1:4" x14ac:dyDescent="0.2">
      <c r="A657">
        <v>4</v>
      </c>
      <c r="B657">
        <v>0</v>
      </c>
      <c r="C657">
        <v>2024</v>
      </c>
      <c r="D657">
        <v>109158</v>
      </c>
    </row>
    <row r="658" spans="1:4" x14ac:dyDescent="0.2">
      <c r="A658">
        <v>4</v>
      </c>
      <c r="B658">
        <v>0</v>
      </c>
      <c r="C658">
        <v>2025</v>
      </c>
      <c r="D658">
        <v>112427</v>
      </c>
    </row>
    <row r="659" spans="1:4" x14ac:dyDescent="0.2">
      <c r="A659">
        <v>4</v>
      </c>
      <c r="B659">
        <v>0</v>
      </c>
      <c r="C659">
        <v>2026</v>
      </c>
      <c r="D659">
        <v>115918</v>
      </c>
    </row>
    <row r="660" spans="1:4" x14ac:dyDescent="0.2">
      <c r="A660">
        <v>4</v>
      </c>
      <c r="B660">
        <v>0</v>
      </c>
      <c r="C660">
        <v>2027</v>
      </c>
      <c r="D660">
        <v>119579</v>
      </c>
    </row>
    <row r="661" spans="1:4" x14ac:dyDescent="0.2">
      <c r="A661">
        <v>4</v>
      </c>
      <c r="B661">
        <v>0</v>
      </c>
      <c r="C661">
        <v>2028</v>
      </c>
      <c r="D661">
        <v>123436</v>
      </c>
    </row>
    <row r="662" spans="1:4" x14ac:dyDescent="0.2">
      <c r="A662">
        <v>4</v>
      </c>
      <c r="B662">
        <v>0</v>
      </c>
      <c r="C662">
        <v>2029</v>
      </c>
      <c r="D662">
        <v>127462</v>
      </c>
    </row>
    <row r="663" spans="1:4" x14ac:dyDescent="0.2">
      <c r="A663">
        <v>4</v>
      </c>
      <c r="B663">
        <v>0</v>
      </c>
      <c r="C663">
        <v>2030</v>
      </c>
      <c r="D663">
        <v>131643</v>
      </c>
    </row>
    <row r="664" spans="1:4" x14ac:dyDescent="0.2">
      <c r="A664">
        <v>4</v>
      </c>
      <c r="B664">
        <v>0</v>
      </c>
      <c r="C664">
        <v>2031</v>
      </c>
      <c r="D664">
        <v>135991</v>
      </c>
    </row>
    <row r="665" spans="1:4" x14ac:dyDescent="0.2">
      <c r="A665">
        <v>4</v>
      </c>
      <c r="B665">
        <v>0</v>
      </c>
      <c r="C665">
        <v>2032</v>
      </c>
      <c r="D665">
        <v>140437</v>
      </c>
    </row>
    <row r="666" spans="1:4" x14ac:dyDescent="0.2">
      <c r="A666">
        <v>4</v>
      </c>
      <c r="B666">
        <v>0</v>
      </c>
      <c r="C666">
        <v>2033</v>
      </c>
      <c r="D666">
        <v>145048</v>
      </c>
    </row>
    <row r="667" spans="1:4" x14ac:dyDescent="0.2">
      <c r="A667">
        <v>4</v>
      </c>
      <c r="B667">
        <v>0</v>
      </c>
      <c r="C667">
        <v>2034</v>
      </c>
      <c r="D667">
        <v>149744</v>
      </c>
    </row>
    <row r="668" spans="1:4" x14ac:dyDescent="0.2">
      <c r="A668">
        <v>4</v>
      </c>
      <c r="B668">
        <v>0</v>
      </c>
      <c r="C668">
        <v>2035</v>
      </c>
      <c r="D668">
        <v>154546</v>
      </c>
    </row>
    <row r="669" spans="1:4" x14ac:dyDescent="0.2">
      <c r="A669">
        <v>4</v>
      </c>
      <c r="B669">
        <v>0</v>
      </c>
      <c r="C669">
        <v>2036</v>
      </c>
      <c r="D669">
        <v>159416</v>
      </c>
    </row>
    <row r="670" spans="1:4" x14ac:dyDescent="0.2">
      <c r="A670">
        <v>4</v>
      </c>
      <c r="B670">
        <v>0</v>
      </c>
      <c r="C670">
        <v>2037</v>
      </c>
      <c r="D670">
        <v>164345</v>
      </c>
    </row>
    <row r="671" spans="1:4" x14ac:dyDescent="0.2">
      <c r="A671">
        <v>4</v>
      </c>
      <c r="B671">
        <v>0</v>
      </c>
      <c r="C671">
        <v>2038</v>
      </c>
      <c r="D671">
        <v>169315</v>
      </c>
    </row>
    <row r="672" spans="1:4" x14ac:dyDescent="0.2">
      <c r="A672">
        <v>4</v>
      </c>
      <c r="B672">
        <v>0</v>
      </c>
      <c r="C672">
        <v>2039</v>
      </c>
      <c r="D672">
        <v>174279</v>
      </c>
    </row>
    <row r="673" spans="1:4" x14ac:dyDescent="0.2">
      <c r="A673">
        <v>4</v>
      </c>
      <c r="B673">
        <v>0</v>
      </c>
      <c r="C673">
        <v>2040</v>
      </c>
      <c r="D673">
        <v>179269</v>
      </c>
    </row>
    <row r="674" spans="1:4" x14ac:dyDescent="0.2">
      <c r="A674">
        <v>4</v>
      </c>
      <c r="B674">
        <v>0</v>
      </c>
      <c r="C674">
        <v>2041</v>
      </c>
      <c r="D674">
        <v>184204</v>
      </c>
    </row>
    <row r="675" spans="1:4" x14ac:dyDescent="0.2">
      <c r="A675">
        <v>4</v>
      </c>
      <c r="B675">
        <v>0</v>
      </c>
      <c r="C675">
        <v>2042</v>
      </c>
      <c r="D675">
        <v>189142</v>
      </c>
    </row>
    <row r="676" spans="1:4" x14ac:dyDescent="0.2">
      <c r="A676">
        <v>4</v>
      </c>
      <c r="B676">
        <v>0</v>
      </c>
      <c r="C676">
        <v>2043</v>
      </c>
      <c r="D676">
        <v>193999</v>
      </c>
    </row>
    <row r="677" spans="1:4" x14ac:dyDescent="0.2">
      <c r="A677">
        <v>4</v>
      </c>
      <c r="B677">
        <v>0</v>
      </c>
      <c r="C677">
        <v>2044</v>
      </c>
      <c r="D677">
        <v>198834</v>
      </c>
    </row>
    <row r="678" spans="1:4" x14ac:dyDescent="0.2">
      <c r="A678">
        <v>4</v>
      </c>
      <c r="B678">
        <v>0</v>
      </c>
      <c r="C678">
        <v>2045</v>
      </c>
      <c r="D678">
        <v>203605</v>
      </c>
    </row>
    <row r="679" spans="1:4" x14ac:dyDescent="0.2">
      <c r="A679">
        <v>4</v>
      </c>
      <c r="B679">
        <v>0</v>
      </c>
      <c r="C679">
        <v>2046</v>
      </c>
      <c r="D679">
        <v>208294</v>
      </c>
    </row>
    <row r="680" spans="1:4" x14ac:dyDescent="0.2">
      <c r="A680">
        <v>4</v>
      </c>
      <c r="B680">
        <v>0</v>
      </c>
      <c r="C680">
        <v>2047</v>
      </c>
      <c r="D680">
        <v>212958</v>
      </c>
    </row>
    <row r="681" spans="1:4" x14ac:dyDescent="0.2">
      <c r="A681">
        <v>4</v>
      </c>
      <c r="B681">
        <v>0</v>
      </c>
      <c r="C681">
        <v>2048</v>
      </c>
      <c r="D681">
        <v>217538</v>
      </c>
    </row>
    <row r="682" spans="1:4" x14ac:dyDescent="0.2">
      <c r="A682">
        <v>4</v>
      </c>
      <c r="B682">
        <v>0</v>
      </c>
      <c r="C682">
        <v>2049</v>
      </c>
      <c r="D682">
        <v>222072</v>
      </c>
    </row>
    <row r="683" spans="1:4" x14ac:dyDescent="0.2">
      <c r="A683">
        <v>4</v>
      </c>
      <c r="B683">
        <v>0</v>
      </c>
      <c r="C683">
        <v>2050</v>
      </c>
      <c r="D683">
        <v>226577</v>
      </c>
    </row>
    <row r="684" spans="1:4" x14ac:dyDescent="0.2">
      <c r="A684">
        <v>4</v>
      </c>
      <c r="B684">
        <v>0</v>
      </c>
      <c r="C684">
        <v>2051</v>
      </c>
      <c r="D684">
        <v>231012</v>
      </c>
    </row>
    <row r="685" spans="1:4" x14ac:dyDescent="0.2">
      <c r="A685">
        <v>4</v>
      </c>
      <c r="B685">
        <v>0</v>
      </c>
      <c r="C685">
        <v>2052</v>
      </c>
      <c r="D685">
        <v>235436</v>
      </c>
    </row>
    <row r="686" spans="1:4" x14ac:dyDescent="0.2">
      <c r="A686">
        <v>4</v>
      </c>
      <c r="B686">
        <v>0</v>
      </c>
      <c r="C686">
        <v>2053</v>
      </c>
      <c r="D686">
        <v>239844</v>
      </c>
    </row>
    <row r="687" spans="1:4" x14ac:dyDescent="0.2">
      <c r="A687">
        <v>4</v>
      </c>
      <c r="B687">
        <v>0</v>
      </c>
      <c r="C687">
        <v>2054</v>
      </c>
      <c r="D687">
        <v>244274</v>
      </c>
    </row>
    <row r="688" spans="1:4" x14ac:dyDescent="0.2">
      <c r="A688">
        <v>4</v>
      </c>
      <c r="B688">
        <v>0</v>
      </c>
      <c r="C688">
        <v>2055</v>
      </c>
      <c r="D688">
        <v>248714</v>
      </c>
    </row>
    <row r="689" spans="1:4" x14ac:dyDescent="0.2">
      <c r="A689">
        <v>4</v>
      </c>
      <c r="B689">
        <v>0</v>
      </c>
      <c r="C689">
        <v>2056</v>
      </c>
      <c r="D689">
        <v>253169</v>
      </c>
    </row>
    <row r="690" spans="1:4" x14ac:dyDescent="0.2">
      <c r="A690">
        <v>4</v>
      </c>
      <c r="B690">
        <v>0</v>
      </c>
      <c r="C690">
        <v>2057</v>
      </c>
      <c r="D690">
        <v>257642</v>
      </c>
    </row>
    <row r="691" spans="1:4" x14ac:dyDescent="0.2">
      <c r="A691">
        <v>4</v>
      </c>
      <c r="B691">
        <v>0</v>
      </c>
      <c r="C691">
        <v>2058</v>
      </c>
      <c r="D691">
        <v>262118</v>
      </c>
    </row>
    <row r="692" spans="1:4" x14ac:dyDescent="0.2">
      <c r="A692">
        <v>4</v>
      </c>
      <c r="B692">
        <v>0</v>
      </c>
      <c r="C692">
        <v>2059</v>
      </c>
      <c r="D692">
        <v>266626</v>
      </c>
    </row>
    <row r="693" spans="1:4" x14ac:dyDescent="0.2">
      <c r="A693">
        <v>4</v>
      </c>
      <c r="B693">
        <v>0</v>
      </c>
      <c r="C693">
        <v>2060</v>
      </c>
      <c r="D693">
        <v>271186</v>
      </c>
    </row>
    <row r="694" spans="1:4" x14ac:dyDescent="0.2">
      <c r="A694">
        <v>4</v>
      </c>
      <c r="B694">
        <v>0</v>
      </c>
      <c r="C694">
        <v>2061</v>
      </c>
      <c r="D694">
        <f>_xlfn.FORECAST.LINEAR(C694,D650:D693,C650:C693)</f>
        <v>273587.19767441787</v>
      </c>
    </row>
    <row r="695" spans="1:4" x14ac:dyDescent="0.2">
      <c r="A695">
        <v>4</v>
      </c>
      <c r="B695">
        <v>0</v>
      </c>
      <c r="C695">
        <v>2062</v>
      </c>
      <c r="D695">
        <f t="shared" ref="D695:D703" si="12">_xlfn.FORECAST.LINEAR(C695,D651:D694,C651:C694)</f>
        <v>278561.65961945057</v>
      </c>
    </row>
    <row r="696" spans="1:4" x14ac:dyDescent="0.2">
      <c r="A696">
        <v>4</v>
      </c>
      <c r="B696">
        <v>0</v>
      </c>
      <c r="C696">
        <v>2063</v>
      </c>
      <c r="D696">
        <f t="shared" si="12"/>
        <v>283517.26864085533</v>
      </c>
    </row>
    <row r="697" spans="1:4" x14ac:dyDescent="0.2">
      <c r="A697">
        <v>4</v>
      </c>
      <c r="B697">
        <v>0</v>
      </c>
      <c r="C697">
        <v>2064</v>
      </c>
      <c r="D697">
        <f t="shared" si="12"/>
        <v>288446.74488951638</v>
      </c>
    </row>
    <row r="698" spans="1:4" x14ac:dyDescent="0.2">
      <c r="A698">
        <v>4</v>
      </c>
      <c r="B698">
        <v>0</v>
      </c>
      <c r="C698">
        <v>2065</v>
      </c>
      <c r="D698">
        <f t="shared" si="12"/>
        <v>293346.54265134782</v>
      </c>
    </row>
    <row r="699" spans="1:4" x14ac:dyDescent="0.2">
      <c r="A699">
        <v>4</v>
      </c>
      <c r="B699">
        <v>0</v>
      </c>
      <c r="C699">
        <v>2066</v>
      </c>
      <c r="D699">
        <f t="shared" si="12"/>
        <v>298213.20338659547</v>
      </c>
    </row>
    <row r="700" spans="1:4" x14ac:dyDescent="0.2">
      <c r="A700">
        <v>4</v>
      </c>
      <c r="B700">
        <v>0</v>
      </c>
      <c r="C700">
        <v>2067</v>
      </c>
      <c r="D700">
        <f t="shared" si="12"/>
        <v>303044.38652699813</v>
      </c>
    </row>
    <row r="701" spans="1:4" x14ac:dyDescent="0.2">
      <c r="A701">
        <v>4</v>
      </c>
      <c r="B701">
        <v>0</v>
      </c>
      <c r="C701">
        <v>2068</v>
      </c>
      <c r="D701">
        <f t="shared" si="12"/>
        <v>307839.33091466688</v>
      </c>
    </row>
    <row r="702" spans="1:4" x14ac:dyDescent="0.2">
      <c r="A702">
        <v>4</v>
      </c>
      <c r="B702">
        <v>0</v>
      </c>
      <c r="C702">
        <v>2069</v>
      </c>
      <c r="D702">
        <f t="shared" si="12"/>
        <v>312597.81764668971</v>
      </c>
    </row>
    <row r="703" spans="1:4" x14ac:dyDescent="0.2">
      <c r="A703">
        <v>4</v>
      </c>
      <c r="B703">
        <v>0</v>
      </c>
      <c r="C703">
        <v>2070</v>
      </c>
      <c r="D703">
        <f t="shared" si="12"/>
        <v>317317.78415271826</v>
      </c>
    </row>
    <row r="704" spans="1:4" x14ac:dyDescent="0.2">
      <c r="A704">
        <v>4</v>
      </c>
      <c r="B704">
        <v>1</v>
      </c>
      <c r="C704">
        <v>2017</v>
      </c>
      <c r="D704">
        <v>46226</v>
      </c>
    </row>
    <row r="705" spans="1:4" x14ac:dyDescent="0.2">
      <c r="A705">
        <v>4</v>
      </c>
      <c r="B705">
        <v>1</v>
      </c>
      <c r="C705">
        <v>2018</v>
      </c>
      <c r="D705">
        <v>47293</v>
      </c>
    </row>
    <row r="706" spans="1:4" x14ac:dyDescent="0.2">
      <c r="A706">
        <v>4</v>
      </c>
      <c r="B706">
        <v>1</v>
      </c>
      <c r="C706">
        <v>2019</v>
      </c>
      <c r="D706">
        <v>48404</v>
      </c>
    </row>
    <row r="707" spans="1:4" x14ac:dyDescent="0.2">
      <c r="A707">
        <v>4</v>
      </c>
      <c r="B707">
        <v>1</v>
      </c>
      <c r="C707">
        <v>2020</v>
      </c>
      <c r="D707">
        <v>49594</v>
      </c>
    </row>
    <row r="708" spans="1:4" x14ac:dyDescent="0.2">
      <c r="A708">
        <v>4</v>
      </c>
      <c r="B708">
        <v>1</v>
      </c>
      <c r="C708">
        <v>2021</v>
      </c>
      <c r="D708">
        <v>50872</v>
      </c>
    </row>
    <row r="709" spans="1:4" x14ac:dyDescent="0.2">
      <c r="A709">
        <v>4</v>
      </c>
      <c r="B709">
        <v>1</v>
      </c>
      <c r="C709">
        <v>2022</v>
      </c>
      <c r="D709">
        <v>52217</v>
      </c>
    </row>
    <row r="710" spans="1:4" x14ac:dyDescent="0.2">
      <c r="A710">
        <v>4</v>
      </c>
      <c r="B710">
        <v>1</v>
      </c>
      <c r="C710">
        <v>2023</v>
      </c>
      <c r="D710">
        <v>53661</v>
      </c>
    </row>
    <row r="711" spans="1:4" x14ac:dyDescent="0.2">
      <c r="A711">
        <v>4</v>
      </c>
      <c r="B711">
        <v>1</v>
      </c>
      <c r="C711">
        <v>2024</v>
      </c>
      <c r="D711">
        <v>55164</v>
      </c>
    </row>
    <row r="712" spans="1:4" x14ac:dyDescent="0.2">
      <c r="A712">
        <v>4</v>
      </c>
      <c r="B712">
        <v>1</v>
      </c>
      <c r="C712">
        <v>2025</v>
      </c>
      <c r="D712">
        <v>56722</v>
      </c>
    </row>
    <row r="713" spans="1:4" x14ac:dyDescent="0.2">
      <c r="A713">
        <v>4</v>
      </c>
      <c r="B713">
        <v>1</v>
      </c>
      <c r="C713">
        <v>2026</v>
      </c>
      <c r="D713">
        <v>58378</v>
      </c>
    </row>
    <row r="714" spans="1:4" x14ac:dyDescent="0.2">
      <c r="A714">
        <v>4</v>
      </c>
      <c r="B714">
        <v>1</v>
      </c>
      <c r="C714">
        <v>2027</v>
      </c>
      <c r="D714">
        <v>60090</v>
      </c>
    </row>
    <row r="715" spans="1:4" x14ac:dyDescent="0.2">
      <c r="A715">
        <v>4</v>
      </c>
      <c r="B715">
        <v>1</v>
      </c>
      <c r="C715">
        <v>2028</v>
      </c>
      <c r="D715">
        <v>61886</v>
      </c>
    </row>
    <row r="716" spans="1:4" x14ac:dyDescent="0.2">
      <c r="A716">
        <v>4</v>
      </c>
      <c r="B716">
        <v>1</v>
      </c>
      <c r="C716">
        <v>2029</v>
      </c>
      <c r="D716">
        <v>63755</v>
      </c>
    </row>
    <row r="717" spans="1:4" x14ac:dyDescent="0.2">
      <c r="A717">
        <v>4</v>
      </c>
      <c r="B717">
        <v>1</v>
      </c>
      <c r="C717">
        <v>2030</v>
      </c>
      <c r="D717">
        <v>65677</v>
      </c>
    </row>
    <row r="718" spans="1:4" x14ac:dyDescent="0.2">
      <c r="A718">
        <v>4</v>
      </c>
      <c r="B718">
        <v>1</v>
      </c>
      <c r="C718">
        <v>2031</v>
      </c>
      <c r="D718">
        <v>67655</v>
      </c>
    </row>
    <row r="719" spans="1:4" x14ac:dyDescent="0.2">
      <c r="A719">
        <v>4</v>
      </c>
      <c r="B719">
        <v>1</v>
      </c>
      <c r="C719">
        <v>2032</v>
      </c>
      <c r="D719">
        <v>69643</v>
      </c>
    </row>
    <row r="720" spans="1:4" x14ac:dyDescent="0.2">
      <c r="A720">
        <v>4</v>
      </c>
      <c r="B720">
        <v>1</v>
      </c>
      <c r="C720">
        <v>2033</v>
      </c>
      <c r="D720">
        <v>71713</v>
      </c>
    </row>
    <row r="721" spans="1:4" x14ac:dyDescent="0.2">
      <c r="A721">
        <v>4</v>
      </c>
      <c r="B721">
        <v>1</v>
      </c>
      <c r="C721">
        <v>2034</v>
      </c>
      <c r="D721">
        <v>73798</v>
      </c>
    </row>
    <row r="722" spans="1:4" x14ac:dyDescent="0.2">
      <c r="A722">
        <v>4</v>
      </c>
      <c r="B722">
        <v>1</v>
      </c>
      <c r="C722">
        <v>2035</v>
      </c>
      <c r="D722">
        <v>75914</v>
      </c>
    </row>
    <row r="723" spans="1:4" x14ac:dyDescent="0.2">
      <c r="A723">
        <v>4</v>
      </c>
      <c r="B723">
        <v>1</v>
      </c>
      <c r="C723">
        <v>2036</v>
      </c>
      <c r="D723">
        <v>78058</v>
      </c>
    </row>
    <row r="724" spans="1:4" x14ac:dyDescent="0.2">
      <c r="A724">
        <v>4</v>
      </c>
      <c r="B724">
        <v>1</v>
      </c>
      <c r="C724">
        <v>2037</v>
      </c>
      <c r="D724">
        <v>80212</v>
      </c>
    </row>
    <row r="725" spans="1:4" x14ac:dyDescent="0.2">
      <c r="A725">
        <v>4</v>
      </c>
      <c r="B725">
        <v>1</v>
      </c>
      <c r="C725">
        <v>2038</v>
      </c>
      <c r="D725">
        <v>82384</v>
      </c>
    </row>
    <row r="726" spans="1:4" x14ac:dyDescent="0.2">
      <c r="A726">
        <v>4</v>
      </c>
      <c r="B726">
        <v>1</v>
      </c>
      <c r="C726">
        <v>2039</v>
      </c>
      <c r="D726">
        <v>84547</v>
      </c>
    </row>
    <row r="727" spans="1:4" x14ac:dyDescent="0.2">
      <c r="A727">
        <v>4</v>
      </c>
      <c r="B727">
        <v>1</v>
      </c>
      <c r="C727">
        <v>2040</v>
      </c>
      <c r="D727">
        <v>86716</v>
      </c>
    </row>
    <row r="728" spans="1:4" x14ac:dyDescent="0.2">
      <c r="A728">
        <v>4</v>
      </c>
      <c r="B728">
        <v>1</v>
      </c>
      <c r="C728">
        <v>2041</v>
      </c>
      <c r="D728">
        <v>88861</v>
      </c>
    </row>
    <row r="729" spans="1:4" x14ac:dyDescent="0.2">
      <c r="A729">
        <v>4</v>
      </c>
      <c r="B729">
        <v>1</v>
      </c>
      <c r="C729">
        <v>2042</v>
      </c>
      <c r="D729">
        <v>91013</v>
      </c>
    </row>
    <row r="730" spans="1:4" x14ac:dyDescent="0.2">
      <c r="A730">
        <v>4</v>
      </c>
      <c r="B730">
        <v>1</v>
      </c>
      <c r="C730">
        <v>2043</v>
      </c>
      <c r="D730">
        <v>93141</v>
      </c>
    </row>
    <row r="731" spans="1:4" x14ac:dyDescent="0.2">
      <c r="A731">
        <v>4</v>
      </c>
      <c r="B731">
        <v>1</v>
      </c>
      <c r="C731">
        <v>2044</v>
      </c>
      <c r="D731">
        <v>95264</v>
      </c>
    </row>
    <row r="732" spans="1:4" x14ac:dyDescent="0.2">
      <c r="A732">
        <v>4</v>
      </c>
      <c r="B732">
        <v>1</v>
      </c>
      <c r="C732">
        <v>2045</v>
      </c>
      <c r="D732">
        <v>97364</v>
      </c>
    </row>
    <row r="733" spans="1:4" x14ac:dyDescent="0.2">
      <c r="A733">
        <v>4</v>
      </c>
      <c r="B733">
        <v>1</v>
      </c>
      <c r="C733">
        <v>2046</v>
      </c>
      <c r="D733">
        <v>99445</v>
      </c>
    </row>
    <row r="734" spans="1:4" x14ac:dyDescent="0.2">
      <c r="A734">
        <v>4</v>
      </c>
      <c r="B734">
        <v>1</v>
      </c>
      <c r="C734">
        <v>2047</v>
      </c>
      <c r="D734">
        <v>101512</v>
      </c>
    </row>
    <row r="735" spans="1:4" x14ac:dyDescent="0.2">
      <c r="A735">
        <v>4</v>
      </c>
      <c r="B735">
        <v>1</v>
      </c>
      <c r="C735">
        <v>2048</v>
      </c>
      <c r="D735">
        <v>103555</v>
      </c>
    </row>
    <row r="736" spans="1:4" x14ac:dyDescent="0.2">
      <c r="A736">
        <v>4</v>
      </c>
      <c r="B736">
        <v>1</v>
      </c>
      <c r="C736">
        <v>2049</v>
      </c>
      <c r="D736">
        <v>105587</v>
      </c>
    </row>
    <row r="737" spans="1:4" x14ac:dyDescent="0.2">
      <c r="A737">
        <v>4</v>
      </c>
      <c r="B737">
        <v>1</v>
      </c>
      <c r="C737">
        <v>2050</v>
      </c>
      <c r="D737">
        <v>107610</v>
      </c>
    </row>
    <row r="738" spans="1:4" x14ac:dyDescent="0.2">
      <c r="A738">
        <v>4</v>
      </c>
      <c r="B738">
        <v>1</v>
      </c>
      <c r="C738">
        <v>2051</v>
      </c>
      <c r="D738">
        <v>109622</v>
      </c>
    </row>
    <row r="739" spans="1:4" x14ac:dyDescent="0.2">
      <c r="A739">
        <v>4</v>
      </c>
      <c r="B739">
        <v>1</v>
      </c>
      <c r="C739">
        <v>2052</v>
      </c>
      <c r="D739">
        <v>111649</v>
      </c>
    </row>
    <row r="740" spans="1:4" x14ac:dyDescent="0.2">
      <c r="A740">
        <v>4</v>
      </c>
      <c r="B740">
        <v>1</v>
      </c>
      <c r="C740">
        <v>2053</v>
      </c>
      <c r="D740">
        <v>113663</v>
      </c>
    </row>
    <row r="741" spans="1:4" x14ac:dyDescent="0.2">
      <c r="A741">
        <v>4</v>
      </c>
      <c r="B741">
        <v>1</v>
      </c>
      <c r="C741">
        <v>2054</v>
      </c>
      <c r="D741">
        <v>115693</v>
      </c>
    </row>
    <row r="742" spans="1:4" x14ac:dyDescent="0.2">
      <c r="A742">
        <v>4</v>
      </c>
      <c r="B742">
        <v>1</v>
      </c>
      <c r="C742">
        <v>2055</v>
      </c>
      <c r="D742">
        <v>117719</v>
      </c>
    </row>
    <row r="743" spans="1:4" x14ac:dyDescent="0.2">
      <c r="A743">
        <v>4</v>
      </c>
      <c r="B743">
        <v>1</v>
      </c>
      <c r="C743">
        <v>2056</v>
      </c>
      <c r="D743">
        <v>119755</v>
      </c>
    </row>
    <row r="744" spans="1:4" x14ac:dyDescent="0.2">
      <c r="A744">
        <v>4</v>
      </c>
      <c r="B744">
        <v>1</v>
      </c>
      <c r="C744">
        <v>2057</v>
      </c>
      <c r="D744">
        <v>121813</v>
      </c>
    </row>
    <row r="745" spans="1:4" x14ac:dyDescent="0.2">
      <c r="A745">
        <v>4</v>
      </c>
      <c r="B745">
        <v>1</v>
      </c>
      <c r="C745">
        <v>2058</v>
      </c>
      <c r="D745">
        <v>123862</v>
      </c>
    </row>
    <row r="746" spans="1:4" x14ac:dyDescent="0.2">
      <c r="A746">
        <v>4</v>
      </c>
      <c r="B746">
        <v>1</v>
      </c>
      <c r="C746">
        <v>2059</v>
      </c>
      <c r="D746">
        <v>125924</v>
      </c>
    </row>
    <row r="747" spans="1:4" x14ac:dyDescent="0.2">
      <c r="A747">
        <v>4</v>
      </c>
      <c r="B747">
        <v>1</v>
      </c>
      <c r="C747">
        <v>2060</v>
      </c>
      <c r="D747">
        <v>128003</v>
      </c>
    </row>
    <row r="748" spans="1:4" x14ac:dyDescent="0.2">
      <c r="A748">
        <v>4</v>
      </c>
      <c r="B748">
        <v>2</v>
      </c>
      <c r="C748">
        <v>2017</v>
      </c>
      <c r="D748">
        <v>44499</v>
      </c>
    </row>
    <row r="749" spans="1:4" x14ac:dyDescent="0.2">
      <c r="A749">
        <v>4</v>
      </c>
      <c r="B749">
        <v>2</v>
      </c>
      <c r="C749">
        <v>2018</v>
      </c>
      <c r="D749">
        <v>45670</v>
      </c>
    </row>
    <row r="750" spans="1:4" x14ac:dyDescent="0.2">
      <c r="A750">
        <v>4</v>
      </c>
      <c r="B750">
        <v>2</v>
      </c>
      <c r="C750">
        <v>2019</v>
      </c>
      <c r="D750">
        <v>46861</v>
      </c>
    </row>
    <row r="751" spans="1:4" x14ac:dyDescent="0.2">
      <c r="A751">
        <v>4</v>
      </c>
      <c r="B751">
        <v>2</v>
      </c>
      <c r="C751">
        <v>2020</v>
      </c>
      <c r="D751">
        <v>48122</v>
      </c>
    </row>
    <row r="752" spans="1:4" x14ac:dyDescent="0.2">
      <c r="A752">
        <v>4</v>
      </c>
      <c r="B752">
        <v>2</v>
      </c>
      <c r="C752">
        <v>2021</v>
      </c>
      <c r="D752">
        <v>49441</v>
      </c>
    </row>
    <row r="753" spans="1:4" x14ac:dyDescent="0.2">
      <c r="A753">
        <v>4</v>
      </c>
      <c r="B753">
        <v>2</v>
      </c>
      <c r="C753">
        <v>2022</v>
      </c>
      <c r="D753">
        <v>50857</v>
      </c>
    </row>
    <row r="754" spans="1:4" x14ac:dyDescent="0.2">
      <c r="A754">
        <v>4</v>
      </c>
      <c r="B754">
        <v>2</v>
      </c>
      <c r="C754">
        <v>2023</v>
      </c>
      <c r="D754">
        <v>52362</v>
      </c>
    </row>
    <row r="755" spans="1:4" x14ac:dyDescent="0.2">
      <c r="A755">
        <v>4</v>
      </c>
      <c r="B755">
        <v>2</v>
      </c>
      <c r="C755">
        <v>2024</v>
      </c>
      <c r="D755">
        <v>53994</v>
      </c>
    </row>
    <row r="756" spans="1:4" x14ac:dyDescent="0.2">
      <c r="A756">
        <v>4</v>
      </c>
      <c r="B756">
        <v>2</v>
      </c>
      <c r="C756">
        <v>2025</v>
      </c>
      <c r="D756">
        <v>55705</v>
      </c>
    </row>
    <row r="757" spans="1:4" x14ac:dyDescent="0.2">
      <c r="A757">
        <v>4</v>
      </c>
      <c r="B757">
        <v>2</v>
      </c>
      <c r="C757">
        <v>2026</v>
      </c>
      <c r="D757">
        <v>57540</v>
      </c>
    </row>
    <row r="758" spans="1:4" x14ac:dyDescent="0.2">
      <c r="A758">
        <v>4</v>
      </c>
      <c r="B758">
        <v>2</v>
      </c>
      <c r="C758">
        <v>2027</v>
      </c>
      <c r="D758">
        <v>59489</v>
      </c>
    </row>
    <row r="759" spans="1:4" x14ac:dyDescent="0.2">
      <c r="A759">
        <v>4</v>
      </c>
      <c r="B759">
        <v>2</v>
      </c>
      <c r="C759">
        <v>2028</v>
      </c>
      <c r="D759">
        <v>61550</v>
      </c>
    </row>
    <row r="760" spans="1:4" x14ac:dyDescent="0.2">
      <c r="A760">
        <v>4</v>
      </c>
      <c r="B760">
        <v>2</v>
      </c>
      <c r="C760">
        <v>2029</v>
      </c>
      <c r="D760">
        <v>63707</v>
      </c>
    </row>
    <row r="761" spans="1:4" x14ac:dyDescent="0.2">
      <c r="A761">
        <v>4</v>
      </c>
      <c r="B761">
        <v>2</v>
      </c>
      <c r="C761">
        <v>2030</v>
      </c>
      <c r="D761">
        <v>65966</v>
      </c>
    </row>
    <row r="762" spans="1:4" x14ac:dyDescent="0.2">
      <c r="A762">
        <v>4</v>
      </c>
      <c r="B762">
        <v>2</v>
      </c>
      <c r="C762">
        <v>2031</v>
      </c>
      <c r="D762">
        <v>68336</v>
      </c>
    </row>
    <row r="763" spans="1:4" x14ac:dyDescent="0.2">
      <c r="A763">
        <v>4</v>
      </c>
      <c r="B763">
        <v>2</v>
      </c>
      <c r="C763">
        <v>2032</v>
      </c>
      <c r="D763">
        <v>70794</v>
      </c>
    </row>
    <row r="764" spans="1:4" x14ac:dyDescent="0.2">
      <c r="A764">
        <v>4</v>
      </c>
      <c r="B764">
        <v>2</v>
      </c>
      <c r="C764">
        <v>2033</v>
      </c>
      <c r="D764">
        <v>73335</v>
      </c>
    </row>
    <row r="765" spans="1:4" x14ac:dyDescent="0.2">
      <c r="A765">
        <v>4</v>
      </c>
      <c r="B765">
        <v>2</v>
      </c>
      <c r="C765">
        <v>2034</v>
      </c>
      <c r="D765">
        <v>75946</v>
      </c>
    </row>
    <row r="766" spans="1:4" x14ac:dyDescent="0.2">
      <c r="A766">
        <v>4</v>
      </c>
      <c r="B766">
        <v>2</v>
      </c>
      <c r="C766">
        <v>2035</v>
      </c>
      <c r="D766">
        <v>78632</v>
      </c>
    </row>
    <row r="767" spans="1:4" x14ac:dyDescent="0.2">
      <c r="A767">
        <v>4</v>
      </c>
      <c r="B767">
        <v>2</v>
      </c>
      <c r="C767">
        <v>2036</v>
      </c>
      <c r="D767">
        <v>81358</v>
      </c>
    </row>
    <row r="768" spans="1:4" x14ac:dyDescent="0.2">
      <c r="A768">
        <v>4</v>
      </c>
      <c r="B768">
        <v>2</v>
      </c>
      <c r="C768">
        <v>2037</v>
      </c>
      <c r="D768">
        <v>84133</v>
      </c>
    </row>
    <row r="769" spans="1:4" x14ac:dyDescent="0.2">
      <c r="A769">
        <v>4</v>
      </c>
      <c r="B769">
        <v>2</v>
      </c>
      <c r="C769">
        <v>2038</v>
      </c>
      <c r="D769">
        <v>86931</v>
      </c>
    </row>
    <row r="770" spans="1:4" x14ac:dyDescent="0.2">
      <c r="A770">
        <v>4</v>
      </c>
      <c r="B770">
        <v>2</v>
      </c>
      <c r="C770">
        <v>2039</v>
      </c>
      <c r="D770">
        <v>89732</v>
      </c>
    </row>
    <row r="771" spans="1:4" x14ac:dyDescent="0.2">
      <c r="A771">
        <v>4</v>
      </c>
      <c r="B771">
        <v>2</v>
      </c>
      <c r="C771">
        <v>2040</v>
      </c>
      <c r="D771">
        <v>92553</v>
      </c>
    </row>
    <row r="772" spans="1:4" x14ac:dyDescent="0.2">
      <c r="A772">
        <v>4</v>
      </c>
      <c r="B772">
        <v>2</v>
      </c>
      <c r="C772">
        <v>2041</v>
      </c>
      <c r="D772">
        <v>95343</v>
      </c>
    </row>
    <row r="773" spans="1:4" x14ac:dyDescent="0.2">
      <c r="A773">
        <v>4</v>
      </c>
      <c r="B773">
        <v>2</v>
      </c>
      <c r="C773">
        <v>2042</v>
      </c>
      <c r="D773">
        <v>98129</v>
      </c>
    </row>
    <row r="774" spans="1:4" x14ac:dyDescent="0.2">
      <c r="A774">
        <v>4</v>
      </c>
      <c r="B774">
        <v>2</v>
      </c>
      <c r="C774">
        <v>2043</v>
      </c>
      <c r="D774">
        <v>100858</v>
      </c>
    </row>
    <row r="775" spans="1:4" x14ac:dyDescent="0.2">
      <c r="A775">
        <v>4</v>
      </c>
      <c r="B775">
        <v>2</v>
      </c>
      <c r="C775">
        <v>2044</v>
      </c>
      <c r="D775">
        <v>103570</v>
      </c>
    </row>
    <row r="776" spans="1:4" x14ac:dyDescent="0.2">
      <c r="A776">
        <v>4</v>
      </c>
      <c r="B776">
        <v>2</v>
      </c>
      <c r="C776">
        <v>2045</v>
      </c>
      <c r="D776">
        <v>106241</v>
      </c>
    </row>
    <row r="777" spans="1:4" x14ac:dyDescent="0.2">
      <c r="A777">
        <v>4</v>
      </c>
      <c r="B777">
        <v>2</v>
      </c>
      <c r="C777">
        <v>2046</v>
      </c>
      <c r="D777">
        <v>108849</v>
      </c>
    </row>
    <row r="778" spans="1:4" x14ac:dyDescent="0.2">
      <c r="A778">
        <v>4</v>
      </c>
      <c r="B778">
        <v>2</v>
      </c>
      <c r="C778">
        <v>2047</v>
      </c>
      <c r="D778">
        <v>111446</v>
      </c>
    </row>
    <row r="779" spans="1:4" x14ac:dyDescent="0.2">
      <c r="A779">
        <v>4</v>
      </c>
      <c r="B779">
        <v>2</v>
      </c>
      <c r="C779">
        <v>2048</v>
      </c>
      <c r="D779">
        <v>113983</v>
      </c>
    </row>
    <row r="780" spans="1:4" x14ac:dyDescent="0.2">
      <c r="A780">
        <v>4</v>
      </c>
      <c r="B780">
        <v>2</v>
      </c>
      <c r="C780">
        <v>2049</v>
      </c>
      <c r="D780">
        <v>116485</v>
      </c>
    </row>
    <row r="781" spans="1:4" x14ac:dyDescent="0.2">
      <c r="A781">
        <v>4</v>
      </c>
      <c r="B781">
        <v>2</v>
      </c>
      <c r="C781">
        <v>2050</v>
      </c>
      <c r="D781">
        <v>118967</v>
      </c>
    </row>
    <row r="782" spans="1:4" x14ac:dyDescent="0.2">
      <c r="A782">
        <v>4</v>
      </c>
      <c r="B782">
        <v>2</v>
      </c>
      <c r="C782">
        <v>2051</v>
      </c>
      <c r="D782">
        <v>121390</v>
      </c>
    </row>
    <row r="783" spans="1:4" x14ac:dyDescent="0.2">
      <c r="A783">
        <v>4</v>
      </c>
      <c r="B783">
        <v>2</v>
      </c>
      <c r="C783">
        <v>2052</v>
      </c>
      <c r="D783">
        <v>123787</v>
      </c>
    </row>
    <row r="784" spans="1:4" x14ac:dyDescent="0.2">
      <c r="A784">
        <v>4</v>
      </c>
      <c r="B784">
        <v>2</v>
      </c>
      <c r="C784">
        <v>2053</v>
      </c>
      <c r="D784">
        <v>126181</v>
      </c>
    </row>
    <row r="785" spans="1:4" x14ac:dyDescent="0.2">
      <c r="A785">
        <v>4</v>
      </c>
      <c r="B785">
        <v>2</v>
      </c>
      <c r="C785">
        <v>2054</v>
      </c>
      <c r="D785">
        <v>128581</v>
      </c>
    </row>
    <row r="786" spans="1:4" x14ac:dyDescent="0.2">
      <c r="A786">
        <v>4</v>
      </c>
      <c r="B786">
        <v>2</v>
      </c>
      <c r="C786">
        <v>2055</v>
      </c>
      <c r="D786">
        <v>130995</v>
      </c>
    </row>
    <row r="787" spans="1:4" x14ac:dyDescent="0.2">
      <c r="A787">
        <v>4</v>
      </c>
      <c r="B787">
        <v>2</v>
      </c>
      <c r="C787">
        <v>2056</v>
      </c>
      <c r="D787">
        <v>133414</v>
      </c>
    </row>
    <row r="788" spans="1:4" x14ac:dyDescent="0.2">
      <c r="A788">
        <v>4</v>
      </c>
      <c r="B788">
        <v>2</v>
      </c>
      <c r="C788">
        <v>2057</v>
      </c>
      <c r="D788">
        <v>135829</v>
      </c>
    </row>
    <row r="789" spans="1:4" x14ac:dyDescent="0.2">
      <c r="A789">
        <v>4</v>
      </c>
      <c r="B789">
        <v>2</v>
      </c>
      <c r="C789">
        <v>2058</v>
      </c>
      <c r="D789">
        <v>138256</v>
      </c>
    </row>
    <row r="790" spans="1:4" x14ac:dyDescent="0.2">
      <c r="A790">
        <v>4</v>
      </c>
      <c r="B790">
        <v>2</v>
      </c>
      <c r="C790">
        <v>2059</v>
      </c>
      <c r="D790">
        <v>140702</v>
      </c>
    </row>
    <row r="791" spans="1:4" x14ac:dyDescent="0.2">
      <c r="A791">
        <v>4</v>
      </c>
      <c r="B791">
        <v>2</v>
      </c>
      <c r="C791">
        <v>2060</v>
      </c>
      <c r="D791">
        <v>143183</v>
      </c>
    </row>
    <row r="792" spans="1:4" x14ac:dyDescent="0.2">
      <c r="A792">
        <v>5</v>
      </c>
      <c r="B792">
        <v>0</v>
      </c>
      <c r="C792">
        <v>2017</v>
      </c>
      <c r="D792">
        <v>3007</v>
      </c>
    </row>
    <row r="793" spans="1:4" x14ac:dyDescent="0.2">
      <c r="A793">
        <v>5</v>
      </c>
      <c r="B793">
        <v>0</v>
      </c>
      <c r="C793">
        <v>2018</v>
      </c>
      <c r="D793">
        <v>3109</v>
      </c>
    </row>
    <row r="794" spans="1:4" x14ac:dyDescent="0.2">
      <c r="A794">
        <v>5</v>
      </c>
      <c r="B794">
        <v>0</v>
      </c>
      <c r="C794">
        <v>2019</v>
      </c>
      <c r="D794">
        <v>3176</v>
      </c>
    </row>
    <row r="795" spans="1:4" x14ac:dyDescent="0.2">
      <c r="A795">
        <v>5</v>
      </c>
      <c r="B795">
        <v>0</v>
      </c>
      <c r="C795">
        <v>2020</v>
      </c>
      <c r="D795">
        <v>3270</v>
      </c>
    </row>
    <row r="796" spans="1:4" x14ac:dyDescent="0.2">
      <c r="A796">
        <v>5</v>
      </c>
      <c r="B796">
        <v>0</v>
      </c>
      <c r="C796">
        <v>2021</v>
      </c>
      <c r="D796">
        <v>3360</v>
      </c>
    </row>
    <row r="797" spans="1:4" x14ac:dyDescent="0.2">
      <c r="A797">
        <v>5</v>
      </c>
      <c r="B797">
        <v>0</v>
      </c>
      <c r="C797">
        <v>2022</v>
      </c>
      <c r="D797">
        <v>3465</v>
      </c>
    </row>
    <row r="798" spans="1:4" x14ac:dyDescent="0.2">
      <c r="A798">
        <v>5</v>
      </c>
      <c r="B798">
        <v>0</v>
      </c>
      <c r="C798">
        <v>2023</v>
      </c>
      <c r="D798">
        <v>3574</v>
      </c>
    </row>
    <row r="799" spans="1:4" x14ac:dyDescent="0.2">
      <c r="A799">
        <v>5</v>
      </c>
      <c r="B799">
        <v>0</v>
      </c>
      <c r="C799">
        <v>2024</v>
      </c>
      <c r="D799">
        <v>3685</v>
      </c>
    </row>
    <row r="800" spans="1:4" x14ac:dyDescent="0.2">
      <c r="A800">
        <v>5</v>
      </c>
      <c r="B800">
        <v>0</v>
      </c>
      <c r="C800">
        <v>2025</v>
      </c>
      <c r="D800">
        <v>3810</v>
      </c>
    </row>
    <row r="801" spans="1:4" x14ac:dyDescent="0.2">
      <c r="A801">
        <v>5</v>
      </c>
      <c r="B801">
        <v>0</v>
      </c>
      <c r="C801">
        <v>2026</v>
      </c>
      <c r="D801">
        <v>3934</v>
      </c>
    </row>
    <row r="802" spans="1:4" x14ac:dyDescent="0.2">
      <c r="A802">
        <v>5</v>
      </c>
      <c r="B802">
        <v>0</v>
      </c>
      <c r="C802">
        <v>2027</v>
      </c>
      <c r="D802">
        <v>4069</v>
      </c>
    </row>
    <row r="803" spans="1:4" x14ac:dyDescent="0.2">
      <c r="A803">
        <v>5</v>
      </c>
      <c r="B803">
        <v>0</v>
      </c>
      <c r="C803">
        <v>2028</v>
      </c>
      <c r="D803">
        <v>4220</v>
      </c>
    </row>
    <row r="804" spans="1:4" x14ac:dyDescent="0.2">
      <c r="A804">
        <v>5</v>
      </c>
      <c r="B804">
        <v>0</v>
      </c>
      <c r="C804">
        <v>2029</v>
      </c>
      <c r="D804">
        <v>4365</v>
      </c>
    </row>
    <row r="805" spans="1:4" x14ac:dyDescent="0.2">
      <c r="A805">
        <v>5</v>
      </c>
      <c r="B805">
        <v>0</v>
      </c>
      <c r="C805">
        <v>2030</v>
      </c>
      <c r="D805">
        <v>4524</v>
      </c>
    </row>
    <row r="806" spans="1:4" x14ac:dyDescent="0.2">
      <c r="A806">
        <v>5</v>
      </c>
      <c r="B806">
        <v>0</v>
      </c>
      <c r="C806">
        <v>2031</v>
      </c>
      <c r="D806">
        <v>4678</v>
      </c>
    </row>
    <row r="807" spans="1:4" x14ac:dyDescent="0.2">
      <c r="A807">
        <v>5</v>
      </c>
      <c r="B807">
        <v>0</v>
      </c>
      <c r="C807">
        <v>2032</v>
      </c>
      <c r="D807">
        <v>4843</v>
      </c>
    </row>
    <row r="808" spans="1:4" x14ac:dyDescent="0.2">
      <c r="A808">
        <v>5</v>
      </c>
      <c r="B808">
        <v>0</v>
      </c>
      <c r="C808">
        <v>2033</v>
      </c>
      <c r="D808">
        <v>5018</v>
      </c>
    </row>
    <row r="809" spans="1:4" x14ac:dyDescent="0.2">
      <c r="A809">
        <v>5</v>
      </c>
      <c r="B809">
        <v>0</v>
      </c>
      <c r="C809">
        <v>2034</v>
      </c>
      <c r="D809">
        <v>5191</v>
      </c>
    </row>
    <row r="810" spans="1:4" x14ac:dyDescent="0.2">
      <c r="A810">
        <v>5</v>
      </c>
      <c r="B810">
        <v>0</v>
      </c>
      <c r="C810">
        <v>2035</v>
      </c>
      <c r="D810">
        <v>5356</v>
      </c>
    </row>
    <row r="811" spans="1:4" x14ac:dyDescent="0.2">
      <c r="A811">
        <v>5</v>
      </c>
      <c r="B811">
        <v>0</v>
      </c>
      <c r="C811">
        <v>2036</v>
      </c>
      <c r="D811">
        <v>5553</v>
      </c>
    </row>
    <row r="812" spans="1:4" x14ac:dyDescent="0.2">
      <c r="A812">
        <v>5</v>
      </c>
      <c r="B812">
        <v>0</v>
      </c>
      <c r="C812">
        <v>2037</v>
      </c>
      <c r="D812">
        <v>5734</v>
      </c>
    </row>
    <row r="813" spans="1:4" x14ac:dyDescent="0.2">
      <c r="A813">
        <v>5</v>
      </c>
      <c r="B813">
        <v>0</v>
      </c>
      <c r="C813">
        <v>2038</v>
      </c>
      <c r="D813">
        <v>5925</v>
      </c>
    </row>
    <row r="814" spans="1:4" x14ac:dyDescent="0.2">
      <c r="A814">
        <v>5</v>
      </c>
      <c r="B814">
        <v>0</v>
      </c>
      <c r="C814">
        <v>2039</v>
      </c>
      <c r="D814">
        <v>6109</v>
      </c>
    </row>
    <row r="815" spans="1:4" x14ac:dyDescent="0.2">
      <c r="A815">
        <v>5</v>
      </c>
      <c r="B815">
        <v>0</v>
      </c>
      <c r="C815">
        <v>2040</v>
      </c>
      <c r="D815">
        <v>6301</v>
      </c>
    </row>
    <row r="816" spans="1:4" x14ac:dyDescent="0.2">
      <c r="A816">
        <v>5</v>
      </c>
      <c r="B816">
        <v>0</v>
      </c>
      <c r="C816">
        <v>2041</v>
      </c>
      <c r="D816">
        <v>6493</v>
      </c>
    </row>
    <row r="817" spans="1:4" x14ac:dyDescent="0.2">
      <c r="A817">
        <v>5</v>
      </c>
      <c r="B817">
        <v>0</v>
      </c>
      <c r="C817">
        <v>2042</v>
      </c>
      <c r="D817">
        <v>6678</v>
      </c>
    </row>
    <row r="818" spans="1:4" x14ac:dyDescent="0.2">
      <c r="A818">
        <v>5</v>
      </c>
      <c r="B818">
        <v>0</v>
      </c>
      <c r="C818">
        <v>2043</v>
      </c>
      <c r="D818">
        <v>6863</v>
      </c>
    </row>
    <row r="819" spans="1:4" x14ac:dyDescent="0.2">
      <c r="A819">
        <v>5</v>
      </c>
      <c r="B819">
        <v>0</v>
      </c>
      <c r="C819">
        <v>2044</v>
      </c>
      <c r="D819">
        <v>7053</v>
      </c>
    </row>
    <row r="820" spans="1:4" x14ac:dyDescent="0.2">
      <c r="A820">
        <v>5</v>
      </c>
      <c r="B820">
        <v>0</v>
      </c>
      <c r="C820">
        <v>2045</v>
      </c>
      <c r="D820">
        <v>7232</v>
      </c>
    </row>
    <row r="821" spans="1:4" x14ac:dyDescent="0.2">
      <c r="A821">
        <v>5</v>
      </c>
      <c r="B821">
        <v>0</v>
      </c>
      <c r="C821">
        <v>2046</v>
      </c>
      <c r="D821">
        <v>7427</v>
      </c>
    </row>
    <row r="822" spans="1:4" x14ac:dyDescent="0.2">
      <c r="A822">
        <v>5</v>
      </c>
      <c r="B822">
        <v>0</v>
      </c>
      <c r="C822">
        <v>2047</v>
      </c>
      <c r="D822">
        <v>7605</v>
      </c>
    </row>
    <row r="823" spans="1:4" x14ac:dyDescent="0.2">
      <c r="A823">
        <v>5</v>
      </c>
      <c r="B823">
        <v>0</v>
      </c>
      <c r="C823">
        <v>2048</v>
      </c>
      <c r="D823">
        <v>7760</v>
      </c>
    </row>
    <row r="824" spans="1:4" x14ac:dyDescent="0.2">
      <c r="A824">
        <v>5</v>
      </c>
      <c r="B824">
        <v>0</v>
      </c>
      <c r="C824">
        <v>2049</v>
      </c>
      <c r="D824">
        <v>7942</v>
      </c>
    </row>
    <row r="825" spans="1:4" x14ac:dyDescent="0.2">
      <c r="A825">
        <v>5</v>
      </c>
      <c r="B825">
        <v>0</v>
      </c>
      <c r="C825">
        <v>2050</v>
      </c>
      <c r="D825">
        <v>8110</v>
      </c>
    </row>
    <row r="826" spans="1:4" x14ac:dyDescent="0.2">
      <c r="A826">
        <v>5</v>
      </c>
      <c r="B826">
        <v>0</v>
      </c>
      <c r="C826">
        <v>2051</v>
      </c>
      <c r="D826">
        <v>8279</v>
      </c>
    </row>
    <row r="827" spans="1:4" x14ac:dyDescent="0.2">
      <c r="A827">
        <v>5</v>
      </c>
      <c r="B827">
        <v>0</v>
      </c>
      <c r="C827">
        <v>2052</v>
      </c>
      <c r="D827">
        <v>8438</v>
      </c>
    </row>
    <row r="828" spans="1:4" x14ac:dyDescent="0.2">
      <c r="A828">
        <v>5</v>
      </c>
      <c r="B828">
        <v>0</v>
      </c>
      <c r="C828">
        <v>2053</v>
      </c>
      <c r="D828">
        <v>8597</v>
      </c>
    </row>
    <row r="829" spans="1:4" x14ac:dyDescent="0.2">
      <c r="A829">
        <v>5</v>
      </c>
      <c r="B829">
        <v>0</v>
      </c>
      <c r="C829">
        <v>2054</v>
      </c>
      <c r="D829">
        <v>8760</v>
      </c>
    </row>
    <row r="830" spans="1:4" x14ac:dyDescent="0.2">
      <c r="A830">
        <v>5</v>
      </c>
      <c r="B830">
        <v>0</v>
      </c>
      <c r="C830">
        <v>2055</v>
      </c>
      <c r="D830">
        <v>8920</v>
      </c>
    </row>
    <row r="831" spans="1:4" x14ac:dyDescent="0.2">
      <c r="A831">
        <v>5</v>
      </c>
      <c r="B831">
        <v>0</v>
      </c>
      <c r="C831">
        <v>2056</v>
      </c>
      <c r="D831">
        <v>9064</v>
      </c>
    </row>
    <row r="832" spans="1:4" x14ac:dyDescent="0.2">
      <c r="A832">
        <v>5</v>
      </c>
      <c r="B832">
        <v>0</v>
      </c>
      <c r="C832">
        <v>2057</v>
      </c>
      <c r="D832">
        <v>9212</v>
      </c>
    </row>
    <row r="833" spans="1:4" x14ac:dyDescent="0.2">
      <c r="A833">
        <v>5</v>
      </c>
      <c r="B833">
        <v>0</v>
      </c>
      <c r="C833">
        <v>2058</v>
      </c>
      <c r="D833">
        <v>9362</v>
      </c>
    </row>
    <row r="834" spans="1:4" x14ac:dyDescent="0.2">
      <c r="A834">
        <v>5</v>
      </c>
      <c r="B834">
        <v>0</v>
      </c>
      <c r="C834">
        <v>2059</v>
      </c>
      <c r="D834">
        <v>9511</v>
      </c>
    </row>
    <row r="835" spans="1:4" x14ac:dyDescent="0.2">
      <c r="A835">
        <v>5</v>
      </c>
      <c r="B835">
        <v>0</v>
      </c>
      <c r="C835">
        <v>2060</v>
      </c>
      <c r="D835">
        <v>9664</v>
      </c>
    </row>
    <row r="836" spans="1:4" x14ac:dyDescent="0.2">
      <c r="A836">
        <v>5</v>
      </c>
      <c r="B836">
        <v>1</v>
      </c>
      <c r="C836">
        <v>2017</v>
      </c>
      <c r="D836">
        <v>1661</v>
      </c>
    </row>
    <row r="837" spans="1:4" x14ac:dyDescent="0.2">
      <c r="A837">
        <v>5</v>
      </c>
      <c r="B837">
        <v>1</v>
      </c>
      <c r="C837">
        <v>2018</v>
      </c>
      <c r="D837">
        <v>1719</v>
      </c>
    </row>
    <row r="838" spans="1:4" x14ac:dyDescent="0.2">
      <c r="A838">
        <v>5</v>
      </c>
      <c r="B838">
        <v>1</v>
      </c>
      <c r="C838">
        <v>2019</v>
      </c>
      <c r="D838">
        <v>1751</v>
      </c>
    </row>
    <row r="839" spans="1:4" x14ac:dyDescent="0.2">
      <c r="A839">
        <v>5</v>
      </c>
      <c r="B839">
        <v>1</v>
      </c>
      <c r="C839">
        <v>2020</v>
      </c>
      <c r="D839">
        <v>1809</v>
      </c>
    </row>
    <row r="840" spans="1:4" x14ac:dyDescent="0.2">
      <c r="A840">
        <v>5</v>
      </c>
      <c r="B840">
        <v>1</v>
      </c>
      <c r="C840">
        <v>2021</v>
      </c>
      <c r="D840">
        <v>1856</v>
      </c>
    </row>
    <row r="841" spans="1:4" x14ac:dyDescent="0.2">
      <c r="A841">
        <v>5</v>
      </c>
      <c r="B841">
        <v>1</v>
      </c>
      <c r="C841">
        <v>2022</v>
      </c>
      <c r="D841">
        <v>1914</v>
      </c>
    </row>
    <row r="842" spans="1:4" x14ac:dyDescent="0.2">
      <c r="A842">
        <v>5</v>
      </c>
      <c r="B842">
        <v>1</v>
      </c>
      <c r="C842">
        <v>2023</v>
      </c>
      <c r="D842">
        <v>1972</v>
      </c>
    </row>
    <row r="843" spans="1:4" x14ac:dyDescent="0.2">
      <c r="A843">
        <v>5</v>
      </c>
      <c r="B843">
        <v>1</v>
      </c>
      <c r="C843">
        <v>2024</v>
      </c>
      <c r="D843">
        <v>2035</v>
      </c>
    </row>
    <row r="844" spans="1:4" x14ac:dyDescent="0.2">
      <c r="A844">
        <v>5</v>
      </c>
      <c r="B844">
        <v>1</v>
      </c>
      <c r="C844">
        <v>2025</v>
      </c>
      <c r="D844">
        <v>2095</v>
      </c>
    </row>
    <row r="845" spans="1:4" x14ac:dyDescent="0.2">
      <c r="A845">
        <v>5</v>
      </c>
      <c r="B845">
        <v>1</v>
      </c>
      <c r="C845">
        <v>2026</v>
      </c>
      <c r="D845">
        <v>2157</v>
      </c>
    </row>
    <row r="846" spans="1:4" x14ac:dyDescent="0.2">
      <c r="A846">
        <v>5</v>
      </c>
      <c r="B846">
        <v>1</v>
      </c>
      <c r="C846">
        <v>2027</v>
      </c>
      <c r="D846">
        <v>2230</v>
      </c>
    </row>
    <row r="847" spans="1:4" x14ac:dyDescent="0.2">
      <c r="A847">
        <v>5</v>
      </c>
      <c r="B847">
        <v>1</v>
      </c>
      <c r="C847">
        <v>2028</v>
      </c>
      <c r="D847">
        <v>2305</v>
      </c>
    </row>
    <row r="848" spans="1:4" x14ac:dyDescent="0.2">
      <c r="A848">
        <v>5</v>
      </c>
      <c r="B848">
        <v>1</v>
      </c>
      <c r="C848">
        <v>2029</v>
      </c>
      <c r="D848">
        <v>2375</v>
      </c>
    </row>
    <row r="849" spans="1:4" x14ac:dyDescent="0.2">
      <c r="A849">
        <v>5</v>
      </c>
      <c r="B849">
        <v>1</v>
      </c>
      <c r="C849">
        <v>2030</v>
      </c>
      <c r="D849">
        <v>2456</v>
      </c>
    </row>
    <row r="850" spans="1:4" x14ac:dyDescent="0.2">
      <c r="A850">
        <v>5</v>
      </c>
      <c r="B850">
        <v>1</v>
      </c>
      <c r="C850">
        <v>2031</v>
      </c>
      <c r="D850">
        <v>2538</v>
      </c>
    </row>
    <row r="851" spans="1:4" x14ac:dyDescent="0.2">
      <c r="A851">
        <v>5</v>
      </c>
      <c r="B851">
        <v>1</v>
      </c>
      <c r="C851">
        <v>2032</v>
      </c>
      <c r="D851">
        <v>2625</v>
      </c>
    </row>
    <row r="852" spans="1:4" x14ac:dyDescent="0.2">
      <c r="A852">
        <v>5</v>
      </c>
      <c r="B852">
        <v>1</v>
      </c>
      <c r="C852">
        <v>2033</v>
      </c>
      <c r="D852">
        <v>2707</v>
      </c>
    </row>
    <row r="853" spans="1:4" x14ac:dyDescent="0.2">
      <c r="A853">
        <v>5</v>
      </c>
      <c r="B853">
        <v>1</v>
      </c>
      <c r="C853">
        <v>2034</v>
      </c>
      <c r="D853">
        <v>2803</v>
      </c>
    </row>
    <row r="854" spans="1:4" x14ac:dyDescent="0.2">
      <c r="A854">
        <v>5</v>
      </c>
      <c r="B854">
        <v>1</v>
      </c>
      <c r="C854">
        <v>2035</v>
      </c>
      <c r="D854">
        <v>2886</v>
      </c>
    </row>
    <row r="855" spans="1:4" x14ac:dyDescent="0.2">
      <c r="A855">
        <v>5</v>
      </c>
      <c r="B855">
        <v>1</v>
      </c>
      <c r="C855">
        <v>2036</v>
      </c>
      <c r="D855">
        <v>2983</v>
      </c>
    </row>
    <row r="856" spans="1:4" x14ac:dyDescent="0.2">
      <c r="A856">
        <v>5</v>
      </c>
      <c r="B856">
        <v>1</v>
      </c>
      <c r="C856">
        <v>2037</v>
      </c>
      <c r="D856">
        <v>3075</v>
      </c>
    </row>
    <row r="857" spans="1:4" x14ac:dyDescent="0.2">
      <c r="A857">
        <v>5</v>
      </c>
      <c r="B857">
        <v>1</v>
      </c>
      <c r="C857">
        <v>2038</v>
      </c>
      <c r="D857">
        <v>3161</v>
      </c>
    </row>
    <row r="858" spans="1:4" x14ac:dyDescent="0.2">
      <c r="A858">
        <v>5</v>
      </c>
      <c r="B858">
        <v>1</v>
      </c>
      <c r="C858">
        <v>2039</v>
      </c>
      <c r="D858">
        <v>3258</v>
      </c>
    </row>
    <row r="859" spans="1:4" x14ac:dyDescent="0.2">
      <c r="A859">
        <v>5</v>
      </c>
      <c r="B859">
        <v>1</v>
      </c>
      <c r="C859">
        <v>2040</v>
      </c>
      <c r="D859">
        <v>3347</v>
      </c>
    </row>
    <row r="860" spans="1:4" x14ac:dyDescent="0.2">
      <c r="A860">
        <v>5</v>
      </c>
      <c r="B860">
        <v>1</v>
      </c>
      <c r="C860">
        <v>2041</v>
      </c>
      <c r="D860">
        <v>3449</v>
      </c>
    </row>
    <row r="861" spans="1:4" x14ac:dyDescent="0.2">
      <c r="A861">
        <v>5</v>
      </c>
      <c r="B861">
        <v>1</v>
      </c>
      <c r="C861">
        <v>2042</v>
      </c>
      <c r="D861">
        <v>3537</v>
      </c>
    </row>
    <row r="862" spans="1:4" x14ac:dyDescent="0.2">
      <c r="A862">
        <v>5</v>
      </c>
      <c r="B862">
        <v>1</v>
      </c>
      <c r="C862">
        <v>2043</v>
      </c>
      <c r="D862">
        <v>3628</v>
      </c>
    </row>
    <row r="863" spans="1:4" x14ac:dyDescent="0.2">
      <c r="A863">
        <v>5</v>
      </c>
      <c r="B863">
        <v>1</v>
      </c>
      <c r="C863">
        <v>2044</v>
      </c>
      <c r="D863">
        <v>3717</v>
      </c>
    </row>
    <row r="864" spans="1:4" x14ac:dyDescent="0.2">
      <c r="A864">
        <v>5</v>
      </c>
      <c r="B864">
        <v>1</v>
      </c>
      <c r="C864">
        <v>2045</v>
      </c>
      <c r="D864">
        <v>3797</v>
      </c>
    </row>
    <row r="865" spans="1:4" x14ac:dyDescent="0.2">
      <c r="A865">
        <v>5</v>
      </c>
      <c r="B865">
        <v>1</v>
      </c>
      <c r="C865">
        <v>2046</v>
      </c>
      <c r="D865">
        <v>3892</v>
      </c>
    </row>
    <row r="866" spans="1:4" x14ac:dyDescent="0.2">
      <c r="A866">
        <v>5</v>
      </c>
      <c r="B866">
        <v>1</v>
      </c>
      <c r="C866">
        <v>2047</v>
      </c>
      <c r="D866">
        <v>3980</v>
      </c>
    </row>
    <row r="867" spans="1:4" x14ac:dyDescent="0.2">
      <c r="A867">
        <v>5</v>
      </c>
      <c r="B867">
        <v>1</v>
      </c>
      <c r="C867">
        <v>2048</v>
      </c>
      <c r="D867">
        <v>4055</v>
      </c>
    </row>
    <row r="868" spans="1:4" x14ac:dyDescent="0.2">
      <c r="A868">
        <v>5</v>
      </c>
      <c r="B868">
        <v>1</v>
      </c>
      <c r="C868">
        <v>2049</v>
      </c>
      <c r="D868">
        <v>4143</v>
      </c>
    </row>
    <row r="869" spans="1:4" x14ac:dyDescent="0.2">
      <c r="A869">
        <v>5</v>
      </c>
      <c r="B869">
        <v>1</v>
      </c>
      <c r="C869">
        <v>2050</v>
      </c>
      <c r="D869">
        <v>4227</v>
      </c>
    </row>
    <row r="870" spans="1:4" x14ac:dyDescent="0.2">
      <c r="A870">
        <v>5</v>
      </c>
      <c r="B870">
        <v>1</v>
      </c>
      <c r="C870">
        <v>2051</v>
      </c>
      <c r="D870">
        <v>4317</v>
      </c>
    </row>
    <row r="871" spans="1:4" x14ac:dyDescent="0.2">
      <c r="A871">
        <v>5</v>
      </c>
      <c r="B871">
        <v>1</v>
      </c>
      <c r="C871">
        <v>2052</v>
      </c>
      <c r="D871">
        <v>4399</v>
      </c>
    </row>
    <row r="872" spans="1:4" x14ac:dyDescent="0.2">
      <c r="A872">
        <v>5</v>
      </c>
      <c r="B872">
        <v>1</v>
      </c>
      <c r="C872">
        <v>2053</v>
      </c>
      <c r="D872">
        <v>4474</v>
      </c>
    </row>
    <row r="873" spans="1:4" x14ac:dyDescent="0.2">
      <c r="A873">
        <v>5</v>
      </c>
      <c r="B873">
        <v>1</v>
      </c>
      <c r="C873">
        <v>2054</v>
      </c>
      <c r="D873">
        <v>4561</v>
      </c>
    </row>
    <row r="874" spans="1:4" x14ac:dyDescent="0.2">
      <c r="A874">
        <v>5</v>
      </c>
      <c r="B874">
        <v>1</v>
      </c>
      <c r="C874">
        <v>2055</v>
      </c>
      <c r="D874">
        <v>4639</v>
      </c>
    </row>
    <row r="875" spans="1:4" x14ac:dyDescent="0.2">
      <c r="A875">
        <v>5</v>
      </c>
      <c r="B875">
        <v>1</v>
      </c>
      <c r="C875">
        <v>2056</v>
      </c>
      <c r="D875">
        <v>4719</v>
      </c>
    </row>
    <row r="876" spans="1:4" x14ac:dyDescent="0.2">
      <c r="A876">
        <v>5</v>
      </c>
      <c r="B876">
        <v>1</v>
      </c>
      <c r="C876">
        <v>2057</v>
      </c>
      <c r="D876">
        <v>4792</v>
      </c>
    </row>
    <row r="877" spans="1:4" x14ac:dyDescent="0.2">
      <c r="A877">
        <v>5</v>
      </c>
      <c r="B877">
        <v>1</v>
      </c>
      <c r="C877">
        <v>2058</v>
      </c>
      <c r="D877">
        <v>4868</v>
      </c>
    </row>
    <row r="878" spans="1:4" x14ac:dyDescent="0.2">
      <c r="A878">
        <v>5</v>
      </c>
      <c r="B878">
        <v>1</v>
      </c>
      <c r="C878">
        <v>2059</v>
      </c>
      <c r="D878">
        <v>4953</v>
      </c>
    </row>
    <row r="879" spans="1:4" x14ac:dyDescent="0.2">
      <c r="A879">
        <v>5</v>
      </c>
      <c r="B879">
        <v>1</v>
      </c>
      <c r="C879">
        <v>2060</v>
      </c>
      <c r="D879">
        <v>5043</v>
      </c>
    </row>
    <row r="880" spans="1:4" x14ac:dyDescent="0.2">
      <c r="A880">
        <v>5</v>
      </c>
      <c r="B880">
        <v>2</v>
      </c>
      <c r="C880">
        <v>2017</v>
      </c>
      <c r="D880">
        <v>1346</v>
      </c>
    </row>
    <row r="881" spans="1:4" x14ac:dyDescent="0.2">
      <c r="A881">
        <v>5</v>
      </c>
      <c r="B881">
        <v>2</v>
      </c>
      <c r="C881">
        <v>2018</v>
      </c>
      <c r="D881">
        <v>1390</v>
      </c>
    </row>
    <row r="882" spans="1:4" x14ac:dyDescent="0.2">
      <c r="A882">
        <v>5</v>
      </c>
      <c r="B882">
        <v>2</v>
      </c>
      <c r="C882">
        <v>2019</v>
      </c>
      <c r="D882">
        <v>1425</v>
      </c>
    </row>
    <row r="883" spans="1:4" x14ac:dyDescent="0.2">
      <c r="A883">
        <v>5</v>
      </c>
      <c r="B883">
        <v>2</v>
      </c>
      <c r="C883">
        <v>2020</v>
      </c>
      <c r="D883">
        <v>1461</v>
      </c>
    </row>
    <row r="884" spans="1:4" x14ac:dyDescent="0.2">
      <c r="A884">
        <v>5</v>
      </c>
      <c r="B884">
        <v>2</v>
      </c>
      <c r="C884">
        <v>2021</v>
      </c>
      <c r="D884">
        <v>1504</v>
      </c>
    </row>
    <row r="885" spans="1:4" x14ac:dyDescent="0.2">
      <c r="A885">
        <v>5</v>
      </c>
      <c r="B885">
        <v>2</v>
      </c>
      <c r="C885">
        <v>2022</v>
      </c>
      <c r="D885">
        <v>1551</v>
      </c>
    </row>
    <row r="886" spans="1:4" x14ac:dyDescent="0.2">
      <c r="A886">
        <v>5</v>
      </c>
      <c r="B886">
        <v>2</v>
      </c>
      <c r="C886">
        <v>2023</v>
      </c>
      <c r="D886">
        <v>1602</v>
      </c>
    </row>
    <row r="887" spans="1:4" x14ac:dyDescent="0.2">
      <c r="A887">
        <v>5</v>
      </c>
      <c r="B887">
        <v>2</v>
      </c>
      <c r="C887">
        <v>2024</v>
      </c>
      <c r="D887">
        <v>1650</v>
      </c>
    </row>
    <row r="888" spans="1:4" x14ac:dyDescent="0.2">
      <c r="A888">
        <v>5</v>
      </c>
      <c r="B888">
        <v>2</v>
      </c>
      <c r="C888">
        <v>2025</v>
      </c>
      <c r="D888">
        <v>1715</v>
      </c>
    </row>
    <row r="889" spans="1:4" x14ac:dyDescent="0.2">
      <c r="A889">
        <v>5</v>
      </c>
      <c r="B889">
        <v>2</v>
      </c>
      <c r="C889">
        <v>2026</v>
      </c>
      <c r="D889">
        <v>1777</v>
      </c>
    </row>
    <row r="890" spans="1:4" x14ac:dyDescent="0.2">
      <c r="A890">
        <v>5</v>
      </c>
      <c r="B890">
        <v>2</v>
      </c>
      <c r="C890">
        <v>2027</v>
      </c>
      <c r="D890">
        <v>1839</v>
      </c>
    </row>
    <row r="891" spans="1:4" x14ac:dyDescent="0.2">
      <c r="A891">
        <v>5</v>
      </c>
      <c r="B891">
        <v>2</v>
      </c>
      <c r="C891">
        <v>2028</v>
      </c>
      <c r="D891">
        <v>1915</v>
      </c>
    </row>
    <row r="892" spans="1:4" x14ac:dyDescent="0.2">
      <c r="A892">
        <v>5</v>
      </c>
      <c r="B892">
        <v>2</v>
      </c>
      <c r="C892">
        <v>2029</v>
      </c>
      <c r="D892">
        <v>1990</v>
      </c>
    </row>
    <row r="893" spans="1:4" x14ac:dyDescent="0.2">
      <c r="A893">
        <v>5</v>
      </c>
      <c r="B893">
        <v>2</v>
      </c>
      <c r="C893">
        <v>2030</v>
      </c>
      <c r="D893">
        <v>2068</v>
      </c>
    </row>
    <row r="894" spans="1:4" x14ac:dyDescent="0.2">
      <c r="A894">
        <v>5</v>
      </c>
      <c r="B894">
        <v>2</v>
      </c>
      <c r="C894">
        <v>2031</v>
      </c>
      <c r="D894">
        <v>2140</v>
      </c>
    </row>
    <row r="895" spans="1:4" x14ac:dyDescent="0.2">
      <c r="A895">
        <v>5</v>
      </c>
      <c r="B895">
        <v>2</v>
      </c>
      <c r="C895">
        <v>2032</v>
      </c>
      <c r="D895">
        <v>2218</v>
      </c>
    </row>
    <row r="896" spans="1:4" x14ac:dyDescent="0.2">
      <c r="A896">
        <v>5</v>
      </c>
      <c r="B896">
        <v>2</v>
      </c>
      <c r="C896">
        <v>2033</v>
      </c>
      <c r="D896">
        <v>2311</v>
      </c>
    </row>
    <row r="897" spans="1:4" x14ac:dyDescent="0.2">
      <c r="A897">
        <v>5</v>
      </c>
      <c r="B897">
        <v>2</v>
      </c>
      <c r="C897">
        <v>2034</v>
      </c>
      <c r="D897">
        <v>2388</v>
      </c>
    </row>
    <row r="898" spans="1:4" x14ac:dyDescent="0.2">
      <c r="A898">
        <v>5</v>
      </c>
      <c r="B898">
        <v>2</v>
      </c>
      <c r="C898">
        <v>2035</v>
      </c>
      <c r="D898">
        <v>2470</v>
      </c>
    </row>
    <row r="899" spans="1:4" x14ac:dyDescent="0.2">
      <c r="A899">
        <v>5</v>
      </c>
      <c r="B899">
        <v>2</v>
      </c>
      <c r="C899">
        <v>2036</v>
      </c>
      <c r="D899">
        <v>2570</v>
      </c>
    </row>
    <row r="900" spans="1:4" x14ac:dyDescent="0.2">
      <c r="A900">
        <v>5</v>
      </c>
      <c r="B900">
        <v>2</v>
      </c>
      <c r="C900">
        <v>2037</v>
      </c>
      <c r="D900">
        <v>2659</v>
      </c>
    </row>
    <row r="901" spans="1:4" x14ac:dyDescent="0.2">
      <c r="A901">
        <v>5</v>
      </c>
      <c r="B901">
        <v>2</v>
      </c>
      <c r="C901">
        <v>2038</v>
      </c>
      <c r="D901">
        <v>2764</v>
      </c>
    </row>
    <row r="902" spans="1:4" x14ac:dyDescent="0.2">
      <c r="A902">
        <v>5</v>
      </c>
      <c r="B902">
        <v>2</v>
      </c>
      <c r="C902">
        <v>2039</v>
      </c>
      <c r="D902">
        <v>2851</v>
      </c>
    </row>
    <row r="903" spans="1:4" x14ac:dyDescent="0.2">
      <c r="A903">
        <v>5</v>
      </c>
      <c r="B903">
        <v>2</v>
      </c>
      <c r="C903">
        <v>2040</v>
      </c>
      <c r="D903">
        <v>2954</v>
      </c>
    </row>
    <row r="904" spans="1:4" x14ac:dyDescent="0.2">
      <c r="A904">
        <v>5</v>
      </c>
      <c r="B904">
        <v>2</v>
      </c>
      <c r="C904">
        <v>2041</v>
      </c>
      <c r="D904">
        <v>3044</v>
      </c>
    </row>
    <row r="905" spans="1:4" x14ac:dyDescent="0.2">
      <c r="A905">
        <v>5</v>
      </c>
      <c r="B905">
        <v>2</v>
      </c>
      <c r="C905">
        <v>2042</v>
      </c>
      <c r="D905">
        <v>3141</v>
      </c>
    </row>
    <row r="906" spans="1:4" x14ac:dyDescent="0.2">
      <c r="A906">
        <v>5</v>
      </c>
      <c r="B906">
        <v>2</v>
      </c>
      <c r="C906">
        <v>2043</v>
      </c>
      <c r="D906">
        <v>3235</v>
      </c>
    </row>
    <row r="907" spans="1:4" x14ac:dyDescent="0.2">
      <c r="A907">
        <v>5</v>
      </c>
      <c r="B907">
        <v>2</v>
      </c>
      <c r="C907">
        <v>2044</v>
      </c>
      <c r="D907">
        <v>3336</v>
      </c>
    </row>
    <row r="908" spans="1:4" x14ac:dyDescent="0.2">
      <c r="A908">
        <v>5</v>
      </c>
      <c r="B908">
        <v>2</v>
      </c>
      <c r="C908">
        <v>2045</v>
      </c>
      <c r="D908">
        <v>3435</v>
      </c>
    </row>
    <row r="909" spans="1:4" x14ac:dyDescent="0.2">
      <c r="A909">
        <v>5</v>
      </c>
      <c r="B909">
        <v>2</v>
      </c>
      <c r="C909">
        <v>2046</v>
      </c>
      <c r="D909">
        <v>3535</v>
      </c>
    </row>
    <row r="910" spans="1:4" x14ac:dyDescent="0.2">
      <c r="A910">
        <v>5</v>
      </c>
      <c r="B910">
        <v>2</v>
      </c>
      <c r="C910">
        <v>2047</v>
      </c>
      <c r="D910">
        <v>3625</v>
      </c>
    </row>
    <row r="911" spans="1:4" x14ac:dyDescent="0.2">
      <c r="A911">
        <v>5</v>
      </c>
      <c r="B911">
        <v>2</v>
      </c>
      <c r="C911">
        <v>2048</v>
      </c>
      <c r="D911">
        <v>3705</v>
      </c>
    </row>
    <row r="912" spans="1:4" x14ac:dyDescent="0.2">
      <c r="A912">
        <v>5</v>
      </c>
      <c r="B912">
        <v>2</v>
      </c>
      <c r="C912">
        <v>2049</v>
      </c>
      <c r="D912">
        <v>3799</v>
      </c>
    </row>
    <row r="913" spans="1:4" x14ac:dyDescent="0.2">
      <c r="A913">
        <v>5</v>
      </c>
      <c r="B913">
        <v>2</v>
      </c>
      <c r="C913">
        <v>2050</v>
      </c>
      <c r="D913">
        <v>3883</v>
      </c>
    </row>
    <row r="914" spans="1:4" x14ac:dyDescent="0.2">
      <c r="A914">
        <v>5</v>
      </c>
      <c r="B914">
        <v>2</v>
      </c>
      <c r="C914">
        <v>2051</v>
      </c>
      <c r="D914">
        <v>3962</v>
      </c>
    </row>
    <row r="915" spans="1:4" x14ac:dyDescent="0.2">
      <c r="A915">
        <v>5</v>
      </c>
      <c r="B915">
        <v>2</v>
      </c>
      <c r="C915">
        <v>2052</v>
      </c>
      <c r="D915">
        <v>4039</v>
      </c>
    </row>
    <row r="916" spans="1:4" x14ac:dyDescent="0.2">
      <c r="A916">
        <v>5</v>
      </c>
      <c r="B916">
        <v>2</v>
      </c>
      <c r="C916">
        <v>2053</v>
      </c>
      <c r="D916">
        <v>4123</v>
      </c>
    </row>
    <row r="917" spans="1:4" x14ac:dyDescent="0.2">
      <c r="A917">
        <v>5</v>
      </c>
      <c r="B917">
        <v>2</v>
      </c>
      <c r="C917">
        <v>2054</v>
      </c>
      <c r="D917">
        <v>4199</v>
      </c>
    </row>
    <row r="918" spans="1:4" x14ac:dyDescent="0.2">
      <c r="A918">
        <v>5</v>
      </c>
      <c r="B918">
        <v>2</v>
      </c>
      <c r="C918">
        <v>2055</v>
      </c>
      <c r="D918">
        <v>4281</v>
      </c>
    </row>
    <row r="919" spans="1:4" x14ac:dyDescent="0.2">
      <c r="A919">
        <v>5</v>
      </c>
      <c r="B919">
        <v>2</v>
      </c>
      <c r="C919">
        <v>2056</v>
      </c>
      <c r="D919">
        <v>4345</v>
      </c>
    </row>
    <row r="920" spans="1:4" x14ac:dyDescent="0.2">
      <c r="A920">
        <v>5</v>
      </c>
      <c r="B920">
        <v>2</v>
      </c>
      <c r="C920">
        <v>2057</v>
      </c>
      <c r="D920">
        <v>4420</v>
      </c>
    </row>
    <row r="921" spans="1:4" x14ac:dyDescent="0.2">
      <c r="A921">
        <v>5</v>
      </c>
      <c r="B921">
        <v>2</v>
      </c>
      <c r="C921">
        <v>2058</v>
      </c>
      <c r="D921">
        <v>4494</v>
      </c>
    </row>
    <row r="922" spans="1:4" x14ac:dyDescent="0.2">
      <c r="A922">
        <v>5</v>
      </c>
      <c r="B922">
        <v>2</v>
      </c>
      <c r="C922">
        <v>2059</v>
      </c>
      <c r="D922">
        <v>4558</v>
      </c>
    </row>
    <row r="923" spans="1:4" x14ac:dyDescent="0.2">
      <c r="A923">
        <v>5</v>
      </c>
      <c r="B923">
        <v>2</v>
      </c>
      <c r="C923">
        <v>2060</v>
      </c>
      <c r="D923">
        <v>4621</v>
      </c>
    </row>
    <row r="924" spans="1:4" x14ac:dyDescent="0.2">
      <c r="A924">
        <v>6</v>
      </c>
      <c r="B924">
        <v>0</v>
      </c>
      <c r="C924">
        <v>2017</v>
      </c>
      <c r="D924">
        <v>25385</v>
      </c>
    </row>
    <row r="925" spans="1:4" x14ac:dyDescent="0.2">
      <c r="A925">
        <v>6</v>
      </c>
      <c r="B925">
        <v>0</v>
      </c>
      <c r="C925">
        <v>2018</v>
      </c>
      <c r="D925">
        <v>26045</v>
      </c>
    </row>
    <row r="926" spans="1:4" x14ac:dyDescent="0.2">
      <c r="A926">
        <v>6</v>
      </c>
      <c r="B926">
        <v>0</v>
      </c>
      <c r="C926">
        <v>2019</v>
      </c>
      <c r="D926">
        <v>26765</v>
      </c>
    </row>
    <row r="927" spans="1:4" x14ac:dyDescent="0.2">
      <c r="A927">
        <v>6</v>
      </c>
      <c r="B927">
        <v>0</v>
      </c>
      <c r="C927">
        <v>2020</v>
      </c>
      <c r="D927">
        <v>27466</v>
      </c>
    </row>
    <row r="928" spans="1:4" x14ac:dyDescent="0.2">
      <c r="A928">
        <v>6</v>
      </c>
      <c r="B928">
        <v>0</v>
      </c>
      <c r="C928">
        <v>2021</v>
      </c>
      <c r="D928">
        <v>28222</v>
      </c>
    </row>
    <row r="929" spans="1:4" x14ac:dyDescent="0.2">
      <c r="A929">
        <v>6</v>
      </c>
      <c r="B929">
        <v>0</v>
      </c>
      <c r="C929">
        <v>2022</v>
      </c>
      <c r="D929">
        <v>29037</v>
      </c>
    </row>
    <row r="930" spans="1:4" x14ac:dyDescent="0.2">
      <c r="A930">
        <v>6</v>
      </c>
      <c r="B930">
        <v>0</v>
      </c>
      <c r="C930">
        <v>2023</v>
      </c>
      <c r="D930">
        <v>29875</v>
      </c>
    </row>
    <row r="931" spans="1:4" x14ac:dyDescent="0.2">
      <c r="A931">
        <v>6</v>
      </c>
      <c r="B931">
        <v>0</v>
      </c>
      <c r="C931">
        <v>2024</v>
      </c>
      <c r="D931">
        <v>30740</v>
      </c>
    </row>
    <row r="932" spans="1:4" x14ac:dyDescent="0.2">
      <c r="A932">
        <v>6</v>
      </c>
      <c r="B932">
        <v>0</v>
      </c>
      <c r="C932">
        <v>2025</v>
      </c>
      <c r="D932">
        <v>31683</v>
      </c>
    </row>
    <row r="933" spans="1:4" x14ac:dyDescent="0.2">
      <c r="A933">
        <v>6</v>
      </c>
      <c r="B933">
        <v>0</v>
      </c>
      <c r="C933">
        <v>2026</v>
      </c>
      <c r="D933">
        <v>32631</v>
      </c>
    </row>
    <row r="934" spans="1:4" x14ac:dyDescent="0.2">
      <c r="A934">
        <v>6</v>
      </c>
      <c r="B934">
        <v>0</v>
      </c>
      <c r="C934">
        <v>2027</v>
      </c>
      <c r="D934">
        <v>33617</v>
      </c>
    </row>
    <row r="935" spans="1:4" x14ac:dyDescent="0.2">
      <c r="A935">
        <v>6</v>
      </c>
      <c r="B935">
        <v>0</v>
      </c>
      <c r="C935">
        <v>2028</v>
      </c>
      <c r="D935">
        <v>34684</v>
      </c>
    </row>
    <row r="936" spans="1:4" x14ac:dyDescent="0.2">
      <c r="A936">
        <v>6</v>
      </c>
      <c r="B936">
        <v>0</v>
      </c>
      <c r="C936">
        <v>2029</v>
      </c>
      <c r="D936">
        <v>35774</v>
      </c>
    </row>
    <row r="937" spans="1:4" x14ac:dyDescent="0.2">
      <c r="A937">
        <v>6</v>
      </c>
      <c r="B937">
        <v>0</v>
      </c>
      <c r="C937">
        <v>2030</v>
      </c>
      <c r="D937">
        <v>36904</v>
      </c>
    </row>
    <row r="938" spans="1:4" x14ac:dyDescent="0.2">
      <c r="A938">
        <v>6</v>
      </c>
      <c r="B938">
        <v>0</v>
      </c>
      <c r="C938">
        <v>2031</v>
      </c>
      <c r="D938">
        <v>38073</v>
      </c>
    </row>
    <row r="939" spans="1:4" x14ac:dyDescent="0.2">
      <c r="A939">
        <v>6</v>
      </c>
      <c r="B939">
        <v>0</v>
      </c>
      <c r="C939">
        <v>2032</v>
      </c>
      <c r="D939">
        <v>39271</v>
      </c>
    </row>
    <row r="940" spans="1:4" x14ac:dyDescent="0.2">
      <c r="A940">
        <v>6</v>
      </c>
      <c r="B940">
        <v>0</v>
      </c>
      <c r="C940">
        <v>2033</v>
      </c>
      <c r="D940">
        <v>40536</v>
      </c>
    </row>
    <row r="941" spans="1:4" x14ac:dyDescent="0.2">
      <c r="A941">
        <v>6</v>
      </c>
      <c r="B941">
        <v>0</v>
      </c>
      <c r="C941">
        <v>2034</v>
      </c>
      <c r="D941">
        <v>41819</v>
      </c>
    </row>
    <row r="942" spans="1:4" x14ac:dyDescent="0.2">
      <c r="A942">
        <v>6</v>
      </c>
      <c r="B942">
        <v>0</v>
      </c>
      <c r="C942">
        <v>2035</v>
      </c>
      <c r="D942">
        <v>43142</v>
      </c>
    </row>
    <row r="943" spans="1:4" x14ac:dyDescent="0.2">
      <c r="A943">
        <v>6</v>
      </c>
      <c r="B943">
        <v>0</v>
      </c>
      <c r="C943">
        <v>2036</v>
      </c>
      <c r="D943">
        <v>44477</v>
      </c>
    </row>
    <row r="944" spans="1:4" x14ac:dyDescent="0.2">
      <c r="A944">
        <v>6</v>
      </c>
      <c r="B944">
        <v>0</v>
      </c>
      <c r="C944">
        <v>2037</v>
      </c>
      <c r="D944">
        <v>45863</v>
      </c>
    </row>
    <row r="945" spans="1:4" x14ac:dyDescent="0.2">
      <c r="A945">
        <v>6</v>
      </c>
      <c r="B945">
        <v>0</v>
      </c>
      <c r="C945">
        <v>2038</v>
      </c>
      <c r="D945">
        <v>47290</v>
      </c>
    </row>
    <row r="946" spans="1:4" x14ac:dyDescent="0.2">
      <c r="A946">
        <v>6</v>
      </c>
      <c r="B946">
        <v>0</v>
      </c>
      <c r="C946">
        <v>2039</v>
      </c>
      <c r="D946">
        <v>48696</v>
      </c>
    </row>
    <row r="947" spans="1:4" x14ac:dyDescent="0.2">
      <c r="A947">
        <v>6</v>
      </c>
      <c r="B947">
        <v>0</v>
      </c>
      <c r="C947">
        <v>2040</v>
      </c>
      <c r="D947">
        <v>50142</v>
      </c>
    </row>
    <row r="948" spans="1:4" x14ac:dyDescent="0.2">
      <c r="A948">
        <v>6</v>
      </c>
      <c r="B948">
        <v>0</v>
      </c>
      <c r="C948">
        <v>2041</v>
      </c>
      <c r="D948">
        <v>51636</v>
      </c>
    </row>
    <row r="949" spans="1:4" x14ac:dyDescent="0.2">
      <c r="A949">
        <v>6</v>
      </c>
      <c r="B949">
        <v>0</v>
      </c>
      <c r="C949">
        <v>2042</v>
      </c>
      <c r="D949">
        <v>53090</v>
      </c>
    </row>
    <row r="950" spans="1:4" x14ac:dyDescent="0.2">
      <c r="A950">
        <v>6</v>
      </c>
      <c r="B950">
        <v>0</v>
      </c>
      <c r="C950">
        <v>2043</v>
      </c>
      <c r="D950">
        <v>54589</v>
      </c>
    </row>
    <row r="951" spans="1:4" x14ac:dyDescent="0.2">
      <c r="A951">
        <v>6</v>
      </c>
      <c r="B951">
        <v>0</v>
      </c>
      <c r="C951">
        <v>2044</v>
      </c>
      <c r="D951">
        <v>56063</v>
      </c>
    </row>
    <row r="952" spans="1:4" x14ac:dyDescent="0.2">
      <c r="A952">
        <v>6</v>
      </c>
      <c r="B952">
        <v>0</v>
      </c>
      <c r="C952">
        <v>2045</v>
      </c>
      <c r="D952">
        <v>57547</v>
      </c>
    </row>
    <row r="953" spans="1:4" x14ac:dyDescent="0.2">
      <c r="A953">
        <v>6</v>
      </c>
      <c r="B953">
        <v>0</v>
      </c>
      <c r="C953">
        <v>2046</v>
      </c>
      <c r="D953">
        <v>59043</v>
      </c>
    </row>
    <row r="954" spans="1:4" x14ac:dyDescent="0.2">
      <c r="A954">
        <v>6</v>
      </c>
      <c r="B954">
        <v>0</v>
      </c>
      <c r="C954">
        <v>2047</v>
      </c>
      <c r="D954">
        <v>60541</v>
      </c>
    </row>
    <row r="955" spans="1:4" x14ac:dyDescent="0.2">
      <c r="A955">
        <v>6</v>
      </c>
      <c r="B955">
        <v>0</v>
      </c>
      <c r="C955">
        <v>2048</v>
      </c>
      <c r="D955">
        <v>62050</v>
      </c>
    </row>
    <row r="956" spans="1:4" x14ac:dyDescent="0.2">
      <c r="A956">
        <v>6</v>
      </c>
      <c r="B956">
        <v>0</v>
      </c>
      <c r="C956">
        <v>2049</v>
      </c>
      <c r="D956">
        <v>63585</v>
      </c>
    </row>
    <row r="957" spans="1:4" x14ac:dyDescent="0.2">
      <c r="A957">
        <v>6</v>
      </c>
      <c r="B957">
        <v>0</v>
      </c>
      <c r="C957">
        <v>2050</v>
      </c>
      <c r="D957">
        <v>65062</v>
      </c>
    </row>
    <row r="958" spans="1:4" x14ac:dyDescent="0.2">
      <c r="A958">
        <v>6</v>
      </c>
      <c r="B958">
        <v>0</v>
      </c>
      <c r="C958">
        <v>2051</v>
      </c>
      <c r="D958">
        <v>66595</v>
      </c>
    </row>
    <row r="959" spans="1:4" x14ac:dyDescent="0.2">
      <c r="A959">
        <v>6</v>
      </c>
      <c r="B959">
        <v>0</v>
      </c>
      <c r="C959">
        <v>2052</v>
      </c>
      <c r="D959">
        <v>68106</v>
      </c>
    </row>
    <row r="960" spans="1:4" x14ac:dyDescent="0.2">
      <c r="A960">
        <v>6</v>
      </c>
      <c r="B960">
        <v>0</v>
      </c>
      <c r="C960">
        <v>2053</v>
      </c>
      <c r="D960">
        <v>69655</v>
      </c>
    </row>
    <row r="961" spans="1:4" x14ac:dyDescent="0.2">
      <c r="A961">
        <v>6</v>
      </c>
      <c r="B961">
        <v>0</v>
      </c>
      <c r="C961">
        <v>2054</v>
      </c>
      <c r="D961">
        <v>71211</v>
      </c>
    </row>
    <row r="962" spans="1:4" x14ac:dyDescent="0.2">
      <c r="A962">
        <v>6</v>
      </c>
      <c r="B962">
        <v>0</v>
      </c>
      <c r="C962">
        <v>2055</v>
      </c>
      <c r="D962">
        <v>72799</v>
      </c>
    </row>
    <row r="963" spans="1:4" x14ac:dyDescent="0.2">
      <c r="A963">
        <v>6</v>
      </c>
      <c r="B963">
        <v>0</v>
      </c>
      <c r="C963">
        <v>2056</v>
      </c>
      <c r="D963">
        <v>74452</v>
      </c>
    </row>
    <row r="964" spans="1:4" x14ac:dyDescent="0.2">
      <c r="A964">
        <v>6</v>
      </c>
      <c r="B964">
        <v>0</v>
      </c>
      <c r="C964">
        <v>2057</v>
      </c>
      <c r="D964">
        <v>76125</v>
      </c>
    </row>
    <row r="965" spans="1:4" x14ac:dyDescent="0.2">
      <c r="A965">
        <v>6</v>
      </c>
      <c r="B965">
        <v>0</v>
      </c>
      <c r="C965">
        <v>2058</v>
      </c>
      <c r="D965">
        <v>77851</v>
      </c>
    </row>
    <row r="966" spans="1:4" x14ac:dyDescent="0.2">
      <c r="A966">
        <v>6</v>
      </c>
      <c r="B966">
        <v>0</v>
      </c>
      <c r="C966">
        <v>2059</v>
      </c>
      <c r="D966">
        <v>79651</v>
      </c>
    </row>
    <row r="967" spans="1:4" x14ac:dyDescent="0.2">
      <c r="A967">
        <v>6</v>
      </c>
      <c r="B967">
        <v>0</v>
      </c>
      <c r="C967">
        <v>2060</v>
      </c>
      <c r="D967">
        <v>81546</v>
      </c>
    </row>
    <row r="968" spans="1:4" x14ac:dyDescent="0.2">
      <c r="A968">
        <v>6</v>
      </c>
      <c r="B968">
        <v>1</v>
      </c>
      <c r="C968">
        <v>2017</v>
      </c>
      <c r="D968">
        <v>13766</v>
      </c>
    </row>
    <row r="969" spans="1:4" x14ac:dyDescent="0.2">
      <c r="A969">
        <v>6</v>
      </c>
      <c r="B969">
        <v>1</v>
      </c>
      <c r="C969">
        <v>2018</v>
      </c>
      <c r="D969">
        <v>14136</v>
      </c>
    </row>
    <row r="970" spans="1:4" x14ac:dyDescent="0.2">
      <c r="A970">
        <v>6</v>
      </c>
      <c r="B970">
        <v>1</v>
      </c>
      <c r="C970">
        <v>2019</v>
      </c>
      <c r="D970">
        <v>14519</v>
      </c>
    </row>
    <row r="971" spans="1:4" x14ac:dyDescent="0.2">
      <c r="A971">
        <v>6</v>
      </c>
      <c r="B971">
        <v>1</v>
      </c>
      <c r="C971">
        <v>2020</v>
      </c>
      <c r="D971">
        <v>14866</v>
      </c>
    </row>
    <row r="972" spans="1:4" x14ac:dyDescent="0.2">
      <c r="A972">
        <v>6</v>
      </c>
      <c r="B972">
        <v>1</v>
      </c>
      <c r="C972">
        <v>2021</v>
      </c>
      <c r="D972">
        <v>15270</v>
      </c>
    </row>
    <row r="973" spans="1:4" x14ac:dyDescent="0.2">
      <c r="A973">
        <v>6</v>
      </c>
      <c r="B973">
        <v>1</v>
      </c>
      <c r="C973">
        <v>2022</v>
      </c>
      <c r="D973">
        <v>15682</v>
      </c>
    </row>
    <row r="974" spans="1:4" x14ac:dyDescent="0.2">
      <c r="A974">
        <v>6</v>
      </c>
      <c r="B974">
        <v>1</v>
      </c>
      <c r="C974">
        <v>2023</v>
      </c>
      <c r="D974">
        <v>16143</v>
      </c>
    </row>
    <row r="975" spans="1:4" x14ac:dyDescent="0.2">
      <c r="A975">
        <v>6</v>
      </c>
      <c r="B975">
        <v>1</v>
      </c>
      <c r="C975">
        <v>2024</v>
      </c>
      <c r="D975">
        <v>16582</v>
      </c>
    </row>
    <row r="976" spans="1:4" x14ac:dyDescent="0.2">
      <c r="A976">
        <v>6</v>
      </c>
      <c r="B976">
        <v>1</v>
      </c>
      <c r="C976">
        <v>2025</v>
      </c>
      <c r="D976">
        <v>17065</v>
      </c>
    </row>
    <row r="977" spans="1:4" x14ac:dyDescent="0.2">
      <c r="A977">
        <v>6</v>
      </c>
      <c r="B977">
        <v>1</v>
      </c>
      <c r="C977">
        <v>2026</v>
      </c>
      <c r="D977">
        <v>17541</v>
      </c>
    </row>
    <row r="978" spans="1:4" x14ac:dyDescent="0.2">
      <c r="A978">
        <v>6</v>
      </c>
      <c r="B978">
        <v>1</v>
      </c>
      <c r="C978">
        <v>2027</v>
      </c>
      <c r="D978">
        <v>18023</v>
      </c>
    </row>
    <row r="979" spans="1:4" x14ac:dyDescent="0.2">
      <c r="A979">
        <v>6</v>
      </c>
      <c r="B979">
        <v>1</v>
      </c>
      <c r="C979">
        <v>2028</v>
      </c>
      <c r="D979">
        <v>18582</v>
      </c>
    </row>
    <row r="980" spans="1:4" x14ac:dyDescent="0.2">
      <c r="A980">
        <v>6</v>
      </c>
      <c r="B980">
        <v>1</v>
      </c>
      <c r="C980">
        <v>2029</v>
      </c>
      <c r="D980">
        <v>19082</v>
      </c>
    </row>
    <row r="981" spans="1:4" x14ac:dyDescent="0.2">
      <c r="A981">
        <v>6</v>
      </c>
      <c r="B981">
        <v>1</v>
      </c>
      <c r="C981">
        <v>2030</v>
      </c>
      <c r="D981">
        <v>19687</v>
      </c>
    </row>
    <row r="982" spans="1:4" x14ac:dyDescent="0.2">
      <c r="A982">
        <v>6</v>
      </c>
      <c r="B982">
        <v>1</v>
      </c>
      <c r="C982">
        <v>2031</v>
      </c>
      <c r="D982">
        <v>20245</v>
      </c>
    </row>
    <row r="983" spans="1:4" x14ac:dyDescent="0.2">
      <c r="A983">
        <v>6</v>
      </c>
      <c r="B983">
        <v>1</v>
      </c>
      <c r="C983">
        <v>2032</v>
      </c>
      <c r="D983">
        <v>20826</v>
      </c>
    </row>
    <row r="984" spans="1:4" x14ac:dyDescent="0.2">
      <c r="A984">
        <v>6</v>
      </c>
      <c r="B984">
        <v>1</v>
      </c>
      <c r="C984">
        <v>2033</v>
      </c>
      <c r="D984">
        <v>21449</v>
      </c>
    </row>
    <row r="985" spans="1:4" x14ac:dyDescent="0.2">
      <c r="A985">
        <v>6</v>
      </c>
      <c r="B985">
        <v>1</v>
      </c>
      <c r="C985">
        <v>2034</v>
      </c>
      <c r="D985">
        <v>22073</v>
      </c>
    </row>
    <row r="986" spans="1:4" x14ac:dyDescent="0.2">
      <c r="A986">
        <v>6</v>
      </c>
      <c r="B986">
        <v>1</v>
      </c>
      <c r="C986">
        <v>2035</v>
      </c>
      <c r="D986">
        <v>22709</v>
      </c>
    </row>
    <row r="987" spans="1:4" x14ac:dyDescent="0.2">
      <c r="A987">
        <v>6</v>
      </c>
      <c r="B987">
        <v>1</v>
      </c>
      <c r="C987">
        <v>2036</v>
      </c>
      <c r="D987">
        <v>23346</v>
      </c>
    </row>
    <row r="988" spans="1:4" x14ac:dyDescent="0.2">
      <c r="A988">
        <v>6</v>
      </c>
      <c r="B988">
        <v>1</v>
      </c>
      <c r="C988">
        <v>2037</v>
      </c>
      <c r="D988">
        <v>24032</v>
      </c>
    </row>
    <row r="989" spans="1:4" x14ac:dyDescent="0.2">
      <c r="A989">
        <v>6</v>
      </c>
      <c r="B989">
        <v>1</v>
      </c>
      <c r="C989">
        <v>2038</v>
      </c>
      <c r="D989">
        <v>24663</v>
      </c>
    </row>
    <row r="990" spans="1:4" x14ac:dyDescent="0.2">
      <c r="A990">
        <v>6</v>
      </c>
      <c r="B990">
        <v>1</v>
      </c>
      <c r="C990">
        <v>2039</v>
      </c>
      <c r="D990">
        <v>25333</v>
      </c>
    </row>
    <row r="991" spans="1:4" x14ac:dyDescent="0.2">
      <c r="A991">
        <v>6</v>
      </c>
      <c r="B991">
        <v>1</v>
      </c>
      <c r="C991">
        <v>2040</v>
      </c>
      <c r="D991">
        <v>26014</v>
      </c>
    </row>
    <row r="992" spans="1:4" x14ac:dyDescent="0.2">
      <c r="A992">
        <v>6</v>
      </c>
      <c r="B992">
        <v>1</v>
      </c>
      <c r="C992">
        <v>2041</v>
      </c>
      <c r="D992">
        <v>26708</v>
      </c>
    </row>
    <row r="993" spans="1:4" x14ac:dyDescent="0.2">
      <c r="A993">
        <v>6</v>
      </c>
      <c r="B993">
        <v>1</v>
      </c>
      <c r="C993">
        <v>2042</v>
      </c>
      <c r="D993">
        <v>27393</v>
      </c>
    </row>
    <row r="994" spans="1:4" x14ac:dyDescent="0.2">
      <c r="A994">
        <v>6</v>
      </c>
      <c r="B994">
        <v>1</v>
      </c>
      <c r="C994">
        <v>2043</v>
      </c>
      <c r="D994">
        <v>28174</v>
      </c>
    </row>
    <row r="995" spans="1:4" x14ac:dyDescent="0.2">
      <c r="A995">
        <v>6</v>
      </c>
      <c r="B995">
        <v>1</v>
      </c>
      <c r="C995">
        <v>2044</v>
      </c>
      <c r="D995">
        <v>28813</v>
      </c>
    </row>
    <row r="996" spans="1:4" x14ac:dyDescent="0.2">
      <c r="A996">
        <v>6</v>
      </c>
      <c r="B996">
        <v>1</v>
      </c>
      <c r="C996">
        <v>2045</v>
      </c>
      <c r="D996">
        <v>29496</v>
      </c>
    </row>
    <row r="997" spans="1:4" x14ac:dyDescent="0.2">
      <c r="A997">
        <v>6</v>
      </c>
      <c r="B997">
        <v>1</v>
      </c>
      <c r="C997">
        <v>2046</v>
      </c>
      <c r="D997">
        <v>30235</v>
      </c>
    </row>
    <row r="998" spans="1:4" x14ac:dyDescent="0.2">
      <c r="A998">
        <v>6</v>
      </c>
      <c r="B998">
        <v>1</v>
      </c>
      <c r="C998">
        <v>2047</v>
      </c>
      <c r="D998">
        <v>30908</v>
      </c>
    </row>
    <row r="999" spans="1:4" x14ac:dyDescent="0.2">
      <c r="A999">
        <v>6</v>
      </c>
      <c r="B999">
        <v>1</v>
      </c>
      <c r="C999">
        <v>2048</v>
      </c>
      <c r="D999">
        <v>31633</v>
      </c>
    </row>
    <row r="1000" spans="1:4" x14ac:dyDescent="0.2">
      <c r="A1000">
        <v>6</v>
      </c>
      <c r="B1000">
        <v>1</v>
      </c>
      <c r="C1000">
        <v>2049</v>
      </c>
      <c r="D1000">
        <v>32364</v>
      </c>
    </row>
    <row r="1001" spans="1:4" x14ac:dyDescent="0.2">
      <c r="A1001">
        <v>6</v>
      </c>
      <c r="B1001">
        <v>1</v>
      </c>
      <c r="C1001">
        <v>2050</v>
      </c>
      <c r="D1001">
        <v>33071</v>
      </c>
    </row>
    <row r="1002" spans="1:4" x14ac:dyDescent="0.2">
      <c r="A1002">
        <v>6</v>
      </c>
      <c r="B1002">
        <v>1</v>
      </c>
      <c r="C1002">
        <v>2051</v>
      </c>
      <c r="D1002">
        <v>33786</v>
      </c>
    </row>
    <row r="1003" spans="1:4" x14ac:dyDescent="0.2">
      <c r="A1003">
        <v>6</v>
      </c>
      <c r="B1003">
        <v>1</v>
      </c>
      <c r="C1003">
        <v>2052</v>
      </c>
      <c r="D1003">
        <v>34518</v>
      </c>
    </row>
    <row r="1004" spans="1:4" x14ac:dyDescent="0.2">
      <c r="A1004">
        <v>6</v>
      </c>
      <c r="B1004">
        <v>1</v>
      </c>
      <c r="C1004">
        <v>2053</v>
      </c>
      <c r="D1004">
        <v>35279</v>
      </c>
    </row>
    <row r="1005" spans="1:4" x14ac:dyDescent="0.2">
      <c r="A1005">
        <v>6</v>
      </c>
      <c r="B1005">
        <v>1</v>
      </c>
      <c r="C1005">
        <v>2054</v>
      </c>
      <c r="D1005">
        <v>36043</v>
      </c>
    </row>
    <row r="1006" spans="1:4" x14ac:dyDescent="0.2">
      <c r="A1006">
        <v>6</v>
      </c>
      <c r="B1006">
        <v>1</v>
      </c>
      <c r="C1006">
        <v>2055</v>
      </c>
      <c r="D1006">
        <v>36810</v>
      </c>
    </row>
    <row r="1007" spans="1:4" x14ac:dyDescent="0.2">
      <c r="A1007">
        <v>6</v>
      </c>
      <c r="B1007">
        <v>1</v>
      </c>
      <c r="C1007">
        <v>2056</v>
      </c>
      <c r="D1007">
        <v>37690</v>
      </c>
    </row>
    <row r="1008" spans="1:4" x14ac:dyDescent="0.2">
      <c r="A1008">
        <v>6</v>
      </c>
      <c r="B1008">
        <v>1</v>
      </c>
      <c r="C1008">
        <v>2057</v>
      </c>
      <c r="D1008">
        <v>38488</v>
      </c>
    </row>
    <row r="1009" spans="1:4" x14ac:dyDescent="0.2">
      <c r="A1009">
        <v>6</v>
      </c>
      <c r="B1009">
        <v>1</v>
      </c>
      <c r="C1009">
        <v>2058</v>
      </c>
      <c r="D1009">
        <v>39392</v>
      </c>
    </row>
    <row r="1010" spans="1:4" x14ac:dyDescent="0.2">
      <c r="A1010">
        <v>6</v>
      </c>
      <c r="B1010">
        <v>1</v>
      </c>
      <c r="C1010">
        <v>2059</v>
      </c>
      <c r="D1010">
        <v>40329</v>
      </c>
    </row>
    <row r="1011" spans="1:4" x14ac:dyDescent="0.2">
      <c r="A1011">
        <v>6</v>
      </c>
      <c r="B1011">
        <v>1</v>
      </c>
      <c r="C1011">
        <v>2060</v>
      </c>
      <c r="D1011">
        <v>41296</v>
      </c>
    </row>
    <row r="1012" spans="1:4" x14ac:dyDescent="0.2">
      <c r="A1012">
        <v>6</v>
      </c>
      <c r="B1012">
        <v>2</v>
      </c>
      <c r="C1012">
        <v>2017</v>
      </c>
      <c r="D1012">
        <v>11619</v>
      </c>
    </row>
    <row r="1013" spans="1:4" x14ac:dyDescent="0.2">
      <c r="A1013">
        <v>6</v>
      </c>
      <c r="B1013">
        <v>2</v>
      </c>
      <c r="C1013">
        <v>2018</v>
      </c>
      <c r="D1013">
        <v>11909</v>
      </c>
    </row>
    <row r="1014" spans="1:4" x14ac:dyDescent="0.2">
      <c r="A1014">
        <v>6</v>
      </c>
      <c r="B1014">
        <v>2</v>
      </c>
      <c r="C1014">
        <v>2019</v>
      </c>
      <c r="D1014">
        <v>12246</v>
      </c>
    </row>
    <row r="1015" spans="1:4" x14ac:dyDescent="0.2">
      <c r="A1015">
        <v>6</v>
      </c>
      <c r="B1015">
        <v>2</v>
      </c>
      <c r="C1015">
        <v>2020</v>
      </c>
      <c r="D1015">
        <v>12600</v>
      </c>
    </row>
    <row r="1016" spans="1:4" x14ac:dyDescent="0.2">
      <c r="A1016">
        <v>6</v>
      </c>
      <c r="B1016">
        <v>2</v>
      </c>
      <c r="C1016">
        <v>2021</v>
      </c>
      <c r="D1016">
        <v>12952</v>
      </c>
    </row>
    <row r="1017" spans="1:4" x14ac:dyDescent="0.2">
      <c r="A1017">
        <v>6</v>
      </c>
      <c r="B1017">
        <v>2</v>
      </c>
      <c r="C1017">
        <v>2022</v>
      </c>
      <c r="D1017">
        <v>13355</v>
      </c>
    </row>
    <row r="1018" spans="1:4" x14ac:dyDescent="0.2">
      <c r="A1018">
        <v>6</v>
      </c>
      <c r="B1018">
        <v>2</v>
      </c>
      <c r="C1018">
        <v>2023</v>
      </c>
      <c r="D1018">
        <v>13732</v>
      </c>
    </row>
    <row r="1019" spans="1:4" x14ac:dyDescent="0.2">
      <c r="A1019">
        <v>6</v>
      </c>
      <c r="B1019">
        <v>2</v>
      </c>
      <c r="C1019">
        <v>2024</v>
      </c>
      <c r="D1019">
        <v>14158</v>
      </c>
    </row>
    <row r="1020" spans="1:4" x14ac:dyDescent="0.2">
      <c r="A1020">
        <v>6</v>
      </c>
      <c r="B1020">
        <v>2</v>
      </c>
      <c r="C1020">
        <v>2025</v>
      </c>
      <c r="D1020">
        <v>14618</v>
      </c>
    </row>
    <row r="1021" spans="1:4" x14ac:dyDescent="0.2">
      <c r="A1021">
        <v>6</v>
      </c>
      <c r="B1021">
        <v>2</v>
      </c>
      <c r="C1021">
        <v>2026</v>
      </c>
      <c r="D1021">
        <v>15090</v>
      </c>
    </row>
    <row r="1022" spans="1:4" x14ac:dyDescent="0.2">
      <c r="A1022">
        <v>6</v>
      </c>
      <c r="B1022">
        <v>2</v>
      </c>
      <c r="C1022">
        <v>2027</v>
      </c>
      <c r="D1022">
        <v>15594</v>
      </c>
    </row>
    <row r="1023" spans="1:4" x14ac:dyDescent="0.2">
      <c r="A1023">
        <v>6</v>
      </c>
      <c r="B1023">
        <v>2</v>
      </c>
      <c r="C1023">
        <v>2028</v>
      </c>
      <c r="D1023">
        <v>16102</v>
      </c>
    </row>
    <row r="1024" spans="1:4" x14ac:dyDescent="0.2">
      <c r="A1024">
        <v>6</v>
      </c>
      <c r="B1024">
        <v>2</v>
      </c>
      <c r="C1024">
        <v>2029</v>
      </c>
      <c r="D1024">
        <v>16692</v>
      </c>
    </row>
    <row r="1025" spans="1:4" x14ac:dyDescent="0.2">
      <c r="A1025">
        <v>6</v>
      </c>
      <c r="B1025">
        <v>2</v>
      </c>
      <c r="C1025">
        <v>2030</v>
      </c>
      <c r="D1025">
        <v>17217</v>
      </c>
    </row>
    <row r="1026" spans="1:4" x14ac:dyDescent="0.2">
      <c r="A1026">
        <v>6</v>
      </c>
      <c r="B1026">
        <v>2</v>
      </c>
      <c r="C1026">
        <v>2031</v>
      </c>
      <c r="D1026">
        <v>17828</v>
      </c>
    </row>
    <row r="1027" spans="1:4" x14ac:dyDescent="0.2">
      <c r="A1027">
        <v>6</v>
      </c>
      <c r="B1027">
        <v>2</v>
      </c>
      <c r="C1027">
        <v>2032</v>
      </c>
      <c r="D1027">
        <v>18445</v>
      </c>
    </row>
    <row r="1028" spans="1:4" x14ac:dyDescent="0.2">
      <c r="A1028">
        <v>6</v>
      </c>
      <c r="B1028">
        <v>2</v>
      </c>
      <c r="C1028">
        <v>2033</v>
      </c>
      <c r="D1028">
        <v>19087</v>
      </c>
    </row>
    <row r="1029" spans="1:4" x14ac:dyDescent="0.2">
      <c r="A1029">
        <v>6</v>
      </c>
      <c r="B1029">
        <v>2</v>
      </c>
      <c r="C1029">
        <v>2034</v>
      </c>
      <c r="D1029">
        <v>19746</v>
      </c>
    </row>
    <row r="1030" spans="1:4" x14ac:dyDescent="0.2">
      <c r="A1030">
        <v>6</v>
      </c>
      <c r="B1030">
        <v>2</v>
      </c>
      <c r="C1030">
        <v>2035</v>
      </c>
      <c r="D1030">
        <v>20433</v>
      </c>
    </row>
    <row r="1031" spans="1:4" x14ac:dyDescent="0.2">
      <c r="A1031">
        <v>6</v>
      </c>
      <c r="B1031">
        <v>2</v>
      </c>
      <c r="C1031">
        <v>2036</v>
      </c>
      <c r="D1031">
        <v>21131</v>
      </c>
    </row>
    <row r="1032" spans="1:4" x14ac:dyDescent="0.2">
      <c r="A1032">
        <v>6</v>
      </c>
      <c r="B1032">
        <v>2</v>
      </c>
      <c r="C1032">
        <v>2037</v>
      </c>
      <c r="D1032">
        <v>21831</v>
      </c>
    </row>
    <row r="1033" spans="1:4" x14ac:dyDescent="0.2">
      <c r="A1033">
        <v>6</v>
      </c>
      <c r="B1033">
        <v>2</v>
      </c>
      <c r="C1033">
        <v>2038</v>
      </c>
      <c r="D1033">
        <v>22627</v>
      </c>
    </row>
    <row r="1034" spans="1:4" x14ac:dyDescent="0.2">
      <c r="A1034">
        <v>6</v>
      </c>
      <c r="B1034">
        <v>2</v>
      </c>
      <c r="C1034">
        <v>2039</v>
      </c>
      <c r="D1034">
        <v>23363</v>
      </c>
    </row>
    <row r="1035" spans="1:4" x14ac:dyDescent="0.2">
      <c r="A1035">
        <v>6</v>
      </c>
      <c r="B1035">
        <v>2</v>
      </c>
      <c r="C1035">
        <v>2040</v>
      </c>
      <c r="D1035">
        <v>24128</v>
      </c>
    </row>
    <row r="1036" spans="1:4" x14ac:dyDescent="0.2">
      <c r="A1036">
        <v>6</v>
      </c>
      <c r="B1036">
        <v>2</v>
      </c>
      <c r="C1036">
        <v>2041</v>
      </c>
      <c r="D1036">
        <v>24928</v>
      </c>
    </row>
    <row r="1037" spans="1:4" x14ac:dyDescent="0.2">
      <c r="A1037">
        <v>6</v>
      </c>
      <c r="B1037">
        <v>2</v>
      </c>
      <c r="C1037">
        <v>2042</v>
      </c>
      <c r="D1037">
        <v>25697</v>
      </c>
    </row>
    <row r="1038" spans="1:4" x14ac:dyDescent="0.2">
      <c r="A1038">
        <v>6</v>
      </c>
      <c r="B1038">
        <v>2</v>
      </c>
      <c r="C1038">
        <v>2043</v>
      </c>
      <c r="D1038">
        <v>26415</v>
      </c>
    </row>
    <row r="1039" spans="1:4" x14ac:dyDescent="0.2">
      <c r="A1039">
        <v>6</v>
      </c>
      <c r="B1039">
        <v>2</v>
      </c>
      <c r="C1039">
        <v>2044</v>
      </c>
      <c r="D1039">
        <v>27250</v>
      </c>
    </row>
    <row r="1040" spans="1:4" x14ac:dyDescent="0.2">
      <c r="A1040">
        <v>6</v>
      </c>
      <c r="B1040">
        <v>2</v>
      </c>
      <c r="C1040">
        <v>2045</v>
      </c>
      <c r="D1040">
        <v>28051</v>
      </c>
    </row>
    <row r="1041" spans="1:4" x14ac:dyDescent="0.2">
      <c r="A1041">
        <v>6</v>
      </c>
      <c r="B1041">
        <v>2</v>
      </c>
      <c r="C1041">
        <v>2046</v>
      </c>
      <c r="D1041">
        <v>28808</v>
      </c>
    </row>
    <row r="1042" spans="1:4" x14ac:dyDescent="0.2">
      <c r="A1042">
        <v>6</v>
      </c>
      <c r="B1042">
        <v>2</v>
      </c>
      <c r="C1042">
        <v>2047</v>
      </c>
      <c r="D1042">
        <v>29633</v>
      </c>
    </row>
    <row r="1043" spans="1:4" x14ac:dyDescent="0.2">
      <c r="A1043">
        <v>6</v>
      </c>
      <c r="B1043">
        <v>2</v>
      </c>
      <c r="C1043">
        <v>2048</v>
      </c>
      <c r="D1043">
        <v>30417</v>
      </c>
    </row>
    <row r="1044" spans="1:4" x14ac:dyDescent="0.2">
      <c r="A1044">
        <v>6</v>
      </c>
      <c r="B1044">
        <v>2</v>
      </c>
      <c r="C1044">
        <v>2049</v>
      </c>
      <c r="D1044">
        <v>31221</v>
      </c>
    </row>
    <row r="1045" spans="1:4" x14ac:dyDescent="0.2">
      <c r="A1045">
        <v>6</v>
      </c>
      <c r="B1045">
        <v>2</v>
      </c>
      <c r="C1045">
        <v>2050</v>
      </c>
      <c r="D1045">
        <v>31991</v>
      </c>
    </row>
    <row r="1046" spans="1:4" x14ac:dyDescent="0.2">
      <c r="A1046">
        <v>6</v>
      </c>
      <c r="B1046">
        <v>2</v>
      </c>
      <c r="C1046">
        <v>2051</v>
      </c>
      <c r="D1046">
        <v>32809</v>
      </c>
    </row>
    <row r="1047" spans="1:4" x14ac:dyDescent="0.2">
      <c r="A1047">
        <v>6</v>
      </c>
      <c r="B1047">
        <v>2</v>
      </c>
      <c r="C1047">
        <v>2052</v>
      </c>
      <c r="D1047">
        <v>33588</v>
      </c>
    </row>
    <row r="1048" spans="1:4" x14ac:dyDescent="0.2">
      <c r="A1048">
        <v>6</v>
      </c>
      <c r="B1048">
        <v>2</v>
      </c>
      <c r="C1048">
        <v>2053</v>
      </c>
      <c r="D1048">
        <v>34376</v>
      </c>
    </row>
    <row r="1049" spans="1:4" x14ac:dyDescent="0.2">
      <c r="A1049">
        <v>6</v>
      </c>
      <c r="B1049">
        <v>2</v>
      </c>
      <c r="C1049">
        <v>2054</v>
      </c>
      <c r="D1049">
        <v>35168</v>
      </c>
    </row>
    <row r="1050" spans="1:4" x14ac:dyDescent="0.2">
      <c r="A1050">
        <v>6</v>
      </c>
      <c r="B1050">
        <v>2</v>
      </c>
      <c r="C1050">
        <v>2055</v>
      </c>
      <c r="D1050">
        <v>35989</v>
      </c>
    </row>
    <row r="1051" spans="1:4" x14ac:dyDescent="0.2">
      <c r="A1051">
        <v>6</v>
      </c>
      <c r="B1051">
        <v>2</v>
      </c>
      <c r="C1051">
        <v>2056</v>
      </c>
      <c r="D1051">
        <v>36762</v>
      </c>
    </row>
    <row r="1052" spans="1:4" x14ac:dyDescent="0.2">
      <c r="A1052">
        <v>6</v>
      </c>
      <c r="B1052">
        <v>2</v>
      </c>
      <c r="C1052">
        <v>2057</v>
      </c>
      <c r="D1052">
        <v>37637</v>
      </c>
    </row>
    <row r="1053" spans="1:4" x14ac:dyDescent="0.2">
      <c r="A1053">
        <v>6</v>
      </c>
      <c r="B1053">
        <v>2</v>
      </c>
      <c r="C1053">
        <v>2058</v>
      </c>
      <c r="D1053">
        <v>38459</v>
      </c>
    </row>
    <row r="1054" spans="1:4" x14ac:dyDescent="0.2">
      <c r="A1054">
        <v>6</v>
      </c>
      <c r="B1054">
        <v>2</v>
      </c>
      <c r="C1054">
        <v>2059</v>
      </c>
      <c r="D1054">
        <v>39322</v>
      </c>
    </row>
    <row r="1055" spans="1:4" x14ac:dyDescent="0.2">
      <c r="A1055">
        <v>6</v>
      </c>
      <c r="B1055">
        <v>2</v>
      </c>
      <c r="C1055">
        <v>2060</v>
      </c>
      <c r="D1055">
        <v>40250</v>
      </c>
    </row>
    <row r="1056" spans="1:4" x14ac:dyDescent="0.2">
      <c r="A1056">
        <v>7</v>
      </c>
      <c r="B1056">
        <v>0</v>
      </c>
      <c r="C1056">
        <v>2017</v>
      </c>
      <c r="D1056">
        <v>2467251</v>
      </c>
    </row>
    <row r="1057" spans="1:4" x14ac:dyDescent="0.2">
      <c r="A1057">
        <v>7</v>
      </c>
      <c r="B1057">
        <v>0</v>
      </c>
      <c r="C1057">
        <v>2018</v>
      </c>
      <c r="D1057">
        <v>2490024</v>
      </c>
    </row>
    <row r="1058" spans="1:4" x14ac:dyDescent="0.2">
      <c r="A1058">
        <v>7</v>
      </c>
      <c r="B1058">
        <v>0</v>
      </c>
      <c r="C1058">
        <v>2019</v>
      </c>
      <c r="D1058">
        <v>2511499</v>
      </c>
    </row>
    <row r="1059" spans="1:4" x14ac:dyDescent="0.2">
      <c r="A1059">
        <v>7</v>
      </c>
      <c r="B1059">
        <v>0</v>
      </c>
      <c r="C1059">
        <v>2020</v>
      </c>
      <c r="D1059">
        <v>2532922</v>
      </c>
    </row>
    <row r="1060" spans="1:4" x14ac:dyDescent="0.2">
      <c r="A1060">
        <v>7</v>
      </c>
      <c r="B1060">
        <v>0</v>
      </c>
      <c r="C1060">
        <v>2021</v>
      </c>
      <c r="D1060">
        <v>2555128</v>
      </c>
    </row>
    <row r="1061" spans="1:4" x14ac:dyDescent="0.2">
      <c r="A1061">
        <v>7</v>
      </c>
      <c r="B1061">
        <v>0</v>
      </c>
      <c r="C1061">
        <v>2022</v>
      </c>
      <c r="D1061">
        <v>2578522</v>
      </c>
    </row>
    <row r="1062" spans="1:4" x14ac:dyDescent="0.2">
      <c r="A1062">
        <v>7</v>
      </c>
      <c r="B1062">
        <v>0</v>
      </c>
      <c r="C1062">
        <v>2023</v>
      </c>
      <c r="D1062">
        <v>2603553</v>
      </c>
    </row>
    <row r="1063" spans="1:4" x14ac:dyDescent="0.2">
      <c r="A1063">
        <v>7</v>
      </c>
      <c r="B1063">
        <v>0</v>
      </c>
      <c r="C1063">
        <v>2024</v>
      </c>
      <c r="D1063">
        <v>2630360</v>
      </c>
    </row>
    <row r="1064" spans="1:4" x14ac:dyDescent="0.2">
      <c r="A1064">
        <v>7</v>
      </c>
      <c r="B1064">
        <v>0</v>
      </c>
      <c r="C1064">
        <v>2025</v>
      </c>
      <c r="D1064">
        <v>2659121</v>
      </c>
    </row>
    <row r="1065" spans="1:4" x14ac:dyDescent="0.2">
      <c r="A1065">
        <v>7</v>
      </c>
      <c r="B1065">
        <v>0</v>
      </c>
      <c r="C1065">
        <v>2026</v>
      </c>
      <c r="D1065">
        <v>2689837</v>
      </c>
    </row>
    <row r="1066" spans="1:4" x14ac:dyDescent="0.2">
      <c r="A1066">
        <v>7</v>
      </c>
      <c r="B1066">
        <v>0</v>
      </c>
      <c r="C1066">
        <v>2027</v>
      </c>
      <c r="D1066">
        <v>2722671</v>
      </c>
    </row>
    <row r="1067" spans="1:4" x14ac:dyDescent="0.2">
      <c r="A1067">
        <v>7</v>
      </c>
      <c r="B1067">
        <v>0</v>
      </c>
      <c r="C1067">
        <v>2028</v>
      </c>
      <c r="D1067">
        <v>2757456</v>
      </c>
    </row>
    <row r="1068" spans="1:4" x14ac:dyDescent="0.2">
      <c r="A1068">
        <v>7</v>
      </c>
      <c r="B1068">
        <v>0</v>
      </c>
      <c r="C1068">
        <v>2029</v>
      </c>
      <c r="D1068">
        <v>2793943</v>
      </c>
    </row>
    <row r="1069" spans="1:4" x14ac:dyDescent="0.2">
      <c r="A1069">
        <v>7</v>
      </c>
      <c r="B1069">
        <v>0</v>
      </c>
      <c r="C1069">
        <v>2030</v>
      </c>
      <c r="D1069">
        <v>2831997</v>
      </c>
    </row>
    <row r="1070" spans="1:4" x14ac:dyDescent="0.2">
      <c r="A1070">
        <v>7</v>
      </c>
      <c r="B1070">
        <v>0</v>
      </c>
      <c r="C1070">
        <v>2031</v>
      </c>
      <c r="D1070">
        <v>2871389</v>
      </c>
    </row>
    <row r="1071" spans="1:4" x14ac:dyDescent="0.2">
      <c r="A1071">
        <v>7</v>
      </c>
      <c r="B1071">
        <v>0</v>
      </c>
      <c r="C1071">
        <v>2032</v>
      </c>
      <c r="D1071">
        <v>2911628</v>
      </c>
    </row>
    <row r="1072" spans="1:4" x14ac:dyDescent="0.2">
      <c r="A1072">
        <v>7</v>
      </c>
      <c r="B1072">
        <v>0</v>
      </c>
      <c r="C1072">
        <v>2033</v>
      </c>
      <c r="D1072">
        <v>2952403</v>
      </c>
    </row>
    <row r="1073" spans="1:4" x14ac:dyDescent="0.2">
      <c r="A1073">
        <v>7</v>
      </c>
      <c r="B1073">
        <v>0</v>
      </c>
      <c r="C1073">
        <v>2034</v>
      </c>
      <c r="D1073">
        <v>2993278</v>
      </c>
    </row>
    <row r="1074" spans="1:4" x14ac:dyDescent="0.2">
      <c r="A1074">
        <v>7</v>
      </c>
      <c r="B1074">
        <v>0</v>
      </c>
      <c r="C1074">
        <v>2035</v>
      </c>
      <c r="D1074">
        <v>3033902</v>
      </c>
    </row>
    <row r="1075" spans="1:4" x14ac:dyDescent="0.2">
      <c r="A1075">
        <v>7</v>
      </c>
      <c r="B1075">
        <v>0</v>
      </c>
      <c r="C1075">
        <v>2036</v>
      </c>
      <c r="D1075">
        <v>3073742</v>
      </c>
    </row>
    <row r="1076" spans="1:4" x14ac:dyDescent="0.2">
      <c r="A1076">
        <v>7</v>
      </c>
      <c r="B1076">
        <v>0</v>
      </c>
      <c r="C1076">
        <v>2037</v>
      </c>
      <c r="D1076">
        <v>3112312</v>
      </c>
    </row>
    <row r="1077" spans="1:4" x14ac:dyDescent="0.2">
      <c r="A1077">
        <v>7</v>
      </c>
      <c r="B1077">
        <v>0</v>
      </c>
      <c r="C1077">
        <v>2038</v>
      </c>
      <c r="D1077">
        <v>3149216</v>
      </c>
    </row>
    <row r="1078" spans="1:4" x14ac:dyDescent="0.2">
      <c r="A1078">
        <v>7</v>
      </c>
      <c r="B1078">
        <v>0</v>
      </c>
      <c r="C1078">
        <v>2039</v>
      </c>
      <c r="D1078">
        <v>3183823</v>
      </c>
    </row>
    <row r="1079" spans="1:4" x14ac:dyDescent="0.2">
      <c r="A1079">
        <v>7</v>
      </c>
      <c r="B1079">
        <v>0</v>
      </c>
      <c r="C1079">
        <v>2040</v>
      </c>
      <c r="D1079">
        <v>3215831</v>
      </c>
    </row>
    <row r="1080" spans="1:4" x14ac:dyDescent="0.2">
      <c r="A1080">
        <v>7</v>
      </c>
      <c r="B1080">
        <v>0</v>
      </c>
      <c r="C1080">
        <v>2041</v>
      </c>
      <c r="D1080">
        <v>3244914</v>
      </c>
    </row>
    <row r="1081" spans="1:4" x14ac:dyDescent="0.2">
      <c r="A1081">
        <v>7</v>
      </c>
      <c r="B1081">
        <v>0</v>
      </c>
      <c r="C1081">
        <v>2042</v>
      </c>
      <c r="D1081">
        <v>3270822</v>
      </c>
    </row>
    <row r="1082" spans="1:4" x14ac:dyDescent="0.2">
      <c r="A1082">
        <v>7</v>
      </c>
      <c r="B1082">
        <v>0</v>
      </c>
      <c r="C1082">
        <v>2043</v>
      </c>
      <c r="D1082">
        <v>3293549</v>
      </c>
    </row>
    <row r="1083" spans="1:4" x14ac:dyDescent="0.2">
      <c r="A1083">
        <v>7</v>
      </c>
      <c r="B1083">
        <v>0</v>
      </c>
      <c r="C1083">
        <v>2044</v>
      </c>
      <c r="D1083">
        <v>3312344</v>
      </c>
    </row>
    <row r="1084" spans="1:4" x14ac:dyDescent="0.2">
      <c r="A1084">
        <v>7</v>
      </c>
      <c r="B1084">
        <v>0</v>
      </c>
      <c r="C1084">
        <v>2045</v>
      </c>
      <c r="D1084">
        <v>3327021</v>
      </c>
    </row>
    <row r="1085" spans="1:4" x14ac:dyDescent="0.2">
      <c r="A1085">
        <v>7</v>
      </c>
      <c r="B1085">
        <v>0</v>
      </c>
      <c r="C1085">
        <v>2046</v>
      </c>
      <c r="D1085">
        <v>3337508</v>
      </c>
    </row>
    <row r="1086" spans="1:4" x14ac:dyDescent="0.2">
      <c r="A1086">
        <v>7</v>
      </c>
      <c r="B1086">
        <v>0</v>
      </c>
      <c r="C1086">
        <v>2047</v>
      </c>
      <c r="D1086">
        <v>3345475</v>
      </c>
    </row>
    <row r="1087" spans="1:4" x14ac:dyDescent="0.2">
      <c r="A1087">
        <v>7</v>
      </c>
      <c r="B1087">
        <v>0</v>
      </c>
      <c r="C1087">
        <v>2048</v>
      </c>
      <c r="D1087">
        <v>3349645</v>
      </c>
    </row>
    <row r="1088" spans="1:4" x14ac:dyDescent="0.2">
      <c r="A1088">
        <v>7</v>
      </c>
      <c r="B1088">
        <v>0</v>
      </c>
      <c r="C1088">
        <v>2049</v>
      </c>
      <c r="D1088">
        <v>3349877</v>
      </c>
    </row>
    <row r="1089" spans="1:4" x14ac:dyDescent="0.2">
      <c r="A1089">
        <v>7</v>
      </c>
      <c r="B1089">
        <v>0</v>
      </c>
      <c r="C1089">
        <v>2050</v>
      </c>
      <c r="D1089">
        <v>3346356</v>
      </c>
    </row>
    <row r="1090" spans="1:4" x14ac:dyDescent="0.2">
      <c r="A1090">
        <v>7</v>
      </c>
      <c r="B1090">
        <v>0</v>
      </c>
      <c r="C1090">
        <v>2051</v>
      </c>
      <c r="D1090">
        <v>3339514</v>
      </c>
    </row>
    <row r="1091" spans="1:4" x14ac:dyDescent="0.2">
      <c r="A1091">
        <v>7</v>
      </c>
      <c r="B1091">
        <v>0</v>
      </c>
      <c r="C1091">
        <v>2052</v>
      </c>
      <c r="D1091">
        <v>3329790</v>
      </c>
    </row>
    <row r="1092" spans="1:4" x14ac:dyDescent="0.2">
      <c r="A1092">
        <v>7</v>
      </c>
      <c r="B1092">
        <v>0</v>
      </c>
      <c r="C1092">
        <v>2053</v>
      </c>
      <c r="D1092">
        <v>3317738</v>
      </c>
    </row>
    <row r="1093" spans="1:4" x14ac:dyDescent="0.2">
      <c r="A1093">
        <v>7</v>
      </c>
      <c r="B1093">
        <v>0</v>
      </c>
      <c r="C1093">
        <v>2054</v>
      </c>
      <c r="D1093">
        <v>3303879</v>
      </c>
    </row>
    <row r="1094" spans="1:4" x14ac:dyDescent="0.2">
      <c r="A1094">
        <v>7</v>
      </c>
      <c r="B1094">
        <v>0</v>
      </c>
      <c r="C1094">
        <v>2055</v>
      </c>
      <c r="D1094">
        <v>3288715</v>
      </c>
    </row>
    <row r="1095" spans="1:4" x14ac:dyDescent="0.2">
      <c r="A1095">
        <v>7</v>
      </c>
      <c r="B1095">
        <v>0</v>
      </c>
      <c r="C1095">
        <v>2056</v>
      </c>
      <c r="D1095">
        <v>3272452</v>
      </c>
    </row>
    <row r="1096" spans="1:4" x14ac:dyDescent="0.2">
      <c r="A1096">
        <v>7</v>
      </c>
      <c r="B1096">
        <v>0</v>
      </c>
      <c r="C1096">
        <v>2057</v>
      </c>
      <c r="D1096">
        <v>3255627</v>
      </c>
    </row>
    <row r="1097" spans="1:4" x14ac:dyDescent="0.2">
      <c r="A1097">
        <v>7</v>
      </c>
      <c r="B1097">
        <v>0</v>
      </c>
      <c r="C1097">
        <v>2058</v>
      </c>
      <c r="D1097">
        <v>3238607</v>
      </c>
    </row>
    <row r="1098" spans="1:4" x14ac:dyDescent="0.2">
      <c r="A1098">
        <v>7</v>
      </c>
      <c r="B1098">
        <v>0</v>
      </c>
      <c r="C1098">
        <v>2059</v>
      </c>
      <c r="D1098">
        <v>3221883</v>
      </c>
    </row>
    <row r="1099" spans="1:4" x14ac:dyDescent="0.2">
      <c r="A1099">
        <v>7</v>
      </c>
      <c r="B1099">
        <v>0</v>
      </c>
      <c r="C1099">
        <v>2060</v>
      </c>
      <c r="D1099">
        <v>3206147</v>
      </c>
    </row>
    <row r="1100" spans="1:4" x14ac:dyDescent="0.2">
      <c r="A1100">
        <v>7</v>
      </c>
      <c r="B1100">
        <v>1</v>
      </c>
      <c r="C1100">
        <v>2017</v>
      </c>
      <c r="D1100">
        <v>1242373</v>
      </c>
    </row>
    <row r="1101" spans="1:4" x14ac:dyDescent="0.2">
      <c r="A1101">
        <v>7</v>
      </c>
      <c r="B1101">
        <v>1</v>
      </c>
      <c r="C1101">
        <v>2018</v>
      </c>
      <c r="D1101">
        <v>1255721</v>
      </c>
    </row>
    <row r="1102" spans="1:4" x14ac:dyDescent="0.2">
      <c r="A1102">
        <v>7</v>
      </c>
      <c r="B1102">
        <v>1</v>
      </c>
      <c r="C1102">
        <v>2019</v>
      </c>
      <c r="D1102">
        <v>1268793</v>
      </c>
    </row>
    <row r="1103" spans="1:4" x14ac:dyDescent="0.2">
      <c r="A1103">
        <v>7</v>
      </c>
      <c r="B1103">
        <v>1</v>
      </c>
      <c r="C1103">
        <v>2020</v>
      </c>
      <c r="D1103">
        <v>1281961</v>
      </c>
    </row>
    <row r="1104" spans="1:4" x14ac:dyDescent="0.2">
      <c r="A1104">
        <v>7</v>
      </c>
      <c r="B1104">
        <v>1</v>
      </c>
      <c r="C1104">
        <v>2021</v>
      </c>
      <c r="D1104">
        <v>1295459</v>
      </c>
    </row>
    <row r="1105" spans="1:4" x14ac:dyDescent="0.2">
      <c r="A1105">
        <v>7</v>
      </c>
      <c r="B1105">
        <v>1</v>
      </c>
      <c r="C1105">
        <v>2022</v>
      </c>
      <c r="D1105">
        <v>1309312</v>
      </c>
    </row>
    <row r="1106" spans="1:4" x14ac:dyDescent="0.2">
      <c r="A1106">
        <v>7</v>
      </c>
      <c r="B1106">
        <v>1</v>
      </c>
      <c r="C1106">
        <v>2023</v>
      </c>
      <c r="D1106">
        <v>1323714</v>
      </c>
    </row>
    <row r="1107" spans="1:4" x14ac:dyDescent="0.2">
      <c r="A1107">
        <v>7</v>
      </c>
      <c r="B1107">
        <v>1</v>
      </c>
      <c r="C1107">
        <v>2024</v>
      </c>
      <c r="D1107">
        <v>1338694</v>
      </c>
    </row>
    <row r="1108" spans="1:4" x14ac:dyDescent="0.2">
      <c r="A1108">
        <v>7</v>
      </c>
      <c r="B1108">
        <v>1</v>
      </c>
      <c r="C1108">
        <v>2025</v>
      </c>
      <c r="D1108">
        <v>1354318</v>
      </c>
    </row>
    <row r="1109" spans="1:4" x14ac:dyDescent="0.2">
      <c r="A1109">
        <v>7</v>
      </c>
      <c r="B1109">
        <v>1</v>
      </c>
      <c r="C1109">
        <v>2026</v>
      </c>
      <c r="D1109">
        <v>1370540</v>
      </c>
    </row>
    <row r="1110" spans="1:4" x14ac:dyDescent="0.2">
      <c r="A1110">
        <v>7</v>
      </c>
      <c r="B1110">
        <v>1</v>
      </c>
      <c r="C1110">
        <v>2027</v>
      </c>
      <c r="D1110">
        <v>1387384</v>
      </c>
    </row>
    <row r="1111" spans="1:4" x14ac:dyDescent="0.2">
      <c r="A1111">
        <v>7</v>
      </c>
      <c r="B1111">
        <v>1</v>
      </c>
      <c r="C1111">
        <v>2028</v>
      </c>
      <c r="D1111">
        <v>1404845</v>
      </c>
    </row>
    <row r="1112" spans="1:4" x14ac:dyDescent="0.2">
      <c r="A1112">
        <v>7</v>
      </c>
      <c r="B1112">
        <v>1</v>
      </c>
      <c r="C1112">
        <v>2029</v>
      </c>
      <c r="D1112">
        <v>1422692</v>
      </c>
    </row>
    <row r="1113" spans="1:4" x14ac:dyDescent="0.2">
      <c r="A1113">
        <v>7</v>
      </c>
      <c r="B1113">
        <v>1</v>
      </c>
      <c r="C1113">
        <v>2030</v>
      </c>
      <c r="D1113">
        <v>1440875</v>
      </c>
    </row>
    <row r="1114" spans="1:4" x14ac:dyDescent="0.2">
      <c r="A1114">
        <v>7</v>
      </c>
      <c r="B1114">
        <v>1</v>
      </c>
      <c r="C1114">
        <v>2031</v>
      </c>
      <c r="D1114">
        <v>1459235</v>
      </c>
    </row>
    <row r="1115" spans="1:4" x14ac:dyDescent="0.2">
      <c r="A1115">
        <v>7</v>
      </c>
      <c r="B1115">
        <v>1</v>
      </c>
      <c r="C1115">
        <v>2032</v>
      </c>
      <c r="D1115">
        <v>1477546</v>
      </c>
    </row>
    <row r="1116" spans="1:4" x14ac:dyDescent="0.2">
      <c r="A1116">
        <v>7</v>
      </c>
      <c r="B1116">
        <v>1</v>
      </c>
      <c r="C1116">
        <v>2033</v>
      </c>
      <c r="D1116">
        <v>1495664</v>
      </c>
    </row>
    <row r="1117" spans="1:4" x14ac:dyDescent="0.2">
      <c r="A1117">
        <v>7</v>
      </c>
      <c r="B1117">
        <v>1</v>
      </c>
      <c r="C1117">
        <v>2034</v>
      </c>
      <c r="D1117">
        <v>1513449</v>
      </c>
    </row>
    <row r="1118" spans="1:4" x14ac:dyDescent="0.2">
      <c r="A1118">
        <v>7</v>
      </c>
      <c r="B1118">
        <v>1</v>
      </c>
      <c r="C1118">
        <v>2035</v>
      </c>
      <c r="D1118">
        <v>1530664</v>
      </c>
    </row>
    <row r="1119" spans="1:4" x14ac:dyDescent="0.2">
      <c r="A1119">
        <v>7</v>
      </c>
      <c r="B1119">
        <v>1</v>
      </c>
      <c r="C1119">
        <v>2036</v>
      </c>
      <c r="D1119">
        <v>1547138</v>
      </c>
    </row>
    <row r="1120" spans="1:4" x14ac:dyDescent="0.2">
      <c r="A1120">
        <v>7</v>
      </c>
      <c r="B1120">
        <v>1</v>
      </c>
      <c r="C1120">
        <v>2037</v>
      </c>
      <c r="D1120">
        <v>1562706</v>
      </c>
    </row>
    <row r="1121" spans="1:4" x14ac:dyDescent="0.2">
      <c r="A1121">
        <v>7</v>
      </c>
      <c r="B1121">
        <v>1</v>
      </c>
      <c r="C1121">
        <v>2038</v>
      </c>
      <c r="D1121">
        <v>1577168</v>
      </c>
    </row>
    <row r="1122" spans="1:4" x14ac:dyDescent="0.2">
      <c r="A1122">
        <v>7</v>
      </c>
      <c r="B1122">
        <v>1</v>
      </c>
      <c r="C1122">
        <v>2039</v>
      </c>
      <c r="D1122">
        <v>1590362</v>
      </c>
    </row>
    <row r="1123" spans="1:4" x14ac:dyDescent="0.2">
      <c r="A1123">
        <v>7</v>
      </c>
      <c r="B1123">
        <v>1</v>
      </c>
      <c r="C1123">
        <v>2040</v>
      </c>
      <c r="D1123">
        <v>1602169</v>
      </c>
    </row>
    <row r="1124" spans="1:4" x14ac:dyDescent="0.2">
      <c r="A1124">
        <v>7</v>
      </c>
      <c r="B1124">
        <v>1</v>
      </c>
      <c r="C1124">
        <v>2041</v>
      </c>
      <c r="D1124">
        <v>1612410</v>
      </c>
    </row>
    <row r="1125" spans="1:4" x14ac:dyDescent="0.2">
      <c r="A1125">
        <v>7</v>
      </c>
      <c r="B1125">
        <v>1</v>
      </c>
      <c r="C1125">
        <v>2042</v>
      </c>
      <c r="D1125">
        <v>1621164</v>
      </c>
    </row>
    <row r="1126" spans="1:4" x14ac:dyDescent="0.2">
      <c r="A1126">
        <v>7</v>
      </c>
      <c r="B1126">
        <v>1</v>
      </c>
      <c r="C1126">
        <v>2043</v>
      </c>
      <c r="D1126">
        <v>1628330</v>
      </c>
    </row>
    <row r="1127" spans="1:4" x14ac:dyDescent="0.2">
      <c r="A1127">
        <v>7</v>
      </c>
      <c r="B1127">
        <v>1</v>
      </c>
      <c r="C1127">
        <v>2044</v>
      </c>
      <c r="D1127">
        <v>1633646</v>
      </c>
    </row>
    <row r="1128" spans="1:4" x14ac:dyDescent="0.2">
      <c r="A1128">
        <v>7</v>
      </c>
      <c r="B1128">
        <v>1</v>
      </c>
      <c r="C1128">
        <v>2045</v>
      </c>
      <c r="D1128">
        <v>1637219</v>
      </c>
    </row>
    <row r="1129" spans="1:4" x14ac:dyDescent="0.2">
      <c r="A1129">
        <v>7</v>
      </c>
      <c r="B1129">
        <v>1</v>
      </c>
      <c r="C1129">
        <v>2046</v>
      </c>
      <c r="D1129">
        <v>1639038</v>
      </c>
    </row>
    <row r="1130" spans="1:4" x14ac:dyDescent="0.2">
      <c r="A1130">
        <v>7</v>
      </c>
      <c r="B1130">
        <v>1</v>
      </c>
      <c r="C1130">
        <v>2047</v>
      </c>
      <c r="D1130">
        <v>1639611</v>
      </c>
    </row>
    <row r="1131" spans="1:4" x14ac:dyDescent="0.2">
      <c r="A1131">
        <v>7</v>
      </c>
      <c r="B1131">
        <v>1</v>
      </c>
      <c r="C1131">
        <v>2048</v>
      </c>
      <c r="D1131">
        <v>1638624</v>
      </c>
    </row>
    <row r="1132" spans="1:4" x14ac:dyDescent="0.2">
      <c r="A1132">
        <v>7</v>
      </c>
      <c r="B1132">
        <v>1</v>
      </c>
      <c r="C1132">
        <v>2049</v>
      </c>
      <c r="D1132">
        <v>1636065</v>
      </c>
    </row>
    <row r="1133" spans="1:4" x14ac:dyDescent="0.2">
      <c r="A1133">
        <v>7</v>
      </c>
      <c r="B1133">
        <v>1</v>
      </c>
      <c r="C1133">
        <v>2050</v>
      </c>
      <c r="D1133">
        <v>1632101</v>
      </c>
    </row>
    <row r="1134" spans="1:4" x14ac:dyDescent="0.2">
      <c r="A1134">
        <v>7</v>
      </c>
      <c r="B1134">
        <v>1</v>
      </c>
      <c r="C1134">
        <v>2051</v>
      </c>
      <c r="D1134">
        <v>1626936</v>
      </c>
    </row>
    <row r="1135" spans="1:4" x14ac:dyDescent="0.2">
      <c r="A1135">
        <v>7</v>
      </c>
      <c r="B1135">
        <v>1</v>
      </c>
      <c r="C1135">
        <v>2052</v>
      </c>
      <c r="D1135">
        <v>1620781</v>
      </c>
    </row>
    <row r="1136" spans="1:4" x14ac:dyDescent="0.2">
      <c r="A1136">
        <v>7</v>
      </c>
      <c r="B1136">
        <v>1</v>
      </c>
      <c r="C1136">
        <v>2053</v>
      </c>
      <c r="D1136">
        <v>1613888</v>
      </c>
    </row>
    <row r="1137" spans="1:4" x14ac:dyDescent="0.2">
      <c r="A1137">
        <v>7</v>
      </c>
      <c r="B1137">
        <v>1</v>
      </c>
      <c r="C1137">
        <v>2054</v>
      </c>
      <c r="D1137">
        <v>1606464</v>
      </c>
    </row>
    <row r="1138" spans="1:4" x14ac:dyDescent="0.2">
      <c r="A1138">
        <v>7</v>
      </c>
      <c r="B1138">
        <v>1</v>
      </c>
      <c r="C1138">
        <v>2055</v>
      </c>
      <c r="D1138">
        <v>1598769</v>
      </c>
    </row>
    <row r="1139" spans="1:4" x14ac:dyDescent="0.2">
      <c r="A1139">
        <v>7</v>
      </c>
      <c r="B1139">
        <v>1</v>
      </c>
      <c r="C1139">
        <v>2056</v>
      </c>
      <c r="D1139">
        <v>1590944</v>
      </c>
    </row>
    <row r="1140" spans="1:4" x14ac:dyDescent="0.2">
      <c r="A1140">
        <v>7</v>
      </c>
      <c r="B1140">
        <v>1</v>
      </c>
      <c r="C1140">
        <v>2057</v>
      </c>
      <c r="D1140">
        <v>1583143</v>
      </c>
    </row>
    <row r="1141" spans="1:4" x14ac:dyDescent="0.2">
      <c r="A1141">
        <v>7</v>
      </c>
      <c r="B1141">
        <v>1</v>
      </c>
      <c r="C1141">
        <v>2058</v>
      </c>
      <c r="D1141">
        <v>1575697</v>
      </c>
    </row>
    <row r="1142" spans="1:4" x14ac:dyDescent="0.2">
      <c r="A1142">
        <v>7</v>
      </c>
      <c r="B1142">
        <v>1</v>
      </c>
      <c r="C1142">
        <v>2059</v>
      </c>
      <c r="D1142">
        <v>1568772</v>
      </c>
    </row>
    <row r="1143" spans="1:4" x14ac:dyDescent="0.2">
      <c r="A1143">
        <v>7</v>
      </c>
      <c r="B1143">
        <v>1</v>
      </c>
      <c r="C1143">
        <v>2060</v>
      </c>
      <c r="D1143">
        <v>1562630</v>
      </c>
    </row>
    <row r="1144" spans="1:4" x14ac:dyDescent="0.2">
      <c r="A1144">
        <v>7</v>
      </c>
      <c r="B1144">
        <v>2</v>
      </c>
      <c r="C1144">
        <v>2017</v>
      </c>
      <c r="D1144">
        <v>1224878</v>
      </c>
    </row>
    <row r="1145" spans="1:4" x14ac:dyDescent="0.2">
      <c r="A1145">
        <v>7</v>
      </c>
      <c r="B1145">
        <v>2</v>
      </c>
      <c r="C1145">
        <v>2018</v>
      </c>
      <c r="D1145">
        <v>1234303</v>
      </c>
    </row>
    <row r="1146" spans="1:4" x14ac:dyDescent="0.2">
      <c r="A1146">
        <v>7</v>
      </c>
      <c r="B1146">
        <v>2</v>
      </c>
      <c r="C1146">
        <v>2019</v>
      </c>
      <c r="D1146">
        <v>1242706</v>
      </c>
    </row>
    <row r="1147" spans="1:4" x14ac:dyDescent="0.2">
      <c r="A1147">
        <v>7</v>
      </c>
      <c r="B1147">
        <v>2</v>
      </c>
      <c r="C1147">
        <v>2020</v>
      </c>
      <c r="D1147">
        <v>1250961</v>
      </c>
    </row>
    <row r="1148" spans="1:4" x14ac:dyDescent="0.2">
      <c r="A1148">
        <v>7</v>
      </c>
      <c r="B1148">
        <v>2</v>
      </c>
      <c r="C1148">
        <v>2021</v>
      </c>
      <c r="D1148">
        <v>1259669</v>
      </c>
    </row>
    <row r="1149" spans="1:4" x14ac:dyDescent="0.2">
      <c r="A1149">
        <v>7</v>
      </c>
      <c r="B1149">
        <v>2</v>
      </c>
      <c r="C1149">
        <v>2022</v>
      </c>
      <c r="D1149">
        <v>1269210</v>
      </c>
    </row>
    <row r="1150" spans="1:4" x14ac:dyDescent="0.2">
      <c r="A1150">
        <v>7</v>
      </c>
      <c r="B1150">
        <v>2</v>
      </c>
      <c r="C1150">
        <v>2023</v>
      </c>
      <c r="D1150">
        <v>1279839</v>
      </c>
    </row>
    <row r="1151" spans="1:4" x14ac:dyDescent="0.2">
      <c r="A1151">
        <v>7</v>
      </c>
      <c r="B1151">
        <v>2</v>
      </c>
      <c r="C1151">
        <v>2024</v>
      </c>
      <c r="D1151">
        <v>1291666</v>
      </c>
    </row>
    <row r="1152" spans="1:4" x14ac:dyDescent="0.2">
      <c r="A1152">
        <v>7</v>
      </c>
      <c r="B1152">
        <v>2</v>
      </c>
      <c r="C1152">
        <v>2025</v>
      </c>
      <c r="D1152">
        <v>1304803</v>
      </c>
    </row>
    <row r="1153" spans="1:4" x14ac:dyDescent="0.2">
      <c r="A1153">
        <v>7</v>
      </c>
      <c r="B1153">
        <v>2</v>
      </c>
      <c r="C1153">
        <v>2026</v>
      </c>
      <c r="D1153">
        <v>1319297</v>
      </c>
    </row>
    <row r="1154" spans="1:4" x14ac:dyDescent="0.2">
      <c r="A1154">
        <v>7</v>
      </c>
      <c r="B1154">
        <v>2</v>
      </c>
      <c r="C1154">
        <v>2027</v>
      </c>
      <c r="D1154">
        <v>1335287</v>
      </c>
    </row>
    <row r="1155" spans="1:4" x14ac:dyDescent="0.2">
      <c r="A1155">
        <v>7</v>
      </c>
      <c r="B1155">
        <v>2</v>
      </c>
      <c r="C1155">
        <v>2028</v>
      </c>
      <c r="D1155">
        <v>1352611</v>
      </c>
    </row>
    <row r="1156" spans="1:4" x14ac:dyDescent="0.2">
      <c r="A1156">
        <v>7</v>
      </c>
      <c r="B1156">
        <v>2</v>
      </c>
      <c r="C1156">
        <v>2029</v>
      </c>
      <c r="D1156">
        <v>1371251</v>
      </c>
    </row>
    <row r="1157" spans="1:4" x14ac:dyDescent="0.2">
      <c r="A1157">
        <v>7</v>
      </c>
      <c r="B1157">
        <v>2</v>
      </c>
      <c r="C1157">
        <v>2030</v>
      </c>
      <c r="D1157">
        <v>1391122</v>
      </c>
    </row>
    <row r="1158" spans="1:4" x14ac:dyDescent="0.2">
      <c r="A1158">
        <v>7</v>
      </c>
      <c r="B1158">
        <v>2</v>
      </c>
      <c r="C1158">
        <v>2031</v>
      </c>
      <c r="D1158">
        <v>1412154</v>
      </c>
    </row>
    <row r="1159" spans="1:4" x14ac:dyDescent="0.2">
      <c r="A1159">
        <v>7</v>
      </c>
      <c r="B1159">
        <v>2</v>
      </c>
      <c r="C1159">
        <v>2032</v>
      </c>
      <c r="D1159">
        <v>1434082</v>
      </c>
    </row>
    <row r="1160" spans="1:4" x14ac:dyDescent="0.2">
      <c r="A1160">
        <v>7</v>
      </c>
      <c r="B1160">
        <v>2</v>
      </c>
      <c r="C1160">
        <v>2033</v>
      </c>
      <c r="D1160">
        <v>1456739</v>
      </c>
    </row>
    <row r="1161" spans="1:4" x14ac:dyDescent="0.2">
      <c r="A1161">
        <v>7</v>
      </c>
      <c r="B1161">
        <v>2</v>
      </c>
      <c r="C1161">
        <v>2034</v>
      </c>
      <c r="D1161">
        <v>1479829</v>
      </c>
    </row>
    <row r="1162" spans="1:4" x14ac:dyDescent="0.2">
      <c r="A1162">
        <v>7</v>
      </c>
      <c r="B1162">
        <v>2</v>
      </c>
      <c r="C1162">
        <v>2035</v>
      </c>
      <c r="D1162">
        <v>1503238</v>
      </c>
    </row>
    <row r="1163" spans="1:4" x14ac:dyDescent="0.2">
      <c r="A1163">
        <v>7</v>
      </c>
      <c r="B1163">
        <v>2</v>
      </c>
      <c r="C1163">
        <v>2036</v>
      </c>
      <c r="D1163">
        <v>1526604</v>
      </c>
    </row>
    <row r="1164" spans="1:4" x14ac:dyDescent="0.2">
      <c r="A1164">
        <v>7</v>
      </c>
      <c r="B1164">
        <v>2</v>
      </c>
      <c r="C1164">
        <v>2037</v>
      </c>
      <c r="D1164">
        <v>1549606</v>
      </c>
    </row>
    <row r="1165" spans="1:4" x14ac:dyDescent="0.2">
      <c r="A1165">
        <v>7</v>
      </c>
      <c r="B1165">
        <v>2</v>
      </c>
      <c r="C1165">
        <v>2038</v>
      </c>
      <c r="D1165">
        <v>1572048</v>
      </c>
    </row>
    <row r="1166" spans="1:4" x14ac:dyDescent="0.2">
      <c r="A1166">
        <v>7</v>
      </c>
      <c r="B1166">
        <v>2</v>
      </c>
      <c r="C1166">
        <v>2039</v>
      </c>
      <c r="D1166">
        <v>1593461</v>
      </c>
    </row>
    <row r="1167" spans="1:4" x14ac:dyDescent="0.2">
      <c r="A1167">
        <v>7</v>
      </c>
      <c r="B1167">
        <v>2</v>
      </c>
      <c r="C1167">
        <v>2040</v>
      </c>
      <c r="D1167">
        <v>1613662</v>
      </c>
    </row>
    <row r="1168" spans="1:4" x14ac:dyDescent="0.2">
      <c r="A1168">
        <v>7</v>
      </c>
      <c r="B1168">
        <v>2</v>
      </c>
      <c r="C1168">
        <v>2041</v>
      </c>
      <c r="D1168">
        <v>1632504</v>
      </c>
    </row>
    <row r="1169" spans="1:4" x14ac:dyDescent="0.2">
      <c r="A1169">
        <v>7</v>
      </c>
      <c r="B1169">
        <v>2</v>
      </c>
      <c r="C1169">
        <v>2042</v>
      </c>
      <c r="D1169">
        <v>1649658</v>
      </c>
    </row>
    <row r="1170" spans="1:4" x14ac:dyDescent="0.2">
      <c r="A1170">
        <v>7</v>
      </c>
      <c r="B1170">
        <v>2</v>
      </c>
      <c r="C1170">
        <v>2043</v>
      </c>
      <c r="D1170">
        <v>1665219</v>
      </c>
    </row>
    <row r="1171" spans="1:4" x14ac:dyDescent="0.2">
      <c r="A1171">
        <v>7</v>
      </c>
      <c r="B1171">
        <v>2</v>
      </c>
      <c r="C1171">
        <v>2044</v>
      </c>
      <c r="D1171">
        <v>1678698</v>
      </c>
    </row>
    <row r="1172" spans="1:4" x14ac:dyDescent="0.2">
      <c r="A1172">
        <v>7</v>
      </c>
      <c r="B1172">
        <v>2</v>
      </c>
      <c r="C1172">
        <v>2045</v>
      </c>
      <c r="D1172">
        <v>1689802</v>
      </c>
    </row>
    <row r="1173" spans="1:4" x14ac:dyDescent="0.2">
      <c r="A1173">
        <v>7</v>
      </c>
      <c r="B1173">
        <v>2</v>
      </c>
      <c r="C1173">
        <v>2046</v>
      </c>
      <c r="D1173">
        <v>1698470</v>
      </c>
    </row>
    <row r="1174" spans="1:4" x14ac:dyDescent="0.2">
      <c r="A1174">
        <v>7</v>
      </c>
      <c r="B1174">
        <v>2</v>
      </c>
      <c r="C1174">
        <v>2047</v>
      </c>
      <c r="D1174">
        <v>1705864</v>
      </c>
    </row>
    <row r="1175" spans="1:4" x14ac:dyDescent="0.2">
      <c r="A1175">
        <v>7</v>
      </c>
      <c r="B1175">
        <v>2</v>
      </c>
      <c r="C1175">
        <v>2048</v>
      </c>
      <c r="D1175">
        <v>1711021</v>
      </c>
    </row>
    <row r="1176" spans="1:4" x14ac:dyDescent="0.2">
      <c r="A1176">
        <v>7</v>
      </c>
      <c r="B1176">
        <v>2</v>
      </c>
      <c r="C1176">
        <v>2049</v>
      </c>
      <c r="D1176">
        <v>1713812</v>
      </c>
    </row>
    <row r="1177" spans="1:4" x14ac:dyDescent="0.2">
      <c r="A1177">
        <v>7</v>
      </c>
      <c r="B1177">
        <v>2</v>
      </c>
      <c r="C1177">
        <v>2050</v>
      </c>
      <c r="D1177">
        <v>1714255</v>
      </c>
    </row>
    <row r="1178" spans="1:4" x14ac:dyDescent="0.2">
      <c r="A1178">
        <v>7</v>
      </c>
      <c r="B1178">
        <v>2</v>
      </c>
      <c r="C1178">
        <v>2051</v>
      </c>
      <c r="D1178">
        <v>1712578</v>
      </c>
    </row>
    <row r="1179" spans="1:4" x14ac:dyDescent="0.2">
      <c r="A1179">
        <v>7</v>
      </c>
      <c r="B1179">
        <v>2</v>
      </c>
      <c r="C1179">
        <v>2052</v>
      </c>
      <c r="D1179">
        <v>1709009</v>
      </c>
    </row>
    <row r="1180" spans="1:4" x14ac:dyDescent="0.2">
      <c r="A1180">
        <v>7</v>
      </c>
      <c r="B1180">
        <v>2</v>
      </c>
      <c r="C1180">
        <v>2053</v>
      </c>
      <c r="D1180">
        <v>1703850</v>
      </c>
    </row>
    <row r="1181" spans="1:4" x14ac:dyDescent="0.2">
      <c r="A1181">
        <v>7</v>
      </c>
      <c r="B1181">
        <v>2</v>
      </c>
      <c r="C1181">
        <v>2054</v>
      </c>
      <c r="D1181">
        <v>1697415</v>
      </c>
    </row>
    <row r="1182" spans="1:4" x14ac:dyDescent="0.2">
      <c r="A1182">
        <v>7</v>
      </c>
      <c r="B1182">
        <v>2</v>
      </c>
      <c r="C1182">
        <v>2055</v>
      </c>
      <c r="D1182">
        <v>1689946</v>
      </c>
    </row>
    <row r="1183" spans="1:4" x14ac:dyDescent="0.2">
      <c r="A1183">
        <v>7</v>
      </c>
      <c r="B1183">
        <v>2</v>
      </c>
      <c r="C1183">
        <v>2056</v>
      </c>
      <c r="D1183">
        <v>1681508</v>
      </c>
    </row>
    <row r="1184" spans="1:4" x14ac:dyDescent="0.2">
      <c r="A1184">
        <v>7</v>
      </c>
      <c r="B1184">
        <v>2</v>
      </c>
      <c r="C1184">
        <v>2057</v>
      </c>
      <c r="D1184">
        <v>1672484</v>
      </c>
    </row>
    <row r="1185" spans="1:4" x14ac:dyDescent="0.2">
      <c r="A1185">
        <v>7</v>
      </c>
      <c r="B1185">
        <v>2</v>
      </c>
      <c r="C1185">
        <v>2058</v>
      </c>
      <c r="D1185">
        <v>1662910</v>
      </c>
    </row>
    <row r="1186" spans="1:4" x14ac:dyDescent="0.2">
      <c r="A1186">
        <v>7</v>
      </c>
      <c r="B1186">
        <v>2</v>
      </c>
      <c r="C1186">
        <v>2059</v>
      </c>
      <c r="D1186">
        <v>1653111</v>
      </c>
    </row>
    <row r="1187" spans="1:4" x14ac:dyDescent="0.2">
      <c r="A1187">
        <v>7</v>
      </c>
      <c r="B1187">
        <v>2</v>
      </c>
      <c r="C1187">
        <v>2060</v>
      </c>
      <c r="D1187">
        <v>1643517</v>
      </c>
    </row>
    <row r="1188" spans="1:4" x14ac:dyDescent="0.2">
      <c r="A1188">
        <v>8</v>
      </c>
      <c r="B1188">
        <v>0</v>
      </c>
      <c r="C1188">
        <v>2017</v>
      </c>
      <c r="D1188">
        <v>199842</v>
      </c>
    </row>
    <row r="1189" spans="1:4" x14ac:dyDescent="0.2">
      <c r="A1189">
        <v>8</v>
      </c>
      <c r="B1189">
        <v>0</v>
      </c>
      <c r="C1189">
        <v>2018</v>
      </c>
      <c r="D1189">
        <v>205982</v>
      </c>
    </row>
    <row r="1190" spans="1:4" x14ac:dyDescent="0.2">
      <c r="A1190">
        <v>8</v>
      </c>
      <c r="B1190">
        <v>0</v>
      </c>
      <c r="C1190">
        <v>2019</v>
      </c>
      <c r="D1190">
        <v>212338</v>
      </c>
    </row>
    <row r="1191" spans="1:4" x14ac:dyDescent="0.2">
      <c r="A1191">
        <v>8</v>
      </c>
      <c r="B1191">
        <v>0</v>
      </c>
      <c r="C1191">
        <v>2020</v>
      </c>
      <c r="D1191">
        <v>218889</v>
      </c>
    </row>
    <row r="1192" spans="1:4" x14ac:dyDescent="0.2">
      <c r="A1192">
        <v>8</v>
      </c>
      <c r="B1192">
        <v>0</v>
      </c>
      <c r="C1192">
        <v>2021</v>
      </c>
      <c r="D1192">
        <v>225675</v>
      </c>
    </row>
    <row r="1193" spans="1:4" x14ac:dyDescent="0.2">
      <c r="A1193">
        <v>8</v>
      </c>
      <c r="B1193">
        <v>0</v>
      </c>
      <c r="C1193">
        <v>2022</v>
      </c>
      <c r="D1193">
        <v>232814</v>
      </c>
    </row>
    <row r="1194" spans="1:4" x14ac:dyDescent="0.2">
      <c r="A1194">
        <v>8</v>
      </c>
      <c r="B1194">
        <v>0</v>
      </c>
      <c r="C1194">
        <v>2023</v>
      </c>
      <c r="D1194">
        <v>240210</v>
      </c>
    </row>
    <row r="1195" spans="1:4" x14ac:dyDescent="0.2">
      <c r="A1195">
        <v>8</v>
      </c>
      <c r="B1195">
        <v>0</v>
      </c>
      <c r="C1195">
        <v>2024</v>
      </c>
      <c r="D1195">
        <v>247965</v>
      </c>
    </row>
    <row r="1196" spans="1:4" x14ac:dyDescent="0.2">
      <c r="A1196">
        <v>8</v>
      </c>
      <c r="B1196">
        <v>0</v>
      </c>
      <c r="C1196">
        <v>2025</v>
      </c>
      <c r="D1196">
        <v>256017</v>
      </c>
    </row>
    <row r="1197" spans="1:4" x14ac:dyDescent="0.2">
      <c r="A1197">
        <v>8</v>
      </c>
      <c r="B1197">
        <v>0</v>
      </c>
      <c r="C1197">
        <v>2026</v>
      </c>
      <c r="D1197">
        <v>264411</v>
      </c>
    </row>
    <row r="1198" spans="1:4" x14ac:dyDescent="0.2">
      <c r="A1198">
        <v>8</v>
      </c>
      <c r="B1198">
        <v>0</v>
      </c>
      <c r="C1198">
        <v>2027</v>
      </c>
      <c r="D1198">
        <v>273169</v>
      </c>
    </row>
    <row r="1199" spans="1:4" x14ac:dyDescent="0.2">
      <c r="A1199">
        <v>8</v>
      </c>
      <c r="B1199">
        <v>0</v>
      </c>
      <c r="C1199">
        <v>2028</v>
      </c>
      <c r="D1199">
        <v>282334</v>
      </c>
    </row>
    <row r="1200" spans="1:4" x14ac:dyDescent="0.2">
      <c r="A1200">
        <v>8</v>
      </c>
      <c r="B1200">
        <v>0</v>
      </c>
      <c r="C1200">
        <v>2029</v>
      </c>
      <c r="D1200">
        <v>291883</v>
      </c>
    </row>
    <row r="1201" spans="1:4" x14ac:dyDescent="0.2">
      <c r="A1201">
        <v>8</v>
      </c>
      <c r="B1201">
        <v>0</v>
      </c>
      <c r="C1201">
        <v>2030</v>
      </c>
      <c r="D1201">
        <v>301878</v>
      </c>
    </row>
    <row r="1202" spans="1:4" x14ac:dyDescent="0.2">
      <c r="A1202">
        <v>8</v>
      </c>
      <c r="B1202">
        <v>0</v>
      </c>
      <c r="C1202">
        <v>2031</v>
      </c>
      <c r="D1202">
        <v>312190</v>
      </c>
    </row>
    <row r="1203" spans="1:4" x14ac:dyDescent="0.2">
      <c r="A1203">
        <v>8</v>
      </c>
      <c r="B1203">
        <v>0</v>
      </c>
      <c r="C1203">
        <v>2032</v>
      </c>
      <c r="D1203">
        <v>322962</v>
      </c>
    </row>
    <row r="1204" spans="1:4" x14ac:dyDescent="0.2">
      <c r="A1204">
        <v>8</v>
      </c>
      <c r="B1204">
        <v>0</v>
      </c>
      <c r="C1204">
        <v>2033</v>
      </c>
      <c r="D1204">
        <v>334098</v>
      </c>
    </row>
    <row r="1205" spans="1:4" x14ac:dyDescent="0.2">
      <c r="A1205">
        <v>8</v>
      </c>
      <c r="B1205">
        <v>0</v>
      </c>
      <c r="C1205">
        <v>2034</v>
      </c>
      <c r="D1205">
        <v>345580</v>
      </c>
    </row>
    <row r="1206" spans="1:4" x14ac:dyDescent="0.2">
      <c r="A1206">
        <v>8</v>
      </c>
      <c r="B1206">
        <v>0</v>
      </c>
      <c r="C1206">
        <v>2035</v>
      </c>
      <c r="D1206">
        <v>357514</v>
      </c>
    </row>
    <row r="1207" spans="1:4" x14ac:dyDescent="0.2">
      <c r="A1207">
        <v>8</v>
      </c>
      <c r="B1207">
        <v>0</v>
      </c>
      <c r="C1207">
        <v>2036</v>
      </c>
      <c r="D1207">
        <v>369815</v>
      </c>
    </row>
    <row r="1208" spans="1:4" x14ac:dyDescent="0.2">
      <c r="A1208">
        <v>8</v>
      </c>
      <c r="B1208">
        <v>0</v>
      </c>
      <c r="C1208">
        <v>2037</v>
      </c>
      <c r="D1208">
        <v>382416</v>
      </c>
    </row>
    <row r="1209" spans="1:4" x14ac:dyDescent="0.2">
      <c r="A1209">
        <v>8</v>
      </c>
      <c r="B1209">
        <v>0</v>
      </c>
      <c r="C1209">
        <v>2038</v>
      </c>
      <c r="D1209">
        <v>395312</v>
      </c>
    </row>
    <row r="1210" spans="1:4" x14ac:dyDescent="0.2">
      <c r="A1210">
        <v>8</v>
      </c>
      <c r="B1210">
        <v>0</v>
      </c>
      <c r="C1210">
        <v>2039</v>
      </c>
      <c r="D1210">
        <v>408544</v>
      </c>
    </row>
    <row r="1211" spans="1:4" x14ac:dyDescent="0.2">
      <c r="A1211">
        <v>8</v>
      </c>
      <c r="B1211">
        <v>0</v>
      </c>
      <c r="C1211">
        <v>2040</v>
      </c>
      <c r="D1211">
        <v>422047</v>
      </c>
    </row>
    <row r="1212" spans="1:4" x14ac:dyDescent="0.2">
      <c r="A1212">
        <v>8</v>
      </c>
      <c r="B1212">
        <v>0</v>
      </c>
      <c r="C1212">
        <v>2041</v>
      </c>
      <c r="D1212">
        <v>435734</v>
      </c>
    </row>
    <row r="1213" spans="1:4" x14ac:dyDescent="0.2">
      <c r="A1213">
        <v>8</v>
      </c>
      <c r="B1213">
        <v>0</v>
      </c>
      <c r="C1213">
        <v>2042</v>
      </c>
      <c r="D1213">
        <v>449637</v>
      </c>
    </row>
    <row r="1214" spans="1:4" x14ac:dyDescent="0.2">
      <c r="A1214">
        <v>8</v>
      </c>
      <c r="B1214">
        <v>0</v>
      </c>
      <c r="C1214">
        <v>2043</v>
      </c>
      <c r="D1214">
        <v>463744</v>
      </c>
    </row>
    <row r="1215" spans="1:4" x14ac:dyDescent="0.2">
      <c r="A1215">
        <v>8</v>
      </c>
      <c r="B1215">
        <v>0</v>
      </c>
      <c r="C1215">
        <v>2044</v>
      </c>
      <c r="D1215">
        <v>477956</v>
      </c>
    </row>
    <row r="1216" spans="1:4" x14ac:dyDescent="0.2">
      <c r="A1216">
        <v>8</v>
      </c>
      <c r="B1216">
        <v>0</v>
      </c>
      <c r="C1216">
        <v>2045</v>
      </c>
      <c r="D1216">
        <v>492266</v>
      </c>
    </row>
    <row r="1217" spans="1:4" x14ac:dyDescent="0.2">
      <c r="A1217">
        <v>8</v>
      </c>
      <c r="B1217">
        <v>0</v>
      </c>
      <c r="C1217">
        <v>2046</v>
      </c>
      <c r="D1217">
        <v>506629</v>
      </c>
    </row>
    <row r="1218" spans="1:4" x14ac:dyDescent="0.2">
      <c r="A1218">
        <v>8</v>
      </c>
      <c r="B1218">
        <v>0</v>
      </c>
      <c r="C1218">
        <v>2047</v>
      </c>
      <c r="D1218">
        <v>521040</v>
      </c>
    </row>
    <row r="1219" spans="1:4" x14ac:dyDescent="0.2">
      <c r="A1219">
        <v>8</v>
      </c>
      <c r="B1219">
        <v>0</v>
      </c>
      <c r="C1219">
        <v>2048</v>
      </c>
      <c r="D1219">
        <v>535466</v>
      </c>
    </row>
    <row r="1220" spans="1:4" x14ac:dyDescent="0.2">
      <c r="A1220">
        <v>8</v>
      </c>
      <c r="B1220">
        <v>0</v>
      </c>
      <c r="C1220">
        <v>2049</v>
      </c>
      <c r="D1220">
        <v>549807</v>
      </c>
    </row>
    <row r="1221" spans="1:4" x14ac:dyDescent="0.2">
      <c r="A1221">
        <v>8</v>
      </c>
      <c r="B1221">
        <v>0</v>
      </c>
      <c r="C1221">
        <v>2050</v>
      </c>
      <c r="D1221">
        <v>564105</v>
      </c>
    </row>
    <row r="1222" spans="1:4" x14ac:dyDescent="0.2">
      <c r="A1222">
        <v>8</v>
      </c>
      <c r="B1222">
        <v>0</v>
      </c>
      <c r="C1222">
        <v>2051</v>
      </c>
      <c r="D1222">
        <v>578282</v>
      </c>
    </row>
    <row r="1223" spans="1:4" x14ac:dyDescent="0.2">
      <c r="A1223">
        <v>8</v>
      </c>
      <c r="B1223">
        <v>0</v>
      </c>
      <c r="C1223">
        <v>2052</v>
      </c>
      <c r="D1223">
        <v>592306</v>
      </c>
    </row>
    <row r="1224" spans="1:4" x14ac:dyDescent="0.2">
      <c r="A1224">
        <v>8</v>
      </c>
      <c r="B1224">
        <v>0</v>
      </c>
      <c r="C1224">
        <v>2053</v>
      </c>
      <c r="D1224">
        <v>606199</v>
      </c>
    </row>
    <row r="1225" spans="1:4" x14ac:dyDescent="0.2">
      <c r="A1225">
        <v>8</v>
      </c>
      <c r="B1225">
        <v>0</v>
      </c>
      <c r="C1225">
        <v>2054</v>
      </c>
      <c r="D1225">
        <v>619970</v>
      </c>
    </row>
    <row r="1226" spans="1:4" x14ac:dyDescent="0.2">
      <c r="A1226">
        <v>8</v>
      </c>
      <c r="B1226">
        <v>0</v>
      </c>
      <c r="C1226">
        <v>2055</v>
      </c>
      <c r="D1226">
        <v>633643</v>
      </c>
    </row>
    <row r="1227" spans="1:4" x14ac:dyDescent="0.2">
      <c r="A1227">
        <v>8</v>
      </c>
      <c r="B1227">
        <v>0</v>
      </c>
      <c r="C1227">
        <v>2056</v>
      </c>
      <c r="D1227">
        <v>647126</v>
      </c>
    </row>
    <row r="1228" spans="1:4" x14ac:dyDescent="0.2">
      <c r="A1228">
        <v>8</v>
      </c>
      <c r="B1228">
        <v>0</v>
      </c>
      <c r="C1228">
        <v>2057</v>
      </c>
      <c r="D1228">
        <v>660469</v>
      </c>
    </row>
    <row r="1229" spans="1:4" x14ac:dyDescent="0.2">
      <c r="A1229">
        <v>8</v>
      </c>
      <c r="B1229">
        <v>0</v>
      </c>
      <c r="C1229">
        <v>2058</v>
      </c>
      <c r="D1229">
        <v>673682</v>
      </c>
    </row>
    <row r="1230" spans="1:4" x14ac:dyDescent="0.2">
      <c r="A1230">
        <v>8</v>
      </c>
      <c r="B1230">
        <v>0</v>
      </c>
      <c r="C1230">
        <v>2059</v>
      </c>
      <c r="D1230">
        <v>686709</v>
      </c>
    </row>
    <row r="1231" spans="1:4" x14ac:dyDescent="0.2">
      <c r="A1231">
        <v>8</v>
      </c>
      <c r="B1231">
        <v>0</v>
      </c>
      <c r="C1231">
        <v>2060</v>
      </c>
      <c r="D1231">
        <v>699688</v>
      </c>
    </row>
    <row r="1232" spans="1:4" x14ac:dyDescent="0.2">
      <c r="A1232">
        <v>8</v>
      </c>
      <c r="B1232">
        <v>0</v>
      </c>
      <c r="C1232">
        <v>2061</v>
      </c>
      <c r="D1232">
        <f>_xlfn.FORECAST.LINEAR(C1232,D1188:D1231,C1188:C1231)</f>
        <v>693354.17653277144</v>
      </c>
    </row>
    <row r="1233" spans="1:4" x14ac:dyDescent="0.2">
      <c r="A1233">
        <v>8</v>
      </c>
      <c r="B1233">
        <v>0</v>
      </c>
      <c r="C1233">
        <v>2062</v>
      </c>
      <c r="D1233">
        <f t="shared" ref="D1233:D1241" si="13">_xlfn.FORECAST.LINEAR(C1233,D1189:D1232,C1189:C1232)</f>
        <v>707441.02873342484</v>
      </c>
    </row>
    <row r="1234" spans="1:4" x14ac:dyDescent="0.2">
      <c r="A1234">
        <v>8</v>
      </c>
      <c r="B1234">
        <v>0</v>
      </c>
      <c r="C1234">
        <v>2063</v>
      </c>
      <c r="D1234">
        <f t="shared" si="13"/>
        <v>721542.01704365015</v>
      </c>
    </row>
    <row r="1235" spans="1:4" x14ac:dyDescent="0.2">
      <c r="A1235">
        <v>8</v>
      </c>
      <c r="B1235">
        <v>0</v>
      </c>
      <c r="C1235">
        <v>2064</v>
      </c>
      <c r="D1235">
        <f t="shared" si="13"/>
        <v>735643.72830153629</v>
      </c>
    </row>
    <row r="1236" spans="1:4" x14ac:dyDescent="0.2">
      <c r="A1236">
        <v>8</v>
      </c>
      <c r="B1236">
        <v>0</v>
      </c>
      <c r="C1236">
        <v>2065</v>
      </c>
      <c r="D1236">
        <f t="shared" si="13"/>
        <v>749731.14898546785</v>
      </c>
    </row>
    <row r="1237" spans="1:4" x14ac:dyDescent="0.2">
      <c r="A1237">
        <v>8</v>
      </c>
      <c r="B1237">
        <v>0</v>
      </c>
      <c r="C1237">
        <v>2066</v>
      </c>
      <c r="D1237">
        <f t="shared" si="13"/>
        <v>763790.4618405588</v>
      </c>
    </row>
    <row r="1238" spans="1:4" x14ac:dyDescent="0.2">
      <c r="A1238">
        <v>8</v>
      </c>
      <c r="B1238">
        <v>0</v>
      </c>
      <c r="C1238">
        <v>2067</v>
      </c>
      <c r="D1238">
        <f t="shared" si="13"/>
        <v>777813.12190345302</v>
      </c>
    </row>
    <row r="1239" spans="1:4" x14ac:dyDescent="0.2">
      <c r="A1239">
        <v>8</v>
      </c>
      <c r="B1239">
        <v>0</v>
      </c>
      <c r="C1239">
        <v>2068</v>
      </c>
      <c r="D1239">
        <f t="shared" si="13"/>
        <v>791786.34790703282</v>
      </c>
    </row>
    <row r="1240" spans="1:4" x14ac:dyDescent="0.2">
      <c r="A1240">
        <v>8</v>
      </c>
      <c r="B1240">
        <v>0</v>
      </c>
      <c r="C1240">
        <v>2069</v>
      </c>
      <c r="D1240">
        <f t="shared" si="13"/>
        <v>805702.087727312</v>
      </c>
    </row>
    <row r="1241" spans="1:4" x14ac:dyDescent="0.2">
      <c r="A1241">
        <v>8</v>
      </c>
      <c r="B1241">
        <v>0</v>
      </c>
      <c r="C1241">
        <v>2070</v>
      </c>
      <c r="D1241">
        <f t="shared" si="13"/>
        <v>819549.83767530322</v>
      </c>
    </row>
    <row r="1242" spans="1:4" x14ac:dyDescent="0.2">
      <c r="A1242">
        <v>8</v>
      </c>
      <c r="B1242">
        <v>1</v>
      </c>
      <c r="C1242">
        <v>2017</v>
      </c>
      <c r="D1242">
        <v>107571</v>
      </c>
    </row>
    <row r="1243" spans="1:4" x14ac:dyDescent="0.2">
      <c r="A1243">
        <v>8</v>
      </c>
      <c r="B1243">
        <v>1</v>
      </c>
      <c r="C1243">
        <v>2018</v>
      </c>
      <c r="D1243">
        <v>110610</v>
      </c>
    </row>
    <row r="1244" spans="1:4" x14ac:dyDescent="0.2">
      <c r="A1244">
        <v>8</v>
      </c>
      <c r="B1244">
        <v>1</v>
      </c>
      <c r="C1244">
        <v>2019</v>
      </c>
      <c r="D1244">
        <v>113791</v>
      </c>
    </row>
    <row r="1245" spans="1:4" x14ac:dyDescent="0.2">
      <c r="A1245">
        <v>8</v>
      </c>
      <c r="B1245">
        <v>1</v>
      </c>
      <c r="C1245">
        <v>2020</v>
      </c>
      <c r="D1245">
        <v>117053</v>
      </c>
    </row>
    <row r="1246" spans="1:4" x14ac:dyDescent="0.2">
      <c r="A1246">
        <v>8</v>
      </c>
      <c r="B1246">
        <v>1</v>
      </c>
      <c r="C1246">
        <v>2021</v>
      </c>
      <c r="D1246">
        <v>120445</v>
      </c>
    </row>
    <row r="1247" spans="1:4" x14ac:dyDescent="0.2">
      <c r="A1247">
        <v>8</v>
      </c>
      <c r="B1247">
        <v>1</v>
      </c>
      <c r="C1247">
        <v>2022</v>
      </c>
      <c r="D1247">
        <v>124023</v>
      </c>
    </row>
    <row r="1248" spans="1:4" x14ac:dyDescent="0.2">
      <c r="A1248">
        <v>8</v>
      </c>
      <c r="B1248">
        <v>1</v>
      </c>
      <c r="C1248">
        <v>2023</v>
      </c>
      <c r="D1248">
        <v>127760</v>
      </c>
    </row>
    <row r="1249" spans="1:4" x14ac:dyDescent="0.2">
      <c r="A1249">
        <v>8</v>
      </c>
      <c r="B1249">
        <v>1</v>
      </c>
      <c r="C1249">
        <v>2024</v>
      </c>
      <c r="D1249">
        <v>131657</v>
      </c>
    </row>
    <row r="1250" spans="1:4" x14ac:dyDescent="0.2">
      <c r="A1250">
        <v>8</v>
      </c>
      <c r="B1250">
        <v>1</v>
      </c>
      <c r="C1250">
        <v>2025</v>
      </c>
      <c r="D1250">
        <v>135705</v>
      </c>
    </row>
    <row r="1251" spans="1:4" x14ac:dyDescent="0.2">
      <c r="A1251">
        <v>8</v>
      </c>
      <c r="B1251">
        <v>1</v>
      </c>
      <c r="C1251">
        <v>2026</v>
      </c>
      <c r="D1251">
        <v>139926</v>
      </c>
    </row>
    <row r="1252" spans="1:4" x14ac:dyDescent="0.2">
      <c r="A1252">
        <v>8</v>
      </c>
      <c r="B1252">
        <v>1</v>
      </c>
      <c r="C1252">
        <v>2027</v>
      </c>
      <c r="D1252">
        <v>144347</v>
      </c>
    </row>
    <row r="1253" spans="1:4" x14ac:dyDescent="0.2">
      <c r="A1253">
        <v>8</v>
      </c>
      <c r="B1253">
        <v>1</v>
      </c>
      <c r="C1253">
        <v>2028</v>
      </c>
      <c r="D1253">
        <v>148945</v>
      </c>
    </row>
    <row r="1254" spans="1:4" x14ac:dyDescent="0.2">
      <c r="A1254">
        <v>8</v>
      </c>
      <c r="B1254">
        <v>1</v>
      </c>
      <c r="C1254">
        <v>2029</v>
      </c>
      <c r="D1254">
        <v>153717</v>
      </c>
    </row>
    <row r="1255" spans="1:4" x14ac:dyDescent="0.2">
      <c r="A1255">
        <v>8</v>
      </c>
      <c r="B1255">
        <v>1</v>
      </c>
      <c r="C1255">
        <v>2030</v>
      </c>
      <c r="D1255">
        <v>158747</v>
      </c>
    </row>
    <row r="1256" spans="1:4" x14ac:dyDescent="0.2">
      <c r="A1256">
        <v>8</v>
      </c>
      <c r="B1256">
        <v>1</v>
      </c>
      <c r="C1256">
        <v>2031</v>
      </c>
      <c r="D1256">
        <v>163891</v>
      </c>
    </row>
    <row r="1257" spans="1:4" x14ac:dyDescent="0.2">
      <c r="A1257">
        <v>8</v>
      </c>
      <c r="B1257">
        <v>1</v>
      </c>
      <c r="C1257">
        <v>2032</v>
      </c>
      <c r="D1257">
        <v>169269</v>
      </c>
    </row>
    <row r="1258" spans="1:4" x14ac:dyDescent="0.2">
      <c r="A1258">
        <v>8</v>
      </c>
      <c r="B1258">
        <v>1</v>
      </c>
      <c r="C1258">
        <v>2033</v>
      </c>
      <c r="D1258">
        <v>174795</v>
      </c>
    </row>
    <row r="1259" spans="1:4" x14ac:dyDescent="0.2">
      <c r="A1259">
        <v>8</v>
      </c>
      <c r="B1259">
        <v>1</v>
      </c>
      <c r="C1259">
        <v>2034</v>
      </c>
      <c r="D1259">
        <v>180467</v>
      </c>
    </row>
    <row r="1260" spans="1:4" x14ac:dyDescent="0.2">
      <c r="A1260">
        <v>8</v>
      </c>
      <c r="B1260">
        <v>1</v>
      </c>
      <c r="C1260">
        <v>2035</v>
      </c>
      <c r="D1260">
        <v>186350</v>
      </c>
    </row>
    <row r="1261" spans="1:4" x14ac:dyDescent="0.2">
      <c r="A1261">
        <v>8</v>
      </c>
      <c r="B1261">
        <v>1</v>
      </c>
      <c r="C1261">
        <v>2036</v>
      </c>
      <c r="D1261">
        <v>192398</v>
      </c>
    </row>
    <row r="1262" spans="1:4" x14ac:dyDescent="0.2">
      <c r="A1262">
        <v>8</v>
      </c>
      <c r="B1262">
        <v>1</v>
      </c>
      <c r="C1262">
        <v>2037</v>
      </c>
      <c r="D1262">
        <v>198625</v>
      </c>
    </row>
    <row r="1263" spans="1:4" x14ac:dyDescent="0.2">
      <c r="A1263">
        <v>8</v>
      </c>
      <c r="B1263">
        <v>1</v>
      </c>
      <c r="C1263">
        <v>2038</v>
      </c>
      <c r="D1263">
        <v>204906</v>
      </c>
    </row>
    <row r="1264" spans="1:4" x14ac:dyDescent="0.2">
      <c r="A1264">
        <v>8</v>
      </c>
      <c r="B1264">
        <v>1</v>
      </c>
      <c r="C1264">
        <v>2039</v>
      </c>
      <c r="D1264">
        <v>211365</v>
      </c>
    </row>
    <row r="1265" spans="1:4" x14ac:dyDescent="0.2">
      <c r="A1265">
        <v>8</v>
      </c>
      <c r="B1265">
        <v>1</v>
      </c>
      <c r="C1265">
        <v>2040</v>
      </c>
      <c r="D1265">
        <v>217879</v>
      </c>
    </row>
    <row r="1266" spans="1:4" x14ac:dyDescent="0.2">
      <c r="A1266">
        <v>8</v>
      </c>
      <c r="B1266">
        <v>1</v>
      </c>
      <c r="C1266">
        <v>2041</v>
      </c>
      <c r="D1266">
        <v>224568</v>
      </c>
    </row>
    <row r="1267" spans="1:4" x14ac:dyDescent="0.2">
      <c r="A1267">
        <v>8</v>
      </c>
      <c r="B1267">
        <v>1</v>
      </c>
      <c r="C1267">
        <v>2042</v>
      </c>
      <c r="D1267">
        <v>231265</v>
      </c>
    </row>
    <row r="1268" spans="1:4" x14ac:dyDescent="0.2">
      <c r="A1268">
        <v>8</v>
      </c>
      <c r="B1268">
        <v>1</v>
      </c>
      <c r="C1268">
        <v>2043</v>
      </c>
      <c r="D1268">
        <v>238091</v>
      </c>
    </row>
    <row r="1269" spans="1:4" x14ac:dyDescent="0.2">
      <c r="A1269">
        <v>8</v>
      </c>
      <c r="B1269">
        <v>1</v>
      </c>
      <c r="C1269">
        <v>2044</v>
      </c>
      <c r="D1269">
        <v>244932</v>
      </c>
    </row>
    <row r="1270" spans="1:4" x14ac:dyDescent="0.2">
      <c r="A1270">
        <v>8</v>
      </c>
      <c r="B1270">
        <v>1</v>
      </c>
      <c r="C1270">
        <v>2045</v>
      </c>
      <c r="D1270">
        <v>251816</v>
      </c>
    </row>
    <row r="1271" spans="1:4" x14ac:dyDescent="0.2">
      <c r="A1271">
        <v>8</v>
      </c>
      <c r="B1271">
        <v>1</v>
      </c>
      <c r="C1271">
        <v>2046</v>
      </c>
      <c r="D1271">
        <v>258716</v>
      </c>
    </row>
    <row r="1272" spans="1:4" x14ac:dyDescent="0.2">
      <c r="A1272">
        <v>8</v>
      </c>
      <c r="B1272">
        <v>1</v>
      </c>
      <c r="C1272">
        <v>2047</v>
      </c>
      <c r="D1272">
        <v>265616</v>
      </c>
    </row>
    <row r="1273" spans="1:4" x14ac:dyDescent="0.2">
      <c r="A1273">
        <v>8</v>
      </c>
      <c r="B1273">
        <v>1</v>
      </c>
      <c r="C1273">
        <v>2048</v>
      </c>
      <c r="D1273">
        <v>272538</v>
      </c>
    </row>
    <row r="1274" spans="1:4" x14ac:dyDescent="0.2">
      <c r="A1274">
        <v>8</v>
      </c>
      <c r="B1274">
        <v>1</v>
      </c>
      <c r="C1274">
        <v>2049</v>
      </c>
      <c r="D1274">
        <v>279397</v>
      </c>
    </row>
    <row r="1275" spans="1:4" x14ac:dyDescent="0.2">
      <c r="A1275">
        <v>8</v>
      </c>
      <c r="B1275">
        <v>1</v>
      </c>
      <c r="C1275">
        <v>2050</v>
      </c>
      <c r="D1275">
        <v>286228</v>
      </c>
    </row>
    <row r="1276" spans="1:4" x14ac:dyDescent="0.2">
      <c r="A1276">
        <v>8</v>
      </c>
      <c r="B1276">
        <v>1</v>
      </c>
      <c r="C1276">
        <v>2051</v>
      </c>
      <c r="D1276">
        <v>293013</v>
      </c>
    </row>
    <row r="1277" spans="1:4" x14ac:dyDescent="0.2">
      <c r="A1277">
        <v>8</v>
      </c>
      <c r="B1277">
        <v>1</v>
      </c>
      <c r="C1277">
        <v>2052</v>
      </c>
      <c r="D1277">
        <v>299737</v>
      </c>
    </row>
    <row r="1278" spans="1:4" x14ac:dyDescent="0.2">
      <c r="A1278">
        <v>8</v>
      </c>
      <c r="B1278">
        <v>1</v>
      </c>
      <c r="C1278">
        <v>2053</v>
      </c>
      <c r="D1278">
        <v>306383</v>
      </c>
    </row>
    <row r="1279" spans="1:4" x14ac:dyDescent="0.2">
      <c r="A1279">
        <v>8</v>
      </c>
      <c r="B1279">
        <v>1</v>
      </c>
      <c r="C1279">
        <v>2054</v>
      </c>
      <c r="D1279">
        <v>313008</v>
      </c>
    </row>
    <row r="1280" spans="1:4" x14ac:dyDescent="0.2">
      <c r="A1280">
        <v>8</v>
      </c>
      <c r="B1280">
        <v>1</v>
      </c>
      <c r="C1280">
        <v>2055</v>
      </c>
      <c r="D1280">
        <v>319537</v>
      </c>
    </row>
    <row r="1281" spans="1:4" x14ac:dyDescent="0.2">
      <c r="A1281">
        <v>8</v>
      </c>
      <c r="B1281">
        <v>1</v>
      </c>
      <c r="C1281">
        <v>2056</v>
      </c>
      <c r="D1281">
        <v>326044</v>
      </c>
    </row>
    <row r="1282" spans="1:4" x14ac:dyDescent="0.2">
      <c r="A1282">
        <v>8</v>
      </c>
      <c r="B1282">
        <v>1</v>
      </c>
      <c r="C1282">
        <v>2057</v>
      </c>
      <c r="D1282">
        <v>332487</v>
      </c>
    </row>
    <row r="1283" spans="1:4" x14ac:dyDescent="0.2">
      <c r="A1283">
        <v>8</v>
      </c>
      <c r="B1283">
        <v>1</v>
      </c>
      <c r="C1283">
        <v>2058</v>
      </c>
      <c r="D1283">
        <v>338898</v>
      </c>
    </row>
    <row r="1284" spans="1:4" x14ac:dyDescent="0.2">
      <c r="A1284">
        <v>8</v>
      </c>
      <c r="B1284">
        <v>1</v>
      </c>
      <c r="C1284">
        <v>2059</v>
      </c>
      <c r="D1284">
        <v>345246</v>
      </c>
    </row>
    <row r="1285" spans="1:4" x14ac:dyDescent="0.2">
      <c r="A1285">
        <v>8</v>
      </c>
      <c r="B1285">
        <v>1</v>
      </c>
      <c r="C1285">
        <v>2060</v>
      </c>
      <c r="D1285">
        <v>351635</v>
      </c>
    </row>
    <row r="1286" spans="1:4" x14ac:dyDescent="0.2">
      <c r="A1286">
        <v>8</v>
      </c>
      <c r="B1286">
        <v>2</v>
      </c>
      <c r="C1286">
        <v>2017</v>
      </c>
      <c r="D1286">
        <v>92271</v>
      </c>
    </row>
    <row r="1287" spans="1:4" x14ac:dyDescent="0.2">
      <c r="A1287">
        <v>8</v>
      </c>
      <c r="B1287">
        <v>2</v>
      </c>
      <c r="C1287">
        <v>2018</v>
      </c>
      <c r="D1287">
        <v>95372</v>
      </c>
    </row>
    <row r="1288" spans="1:4" x14ac:dyDescent="0.2">
      <c r="A1288">
        <v>8</v>
      </c>
      <c r="B1288">
        <v>2</v>
      </c>
      <c r="C1288">
        <v>2019</v>
      </c>
      <c r="D1288">
        <v>98547</v>
      </c>
    </row>
    <row r="1289" spans="1:4" x14ac:dyDescent="0.2">
      <c r="A1289">
        <v>8</v>
      </c>
      <c r="B1289">
        <v>2</v>
      </c>
      <c r="C1289">
        <v>2020</v>
      </c>
      <c r="D1289">
        <v>101836</v>
      </c>
    </row>
    <row r="1290" spans="1:4" x14ac:dyDescent="0.2">
      <c r="A1290">
        <v>8</v>
      </c>
      <c r="B1290">
        <v>2</v>
      </c>
      <c r="C1290">
        <v>2021</v>
      </c>
      <c r="D1290">
        <v>105230</v>
      </c>
    </row>
    <row r="1291" spans="1:4" x14ac:dyDescent="0.2">
      <c r="A1291">
        <v>8</v>
      </c>
      <c r="B1291">
        <v>2</v>
      </c>
      <c r="C1291">
        <v>2022</v>
      </c>
      <c r="D1291">
        <v>108791</v>
      </c>
    </row>
    <row r="1292" spans="1:4" x14ac:dyDescent="0.2">
      <c r="A1292">
        <v>8</v>
      </c>
      <c r="B1292">
        <v>2</v>
      </c>
      <c r="C1292">
        <v>2023</v>
      </c>
      <c r="D1292">
        <v>112450</v>
      </c>
    </row>
    <row r="1293" spans="1:4" x14ac:dyDescent="0.2">
      <c r="A1293">
        <v>8</v>
      </c>
      <c r="B1293">
        <v>2</v>
      </c>
      <c r="C1293">
        <v>2024</v>
      </c>
      <c r="D1293">
        <v>116308</v>
      </c>
    </row>
    <row r="1294" spans="1:4" x14ac:dyDescent="0.2">
      <c r="A1294">
        <v>8</v>
      </c>
      <c r="B1294">
        <v>2</v>
      </c>
      <c r="C1294">
        <v>2025</v>
      </c>
      <c r="D1294">
        <v>120312</v>
      </c>
    </row>
    <row r="1295" spans="1:4" x14ac:dyDescent="0.2">
      <c r="A1295">
        <v>8</v>
      </c>
      <c r="B1295">
        <v>2</v>
      </c>
      <c r="C1295">
        <v>2026</v>
      </c>
      <c r="D1295">
        <v>124485</v>
      </c>
    </row>
    <row r="1296" spans="1:4" x14ac:dyDescent="0.2">
      <c r="A1296">
        <v>8</v>
      </c>
      <c r="B1296">
        <v>2</v>
      </c>
      <c r="C1296">
        <v>2027</v>
      </c>
      <c r="D1296">
        <v>128822</v>
      </c>
    </row>
    <row r="1297" spans="1:4" x14ac:dyDescent="0.2">
      <c r="A1297">
        <v>8</v>
      </c>
      <c r="B1297">
        <v>2</v>
      </c>
      <c r="C1297">
        <v>2028</v>
      </c>
      <c r="D1297">
        <v>133389</v>
      </c>
    </row>
    <row r="1298" spans="1:4" x14ac:dyDescent="0.2">
      <c r="A1298">
        <v>8</v>
      </c>
      <c r="B1298">
        <v>2</v>
      </c>
      <c r="C1298">
        <v>2029</v>
      </c>
      <c r="D1298">
        <v>138166</v>
      </c>
    </row>
    <row r="1299" spans="1:4" x14ac:dyDescent="0.2">
      <c r="A1299">
        <v>8</v>
      </c>
      <c r="B1299">
        <v>2</v>
      </c>
      <c r="C1299">
        <v>2030</v>
      </c>
      <c r="D1299">
        <v>143131</v>
      </c>
    </row>
    <row r="1300" spans="1:4" x14ac:dyDescent="0.2">
      <c r="A1300">
        <v>8</v>
      </c>
      <c r="B1300">
        <v>2</v>
      </c>
      <c r="C1300">
        <v>2031</v>
      </c>
      <c r="D1300">
        <v>148299</v>
      </c>
    </row>
    <row r="1301" spans="1:4" x14ac:dyDescent="0.2">
      <c r="A1301">
        <v>8</v>
      </c>
      <c r="B1301">
        <v>2</v>
      </c>
      <c r="C1301">
        <v>2032</v>
      </c>
      <c r="D1301">
        <v>153693</v>
      </c>
    </row>
    <row r="1302" spans="1:4" x14ac:dyDescent="0.2">
      <c r="A1302">
        <v>8</v>
      </c>
      <c r="B1302">
        <v>2</v>
      </c>
      <c r="C1302">
        <v>2033</v>
      </c>
      <c r="D1302">
        <v>159303</v>
      </c>
    </row>
    <row r="1303" spans="1:4" x14ac:dyDescent="0.2">
      <c r="A1303">
        <v>8</v>
      </c>
      <c r="B1303">
        <v>2</v>
      </c>
      <c r="C1303">
        <v>2034</v>
      </c>
      <c r="D1303">
        <v>165113</v>
      </c>
    </row>
    <row r="1304" spans="1:4" x14ac:dyDescent="0.2">
      <c r="A1304">
        <v>8</v>
      </c>
      <c r="B1304">
        <v>2</v>
      </c>
      <c r="C1304">
        <v>2035</v>
      </c>
      <c r="D1304">
        <v>171164</v>
      </c>
    </row>
    <row r="1305" spans="1:4" x14ac:dyDescent="0.2">
      <c r="A1305">
        <v>8</v>
      </c>
      <c r="B1305">
        <v>2</v>
      </c>
      <c r="C1305">
        <v>2036</v>
      </c>
      <c r="D1305">
        <v>177417</v>
      </c>
    </row>
    <row r="1306" spans="1:4" x14ac:dyDescent="0.2">
      <c r="A1306">
        <v>8</v>
      </c>
      <c r="B1306">
        <v>2</v>
      </c>
      <c r="C1306">
        <v>2037</v>
      </c>
      <c r="D1306">
        <v>183791</v>
      </c>
    </row>
    <row r="1307" spans="1:4" x14ac:dyDescent="0.2">
      <c r="A1307">
        <v>8</v>
      </c>
      <c r="B1307">
        <v>2</v>
      </c>
      <c r="C1307">
        <v>2038</v>
      </c>
      <c r="D1307">
        <v>190406</v>
      </c>
    </row>
    <row r="1308" spans="1:4" x14ac:dyDescent="0.2">
      <c r="A1308">
        <v>8</v>
      </c>
      <c r="B1308">
        <v>2</v>
      </c>
      <c r="C1308">
        <v>2039</v>
      </c>
      <c r="D1308">
        <v>197179</v>
      </c>
    </row>
    <row r="1309" spans="1:4" x14ac:dyDescent="0.2">
      <c r="A1309">
        <v>8</v>
      </c>
      <c r="B1309">
        <v>2</v>
      </c>
      <c r="C1309">
        <v>2040</v>
      </c>
      <c r="D1309">
        <v>204168</v>
      </c>
    </row>
    <row r="1310" spans="1:4" x14ac:dyDescent="0.2">
      <c r="A1310">
        <v>8</v>
      </c>
      <c r="B1310">
        <v>2</v>
      </c>
      <c r="C1310">
        <v>2041</v>
      </c>
      <c r="D1310">
        <v>211166</v>
      </c>
    </row>
    <row r="1311" spans="1:4" x14ac:dyDescent="0.2">
      <c r="A1311">
        <v>8</v>
      </c>
      <c r="B1311">
        <v>2</v>
      </c>
      <c r="C1311">
        <v>2042</v>
      </c>
      <c r="D1311">
        <v>218372</v>
      </c>
    </row>
    <row r="1312" spans="1:4" x14ac:dyDescent="0.2">
      <c r="A1312">
        <v>8</v>
      </c>
      <c r="B1312">
        <v>2</v>
      </c>
      <c r="C1312">
        <v>2043</v>
      </c>
      <c r="D1312">
        <v>225653</v>
      </c>
    </row>
    <row r="1313" spans="1:4" x14ac:dyDescent="0.2">
      <c r="A1313">
        <v>8</v>
      </c>
      <c r="B1313">
        <v>2</v>
      </c>
      <c r="C1313">
        <v>2044</v>
      </c>
      <c r="D1313">
        <v>233024</v>
      </c>
    </row>
    <row r="1314" spans="1:4" x14ac:dyDescent="0.2">
      <c r="A1314">
        <v>8</v>
      </c>
      <c r="B1314">
        <v>2</v>
      </c>
      <c r="C1314">
        <v>2045</v>
      </c>
      <c r="D1314">
        <v>240450</v>
      </c>
    </row>
    <row r="1315" spans="1:4" x14ac:dyDescent="0.2">
      <c r="A1315">
        <v>8</v>
      </c>
      <c r="B1315">
        <v>2</v>
      </c>
      <c r="C1315">
        <v>2046</v>
      </c>
      <c r="D1315">
        <v>247913</v>
      </c>
    </row>
    <row r="1316" spans="1:4" x14ac:dyDescent="0.2">
      <c r="A1316">
        <v>8</v>
      </c>
      <c r="B1316">
        <v>2</v>
      </c>
      <c r="C1316">
        <v>2047</v>
      </c>
      <c r="D1316">
        <v>255424</v>
      </c>
    </row>
    <row r="1317" spans="1:4" x14ac:dyDescent="0.2">
      <c r="A1317">
        <v>8</v>
      </c>
      <c r="B1317">
        <v>2</v>
      </c>
      <c r="C1317">
        <v>2048</v>
      </c>
      <c r="D1317">
        <v>262928</v>
      </c>
    </row>
    <row r="1318" spans="1:4" x14ac:dyDescent="0.2">
      <c r="A1318">
        <v>8</v>
      </c>
      <c r="B1318">
        <v>2</v>
      </c>
      <c r="C1318">
        <v>2049</v>
      </c>
      <c r="D1318">
        <v>270410</v>
      </c>
    </row>
    <row r="1319" spans="1:4" x14ac:dyDescent="0.2">
      <c r="A1319">
        <v>8</v>
      </c>
      <c r="B1319">
        <v>2</v>
      </c>
      <c r="C1319">
        <v>2050</v>
      </c>
      <c r="D1319">
        <v>277877</v>
      </c>
    </row>
    <row r="1320" spans="1:4" x14ac:dyDescent="0.2">
      <c r="A1320">
        <v>8</v>
      </c>
      <c r="B1320">
        <v>2</v>
      </c>
      <c r="C1320">
        <v>2051</v>
      </c>
      <c r="D1320">
        <v>285269</v>
      </c>
    </row>
    <row r="1321" spans="1:4" x14ac:dyDescent="0.2">
      <c r="A1321">
        <v>8</v>
      </c>
      <c r="B1321">
        <v>2</v>
      </c>
      <c r="C1321">
        <v>2052</v>
      </c>
      <c r="D1321">
        <v>292569</v>
      </c>
    </row>
    <row r="1322" spans="1:4" x14ac:dyDescent="0.2">
      <c r="A1322">
        <v>8</v>
      </c>
      <c r="B1322">
        <v>2</v>
      </c>
      <c r="C1322">
        <v>2053</v>
      </c>
      <c r="D1322">
        <v>299816</v>
      </c>
    </row>
    <row r="1323" spans="1:4" x14ac:dyDescent="0.2">
      <c r="A1323">
        <v>8</v>
      </c>
      <c r="B1323">
        <v>2</v>
      </c>
      <c r="C1323">
        <v>2054</v>
      </c>
      <c r="D1323">
        <v>306962</v>
      </c>
    </row>
    <row r="1324" spans="1:4" x14ac:dyDescent="0.2">
      <c r="A1324">
        <v>8</v>
      </c>
      <c r="B1324">
        <v>2</v>
      </c>
      <c r="C1324">
        <v>2055</v>
      </c>
      <c r="D1324">
        <v>314106</v>
      </c>
    </row>
    <row r="1325" spans="1:4" x14ac:dyDescent="0.2">
      <c r="A1325">
        <v>8</v>
      </c>
      <c r="B1325">
        <v>2</v>
      </c>
      <c r="C1325">
        <v>2056</v>
      </c>
      <c r="D1325">
        <v>321082</v>
      </c>
    </row>
    <row r="1326" spans="1:4" x14ac:dyDescent="0.2">
      <c r="A1326">
        <v>8</v>
      </c>
      <c r="B1326">
        <v>2</v>
      </c>
      <c r="C1326">
        <v>2057</v>
      </c>
      <c r="D1326">
        <v>327982</v>
      </c>
    </row>
    <row r="1327" spans="1:4" x14ac:dyDescent="0.2">
      <c r="A1327">
        <v>8</v>
      </c>
      <c r="B1327">
        <v>2</v>
      </c>
      <c r="C1327">
        <v>2058</v>
      </c>
      <c r="D1327">
        <v>334784</v>
      </c>
    </row>
    <row r="1328" spans="1:4" x14ac:dyDescent="0.2">
      <c r="A1328">
        <v>8</v>
      </c>
      <c r="B1328">
        <v>2</v>
      </c>
      <c r="C1328">
        <v>2059</v>
      </c>
      <c r="D1328">
        <v>341463</v>
      </c>
    </row>
    <row r="1329" spans="1:4" x14ac:dyDescent="0.2">
      <c r="A1329">
        <v>8</v>
      </c>
      <c r="B1329">
        <v>2</v>
      </c>
      <c r="C1329">
        <v>2060</v>
      </c>
      <c r="D1329">
        <v>348053</v>
      </c>
    </row>
    <row r="1330" spans="1:4" x14ac:dyDescent="0.2">
      <c r="A1330">
        <v>9</v>
      </c>
      <c r="B1330">
        <v>0</v>
      </c>
      <c r="C1330">
        <v>2017</v>
      </c>
      <c r="D1330">
        <v>2018803</v>
      </c>
    </row>
    <row r="1331" spans="1:4" x14ac:dyDescent="0.2">
      <c r="A1331">
        <v>9</v>
      </c>
      <c r="B1331">
        <v>0</v>
      </c>
      <c r="C1331">
        <v>2018</v>
      </c>
      <c r="D1331">
        <v>2035841</v>
      </c>
    </row>
    <row r="1332" spans="1:4" x14ac:dyDescent="0.2">
      <c r="A1332">
        <v>9</v>
      </c>
      <c r="B1332">
        <v>0</v>
      </c>
      <c r="C1332">
        <v>2019</v>
      </c>
      <c r="D1332">
        <v>2051565</v>
      </c>
    </row>
    <row r="1333" spans="1:4" x14ac:dyDescent="0.2">
      <c r="A1333">
        <v>9</v>
      </c>
      <c r="B1333">
        <v>0</v>
      </c>
      <c r="C1333">
        <v>2020</v>
      </c>
      <c r="D1333">
        <v>2066970</v>
      </c>
    </row>
    <row r="1334" spans="1:4" x14ac:dyDescent="0.2">
      <c r="A1334">
        <v>9</v>
      </c>
      <c r="B1334">
        <v>0</v>
      </c>
      <c r="C1334">
        <v>2021</v>
      </c>
      <c r="D1334">
        <v>2082792</v>
      </c>
    </row>
    <row r="1335" spans="1:4" x14ac:dyDescent="0.2">
      <c r="A1335">
        <v>9</v>
      </c>
      <c r="B1335">
        <v>0</v>
      </c>
      <c r="C1335">
        <v>2022</v>
      </c>
      <c r="D1335">
        <v>2099401</v>
      </c>
    </row>
    <row r="1336" spans="1:4" x14ac:dyDescent="0.2">
      <c r="A1336">
        <v>9</v>
      </c>
      <c r="B1336">
        <v>0</v>
      </c>
      <c r="C1336">
        <v>2023</v>
      </c>
      <c r="D1336">
        <v>2117151</v>
      </c>
    </row>
    <row r="1337" spans="1:4" x14ac:dyDescent="0.2">
      <c r="A1337">
        <v>9</v>
      </c>
      <c r="B1337">
        <v>0</v>
      </c>
      <c r="C1337">
        <v>2024</v>
      </c>
      <c r="D1337">
        <v>2136250</v>
      </c>
    </row>
    <row r="1338" spans="1:4" x14ac:dyDescent="0.2">
      <c r="A1338">
        <v>9</v>
      </c>
      <c r="B1338">
        <v>0</v>
      </c>
      <c r="C1338">
        <v>2025</v>
      </c>
      <c r="D1338">
        <v>2156837</v>
      </c>
    </row>
    <row r="1339" spans="1:4" x14ac:dyDescent="0.2">
      <c r="A1339">
        <v>9</v>
      </c>
      <c r="B1339">
        <v>0</v>
      </c>
      <c r="C1339">
        <v>2026</v>
      </c>
      <c r="D1339">
        <v>2178899</v>
      </c>
    </row>
    <row r="1340" spans="1:4" x14ac:dyDescent="0.2">
      <c r="A1340">
        <v>9</v>
      </c>
      <c r="B1340">
        <v>0</v>
      </c>
      <c r="C1340">
        <v>2027</v>
      </c>
      <c r="D1340">
        <v>2202609</v>
      </c>
    </row>
    <row r="1341" spans="1:4" x14ac:dyDescent="0.2">
      <c r="A1341">
        <v>9</v>
      </c>
      <c r="B1341">
        <v>0</v>
      </c>
      <c r="C1341">
        <v>2028</v>
      </c>
      <c r="D1341">
        <v>2227824</v>
      </c>
    </row>
    <row r="1342" spans="1:4" x14ac:dyDescent="0.2">
      <c r="A1342">
        <v>9</v>
      </c>
      <c r="B1342">
        <v>0</v>
      </c>
      <c r="C1342">
        <v>2029</v>
      </c>
      <c r="D1342">
        <v>2254319</v>
      </c>
    </row>
    <row r="1343" spans="1:4" x14ac:dyDescent="0.2">
      <c r="A1343">
        <v>9</v>
      </c>
      <c r="B1343">
        <v>0</v>
      </c>
      <c r="C1343">
        <v>2030</v>
      </c>
      <c r="D1343">
        <v>2282009</v>
      </c>
    </row>
    <row r="1344" spans="1:4" x14ac:dyDescent="0.2">
      <c r="A1344">
        <v>9</v>
      </c>
      <c r="B1344">
        <v>0</v>
      </c>
      <c r="C1344">
        <v>2031</v>
      </c>
      <c r="D1344">
        <v>2310561</v>
      </c>
    </row>
    <row r="1345" spans="1:4" x14ac:dyDescent="0.2">
      <c r="A1345">
        <v>9</v>
      </c>
      <c r="B1345">
        <v>0</v>
      </c>
      <c r="C1345">
        <v>2032</v>
      </c>
      <c r="D1345">
        <v>2339651</v>
      </c>
    </row>
    <row r="1346" spans="1:4" x14ac:dyDescent="0.2">
      <c r="A1346">
        <v>9</v>
      </c>
      <c r="B1346">
        <v>0</v>
      </c>
      <c r="C1346">
        <v>2033</v>
      </c>
      <c r="D1346">
        <v>2368913</v>
      </c>
    </row>
    <row r="1347" spans="1:4" x14ac:dyDescent="0.2">
      <c r="A1347">
        <v>9</v>
      </c>
      <c r="B1347">
        <v>0</v>
      </c>
      <c r="C1347">
        <v>2034</v>
      </c>
      <c r="D1347">
        <v>2397924</v>
      </c>
    </row>
    <row r="1348" spans="1:4" x14ac:dyDescent="0.2">
      <c r="A1348">
        <v>9</v>
      </c>
      <c r="B1348">
        <v>0</v>
      </c>
      <c r="C1348">
        <v>2035</v>
      </c>
      <c r="D1348">
        <v>2426495</v>
      </c>
    </row>
    <row r="1349" spans="1:4" x14ac:dyDescent="0.2">
      <c r="A1349">
        <v>9</v>
      </c>
      <c r="B1349">
        <v>0</v>
      </c>
      <c r="C1349">
        <v>2036</v>
      </c>
      <c r="D1349">
        <v>2454093</v>
      </c>
    </row>
    <row r="1350" spans="1:4" x14ac:dyDescent="0.2">
      <c r="A1350">
        <v>9</v>
      </c>
      <c r="B1350">
        <v>0</v>
      </c>
      <c r="C1350">
        <v>2037</v>
      </c>
      <c r="D1350">
        <v>2480252</v>
      </c>
    </row>
    <row r="1351" spans="1:4" x14ac:dyDescent="0.2">
      <c r="A1351">
        <v>9</v>
      </c>
      <c r="B1351">
        <v>0</v>
      </c>
      <c r="C1351">
        <v>2038</v>
      </c>
      <c r="D1351">
        <v>2504659</v>
      </c>
    </row>
    <row r="1352" spans="1:4" x14ac:dyDescent="0.2">
      <c r="A1352">
        <v>9</v>
      </c>
      <c r="B1352">
        <v>0</v>
      </c>
      <c r="C1352">
        <v>2039</v>
      </c>
      <c r="D1352">
        <v>2526853</v>
      </c>
    </row>
    <row r="1353" spans="1:4" x14ac:dyDescent="0.2">
      <c r="A1353">
        <v>9</v>
      </c>
      <c r="B1353">
        <v>0</v>
      </c>
      <c r="C1353">
        <v>2040</v>
      </c>
      <c r="D1353">
        <v>2546469</v>
      </c>
    </row>
    <row r="1354" spans="1:4" x14ac:dyDescent="0.2">
      <c r="A1354">
        <v>9</v>
      </c>
      <c r="B1354">
        <v>0</v>
      </c>
      <c r="C1354">
        <v>2041</v>
      </c>
      <c r="D1354">
        <v>2563256</v>
      </c>
    </row>
    <row r="1355" spans="1:4" x14ac:dyDescent="0.2">
      <c r="A1355">
        <v>9</v>
      </c>
      <c r="B1355">
        <v>0</v>
      </c>
      <c r="C1355">
        <v>2042</v>
      </c>
      <c r="D1355">
        <v>2577102</v>
      </c>
    </row>
    <row r="1356" spans="1:4" x14ac:dyDescent="0.2">
      <c r="A1356">
        <v>9</v>
      </c>
      <c r="B1356">
        <v>0</v>
      </c>
      <c r="C1356">
        <v>2043</v>
      </c>
      <c r="D1356">
        <v>2588031</v>
      </c>
    </row>
    <row r="1357" spans="1:4" x14ac:dyDescent="0.2">
      <c r="A1357">
        <v>9</v>
      </c>
      <c r="B1357">
        <v>0</v>
      </c>
      <c r="C1357">
        <v>2044</v>
      </c>
      <c r="D1357">
        <v>2595306</v>
      </c>
    </row>
    <row r="1358" spans="1:4" x14ac:dyDescent="0.2">
      <c r="A1358">
        <v>9</v>
      </c>
      <c r="B1358">
        <v>0</v>
      </c>
      <c r="C1358">
        <v>2045</v>
      </c>
      <c r="D1358">
        <v>2598783</v>
      </c>
    </row>
    <row r="1359" spans="1:4" x14ac:dyDescent="0.2">
      <c r="A1359">
        <v>9</v>
      </c>
      <c r="B1359">
        <v>0</v>
      </c>
      <c r="C1359">
        <v>2046</v>
      </c>
      <c r="D1359">
        <v>2598519</v>
      </c>
    </row>
    <row r="1360" spans="1:4" x14ac:dyDescent="0.2">
      <c r="A1360">
        <v>9</v>
      </c>
      <c r="B1360">
        <v>0</v>
      </c>
      <c r="C1360">
        <v>2047</v>
      </c>
      <c r="D1360">
        <v>2596036</v>
      </c>
    </row>
    <row r="1361" spans="1:4" x14ac:dyDescent="0.2">
      <c r="A1361">
        <v>9</v>
      </c>
      <c r="B1361">
        <v>0</v>
      </c>
      <c r="C1361">
        <v>2048</v>
      </c>
      <c r="D1361">
        <v>2590163</v>
      </c>
    </row>
    <row r="1362" spans="1:4" x14ac:dyDescent="0.2">
      <c r="A1362">
        <v>9</v>
      </c>
      <c r="B1362">
        <v>0</v>
      </c>
      <c r="C1362">
        <v>2049</v>
      </c>
      <c r="D1362">
        <v>2580779</v>
      </c>
    </row>
    <row r="1363" spans="1:4" x14ac:dyDescent="0.2">
      <c r="A1363">
        <v>9</v>
      </c>
      <c r="B1363">
        <v>0</v>
      </c>
      <c r="C1363">
        <v>2050</v>
      </c>
      <c r="D1363">
        <v>2568071</v>
      </c>
    </row>
    <row r="1364" spans="1:4" x14ac:dyDescent="0.2">
      <c r="A1364">
        <v>9</v>
      </c>
      <c r="B1364">
        <v>0</v>
      </c>
      <c r="C1364">
        <v>2051</v>
      </c>
      <c r="D1364">
        <v>2552504</v>
      </c>
    </row>
    <row r="1365" spans="1:4" x14ac:dyDescent="0.2">
      <c r="A1365">
        <v>9</v>
      </c>
      <c r="B1365">
        <v>0</v>
      </c>
      <c r="C1365">
        <v>2052</v>
      </c>
      <c r="D1365">
        <v>2534473</v>
      </c>
    </row>
    <row r="1366" spans="1:4" x14ac:dyDescent="0.2">
      <c r="A1366">
        <v>9</v>
      </c>
      <c r="B1366">
        <v>0</v>
      </c>
      <c r="C1366">
        <v>2053</v>
      </c>
      <c r="D1366">
        <v>2514430</v>
      </c>
    </row>
    <row r="1367" spans="1:4" x14ac:dyDescent="0.2">
      <c r="A1367">
        <v>9</v>
      </c>
      <c r="B1367">
        <v>0</v>
      </c>
      <c r="C1367">
        <v>2054</v>
      </c>
      <c r="D1367">
        <v>2492808</v>
      </c>
    </row>
    <row r="1368" spans="1:4" x14ac:dyDescent="0.2">
      <c r="A1368">
        <v>9</v>
      </c>
      <c r="B1368">
        <v>0</v>
      </c>
      <c r="C1368">
        <v>2055</v>
      </c>
      <c r="D1368">
        <v>2469986</v>
      </c>
    </row>
    <row r="1369" spans="1:4" x14ac:dyDescent="0.2">
      <c r="A1369">
        <v>9</v>
      </c>
      <c r="B1369">
        <v>0</v>
      </c>
      <c r="C1369">
        <v>2056</v>
      </c>
      <c r="D1369">
        <v>2446181</v>
      </c>
    </row>
    <row r="1370" spans="1:4" x14ac:dyDescent="0.2">
      <c r="A1370">
        <v>9</v>
      </c>
      <c r="B1370">
        <v>0</v>
      </c>
      <c r="C1370">
        <v>2057</v>
      </c>
      <c r="D1370">
        <v>2421884</v>
      </c>
    </row>
    <row r="1371" spans="1:4" x14ac:dyDescent="0.2">
      <c r="A1371">
        <v>9</v>
      </c>
      <c r="B1371">
        <v>0</v>
      </c>
      <c r="C1371">
        <v>2058</v>
      </c>
      <c r="D1371">
        <v>2397459</v>
      </c>
    </row>
    <row r="1372" spans="1:4" x14ac:dyDescent="0.2">
      <c r="A1372">
        <v>9</v>
      </c>
      <c r="B1372">
        <v>0</v>
      </c>
      <c r="C1372">
        <v>2059</v>
      </c>
      <c r="D1372">
        <v>2373188</v>
      </c>
    </row>
    <row r="1373" spans="1:4" x14ac:dyDescent="0.2">
      <c r="A1373">
        <v>9</v>
      </c>
      <c r="B1373">
        <v>0</v>
      </c>
      <c r="C1373">
        <v>2060</v>
      </c>
      <c r="D1373">
        <v>2349701</v>
      </c>
    </row>
    <row r="1374" spans="1:4" x14ac:dyDescent="0.2">
      <c r="A1374">
        <v>9</v>
      </c>
      <c r="B1374">
        <v>1</v>
      </c>
      <c r="C1374">
        <v>2017</v>
      </c>
      <c r="D1374">
        <v>1014021</v>
      </c>
    </row>
    <row r="1375" spans="1:4" x14ac:dyDescent="0.2">
      <c r="A1375">
        <v>9</v>
      </c>
      <c r="B1375">
        <v>1</v>
      </c>
      <c r="C1375">
        <v>2018</v>
      </c>
      <c r="D1375">
        <v>1024564</v>
      </c>
    </row>
    <row r="1376" spans="1:4" x14ac:dyDescent="0.2">
      <c r="A1376">
        <v>9</v>
      </c>
      <c r="B1376">
        <v>1</v>
      </c>
      <c r="C1376">
        <v>2019</v>
      </c>
      <c r="D1376">
        <v>1034800</v>
      </c>
    </row>
    <row r="1377" spans="1:4" x14ac:dyDescent="0.2">
      <c r="A1377">
        <v>9</v>
      </c>
      <c r="B1377">
        <v>1</v>
      </c>
      <c r="C1377">
        <v>2020</v>
      </c>
      <c r="D1377">
        <v>1044979</v>
      </c>
    </row>
    <row r="1378" spans="1:4" x14ac:dyDescent="0.2">
      <c r="A1378">
        <v>9</v>
      </c>
      <c r="B1378">
        <v>1</v>
      </c>
      <c r="C1378">
        <v>2021</v>
      </c>
      <c r="D1378">
        <v>1055316</v>
      </c>
    </row>
    <row r="1379" spans="1:4" x14ac:dyDescent="0.2">
      <c r="A1379">
        <v>9</v>
      </c>
      <c r="B1379">
        <v>1</v>
      </c>
      <c r="C1379">
        <v>2022</v>
      </c>
      <c r="D1379">
        <v>1065878</v>
      </c>
    </row>
    <row r="1380" spans="1:4" x14ac:dyDescent="0.2">
      <c r="A1380">
        <v>9</v>
      </c>
      <c r="B1380">
        <v>1</v>
      </c>
      <c r="C1380">
        <v>2023</v>
      </c>
      <c r="D1380">
        <v>1076801</v>
      </c>
    </row>
    <row r="1381" spans="1:4" x14ac:dyDescent="0.2">
      <c r="A1381">
        <v>9</v>
      </c>
      <c r="B1381">
        <v>1</v>
      </c>
      <c r="C1381">
        <v>2024</v>
      </c>
      <c r="D1381">
        <v>1088143</v>
      </c>
    </row>
    <row r="1382" spans="1:4" x14ac:dyDescent="0.2">
      <c r="A1382">
        <v>9</v>
      </c>
      <c r="B1382">
        <v>1</v>
      </c>
      <c r="C1382">
        <v>2025</v>
      </c>
      <c r="D1382">
        <v>1099963</v>
      </c>
    </row>
    <row r="1383" spans="1:4" x14ac:dyDescent="0.2">
      <c r="A1383">
        <v>9</v>
      </c>
      <c r="B1383">
        <v>1</v>
      </c>
      <c r="C1383">
        <v>2026</v>
      </c>
      <c r="D1383">
        <v>1112221</v>
      </c>
    </row>
    <row r="1384" spans="1:4" x14ac:dyDescent="0.2">
      <c r="A1384">
        <v>9</v>
      </c>
      <c r="B1384">
        <v>1</v>
      </c>
      <c r="C1384">
        <v>2027</v>
      </c>
      <c r="D1384">
        <v>1124947</v>
      </c>
    </row>
    <row r="1385" spans="1:4" x14ac:dyDescent="0.2">
      <c r="A1385">
        <v>9</v>
      </c>
      <c r="B1385">
        <v>1</v>
      </c>
      <c r="C1385">
        <v>2028</v>
      </c>
      <c r="D1385">
        <v>1138062</v>
      </c>
    </row>
    <row r="1386" spans="1:4" x14ac:dyDescent="0.2">
      <c r="A1386">
        <v>9</v>
      </c>
      <c r="B1386">
        <v>1</v>
      </c>
      <c r="C1386">
        <v>2029</v>
      </c>
      <c r="D1386">
        <v>1151461</v>
      </c>
    </row>
    <row r="1387" spans="1:4" x14ac:dyDescent="0.2">
      <c r="A1387">
        <v>9</v>
      </c>
      <c r="B1387">
        <v>1</v>
      </c>
      <c r="C1387">
        <v>2030</v>
      </c>
      <c r="D1387">
        <v>1165053</v>
      </c>
    </row>
    <row r="1388" spans="1:4" x14ac:dyDescent="0.2">
      <c r="A1388">
        <v>9</v>
      </c>
      <c r="B1388">
        <v>1</v>
      </c>
      <c r="C1388">
        <v>2031</v>
      </c>
      <c r="D1388">
        <v>1178663</v>
      </c>
    </row>
    <row r="1389" spans="1:4" x14ac:dyDescent="0.2">
      <c r="A1389">
        <v>9</v>
      </c>
      <c r="B1389">
        <v>1</v>
      </c>
      <c r="C1389">
        <v>2032</v>
      </c>
      <c r="D1389">
        <v>1192133</v>
      </c>
    </row>
    <row r="1390" spans="1:4" x14ac:dyDescent="0.2">
      <c r="A1390">
        <v>9</v>
      </c>
      <c r="B1390">
        <v>1</v>
      </c>
      <c r="C1390">
        <v>2033</v>
      </c>
      <c r="D1390">
        <v>1205293</v>
      </c>
    </row>
    <row r="1391" spans="1:4" x14ac:dyDescent="0.2">
      <c r="A1391">
        <v>9</v>
      </c>
      <c r="B1391">
        <v>1</v>
      </c>
      <c r="C1391">
        <v>2034</v>
      </c>
      <c r="D1391">
        <v>1217977</v>
      </c>
    </row>
    <row r="1392" spans="1:4" x14ac:dyDescent="0.2">
      <c r="A1392">
        <v>9</v>
      </c>
      <c r="B1392">
        <v>1</v>
      </c>
      <c r="C1392">
        <v>2035</v>
      </c>
      <c r="D1392">
        <v>1230089</v>
      </c>
    </row>
    <row r="1393" spans="1:4" x14ac:dyDescent="0.2">
      <c r="A1393">
        <v>9</v>
      </c>
      <c r="B1393">
        <v>1</v>
      </c>
      <c r="C1393">
        <v>2036</v>
      </c>
      <c r="D1393">
        <v>1241405</v>
      </c>
    </row>
    <row r="1394" spans="1:4" x14ac:dyDescent="0.2">
      <c r="A1394">
        <v>9</v>
      </c>
      <c r="B1394">
        <v>1</v>
      </c>
      <c r="C1394">
        <v>2037</v>
      </c>
      <c r="D1394">
        <v>1251768</v>
      </c>
    </row>
    <row r="1395" spans="1:4" x14ac:dyDescent="0.2">
      <c r="A1395">
        <v>9</v>
      </c>
      <c r="B1395">
        <v>1</v>
      </c>
      <c r="C1395">
        <v>2038</v>
      </c>
      <c r="D1395">
        <v>1261049</v>
      </c>
    </row>
    <row r="1396" spans="1:4" x14ac:dyDescent="0.2">
      <c r="A1396">
        <v>9</v>
      </c>
      <c r="B1396">
        <v>1</v>
      </c>
      <c r="C1396">
        <v>2039</v>
      </c>
      <c r="D1396">
        <v>1269083</v>
      </c>
    </row>
    <row r="1397" spans="1:4" x14ac:dyDescent="0.2">
      <c r="A1397">
        <v>9</v>
      </c>
      <c r="B1397">
        <v>1</v>
      </c>
      <c r="C1397">
        <v>2040</v>
      </c>
      <c r="D1397">
        <v>1275737</v>
      </c>
    </row>
    <row r="1398" spans="1:4" x14ac:dyDescent="0.2">
      <c r="A1398">
        <v>9</v>
      </c>
      <c r="B1398">
        <v>1</v>
      </c>
      <c r="C1398">
        <v>2041</v>
      </c>
      <c r="D1398">
        <v>1280942</v>
      </c>
    </row>
    <row r="1399" spans="1:4" x14ac:dyDescent="0.2">
      <c r="A1399">
        <v>9</v>
      </c>
      <c r="B1399">
        <v>1</v>
      </c>
      <c r="C1399">
        <v>2042</v>
      </c>
      <c r="D1399">
        <v>1284681</v>
      </c>
    </row>
    <row r="1400" spans="1:4" x14ac:dyDescent="0.2">
      <c r="A1400">
        <v>9</v>
      </c>
      <c r="B1400">
        <v>1</v>
      </c>
      <c r="C1400">
        <v>2043</v>
      </c>
      <c r="D1400">
        <v>1286953</v>
      </c>
    </row>
    <row r="1401" spans="1:4" x14ac:dyDescent="0.2">
      <c r="A1401">
        <v>9</v>
      </c>
      <c r="B1401">
        <v>1</v>
      </c>
      <c r="C1401">
        <v>2044</v>
      </c>
      <c r="D1401">
        <v>1287557</v>
      </c>
    </row>
    <row r="1402" spans="1:4" x14ac:dyDescent="0.2">
      <c r="A1402">
        <v>9</v>
      </c>
      <c r="B1402">
        <v>1</v>
      </c>
      <c r="C1402">
        <v>2045</v>
      </c>
      <c r="D1402">
        <v>1286500</v>
      </c>
    </row>
    <row r="1403" spans="1:4" x14ac:dyDescent="0.2">
      <c r="A1403">
        <v>9</v>
      </c>
      <c r="B1403">
        <v>1</v>
      </c>
      <c r="C1403">
        <v>2046</v>
      </c>
      <c r="D1403">
        <v>1283830</v>
      </c>
    </row>
    <row r="1404" spans="1:4" x14ac:dyDescent="0.2">
      <c r="A1404">
        <v>9</v>
      </c>
      <c r="B1404">
        <v>1</v>
      </c>
      <c r="C1404">
        <v>2047</v>
      </c>
      <c r="D1404">
        <v>1280054</v>
      </c>
    </row>
    <row r="1405" spans="1:4" x14ac:dyDescent="0.2">
      <c r="A1405">
        <v>9</v>
      </c>
      <c r="B1405">
        <v>1</v>
      </c>
      <c r="C1405">
        <v>2048</v>
      </c>
      <c r="D1405">
        <v>1274841</v>
      </c>
    </row>
    <row r="1406" spans="1:4" x14ac:dyDescent="0.2">
      <c r="A1406">
        <v>9</v>
      </c>
      <c r="B1406">
        <v>1</v>
      </c>
      <c r="C1406">
        <v>2049</v>
      </c>
      <c r="D1406">
        <v>1268236</v>
      </c>
    </row>
    <row r="1407" spans="1:4" x14ac:dyDescent="0.2">
      <c r="A1407">
        <v>9</v>
      </c>
      <c r="B1407">
        <v>1</v>
      </c>
      <c r="C1407">
        <v>2050</v>
      </c>
      <c r="D1407">
        <v>1260342</v>
      </c>
    </row>
    <row r="1408" spans="1:4" x14ac:dyDescent="0.2">
      <c r="A1408">
        <v>9</v>
      </c>
      <c r="B1408">
        <v>1</v>
      </c>
      <c r="C1408">
        <v>2051</v>
      </c>
      <c r="D1408">
        <v>1251413</v>
      </c>
    </row>
    <row r="1409" spans="1:4" x14ac:dyDescent="0.2">
      <c r="A1409">
        <v>9</v>
      </c>
      <c r="B1409">
        <v>1</v>
      </c>
      <c r="C1409">
        <v>2052</v>
      </c>
      <c r="D1409">
        <v>1241610</v>
      </c>
    </row>
    <row r="1410" spans="1:4" x14ac:dyDescent="0.2">
      <c r="A1410">
        <v>9</v>
      </c>
      <c r="B1410">
        <v>1</v>
      </c>
      <c r="C1410">
        <v>2053</v>
      </c>
      <c r="D1410">
        <v>1231125</v>
      </c>
    </row>
    <row r="1411" spans="1:4" x14ac:dyDescent="0.2">
      <c r="A1411">
        <v>9</v>
      </c>
      <c r="B1411">
        <v>1</v>
      </c>
      <c r="C1411">
        <v>2054</v>
      </c>
      <c r="D1411">
        <v>1220155</v>
      </c>
    </row>
    <row r="1412" spans="1:4" x14ac:dyDescent="0.2">
      <c r="A1412">
        <v>9</v>
      </c>
      <c r="B1412">
        <v>1</v>
      </c>
      <c r="C1412">
        <v>2055</v>
      </c>
      <c r="D1412">
        <v>1208895</v>
      </c>
    </row>
    <row r="1413" spans="1:4" x14ac:dyDescent="0.2">
      <c r="A1413">
        <v>9</v>
      </c>
      <c r="B1413">
        <v>1</v>
      </c>
      <c r="C1413">
        <v>2056</v>
      </c>
      <c r="D1413">
        <v>1197478</v>
      </c>
    </row>
    <row r="1414" spans="1:4" x14ac:dyDescent="0.2">
      <c r="A1414">
        <v>9</v>
      </c>
      <c r="B1414">
        <v>1</v>
      </c>
      <c r="C1414">
        <v>2057</v>
      </c>
      <c r="D1414">
        <v>1186113</v>
      </c>
    </row>
    <row r="1415" spans="1:4" x14ac:dyDescent="0.2">
      <c r="A1415">
        <v>9</v>
      </c>
      <c r="B1415">
        <v>1</v>
      </c>
      <c r="C1415">
        <v>2058</v>
      </c>
      <c r="D1415">
        <v>1175012</v>
      </c>
    </row>
    <row r="1416" spans="1:4" x14ac:dyDescent="0.2">
      <c r="A1416">
        <v>9</v>
      </c>
      <c r="B1416">
        <v>1</v>
      </c>
      <c r="C1416">
        <v>2059</v>
      </c>
      <c r="D1416">
        <v>1164294</v>
      </c>
    </row>
    <row r="1417" spans="1:4" x14ac:dyDescent="0.2">
      <c r="A1417">
        <v>9</v>
      </c>
      <c r="B1417">
        <v>1</v>
      </c>
      <c r="C1417">
        <v>2060</v>
      </c>
      <c r="D1417">
        <v>1154232</v>
      </c>
    </row>
    <row r="1418" spans="1:4" x14ac:dyDescent="0.2">
      <c r="A1418">
        <v>9</v>
      </c>
      <c r="B1418">
        <v>2</v>
      </c>
      <c r="C1418">
        <v>2017</v>
      </c>
      <c r="D1418">
        <v>1004782</v>
      </c>
    </row>
    <row r="1419" spans="1:4" x14ac:dyDescent="0.2">
      <c r="A1419">
        <v>9</v>
      </c>
      <c r="B1419">
        <v>2</v>
      </c>
      <c r="C1419">
        <v>2018</v>
      </c>
      <c r="D1419">
        <v>1011277</v>
      </c>
    </row>
    <row r="1420" spans="1:4" x14ac:dyDescent="0.2">
      <c r="A1420">
        <v>9</v>
      </c>
      <c r="B1420">
        <v>2</v>
      </c>
      <c r="C1420">
        <v>2019</v>
      </c>
      <c r="D1420">
        <v>1016765</v>
      </c>
    </row>
    <row r="1421" spans="1:4" x14ac:dyDescent="0.2">
      <c r="A1421">
        <v>9</v>
      </c>
      <c r="B1421">
        <v>2</v>
      </c>
      <c r="C1421">
        <v>2020</v>
      </c>
      <c r="D1421">
        <v>1021991</v>
      </c>
    </row>
    <row r="1422" spans="1:4" x14ac:dyDescent="0.2">
      <c r="A1422">
        <v>9</v>
      </c>
      <c r="B1422">
        <v>2</v>
      </c>
      <c r="C1422">
        <v>2021</v>
      </c>
      <c r="D1422">
        <v>1027476</v>
      </c>
    </row>
    <row r="1423" spans="1:4" x14ac:dyDescent="0.2">
      <c r="A1423">
        <v>9</v>
      </c>
      <c r="B1423">
        <v>2</v>
      </c>
      <c r="C1423">
        <v>2022</v>
      </c>
      <c r="D1423">
        <v>1033523</v>
      </c>
    </row>
    <row r="1424" spans="1:4" x14ac:dyDescent="0.2">
      <c r="A1424">
        <v>9</v>
      </c>
      <c r="B1424">
        <v>2</v>
      </c>
      <c r="C1424">
        <v>2023</v>
      </c>
      <c r="D1424">
        <v>1040350</v>
      </c>
    </row>
    <row r="1425" spans="1:4" x14ac:dyDescent="0.2">
      <c r="A1425">
        <v>9</v>
      </c>
      <c r="B1425">
        <v>2</v>
      </c>
      <c r="C1425">
        <v>2024</v>
      </c>
      <c r="D1425">
        <v>1048107</v>
      </c>
    </row>
    <row r="1426" spans="1:4" x14ac:dyDescent="0.2">
      <c r="A1426">
        <v>9</v>
      </c>
      <c r="B1426">
        <v>2</v>
      </c>
      <c r="C1426">
        <v>2025</v>
      </c>
      <c r="D1426">
        <v>1056874</v>
      </c>
    </row>
    <row r="1427" spans="1:4" x14ac:dyDescent="0.2">
      <c r="A1427">
        <v>9</v>
      </c>
      <c r="B1427">
        <v>2</v>
      </c>
      <c r="C1427">
        <v>2026</v>
      </c>
      <c r="D1427">
        <v>1066678</v>
      </c>
    </row>
    <row r="1428" spans="1:4" x14ac:dyDescent="0.2">
      <c r="A1428">
        <v>9</v>
      </c>
      <c r="B1428">
        <v>2</v>
      </c>
      <c r="C1428">
        <v>2027</v>
      </c>
      <c r="D1428">
        <v>1077662</v>
      </c>
    </row>
    <row r="1429" spans="1:4" x14ac:dyDescent="0.2">
      <c r="A1429">
        <v>9</v>
      </c>
      <c r="B1429">
        <v>2</v>
      </c>
      <c r="C1429">
        <v>2028</v>
      </c>
      <c r="D1429">
        <v>1089762</v>
      </c>
    </row>
    <row r="1430" spans="1:4" x14ac:dyDescent="0.2">
      <c r="A1430">
        <v>9</v>
      </c>
      <c r="B1430">
        <v>2</v>
      </c>
      <c r="C1430">
        <v>2029</v>
      </c>
      <c r="D1430">
        <v>1102858</v>
      </c>
    </row>
    <row r="1431" spans="1:4" x14ac:dyDescent="0.2">
      <c r="A1431">
        <v>9</v>
      </c>
      <c r="B1431">
        <v>2</v>
      </c>
      <c r="C1431">
        <v>2030</v>
      </c>
      <c r="D1431">
        <v>1116956</v>
      </c>
    </row>
    <row r="1432" spans="1:4" x14ac:dyDescent="0.2">
      <c r="A1432">
        <v>9</v>
      </c>
      <c r="B1432">
        <v>2</v>
      </c>
      <c r="C1432">
        <v>2031</v>
      </c>
      <c r="D1432">
        <v>1131898</v>
      </c>
    </row>
    <row r="1433" spans="1:4" x14ac:dyDescent="0.2">
      <c r="A1433">
        <v>9</v>
      </c>
      <c r="B1433">
        <v>2</v>
      </c>
      <c r="C1433">
        <v>2032</v>
      </c>
      <c r="D1433">
        <v>1147518</v>
      </c>
    </row>
    <row r="1434" spans="1:4" x14ac:dyDescent="0.2">
      <c r="A1434">
        <v>9</v>
      </c>
      <c r="B1434">
        <v>2</v>
      </c>
      <c r="C1434">
        <v>2033</v>
      </c>
      <c r="D1434">
        <v>1163620</v>
      </c>
    </row>
    <row r="1435" spans="1:4" x14ac:dyDescent="0.2">
      <c r="A1435">
        <v>9</v>
      </c>
      <c r="B1435">
        <v>2</v>
      </c>
      <c r="C1435">
        <v>2034</v>
      </c>
      <c r="D1435">
        <v>1179947</v>
      </c>
    </row>
    <row r="1436" spans="1:4" x14ac:dyDescent="0.2">
      <c r="A1436">
        <v>9</v>
      </c>
      <c r="B1436">
        <v>2</v>
      </c>
      <c r="C1436">
        <v>2035</v>
      </c>
      <c r="D1436">
        <v>1196406</v>
      </c>
    </row>
    <row r="1437" spans="1:4" x14ac:dyDescent="0.2">
      <c r="A1437">
        <v>9</v>
      </c>
      <c r="B1437">
        <v>2</v>
      </c>
      <c r="C1437">
        <v>2036</v>
      </c>
      <c r="D1437">
        <v>1212688</v>
      </c>
    </row>
    <row r="1438" spans="1:4" x14ac:dyDescent="0.2">
      <c r="A1438">
        <v>9</v>
      </c>
      <c r="B1438">
        <v>2</v>
      </c>
      <c r="C1438">
        <v>2037</v>
      </c>
      <c r="D1438">
        <v>1228484</v>
      </c>
    </row>
    <row r="1439" spans="1:4" x14ac:dyDescent="0.2">
      <c r="A1439">
        <v>9</v>
      </c>
      <c r="B1439">
        <v>2</v>
      </c>
      <c r="C1439">
        <v>2038</v>
      </c>
      <c r="D1439">
        <v>1243610</v>
      </c>
    </row>
    <row r="1440" spans="1:4" x14ac:dyDescent="0.2">
      <c r="A1440">
        <v>9</v>
      </c>
      <c r="B1440">
        <v>2</v>
      </c>
      <c r="C1440">
        <v>2039</v>
      </c>
      <c r="D1440">
        <v>1257770</v>
      </c>
    </row>
    <row r="1441" spans="1:4" x14ac:dyDescent="0.2">
      <c r="A1441">
        <v>9</v>
      </c>
      <c r="B1441">
        <v>2</v>
      </c>
      <c r="C1441">
        <v>2040</v>
      </c>
      <c r="D1441">
        <v>1270732</v>
      </c>
    </row>
    <row r="1442" spans="1:4" x14ac:dyDescent="0.2">
      <c r="A1442">
        <v>9</v>
      </c>
      <c r="B1442">
        <v>2</v>
      </c>
      <c r="C1442">
        <v>2041</v>
      </c>
      <c r="D1442">
        <v>1282314</v>
      </c>
    </row>
    <row r="1443" spans="1:4" x14ac:dyDescent="0.2">
      <c r="A1443">
        <v>9</v>
      </c>
      <c r="B1443">
        <v>2</v>
      </c>
      <c r="C1443">
        <v>2042</v>
      </c>
      <c r="D1443">
        <v>1292421</v>
      </c>
    </row>
    <row r="1444" spans="1:4" x14ac:dyDescent="0.2">
      <c r="A1444">
        <v>9</v>
      </c>
      <c r="B1444">
        <v>2</v>
      </c>
      <c r="C1444">
        <v>2043</v>
      </c>
      <c r="D1444">
        <v>1301078</v>
      </c>
    </row>
    <row r="1445" spans="1:4" x14ac:dyDescent="0.2">
      <c r="A1445">
        <v>9</v>
      </c>
      <c r="B1445">
        <v>2</v>
      </c>
      <c r="C1445">
        <v>2044</v>
      </c>
      <c r="D1445">
        <v>1307749</v>
      </c>
    </row>
    <row r="1446" spans="1:4" x14ac:dyDescent="0.2">
      <c r="A1446">
        <v>9</v>
      </c>
      <c r="B1446">
        <v>2</v>
      </c>
      <c r="C1446">
        <v>2045</v>
      </c>
      <c r="D1446">
        <v>1312283</v>
      </c>
    </row>
    <row r="1447" spans="1:4" x14ac:dyDescent="0.2">
      <c r="A1447">
        <v>9</v>
      </c>
      <c r="B1447">
        <v>2</v>
      </c>
      <c r="C1447">
        <v>2046</v>
      </c>
      <c r="D1447">
        <v>1314689</v>
      </c>
    </row>
    <row r="1448" spans="1:4" x14ac:dyDescent="0.2">
      <c r="A1448">
        <v>9</v>
      </c>
      <c r="B1448">
        <v>2</v>
      </c>
      <c r="C1448">
        <v>2047</v>
      </c>
      <c r="D1448">
        <v>1315982</v>
      </c>
    </row>
    <row r="1449" spans="1:4" x14ac:dyDescent="0.2">
      <c r="A1449">
        <v>9</v>
      </c>
      <c r="B1449">
        <v>2</v>
      </c>
      <c r="C1449">
        <v>2048</v>
      </c>
      <c r="D1449">
        <v>1315322</v>
      </c>
    </row>
    <row r="1450" spans="1:4" x14ac:dyDescent="0.2">
      <c r="A1450">
        <v>9</v>
      </c>
      <c r="B1450">
        <v>2</v>
      </c>
      <c r="C1450">
        <v>2049</v>
      </c>
      <c r="D1450">
        <v>1312543</v>
      </c>
    </row>
    <row r="1451" spans="1:4" x14ac:dyDescent="0.2">
      <c r="A1451">
        <v>9</v>
      </c>
      <c r="B1451">
        <v>2</v>
      </c>
      <c r="C1451">
        <v>2050</v>
      </c>
      <c r="D1451">
        <v>1307729</v>
      </c>
    </row>
    <row r="1452" spans="1:4" x14ac:dyDescent="0.2">
      <c r="A1452">
        <v>9</v>
      </c>
      <c r="B1452">
        <v>2</v>
      </c>
      <c r="C1452">
        <v>2051</v>
      </c>
      <c r="D1452">
        <v>1301091</v>
      </c>
    </row>
    <row r="1453" spans="1:4" x14ac:dyDescent="0.2">
      <c r="A1453">
        <v>9</v>
      </c>
      <c r="B1453">
        <v>2</v>
      </c>
      <c r="C1453">
        <v>2052</v>
      </c>
      <c r="D1453">
        <v>1292863</v>
      </c>
    </row>
    <row r="1454" spans="1:4" x14ac:dyDescent="0.2">
      <c r="A1454">
        <v>9</v>
      </c>
      <c r="B1454">
        <v>2</v>
      </c>
      <c r="C1454">
        <v>2053</v>
      </c>
      <c r="D1454">
        <v>1283305</v>
      </c>
    </row>
    <row r="1455" spans="1:4" x14ac:dyDescent="0.2">
      <c r="A1455">
        <v>9</v>
      </c>
      <c r="B1455">
        <v>2</v>
      </c>
      <c r="C1455">
        <v>2054</v>
      </c>
      <c r="D1455">
        <v>1272653</v>
      </c>
    </row>
    <row r="1456" spans="1:4" x14ac:dyDescent="0.2">
      <c r="A1456">
        <v>9</v>
      </c>
      <c r="B1456">
        <v>2</v>
      </c>
      <c r="C1456">
        <v>2055</v>
      </c>
      <c r="D1456">
        <v>1261091</v>
      </c>
    </row>
    <row r="1457" spans="1:4" x14ac:dyDescent="0.2">
      <c r="A1457">
        <v>9</v>
      </c>
      <c r="B1457">
        <v>2</v>
      </c>
      <c r="C1457">
        <v>2056</v>
      </c>
      <c r="D1457">
        <v>1248703</v>
      </c>
    </row>
    <row r="1458" spans="1:4" x14ac:dyDescent="0.2">
      <c r="A1458">
        <v>9</v>
      </c>
      <c r="B1458">
        <v>2</v>
      </c>
      <c r="C1458">
        <v>2057</v>
      </c>
      <c r="D1458">
        <v>1235771</v>
      </c>
    </row>
    <row r="1459" spans="1:4" x14ac:dyDescent="0.2">
      <c r="A1459">
        <v>9</v>
      </c>
      <c r="B1459">
        <v>2</v>
      </c>
      <c r="C1459">
        <v>2058</v>
      </c>
      <c r="D1459">
        <v>1222447</v>
      </c>
    </row>
    <row r="1460" spans="1:4" x14ac:dyDescent="0.2">
      <c r="A1460">
        <v>9</v>
      </c>
      <c r="B1460">
        <v>2</v>
      </c>
      <c r="C1460">
        <v>2059</v>
      </c>
      <c r="D1460">
        <v>1208894</v>
      </c>
    </row>
    <row r="1461" spans="1:4" x14ac:dyDescent="0.2">
      <c r="A1461">
        <v>9</v>
      </c>
      <c r="B1461">
        <v>2</v>
      </c>
      <c r="C1461">
        <v>2060</v>
      </c>
      <c r="D1461">
        <v>1195469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56660-20DC-40C5-8BD6-2DEE1CCC10D5}">
  <sheetPr>
    <tabColor theme="4" tint="-0.249977111117893"/>
  </sheetPr>
  <dimension ref="A1:AZ9"/>
  <sheetViews>
    <sheetView tabSelected="1" workbookViewId="0">
      <selection activeCell="B2" sqref="B2:AZ9"/>
    </sheetView>
  </sheetViews>
  <sheetFormatPr baseColWidth="10" defaultColWidth="8.83203125" defaultRowHeight="15" x14ac:dyDescent="0.2"/>
  <cols>
    <col min="1" max="1" width="14.5" customWidth="1"/>
  </cols>
  <sheetData>
    <row r="1" spans="1:52" x14ac:dyDescent="0.2"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  <c r="AQ1">
        <v>2061</v>
      </c>
      <c r="AR1">
        <v>2062</v>
      </c>
      <c r="AS1">
        <v>2063</v>
      </c>
      <c r="AT1">
        <v>2064</v>
      </c>
      <c r="AU1">
        <v>2065</v>
      </c>
      <c r="AV1">
        <v>2066</v>
      </c>
      <c r="AW1">
        <v>2067</v>
      </c>
      <c r="AX1">
        <v>2068</v>
      </c>
      <c r="AY1">
        <v>2069</v>
      </c>
      <c r="AZ1">
        <v>2070</v>
      </c>
    </row>
    <row r="2" spans="1:52" x14ac:dyDescent="0.2">
      <c r="A2" t="s">
        <v>25</v>
      </c>
      <c r="B2" s="5">
        <f>SUMIFS('Census T3'!$D:$D,'Census T3'!$A:$A,0,'Census T3'!$B:$B,1,'Census T3'!$C:$C,B$1)</f>
        <v>1399014</v>
      </c>
      <c r="C2" s="5">
        <f>SUMIFS('Census T3'!$D:$D,'Census T3'!$A:$A,0,'Census T3'!$B:$B,1,'Census T3'!$C:$C,C$1)</f>
        <v>1415904</v>
      </c>
      <c r="D2" s="5">
        <f>SUMIFS('Census T3'!$D:$D,'Census T3'!$A:$A,0,'Census T3'!$B:$B,1,'Census T3'!$C:$C,D$1)</f>
        <v>1433335</v>
      </c>
      <c r="E2" s="5">
        <f>SUMIFS('Census T3'!$D:$D,'Census T3'!$A:$A,0,'Census T3'!$B:$B,1,'Census T3'!$C:$C,E$1)</f>
        <v>1451474</v>
      </c>
      <c r="F2" s="5">
        <f>SUMIFS('Census T3'!$D:$D,'Census T3'!$A:$A,0,'Census T3'!$B:$B,1,'Census T3'!$C:$C,F$1)</f>
        <v>1470351</v>
      </c>
      <c r="G2" s="5">
        <f>SUMIFS('Census T3'!$D:$D,'Census T3'!$A:$A,0,'Census T3'!$B:$B,1,'Census T3'!$C:$C,G$1)</f>
        <v>1490023</v>
      </c>
      <c r="H2" s="5">
        <f>SUMIFS('Census T3'!$D:$D,'Census T3'!$A:$A,0,'Census T3'!$B:$B,1,'Census T3'!$C:$C,H$1)</f>
        <v>1510466</v>
      </c>
      <c r="I2" s="5">
        <f>SUMIFS('Census T3'!$D:$D,'Census T3'!$A:$A,0,'Census T3'!$B:$B,1,'Census T3'!$C:$C,I$1)</f>
        <v>1531731</v>
      </c>
      <c r="J2" s="5">
        <f>SUMIFS('Census T3'!$D:$D,'Census T3'!$A:$A,0,'Census T3'!$B:$B,1,'Census T3'!$C:$C,J$1)</f>
        <v>1553790</v>
      </c>
      <c r="K2" s="5">
        <f>SUMIFS('Census T3'!$D:$D,'Census T3'!$A:$A,0,'Census T3'!$B:$B,1,'Census T3'!$C:$C,K$1)</f>
        <v>1576409</v>
      </c>
      <c r="L2" s="5">
        <f>SUMIFS('Census T3'!$D:$D,'Census T3'!$A:$A,0,'Census T3'!$B:$B,1,'Census T3'!$C:$C,L$1)</f>
        <v>1599622</v>
      </c>
      <c r="M2" s="5">
        <f>SUMIFS('Census T3'!$D:$D,'Census T3'!$A:$A,0,'Census T3'!$B:$B,1,'Census T3'!$C:$C,M$1)</f>
        <v>1623126</v>
      </c>
      <c r="N2" s="5">
        <f>SUMIFS('Census T3'!$D:$D,'Census T3'!$A:$A,0,'Census T3'!$B:$B,1,'Census T3'!$C:$C,N$1)</f>
        <v>1646815</v>
      </c>
      <c r="O2" s="5">
        <f>SUMIFS('Census T3'!$D:$D,'Census T3'!$A:$A,0,'Census T3'!$B:$B,1,'Census T3'!$C:$C,O$1)</f>
        <v>1670459</v>
      </c>
      <c r="P2" s="5">
        <f>SUMIFS('Census T3'!$D:$D,'Census T3'!$A:$A,0,'Census T3'!$B:$B,1,'Census T3'!$C:$C,P$1)</f>
        <v>1693916</v>
      </c>
      <c r="Q2" s="5">
        <f>SUMIFS('Census T3'!$D:$D,'Census T3'!$A:$A,0,'Census T3'!$B:$B,1,'Census T3'!$C:$C,Q$1)</f>
        <v>1717014</v>
      </c>
      <c r="R2" s="5">
        <f>SUMIFS('Census T3'!$D:$D,'Census T3'!$A:$A,0,'Census T3'!$B:$B,1,'Census T3'!$C:$C,R$1)</f>
        <v>1739536</v>
      </c>
      <c r="S2" s="5">
        <f>SUMIFS('Census T3'!$D:$D,'Census T3'!$A:$A,0,'Census T3'!$B:$B,1,'Census T3'!$C:$C,S$1)</f>
        <v>1761331</v>
      </c>
      <c r="T2" s="5">
        <f>SUMIFS('Census T3'!$D:$D,'Census T3'!$A:$A,0,'Census T3'!$B:$B,1,'Census T3'!$C:$C,T$1)</f>
        <v>1782074</v>
      </c>
      <c r="U2" s="5">
        <f>SUMIFS('Census T3'!$D:$D,'Census T3'!$A:$A,0,'Census T3'!$B:$B,1,'Census T3'!$C:$C,U$1)</f>
        <v>1801727</v>
      </c>
      <c r="V2" s="5">
        <f>SUMIFS('Census T3'!$D:$D,'Census T3'!$A:$A,0,'Census T3'!$B:$B,1,'Census T3'!$C:$C,V$1)</f>
        <v>1820048</v>
      </c>
      <c r="W2" s="5">
        <f>SUMIFS('Census T3'!$D:$D,'Census T3'!$A:$A,0,'Census T3'!$B:$B,1,'Census T3'!$C:$C,W$1)</f>
        <v>1836978</v>
      </c>
      <c r="X2" s="5">
        <f>SUMIFS('Census T3'!$D:$D,'Census T3'!$A:$A,0,'Census T3'!$B:$B,1,'Census T3'!$C:$C,X$1)</f>
        <v>1852429</v>
      </c>
      <c r="Y2" s="5">
        <f>SUMIFS('Census T3'!$D:$D,'Census T3'!$A:$A,0,'Census T3'!$B:$B,1,'Census T3'!$C:$C,Y$1)</f>
        <v>1866421</v>
      </c>
      <c r="Z2" s="5">
        <f>SUMIFS('Census T3'!$D:$D,'Census T3'!$A:$A,0,'Census T3'!$B:$B,1,'Census T3'!$C:$C,Z$1)</f>
        <v>1878578</v>
      </c>
      <c r="AA2" s="5">
        <f>SUMIFS('Census T3'!$D:$D,'Census T3'!$A:$A,0,'Census T3'!$B:$B,1,'Census T3'!$C:$C,AA$1)</f>
        <v>1889035</v>
      </c>
      <c r="AB2" s="5">
        <f>SUMIFS('Census T3'!$D:$D,'Census T3'!$A:$A,0,'Census T3'!$B:$B,1,'Census T3'!$C:$C,AB$1)</f>
        <v>1897754</v>
      </c>
      <c r="AC2" s="5">
        <f>SUMIFS('Census T3'!$D:$D,'Census T3'!$A:$A,0,'Census T3'!$B:$B,1,'Census T3'!$C:$C,AC$1)</f>
        <v>1905227</v>
      </c>
      <c r="AD2" s="5">
        <f>SUMIFS('Census T3'!$D:$D,'Census T3'!$A:$A,0,'Census T3'!$B:$B,1,'Census T3'!$C:$C,AD$1)</f>
        <v>1911162</v>
      </c>
      <c r="AE2" s="5">
        <f>SUMIFS('Census T3'!$D:$D,'Census T3'!$A:$A,0,'Census T3'!$B:$B,1,'Census T3'!$C:$C,AE$1)</f>
        <v>1915462</v>
      </c>
      <c r="AF2" s="5">
        <f>SUMIFS('Census T3'!$D:$D,'Census T3'!$A:$A,0,'Census T3'!$B:$B,1,'Census T3'!$C:$C,AF$1)</f>
        <v>1918329</v>
      </c>
      <c r="AG2" s="5">
        <f>SUMIFS('Census T3'!$D:$D,'Census T3'!$A:$A,0,'Census T3'!$B:$B,1,'Census T3'!$C:$C,AG$1)</f>
        <v>1919949</v>
      </c>
      <c r="AH2" s="5">
        <f>SUMIFS('Census T3'!$D:$D,'Census T3'!$A:$A,0,'Census T3'!$B:$B,1,'Census T3'!$C:$C,AH$1)</f>
        <v>1920518</v>
      </c>
      <c r="AI2" s="5">
        <f>SUMIFS('Census T3'!$D:$D,'Census T3'!$A:$A,0,'Census T3'!$B:$B,1,'Census T3'!$C:$C,AI$1)</f>
        <v>1920271</v>
      </c>
      <c r="AJ2" s="5">
        <f>SUMIFS('Census T3'!$D:$D,'Census T3'!$A:$A,0,'Census T3'!$B:$B,1,'Census T3'!$C:$C,AJ$1)</f>
        <v>1919472</v>
      </c>
      <c r="AK2" s="5">
        <f>SUMIFS('Census T3'!$D:$D,'Census T3'!$A:$A,0,'Census T3'!$B:$B,1,'Census T3'!$C:$C,AK$1)</f>
        <v>1918306</v>
      </c>
      <c r="AL2" s="5">
        <f>SUMIFS('Census T3'!$D:$D,'Census T3'!$A:$A,0,'Census T3'!$B:$B,1,'Census T3'!$C:$C,AL$1)</f>
        <v>1916988</v>
      </c>
      <c r="AM2" s="5">
        <f>SUMIFS('Census T3'!$D:$D,'Census T3'!$A:$A,0,'Census T3'!$B:$B,1,'Census T3'!$C:$C,AM$1)</f>
        <v>1915630</v>
      </c>
      <c r="AN2" s="5">
        <f>SUMIFS('Census T3'!$D:$D,'Census T3'!$A:$A,0,'Census T3'!$B:$B,1,'Census T3'!$C:$C,AN$1)</f>
        <v>1914595</v>
      </c>
      <c r="AO2" s="5">
        <f>SUMIFS('Census T3'!$D:$D,'Census T3'!$A:$A,0,'Census T3'!$B:$B,1,'Census T3'!$C:$C,AO$1)</f>
        <v>1914018</v>
      </c>
      <c r="AP2" s="5">
        <f>SUMIFS('Census T3'!$D:$D,'Census T3'!$A:$A,0,'Census T3'!$B:$B,1,'Census T3'!$C:$C,AP$1)</f>
        <v>1914265</v>
      </c>
      <c r="AQ2" s="5">
        <f>SUMIFS('Census T3'!$D:$D,'Census T3'!$A:$A,0,'Census T3'!$B:$B,1,'Census T3'!$C:$C,AQ$1)</f>
        <v>2056961.3646934442</v>
      </c>
      <c r="AR2" s="5">
        <f>SUMIFS('Census T3'!$D:$D,'Census T3'!$A:$A,0,'Census T3'!$B:$B,1,'Census T3'!$C:$C,AR$1)</f>
        <v>2069116.6166634597</v>
      </c>
      <c r="AS2" s="5">
        <f>SUMIFS('Census T3'!$D:$D,'Census T3'!$A:$A,0,'Census T3'!$B:$B,1,'Census T3'!$C:$C,AS$1)</f>
        <v>2080931.595457308</v>
      </c>
      <c r="AT2" s="5">
        <f>SUMIFS('Census T3'!$D:$D,'Census T3'!$A:$A,0,'Census T3'!$B:$B,1,'Census T3'!$C:$C,AT$1)</f>
        <v>2092382.2712133937</v>
      </c>
      <c r="AU2" s="5">
        <f>SUMIFS('Census T3'!$D:$D,'Census T3'!$A:$A,0,'Census T3'!$B:$B,1,'Census T3'!$C:$C,AU$1)</f>
        <v>2103458.2063020952</v>
      </c>
      <c r="AV2" s="5">
        <f>SUMIFS('Census T3'!$D:$D,'Census T3'!$A:$A,0,'Census T3'!$B:$B,1,'Census T3'!$C:$C,AV$1)</f>
        <v>2114163.4919235483</v>
      </c>
      <c r="AW2" s="5">
        <f>SUMIFS('Census T3'!$D:$D,'Census T3'!$A:$A,0,'Census T3'!$B:$B,1,'Census T3'!$C:$C,AW$1)</f>
        <v>2124509.1770635471</v>
      </c>
      <c r="AX2" s="5">
        <f>SUMIFS('Census T3'!$D:$D,'Census T3'!$A:$A,0,'Census T3'!$B:$B,1,'Census T3'!$C:$C,AX$1)</f>
        <v>2134518.3267344795</v>
      </c>
      <c r="AY2" s="5">
        <f>SUMIFS('Census T3'!$D:$D,'Census T3'!$A:$A,0,'Census T3'!$B:$B,1,'Census T3'!$C:$C,AY$1)</f>
        <v>2144220.9471670538</v>
      </c>
      <c r="AZ2" s="5">
        <f>SUMIFS('Census T3'!$D:$D,'Census T3'!$A:$A,0,'Census T3'!$B:$B,1,'Census T3'!$C:$C,AZ$1)</f>
        <v>2153655.9517190792</v>
      </c>
    </row>
    <row r="3" spans="1:52" x14ac:dyDescent="0.2">
      <c r="A3" t="s">
        <v>26</v>
      </c>
      <c r="B3" s="5">
        <f>SUMIFS('Census T3'!$D:$D,'Census T3'!$A:$A,0,'Census T3'!$B:$B,2,'Census T3'!$C:$C,B$1)</f>
        <v>1352797</v>
      </c>
      <c r="C3" s="5">
        <f>SUMIFS('Census T3'!$D:$D,'Census T3'!$A:$A,0,'Census T3'!$B:$B,2,'Census T3'!$C:$C,C$1)</f>
        <v>1364899</v>
      </c>
      <c r="D3" s="5">
        <f>SUMIFS('Census T3'!$D:$D,'Census T3'!$A:$A,0,'Census T3'!$B:$B,2,'Census T3'!$C:$C,D$1)</f>
        <v>1378001</v>
      </c>
      <c r="E3" s="5">
        <f>SUMIFS('Census T3'!$D:$D,'Census T3'!$A:$A,0,'Census T3'!$B:$B,2,'Census T3'!$C:$C,E$1)</f>
        <v>1392289</v>
      </c>
      <c r="F3" s="5">
        <f>SUMIFS('Census T3'!$D:$D,'Census T3'!$A:$A,0,'Census T3'!$B:$B,2,'Census T3'!$C:$C,F$1)</f>
        <v>1407974</v>
      </c>
      <c r="G3" s="5">
        <f>SUMIFS('Census T3'!$D:$D,'Census T3'!$A:$A,0,'Census T3'!$B:$B,2,'Census T3'!$C:$C,G$1)</f>
        <v>1425115</v>
      </c>
      <c r="H3" s="5">
        <f>SUMIFS('Census T3'!$D:$D,'Census T3'!$A:$A,0,'Census T3'!$B:$B,2,'Census T3'!$C:$C,H$1)</f>
        <v>1443782</v>
      </c>
      <c r="I3" s="5">
        <f>SUMIFS('Census T3'!$D:$D,'Census T3'!$A:$A,0,'Census T3'!$B:$B,2,'Census T3'!$C:$C,I$1)</f>
        <v>1464109</v>
      </c>
      <c r="J3" s="5">
        <f>SUMIFS('Census T3'!$D:$D,'Census T3'!$A:$A,0,'Census T3'!$B:$B,2,'Census T3'!$C:$C,J$1)</f>
        <v>1486000</v>
      </c>
      <c r="K3" s="5">
        <f>SUMIFS('Census T3'!$D:$D,'Census T3'!$A:$A,0,'Census T3'!$B:$B,2,'Census T3'!$C:$C,K$1)</f>
        <v>1509417</v>
      </c>
      <c r="L3" s="5">
        <f>SUMIFS('Census T3'!$D:$D,'Census T3'!$A:$A,0,'Census T3'!$B:$B,2,'Census T3'!$C:$C,L$1)</f>
        <v>1534253</v>
      </c>
      <c r="M3" s="5">
        <f>SUMIFS('Census T3'!$D:$D,'Census T3'!$A:$A,0,'Census T3'!$B:$B,2,'Census T3'!$C:$C,M$1)</f>
        <v>1560453</v>
      </c>
      <c r="N3" s="5">
        <f>SUMIFS('Census T3'!$D:$D,'Census T3'!$A:$A,0,'Census T3'!$B:$B,2,'Census T3'!$C:$C,N$1)</f>
        <v>1587775</v>
      </c>
      <c r="O3" s="5">
        <f>SUMIFS('Census T3'!$D:$D,'Census T3'!$A:$A,0,'Census T3'!$B:$B,2,'Census T3'!$C:$C,O$1)</f>
        <v>1616042</v>
      </c>
      <c r="P3" s="5">
        <f>SUMIFS('Census T3'!$D:$D,'Census T3'!$A:$A,0,'Census T3'!$B:$B,2,'Census T3'!$C:$C,P$1)</f>
        <v>1644942</v>
      </c>
      <c r="Q3" s="5">
        <f>SUMIFS('Census T3'!$D:$D,'Census T3'!$A:$A,0,'Census T3'!$B:$B,2,'Census T3'!$C:$C,Q$1)</f>
        <v>1674402</v>
      </c>
      <c r="R3" s="5">
        <f>SUMIFS('Census T3'!$D:$D,'Census T3'!$A:$A,0,'Census T3'!$B:$B,2,'Census T3'!$C:$C,R$1)</f>
        <v>1704021</v>
      </c>
      <c r="S3" s="5">
        <f>SUMIFS('Census T3'!$D:$D,'Census T3'!$A:$A,0,'Census T3'!$B:$B,2,'Census T3'!$C:$C,S$1)</f>
        <v>1733397</v>
      </c>
      <c r="T3" s="5">
        <f>SUMIFS('Census T3'!$D:$D,'Census T3'!$A:$A,0,'Census T3'!$B:$B,2,'Census T3'!$C:$C,T$1)</f>
        <v>1762454</v>
      </c>
      <c r="U3" s="5">
        <f>SUMIFS('Census T3'!$D:$D,'Census T3'!$A:$A,0,'Census T3'!$B:$B,2,'Census T3'!$C:$C,U$1)</f>
        <v>1790640</v>
      </c>
      <c r="V3" s="5">
        <f>SUMIFS('Census T3'!$D:$D,'Census T3'!$A:$A,0,'Census T3'!$B:$B,2,'Census T3'!$C:$C,V$1)</f>
        <v>1817830</v>
      </c>
      <c r="W3" s="5">
        <f>SUMIFS('Census T3'!$D:$D,'Census T3'!$A:$A,0,'Census T3'!$B:$B,2,'Census T3'!$C:$C,W$1)</f>
        <v>1843670</v>
      </c>
      <c r="X3" s="5">
        <f>SUMIFS('Census T3'!$D:$D,'Census T3'!$A:$A,0,'Census T3'!$B:$B,2,'Census T3'!$C:$C,X$1)</f>
        <v>1868030</v>
      </c>
      <c r="Y3" s="5">
        <f>SUMIFS('Census T3'!$D:$D,'Census T3'!$A:$A,0,'Census T3'!$B:$B,2,'Census T3'!$C:$C,Y$1)</f>
        <v>1890872</v>
      </c>
      <c r="Z3" s="5">
        <f>SUMIFS('Census T3'!$D:$D,'Census T3'!$A:$A,0,'Census T3'!$B:$B,2,'Census T3'!$C:$C,Z$1)</f>
        <v>1911722</v>
      </c>
      <c r="AA3" s="5">
        <f>SUMIFS('Census T3'!$D:$D,'Census T3'!$A:$A,0,'Census T3'!$B:$B,2,'Census T3'!$C:$C,AA$1)</f>
        <v>1930252</v>
      </c>
      <c r="AB3" s="5">
        <f>SUMIFS('Census T3'!$D:$D,'Census T3'!$A:$A,0,'Census T3'!$B:$B,2,'Census T3'!$C:$C,AB$1)</f>
        <v>1946383</v>
      </c>
      <c r="AC3" s="5">
        <f>SUMIFS('Census T3'!$D:$D,'Census T3'!$A:$A,0,'Census T3'!$B:$B,2,'Census T3'!$C:$C,AC$1)</f>
        <v>1961288</v>
      </c>
      <c r="AD3" s="5">
        <f>SUMIFS('Census T3'!$D:$D,'Census T3'!$A:$A,0,'Census T3'!$B:$B,2,'Census T3'!$C:$C,AD$1)</f>
        <v>1973949</v>
      </c>
      <c r="AE3" s="5">
        <f>SUMIFS('Census T3'!$D:$D,'Census T3'!$A:$A,0,'Census T3'!$B:$B,2,'Census T3'!$C:$C,AE$1)</f>
        <v>1984222</v>
      </c>
      <c r="AF3" s="5">
        <f>SUMIFS('Census T3'!$D:$D,'Census T3'!$A:$A,0,'Census T3'!$B:$B,2,'Census T3'!$C:$C,AF$1)</f>
        <v>1992132</v>
      </c>
      <c r="AG3" s="5">
        <f>SUMIFS('Census T3'!$D:$D,'Census T3'!$A:$A,0,'Census T3'!$B:$B,2,'Census T3'!$C:$C,AG$1)</f>
        <v>1997847</v>
      </c>
      <c r="AH3" s="5">
        <f>SUMIFS('Census T3'!$D:$D,'Census T3'!$A:$A,0,'Census T3'!$B:$B,2,'Census T3'!$C:$C,AH$1)</f>
        <v>2001578</v>
      </c>
      <c r="AI3" s="5">
        <f>SUMIFS('Census T3'!$D:$D,'Census T3'!$A:$A,0,'Census T3'!$B:$B,2,'Census T3'!$C:$C,AI$1)</f>
        <v>2003666</v>
      </c>
      <c r="AJ3" s="5">
        <f>SUMIFS('Census T3'!$D:$D,'Census T3'!$A:$A,0,'Census T3'!$B:$B,2,'Census T3'!$C:$C,AJ$1)</f>
        <v>2004377</v>
      </c>
      <c r="AK3" s="5">
        <f>SUMIFS('Census T3'!$D:$D,'Census T3'!$A:$A,0,'Census T3'!$B:$B,2,'Census T3'!$C:$C,AK$1)</f>
        <v>2004052</v>
      </c>
      <c r="AL3" s="5">
        <f>SUMIFS('Census T3'!$D:$D,'Census T3'!$A:$A,0,'Census T3'!$B:$B,2,'Census T3'!$C:$C,AL$1)</f>
        <v>2002590</v>
      </c>
      <c r="AM3" s="5">
        <f>SUMIFS('Census T3'!$D:$D,'Census T3'!$A:$A,0,'Census T3'!$B:$B,2,'Census T3'!$C:$C,AM$1)</f>
        <v>2000466</v>
      </c>
      <c r="AN3" s="5">
        <f>SUMIFS('Census T3'!$D:$D,'Census T3'!$A:$A,0,'Census T3'!$B:$B,2,'Census T3'!$C:$C,AN$1)</f>
        <v>1997694</v>
      </c>
      <c r="AO3" s="5">
        <f>SUMIFS('Census T3'!$D:$D,'Census T3'!$A:$A,0,'Census T3'!$B:$B,2,'Census T3'!$C:$C,AO$1)</f>
        <v>1994574</v>
      </c>
      <c r="AP3" s="5">
        <f>SUMIFS('Census T3'!$D:$D,'Census T3'!$A:$A,0,'Census T3'!$B:$B,2,'Census T3'!$C:$C,AP$1)</f>
        <v>1991570</v>
      </c>
      <c r="AQ3" s="5">
        <f>SUMIFS('Census T3'!$D:$D,'Census T3'!$A:$A,0,'Census T3'!$B:$B,2,'Census T3'!$C:$C,AQ$1)</f>
        <v>2155930.2875264287</v>
      </c>
      <c r="AR3" s="5">
        <f>SUMIFS('Census T3'!$D:$D,'Census T3'!$A:$A,0,'Census T3'!$B:$B,2,'Census T3'!$C:$C,AR$1)</f>
        <v>2175148.0990774557</v>
      </c>
      <c r="AS3" s="5">
        <f>SUMIFS('Census T3'!$D:$D,'Census T3'!$A:$A,0,'Census T3'!$B:$B,2,'Census T3'!$C:$C,AS$1)</f>
        <v>2194062.088145189</v>
      </c>
      <c r="AT3" s="5">
        <f>SUMIFS('Census T3'!$D:$D,'Census T3'!$A:$A,0,'Census T3'!$B:$B,2,'Census T3'!$C:$C,AT$1)</f>
        <v>2212577.3158626109</v>
      </c>
      <c r="AU3" s="5">
        <f>SUMIFS('Census T3'!$D:$D,'Census T3'!$A:$A,0,'Census T3'!$B:$B,2,'Census T3'!$C:$C,AU$1)</f>
        <v>2230632.6136849523</v>
      </c>
      <c r="AV3" s="5">
        <f>SUMIFS('Census T3'!$D:$D,'Census T3'!$A:$A,0,'Census T3'!$B:$B,2,'Census T3'!$C:$C,AV$1)</f>
        <v>2248191.195508495</v>
      </c>
      <c r="AW3" s="5">
        <f>SUMIFS('Census T3'!$D:$D,'Census T3'!$A:$A,0,'Census T3'!$B:$B,2,'Census T3'!$C:$C,AW$1)</f>
        <v>2265237.6517461687</v>
      </c>
      <c r="AX3" s="5">
        <f>SUMIFS('Census T3'!$D:$D,'Census T3'!$A:$A,0,'Census T3'!$B:$B,2,'Census T3'!$C:$C,AX$1)</f>
        <v>2281768.9627934769</v>
      </c>
      <c r="AY3" s="5">
        <f>SUMIFS('Census T3'!$D:$D,'Census T3'!$A:$A,0,'Census T3'!$B:$B,2,'Census T3'!$C:$C,AY$1)</f>
        <v>2297797.4797549918</v>
      </c>
      <c r="AZ3" s="5">
        <f>SUMIFS('Census T3'!$D:$D,'Census T3'!$A:$A,0,'Census T3'!$B:$B,2,'Census T3'!$C:$C,AZ$1)</f>
        <v>2313345.6093700975</v>
      </c>
    </row>
    <row r="4" spans="1:52" x14ac:dyDescent="0.2">
      <c r="A4" t="s">
        <v>28</v>
      </c>
      <c r="B4" s="5">
        <f>SUMIFS('Census T3'!$D:$D,'Census T3'!$A:$A,1,'Census T3'!$B:$B,0,'Census T3'!$C:$C,B$1)</f>
        <v>2266508</v>
      </c>
      <c r="C4" s="5">
        <f>SUMIFS('Census T3'!$D:$D,'Census T3'!$A:$A,1,'Census T3'!$B:$B,0,'Census T3'!$C:$C,C$1)</f>
        <v>2288372</v>
      </c>
      <c r="D4" s="5">
        <f>SUMIFS('Census T3'!$D:$D,'Census T3'!$A:$A,1,'Census T3'!$B:$B,0,'Census T3'!$C:$C,D$1)</f>
        <v>2311305</v>
      </c>
      <c r="E4" s="5">
        <f>SUMIFS('Census T3'!$D:$D,'Census T3'!$A:$A,1,'Census T3'!$B:$B,0,'Census T3'!$C:$C,E$1)</f>
        <v>2335658</v>
      </c>
      <c r="F4" s="5">
        <f>SUMIFS('Census T3'!$D:$D,'Census T3'!$A:$A,1,'Census T3'!$B:$B,0,'Census T3'!$C:$C,F$1)</f>
        <v>2361634</v>
      </c>
      <c r="G4" s="5">
        <f>SUMIFS('Census T3'!$D:$D,'Census T3'!$A:$A,1,'Census T3'!$B:$B,0,'Census T3'!$C:$C,G$1)</f>
        <v>2389358</v>
      </c>
      <c r="H4" s="5">
        <f>SUMIFS('Census T3'!$D:$D,'Census T3'!$A:$A,1,'Census T3'!$B:$B,0,'Census T3'!$C:$C,H$1)</f>
        <v>2418894</v>
      </c>
      <c r="I4" s="5">
        <f>SUMIFS('Census T3'!$D:$D,'Census T3'!$A:$A,1,'Census T3'!$B:$B,0,'Census T3'!$C:$C,I$1)</f>
        <v>2450373</v>
      </c>
      <c r="J4" s="5">
        <f>SUMIFS('Census T3'!$D:$D,'Census T3'!$A:$A,1,'Census T3'!$B:$B,0,'Census T3'!$C:$C,J$1)</f>
        <v>2483710</v>
      </c>
      <c r="K4" s="5">
        <f>SUMIFS('Census T3'!$D:$D,'Census T3'!$A:$A,1,'Census T3'!$B:$B,0,'Census T3'!$C:$C,K$1)</f>
        <v>2518661</v>
      </c>
      <c r="L4" s="5">
        <f>SUMIFS('Census T3'!$D:$D,'Census T3'!$A:$A,1,'Census T3'!$B:$B,0,'Census T3'!$C:$C,L$1)</f>
        <v>2555182</v>
      </c>
      <c r="M4" s="5">
        <f>SUMIFS('Census T3'!$D:$D,'Census T3'!$A:$A,1,'Census T3'!$B:$B,0,'Census T3'!$C:$C,M$1)</f>
        <v>2592915</v>
      </c>
      <c r="N4" s="5">
        <f>SUMIFS('Census T3'!$D:$D,'Census T3'!$A:$A,1,'Census T3'!$B:$B,0,'Census T3'!$C:$C,N$1)</f>
        <v>2631544</v>
      </c>
      <c r="O4" s="5">
        <f>SUMIFS('Census T3'!$D:$D,'Census T3'!$A:$A,1,'Census T3'!$B:$B,0,'Census T3'!$C:$C,O$1)</f>
        <v>2670665</v>
      </c>
      <c r="P4" s="5">
        <f>SUMIFS('Census T3'!$D:$D,'Census T3'!$A:$A,1,'Census T3'!$B:$B,0,'Census T3'!$C:$C,P$1)</f>
        <v>2709880</v>
      </c>
      <c r="Q4" s="5">
        <f>SUMIFS('Census T3'!$D:$D,'Census T3'!$A:$A,1,'Census T3'!$B:$B,0,'Census T3'!$C:$C,Q$1)</f>
        <v>2749028</v>
      </c>
      <c r="R4" s="5">
        <f>SUMIFS('Census T3'!$D:$D,'Census T3'!$A:$A,1,'Census T3'!$B:$B,0,'Census T3'!$C:$C,R$1)</f>
        <v>2787487</v>
      </c>
      <c r="S4" s="5">
        <f>SUMIFS('Census T3'!$D:$D,'Census T3'!$A:$A,1,'Census T3'!$B:$B,0,'Census T3'!$C:$C,S$1)</f>
        <v>2824803</v>
      </c>
      <c r="T4" s="5">
        <f>SUMIFS('Census T3'!$D:$D,'Census T3'!$A:$A,1,'Census T3'!$B:$B,0,'Census T3'!$C:$C,T$1)</f>
        <v>2860661</v>
      </c>
      <c r="U4" s="5">
        <f>SUMIFS('Census T3'!$D:$D,'Census T3'!$A:$A,1,'Census T3'!$B:$B,0,'Census T3'!$C:$C,U$1)</f>
        <v>2894554</v>
      </c>
      <c r="V4" s="5">
        <f>SUMIFS('Census T3'!$D:$D,'Census T3'!$A:$A,1,'Census T3'!$B:$B,0,'Census T3'!$C:$C,V$1)</f>
        <v>2926113</v>
      </c>
      <c r="W4" s="5">
        <f>SUMIFS('Census T3'!$D:$D,'Census T3'!$A:$A,1,'Census T3'!$B:$B,0,'Census T3'!$C:$C,W$1)</f>
        <v>2955004</v>
      </c>
      <c r="X4" s="5">
        <f>SUMIFS('Census T3'!$D:$D,'Census T3'!$A:$A,1,'Census T3'!$B:$B,0,'Census T3'!$C:$C,X$1)</f>
        <v>2981129</v>
      </c>
      <c r="Y4" s="5">
        <f>SUMIFS('Census T3'!$D:$D,'Census T3'!$A:$A,1,'Census T3'!$B:$B,0,'Census T3'!$C:$C,Y$1)</f>
        <v>3004515</v>
      </c>
      <c r="Z4" s="5">
        <f>SUMIFS('Census T3'!$D:$D,'Census T3'!$A:$A,1,'Census T3'!$B:$B,0,'Census T3'!$C:$C,Z$1)</f>
        <v>3024344</v>
      </c>
      <c r="AA4" s="5">
        <f>SUMIFS('Census T3'!$D:$D,'Census T3'!$A:$A,1,'Census T3'!$B:$B,0,'Census T3'!$C:$C,AA$1)</f>
        <v>3040446</v>
      </c>
      <c r="AB4" s="5">
        <f>SUMIFS('Census T3'!$D:$D,'Census T3'!$A:$A,1,'Census T3'!$B:$B,0,'Census T3'!$C:$C,AB$1)</f>
        <v>3052853</v>
      </c>
      <c r="AC4" s="5">
        <f>SUMIFS('Census T3'!$D:$D,'Census T3'!$A:$A,1,'Census T3'!$B:$B,0,'Census T3'!$C:$C,AC$1)</f>
        <v>3063089</v>
      </c>
      <c r="AD4" s="5">
        <f>SUMIFS('Census T3'!$D:$D,'Census T3'!$A:$A,1,'Census T3'!$B:$B,0,'Census T3'!$C:$C,AD$1)</f>
        <v>3069927</v>
      </c>
      <c r="AE4" s="5">
        <f>SUMIFS('Census T3'!$D:$D,'Census T3'!$A:$A,1,'Census T3'!$B:$B,0,'Census T3'!$C:$C,AE$1)</f>
        <v>3073176</v>
      </c>
      <c r="AF4" s="5">
        <f>SUMIFS('Census T3'!$D:$D,'Census T3'!$A:$A,1,'Census T3'!$B:$B,0,'Census T3'!$C:$C,AF$1)</f>
        <v>3073035</v>
      </c>
      <c r="AG4" s="5">
        <f>SUMIFS('Census T3'!$D:$D,'Census T3'!$A:$A,1,'Census T3'!$B:$B,0,'Census T3'!$C:$C,AG$1)</f>
        <v>3069924</v>
      </c>
      <c r="AH4" s="5">
        <f>SUMIFS('Census T3'!$D:$D,'Census T3'!$A:$A,1,'Census T3'!$B:$B,0,'Census T3'!$C:$C,AH$1)</f>
        <v>3064216</v>
      </c>
      <c r="AI4" s="5">
        <f>SUMIFS('Census T3'!$D:$D,'Census T3'!$A:$A,1,'Census T3'!$B:$B,0,'Census T3'!$C:$C,AI$1)</f>
        <v>3056352</v>
      </c>
      <c r="AJ4" s="5">
        <f>SUMIFS('Census T3'!$D:$D,'Census T3'!$A:$A,1,'Census T3'!$B:$B,0,'Census T3'!$C:$C,AJ$1)</f>
        <v>3046796</v>
      </c>
      <c r="AK4" s="5">
        <f>SUMIFS('Census T3'!$D:$D,'Census T3'!$A:$A,1,'Census T3'!$B:$B,0,'Census T3'!$C:$C,AK$1)</f>
        <v>3035938</v>
      </c>
      <c r="AL4" s="5">
        <f>SUMIFS('Census T3'!$D:$D,'Census T3'!$A:$A,1,'Census T3'!$B:$B,0,'Census T3'!$C:$C,AL$1)</f>
        <v>3023921</v>
      </c>
      <c r="AM4" s="5">
        <f>SUMIFS('Census T3'!$D:$D,'Census T3'!$A:$A,1,'Census T3'!$B:$B,0,'Census T3'!$C:$C,AM$1)</f>
        <v>3011255</v>
      </c>
      <c r="AN4" s="5">
        <f>SUMIFS('Census T3'!$D:$D,'Census T3'!$A:$A,1,'Census T3'!$B:$B,0,'Census T3'!$C:$C,AN$1)</f>
        <v>2998303</v>
      </c>
      <c r="AO4" s="5">
        <f>SUMIFS('Census T3'!$D:$D,'Census T3'!$A:$A,1,'Census T3'!$B:$B,0,'Census T3'!$C:$C,AO$1)</f>
        <v>2985330</v>
      </c>
      <c r="AP4" s="5">
        <f>SUMIFS('Census T3'!$D:$D,'Census T3'!$A:$A,1,'Census T3'!$B:$B,0,'Census T3'!$C:$C,AP$1)</f>
        <v>2973108</v>
      </c>
      <c r="AQ4" s="5">
        <f>SUMIFS('Census T3'!$D:$D,'Census T3'!$A:$A,1,'Census T3'!$B:$B,0,'Census T3'!$C:$C,AQ$1)</f>
        <v>3256368.6596194506</v>
      </c>
      <c r="AR4" s="5">
        <f>SUMIFS('Census T3'!$D:$D,'Census T3'!$A:$A,1,'Census T3'!$B:$B,0,'Census T3'!$C:$C,AR$1)</f>
        <v>3274768.0483375043</v>
      </c>
      <c r="AS4" s="5">
        <f>SUMIFS('Census T3'!$D:$D,'Census T3'!$A:$A,1,'Census T3'!$B:$B,0,'Census T3'!$C:$C,AS$1)</f>
        <v>3292591.7197731882</v>
      </c>
      <c r="AT4" s="5">
        <f>SUMIFS('Census T3'!$D:$D,'Census T3'!$A:$A,1,'Census T3'!$B:$B,0,'Census T3'!$C:$C,AT$1)</f>
        <v>3309743.8675286099</v>
      </c>
      <c r="AU4" s="5">
        <f>SUMIFS('Census T3'!$D:$D,'Census T3'!$A:$A,1,'Census T3'!$B:$B,0,'Census T3'!$C:$C,AU$1)</f>
        <v>3326166.9725225493</v>
      </c>
      <c r="AV4" s="5">
        <f>SUMIFS('Census T3'!$D:$D,'Census T3'!$A:$A,1,'Census T3'!$B:$B,0,'Census T3'!$C:$C,AV$1)</f>
        <v>3341837.8824075013</v>
      </c>
      <c r="AW4" s="5">
        <f>SUMIFS('Census T3'!$D:$D,'Census T3'!$A:$A,1,'Census T3'!$B:$B,0,'Census T3'!$C:$C,AW$1)</f>
        <v>3356757.4512063414</v>
      </c>
      <c r="AX4" s="5">
        <f>SUMIFS('Census T3'!$D:$D,'Census T3'!$A:$A,1,'Census T3'!$B:$B,0,'Census T3'!$C:$C,AX$1)</f>
        <v>3370949.4536938444</v>
      </c>
      <c r="AY4" s="5">
        <f>SUMIFS('Census T3'!$D:$D,'Census T3'!$A:$A,1,'Census T3'!$B:$B,0,'Census T3'!$C:$C,AY$1)</f>
        <v>3384456.5828835741</v>
      </c>
      <c r="AZ4" s="5">
        <f>SUMIFS('Census T3'!$D:$D,'Census T3'!$A:$A,1,'Census T3'!$B:$B,0,'Census T3'!$C:$C,AZ$1)</f>
        <v>3397338.9454234466</v>
      </c>
    </row>
    <row r="5" spans="1:52" x14ac:dyDescent="0.2">
      <c r="A5" t="s">
        <v>29</v>
      </c>
      <c r="B5" s="5">
        <f>SUMIFS('Census T3'!$D:$D,'Census T3'!$A:$A,2,'Census T3'!$B:$B,0,'Census T3'!$C:$C,B$1)</f>
        <v>332414</v>
      </c>
      <c r="C5" s="5">
        <f>SUMIFS('Census T3'!$D:$D,'Census T3'!$A:$A,2,'Census T3'!$B:$B,0,'Census T3'!$C:$C,C$1)</f>
        <v>335694</v>
      </c>
      <c r="D5" s="5">
        <f>SUMIFS('Census T3'!$D:$D,'Census T3'!$A:$A,2,'Census T3'!$B:$B,0,'Census T3'!$C:$C,D$1)</f>
        <v>339204</v>
      </c>
      <c r="E5" s="5">
        <f>SUMIFS('Census T3'!$D:$D,'Census T3'!$A:$A,2,'Census T3'!$B:$B,0,'Census T3'!$C:$C,E$1)</f>
        <v>342968</v>
      </c>
      <c r="F5" s="5">
        <f>SUMIFS('Census T3'!$D:$D,'Census T3'!$A:$A,2,'Census T3'!$B:$B,0,'Census T3'!$C:$C,F$1)</f>
        <v>346991</v>
      </c>
      <c r="G5" s="5">
        <f>SUMIFS('Census T3'!$D:$D,'Census T3'!$A:$A,2,'Census T3'!$B:$B,0,'Census T3'!$C:$C,G$1)</f>
        <v>351241</v>
      </c>
      <c r="H5" s="5">
        <f>SUMIFS('Census T3'!$D:$D,'Census T3'!$A:$A,2,'Census T3'!$B:$B,0,'Census T3'!$C:$C,H$1)</f>
        <v>355775</v>
      </c>
      <c r="I5" s="5">
        <f>SUMIFS('Census T3'!$D:$D,'Census T3'!$A:$A,2,'Census T3'!$B:$B,0,'Census T3'!$C:$C,I$1)</f>
        <v>360569</v>
      </c>
      <c r="J5" s="5">
        <f>SUMIFS('Census T3'!$D:$D,'Census T3'!$A:$A,2,'Census T3'!$B:$B,0,'Census T3'!$C:$C,J$1)</f>
        <v>365554</v>
      </c>
      <c r="K5" s="5">
        <f>SUMIFS('Census T3'!$D:$D,'Census T3'!$A:$A,2,'Census T3'!$B:$B,0,'Census T3'!$C:$C,K$1)</f>
        <v>370799</v>
      </c>
      <c r="L5" s="5">
        <f>SUMIFS('Census T3'!$D:$D,'Census T3'!$A:$A,2,'Census T3'!$B:$B,0,'Census T3'!$C:$C,L$1)</f>
        <v>376278</v>
      </c>
      <c r="M5" s="5">
        <f>SUMIFS('Census T3'!$D:$D,'Census T3'!$A:$A,2,'Census T3'!$B:$B,0,'Census T3'!$C:$C,M$1)</f>
        <v>381963</v>
      </c>
      <c r="N5" s="5">
        <f>SUMIFS('Census T3'!$D:$D,'Census T3'!$A:$A,2,'Census T3'!$B:$B,0,'Census T3'!$C:$C,N$1)</f>
        <v>387899</v>
      </c>
      <c r="O5" s="5">
        <f>SUMIFS('Census T3'!$D:$D,'Census T3'!$A:$A,2,'Census T3'!$B:$B,0,'Census T3'!$C:$C,O$1)</f>
        <v>394000</v>
      </c>
      <c r="P5" s="5">
        <f>SUMIFS('Census T3'!$D:$D,'Census T3'!$A:$A,2,'Census T3'!$B:$B,0,'Census T3'!$C:$C,P$1)</f>
        <v>400324</v>
      </c>
      <c r="Q5" s="5">
        <f>SUMIFS('Census T3'!$D:$D,'Census T3'!$A:$A,2,'Census T3'!$B:$B,0,'Census T3'!$C:$C,Q$1)</f>
        <v>406761</v>
      </c>
      <c r="R5" s="5">
        <f>SUMIFS('Census T3'!$D:$D,'Census T3'!$A:$A,2,'Census T3'!$B:$B,0,'Census T3'!$C:$C,R$1)</f>
        <v>413354</v>
      </c>
      <c r="S5" s="5">
        <f>SUMIFS('Census T3'!$D:$D,'Census T3'!$A:$A,2,'Census T3'!$B:$B,0,'Census T3'!$C:$C,S$1)</f>
        <v>420015</v>
      </c>
      <c r="T5" s="5">
        <f>SUMIFS('Census T3'!$D:$D,'Census T3'!$A:$A,2,'Census T3'!$B:$B,0,'Census T3'!$C:$C,T$1)</f>
        <v>426673</v>
      </c>
      <c r="U5" s="5">
        <f>SUMIFS('Census T3'!$D:$D,'Census T3'!$A:$A,2,'Census T3'!$B:$B,0,'Census T3'!$C:$C,U$1)</f>
        <v>433341</v>
      </c>
      <c r="V5" s="5">
        <f>SUMIFS('Census T3'!$D:$D,'Census T3'!$A:$A,2,'Census T3'!$B:$B,0,'Census T3'!$C:$C,V$1)</f>
        <v>439962</v>
      </c>
      <c r="W5" s="5">
        <f>SUMIFS('Census T3'!$D:$D,'Census T3'!$A:$A,2,'Census T3'!$B:$B,0,'Census T3'!$C:$C,W$1)</f>
        <v>446507</v>
      </c>
      <c r="X5" s="5">
        <f>SUMIFS('Census T3'!$D:$D,'Census T3'!$A:$A,2,'Census T3'!$B:$B,0,'Census T3'!$C:$C,X$1)</f>
        <v>452925</v>
      </c>
      <c r="Y5" s="5">
        <f>SUMIFS('Census T3'!$D:$D,'Census T3'!$A:$A,2,'Census T3'!$B:$B,0,'Census T3'!$C:$C,Y$1)</f>
        <v>459140</v>
      </c>
      <c r="Z5" s="5">
        <f>SUMIFS('Census T3'!$D:$D,'Census T3'!$A:$A,2,'Census T3'!$B:$B,0,'Census T3'!$C:$C,Z$1)</f>
        <v>465151</v>
      </c>
      <c r="AA5" s="5">
        <f>SUMIFS('Census T3'!$D:$D,'Census T3'!$A:$A,2,'Census T3'!$B:$B,0,'Census T3'!$C:$C,AA$1)</f>
        <v>470941</v>
      </c>
      <c r="AB5" s="5">
        <f>SUMIFS('Census T3'!$D:$D,'Census T3'!$A:$A,2,'Census T3'!$B:$B,0,'Census T3'!$C:$C,AB$1)</f>
        <v>476368</v>
      </c>
      <c r="AC5" s="5">
        <f>SUMIFS('Census T3'!$D:$D,'Census T3'!$A:$A,2,'Census T3'!$B:$B,0,'Census T3'!$C:$C,AC$1)</f>
        <v>481543</v>
      </c>
      <c r="AD5" s="5">
        <f>SUMIFS('Census T3'!$D:$D,'Census T3'!$A:$A,2,'Census T3'!$B:$B,0,'Census T3'!$C:$C,AD$1)</f>
        <v>486451</v>
      </c>
      <c r="AE5" s="5">
        <f>SUMIFS('Census T3'!$D:$D,'Census T3'!$A:$A,2,'Census T3'!$B:$B,0,'Census T3'!$C:$C,AE$1)</f>
        <v>490963</v>
      </c>
      <c r="AF5" s="5">
        <f>SUMIFS('Census T3'!$D:$D,'Census T3'!$A:$A,2,'Census T3'!$B:$B,0,'Census T3'!$C:$C,AF$1)</f>
        <v>495178</v>
      </c>
      <c r="AG5" s="5">
        <f>SUMIFS('Census T3'!$D:$D,'Census T3'!$A:$A,2,'Census T3'!$B:$B,0,'Census T3'!$C:$C,AG$1)</f>
        <v>498971</v>
      </c>
      <c r="AH5" s="5">
        <f>SUMIFS('Census T3'!$D:$D,'Census T3'!$A:$A,2,'Census T3'!$B:$B,0,'Census T3'!$C:$C,AH$1)</f>
        <v>502393</v>
      </c>
      <c r="AI5" s="5">
        <f>SUMIFS('Census T3'!$D:$D,'Census T3'!$A:$A,2,'Census T3'!$B:$B,0,'Census T3'!$C:$C,AI$1)</f>
        <v>505529</v>
      </c>
      <c r="AJ5" s="5">
        <f>SUMIFS('Census T3'!$D:$D,'Census T3'!$A:$A,2,'Census T3'!$B:$B,0,'Census T3'!$C:$C,AJ$1)</f>
        <v>508413</v>
      </c>
      <c r="AK5" s="5">
        <f>SUMIFS('Census T3'!$D:$D,'Census T3'!$A:$A,2,'Census T3'!$B:$B,0,'Census T3'!$C:$C,AK$1)</f>
        <v>511158</v>
      </c>
      <c r="AL5" s="5">
        <f>SUMIFS('Census T3'!$D:$D,'Census T3'!$A:$A,2,'Census T3'!$B:$B,0,'Census T3'!$C:$C,AL$1)</f>
        <v>513749</v>
      </c>
      <c r="AM5" s="5">
        <f>SUMIFS('Census T3'!$D:$D,'Census T3'!$A:$A,2,'Census T3'!$B:$B,0,'Census T3'!$C:$C,AM$1)</f>
        <v>516247</v>
      </c>
      <c r="AN5" s="5">
        <f>SUMIFS('Census T3'!$D:$D,'Census T3'!$A:$A,2,'Census T3'!$B:$B,0,'Census T3'!$C:$C,AN$1)</f>
        <v>518655</v>
      </c>
      <c r="AO5" s="5">
        <f>SUMIFS('Census T3'!$D:$D,'Census T3'!$A:$A,2,'Census T3'!$B:$B,0,'Census T3'!$C:$C,AO$1)</f>
        <v>521101</v>
      </c>
      <c r="AP5" s="5">
        <f>SUMIFS('Census T3'!$D:$D,'Census T3'!$A:$A,2,'Census T3'!$B:$B,0,'Census T3'!$C:$C,AP$1)</f>
        <v>523596</v>
      </c>
      <c r="AQ5" s="5">
        <f>SUMIFS('Census T3'!$D:$D,'Census T3'!$A:$A,2,'Census T3'!$B:$B,0,'Census T3'!$C:$C,AQ$1)</f>
        <v>544986.668076111</v>
      </c>
      <c r="AR5" s="5">
        <f>SUMIFS('Census T3'!$D:$D,'Census T3'!$A:$A,2,'Census T3'!$B:$B,0,'Census T3'!$C:$C,AR$1)</f>
        <v>550615.94762636907</v>
      </c>
      <c r="AS5" s="5">
        <f>SUMIFS('Census T3'!$D:$D,'Census T3'!$A:$A,2,'Census T3'!$B:$B,0,'Census T3'!$C:$C,AS$1)</f>
        <v>556199.4291185867</v>
      </c>
      <c r="AT5" s="5">
        <f>SUMIFS('Census T3'!$D:$D,'Census T3'!$A:$A,2,'Census T3'!$B:$B,0,'Census T3'!$C:$C,AT$1)</f>
        <v>561724.52748760767</v>
      </c>
      <c r="AU5" s="5">
        <f>SUMIFS('Census T3'!$D:$D,'Census T3'!$A:$A,2,'Census T3'!$B:$B,0,'Census T3'!$C:$C,AU$1)</f>
        <v>567182.95584856905</v>
      </c>
      <c r="AV5" s="5">
        <f>SUMIFS('Census T3'!$D:$D,'Census T3'!$A:$A,2,'Census T3'!$B:$B,0,'Census T3'!$C:$C,AV$1)</f>
        <v>572569.89716574922</v>
      </c>
      <c r="AW5" s="5">
        <f>SUMIFS('Census T3'!$D:$D,'Census T3'!$A:$A,2,'Census T3'!$B:$B,0,'Census T3'!$C:$C,AW$1)</f>
        <v>577883.12821414508</v>
      </c>
      <c r="AX5" s="5">
        <f>SUMIFS('Census T3'!$D:$D,'Census T3'!$A:$A,2,'Census T3'!$B:$B,0,'Census T3'!$C:$C,AX$1)</f>
        <v>583122.34676641412</v>
      </c>
      <c r="AY5" s="5">
        <f>SUMIFS('Census T3'!$D:$D,'Census T3'!$A:$A,2,'Census T3'!$B:$B,0,'Census T3'!$C:$C,AY$1)</f>
        <v>588288.50549928844</v>
      </c>
      <c r="AZ5" s="5">
        <f>SUMIFS('Census T3'!$D:$D,'Census T3'!$A:$A,2,'Census T3'!$B:$B,0,'Census T3'!$C:$C,AZ$1)</f>
        <v>593382.14373610541</v>
      </c>
    </row>
    <row r="6" spans="1:52" x14ac:dyDescent="0.2">
      <c r="A6" t="s">
        <v>30</v>
      </c>
      <c r="B6" s="5">
        <f>SUMIFS('Census T3'!$D:$D,'Census T3'!$A:$A,4,'Census T3'!$B:$B,0,'Census T3'!$C:$C,B$1)</f>
        <v>97716</v>
      </c>
      <c r="C6" s="5">
        <f>SUMIFS('Census T3'!$D:$D,'Census T3'!$A:$A,4,'Census T3'!$B:$B,0,'Census T3'!$C:$C,C$1)</f>
        <v>100313</v>
      </c>
      <c r="D6" s="5">
        <f>SUMIFS('Census T3'!$D:$D,'Census T3'!$A:$A,4,'Census T3'!$B:$B,0,'Census T3'!$C:$C,D$1)</f>
        <v>103074</v>
      </c>
      <c r="E6" s="5">
        <f>SUMIFS('Census T3'!$D:$D,'Census T3'!$A:$A,4,'Census T3'!$B:$B,0,'Census T3'!$C:$C,E$1)</f>
        <v>106023</v>
      </c>
      <c r="F6" s="5">
        <f>SUMIFS('Census T3'!$D:$D,'Census T3'!$A:$A,4,'Census T3'!$B:$B,0,'Census T3'!$C:$C,F$1)</f>
        <v>109158</v>
      </c>
      <c r="G6" s="5">
        <f>SUMIFS('Census T3'!$D:$D,'Census T3'!$A:$A,4,'Census T3'!$B:$B,0,'Census T3'!$C:$C,G$1)</f>
        <v>112427</v>
      </c>
      <c r="H6" s="5">
        <f>SUMIFS('Census T3'!$D:$D,'Census T3'!$A:$A,4,'Census T3'!$B:$B,0,'Census T3'!$C:$C,H$1)</f>
        <v>115918</v>
      </c>
      <c r="I6" s="5">
        <f>SUMIFS('Census T3'!$D:$D,'Census T3'!$A:$A,4,'Census T3'!$B:$B,0,'Census T3'!$C:$C,I$1)</f>
        <v>119579</v>
      </c>
      <c r="J6" s="5">
        <f>SUMIFS('Census T3'!$D:$D,'Census T3'!$A:$A,4,'Census T3'!$B:$B,0,'Census T3'!$C:$C,J$1)</f>
        <v>123436</v>
      </c>
      <c r="K6" s="5">
        <f>SUMIFS('Census T3'!$D:$D,'Census T3'!$A:$A,4,'Census T3'!$B:$B,0,'Census T3'!$C:$C,K$1)</f>
        <v>127462</v>
      </c>
      <c r="L6" s="5">
        <f>SUMIFS('Census T3'!$D:$D,'Census T3'!$A:$A,4,'Census T3'!$B:$B,0,'Census T3'!$C:$C,L$1)</f>
        <v>131643</v>
      </c>
      <c r="M6" s="5">
        <f>SUMIFS('Census T3'!$D:$D,'Census T3'!$A:$A,4,'Census T3'!$B:$B,0,'Census T3'!$C:$C,M$1)</f>
        <v>135991</v>
      </c>
      <c r="N6" s="5">
        <f>SUMIFS('Census T3'!$D:$D,'Census T3'!$A:$A,4,'Census T3'!$B:$B,0,'Census T3'!$C:$C,N$1)</f>
        <v>140437</v>
      </c>
      <c r="O6" s="5">
        <f>SUMIFS('Census T3'!$D:$D,'Census T3'!$A:$A,4,'Census T3'!$B:$B,0,'Census T3'!$C:$C,O$1)</f>
        <v>145048</v>
      </c>
      <c r="P6" s="5">
        <f>SUMIFS('Census T3'!$D:$D,'Census T3'!$A:$A,4,'Census T3'!$B:$B,0,'Census T3'!$C:$C,P$1)</f>
        <v>149744</v>
      </c>
      <c r="Q6" s="5">
        <f>SUMIFS('Census T3'!$D:$D,'Census T3'!$A:$A,4,'Census T3'!$B:$B,0,'Census T3'!$C:$C,Q$1)</f>
        <v>154546</v>
      </c>
      <c r="R6" s="5">
        <f>SUMIFS('Census T3'!$D:$D,'Census T3'!$A:$A,4,'Census T3'!$B:$B,0,'Census T3'!$C:$C,R$1)</f>
        <v>159416</v>
      </c>
      <c r="S6" s="5">
        <f>SUMIFS('Census T3'!$D:$D,'Census T3'!$A:$A,4,'Census T3'!$B:$B,0,'Census T3'!$C:$C,S$1)</f>
        <v>164345</v>
      </c>
      <c r="T6" s="5">
        <f>SUMIFS('Census T3'!$D:$D,'Census T3'!$A:$A,4,'Census T3'!$B:$B,0,'Census T3'!$C:$C,T$1)</f>
        <v>169315</v>
      </c>
      <c r="U6" s="5">
        <f>SUMIFS('Census T3'!$D:$D,'Census T3'!$A:$A,4,'Census T3'!$B:$B,0,'Census T3'!$C:$C,U$1)</f>
        <v>174279</v>
      </c>
      <c r="V6" s="5">
        <f>SUMIFS('Census T3'!$D:$D,'Census T3'!$A:$A,4,'Census T3'!$B:$B,0,'Census T3'!$C:$C,V$1)</f>
        <v>179269</v>
      </c>
      <c r="W6" s="5">
        <f>SUMIFS('Census T3'!$D:$D,'Census T3'!$A:$A,4,'Census T3'!$B:$B,0,'Census T3'!$C:$C,W$1)</f>
        <v>184204</v>
      </c>
      <c r="X6" s="5">
        <f>SUMIFS('Census T3'!$D:$D,'Census T3'!$A:$A,4,'Census T3'!$B:$B,0,'Census T3'!$C:$C,X$1)</f>
        <v>189142</v>
      </c>
      <c r="Y6" s="5">
        <f>SUMIFS('Census T3'!$D:$D,'Census T3'!$A:$A,4,'Census T3'!$B:$B,0,'Census T3'!$C:$C,Y$1)</f>
        <v>193999</v>
      </c>
      <c r="Z6" s="5">
        <f>SUMIFS('Census T3'!$D:$D,'Census T3'!$A:$A,4,'Census T3'!$B:$B,0,'Census T3'!$C:$C,Z$1)</f>
        <v>198834</v>
      </c>
      <c r="AA6" s="5">
        <f>SUMIFS('Census T3'!$D:$D,'Census T3'!$A:$A,4,'Census T3'!$B:$B,0,'Census T3'!$C:$C,AA$1)</f>
        <v>203605</v>
      </c>
      <c r="AB6" s="5">
        <f>SUMIFS('Census T3'!$D:$D,'Census T3'!$A:$A,4,'Census T3'!$B:$B,0,'Census T3'!$C:$C,AB$1)</f>
        <v>208294</v>
      </c>
      <c r="AC6" s="5">
        <f>SUMIFS('Census T3'!$D:$D,'Census T3'!$A:$A,4,'Census T3'!$B:$B,0,'Census T3'!$C:$C,AC$1)</f>
        <v>212958</v>
      </c>
      <c r="AD6" s="5">
        <f>SUMIFS('Census T3'!$D:$D,'Census T3'!$A:$A,4,'Census T3'!$B:$B,0,'Census T3'!$C:$C,AD$1)</f>
        <v>217538</v>
      </c>
      <c r="AE6" s="5">
        <f>SUMIFS('Census T3'!$D:$D,'Census T3'!$A:$A,4,'Census T3'!$B:$B,0,'Census T3'!$C:$C,AE$1)</f>
        <v>222072</v>
      </c>
      <c r="AF6" s="5">
        <f>SUMIFS('Census T3'!$D:$D,'Census T3'!$A:$A,4,'Census T3'!$B:$B,0,'Census T3'!$C:$C,AF$1)</f>
        <v>226577</v>
      </c>
      <c r="AG6" s="5">
        <f>SUMIFS('Census T3'!$D:$D,'Census T3'!$A:$A,4,'Census T3'!$B:$B,0,'Census T3'!$C:$C,AG$1)</f>
        <v>231012</v>
      </c>
      <c r="AH6" s="5">
        <f>SUMIFS('Census T3'!$D:$D,'Census T3'!$A:$A,4,'Census T3'!$B:$B,0,'Census T3'!$C:$C,AH$1)</f>
        <v>235436</v>
      </c>
      <c r="AI6" s="5">
        <f>SUMIFS('Census T3'!$D:$D,'Census T3'!$A:$A,4,'Census T3'!$B:$B,0,'Census T3'!$C:$C,AI$1)</f>
        <v>239844</v>
      </c>
      <c r="AJ6" s="5">
        <f>SUMIFS('Census T3'!$D:$D,'Census T3'!$A:$A,4,'Census T3'!$B:$B,0,'Census T3'!$C:$C,AJ$1)</f>
        <v>244274</v>
      </c>
      <c r="AK6" s="5">
        <f>SUMIFS('Census T3'!$D:$D,'Census T3'!$A:$A,4,'Census T3'!$B:$B,0,'Census T3'!$C:$C,AK$1)</f>
        <v>248714</v>
      </c>
      <c r="AL6" s="5">
        <f>SUMIFS('Census T3'!$D:$D,'Census T3'!$A:$A,4,'Census T3'!$B:$B,0,'Census T3'!$C:$C,AL$1)</f>
        <v>253169</v>
      </c>
      <c r="AM6" s="5">
        <f>SUMIFS('Census T3'!$D:$D,'Census T3'!$A:$A,4,'Census T3'!$B:$B,0,'Census T3'!$C:$C,AM$1)</f>
        <v>257642</v>
      </c>
      <c r="AN6" s="5">
        <f>SUMIFS('Census T3'!$D:$D,'Census T3'!$A:$A,4,'Census T3'!$B:$B,0,'Census T3'!$C:$C,AN$1)</f>
        <v>262118</v>
      </c>
      <c r="AO6" s="5">
        <f>SUMIFS('Census T3'!$D:$D,'Census T3'!$A:$A,4,'Census T3'!$B:$B,0,'Census T3'!$C:$C,AO$1)</f>
        <v>266626</v>
      </c>
      <c r="AP6" s="5">
        <f>SUMIFS('Census T3'!$D:$D,'Census T3'!$A:$A,4,'Census T3'!$B:$B,0,'Census T3'!$C:$C,AP$1)</f>
        <v>271186</v>
      </c>
      <c r="AQ6" s="5">
        <f>SUMIFS('Census T3'!$D:$D,'Census T3'!$A:$A,4,'Census T3'!$B:$B,0,'Census T3'!$C:$C,AQ$1)</f>
        <v>273587.19767441787</v>
      </c>
      <c r="AR6" s="5">
        <f>SUMIFS('Census T3'!$D:$D,'Census T3'!$A:$A,4,'Census T3'!$B:$B,0,'Census T3'!$C:$C,AR$1)</f>
        <v>278561.65961945057</v>
      </c>
      <c r="AS6" s="5">
        <f>SUMIFS('Census T3'!$D:$D,'Census T3'!$A:$A,4,'Census T3'!$B:$B,0,'Census T3'!$C:$C,AS$1)</f>
        <v>283517.26864085533</v>
      </c>
      <c r="AT6" s="5">
        <f>SUMIFS('Census T3'!$D:$D,'Census T3'!$A:$A,4,'Census T3'!$B:$B,0,'Census T3'!$C:$C,AT$1)</f>
        <v>288446.74488951638</v>
      </c>
      <c r="AU6" s="5">
        <f>SUMIFS('Census T3'!$D:$D,'Census T3'!$A:$A,4,'Census T3'!$B:$B,0,'Census T3'!$C:$C,AU$1)</f>
        <v>293346.54265134782</v>
      </c>
      <c r="AV6" s="5">
        <f>SUMIFS('Census T3'!$D:$D,'Census T3'!$A:$A,4,'Census T3'!$B:$B,0,'Census T3'!$C:$C,AV$1)</f>
        <v>298213.20338659547</v>
      </c>
      <c r="AW6" s="5">
        <f>SUMIFS('Census T3'!$D:$D,'Census T3'!$A:$A,4,'Census T3'!$B:$B,0,'Census T3'!$C:$C,AW$1)</f>
        <v>303044.38652699813</v>
      </c>
      <c r="AX6" s="5">
        <f>SUMIFS('Census T3'!$D:$D,'Census T3'!$A:$A,4,'Census T3'!$B:$B,0,'Census T3'!$C:$C,AX$1)</f>
        <v>307839.33091466688</v>
      </c>
      <c r="AY6" s="5">
        <f>SUMIFS('Census T3'!$D:$D,'Census T3'!$A:$A,4,'Census T3'!$B:$B,0,'Census T3'!$C:$C,AY$1)</f>
        <v>312597.81764668971</v>
      </c>
      <c r="AZ6" s="5">
        <f>SUMIFS('Census T3'!$D:$D,'Census T3'!$A:$A,4,'Census T3'!$B:$B,0,'Census T3'!$C:$C,AZ$1)</f>
        <v>317317.78415271826</v>
      </c>
    </row>
    <row r="7" spans="1:52" x14ac:dyDescent="0.2">
      <c r="A7" t="s">
        <v>31</v>
      </c>
      <c r="B7" s="5">
        <f>SUMIFS('Census T3'!$D:$D,'Census T3'!$A:$A,0,'Census T3'!$B:$B,0,'Census T3'!$C:$C,B$1)-SUM(B4:B6)</f>
        <v>55173</v>
      </c>
      <c r="C7" s="5">
        <f>SUMIFS('Census T3'!$D:$D,'Census T3'!$A:$A,0,'Census T3'!$B:$B,0,'Census T3'!$C:$C,C$1)-SUM(C4:C6)</f>
        <v>56424</v>
      </c>
      <c r="D7" s="5">
        <f>SUMIFS('Census T3'!$D:$D,'Census T3'!$A:$A,0,'Census T3'!$B:$B,0,'Census T3'!$C:$C,D$1)-SUM(D4:D6)</f>
        <v>57753</v>
      </c>
      <c r="E7" s="5">
        <f>SUMIFS('Census T3'!$D:$D,'Census T3'!$A:$A,0,'Census T3'!$B:$B,0,'Census T3'!$C:$C,E$1)-SUM(E4:E6)</f>
        <v>59114</v>
      </c>
      <c r="F7" s="5">
        <f>SUMIFS('Census T3'!$D:$D,'Census T3'!$A:$A,0,'Census T3'!$B:$B,0,'Census T3'!$C:$C,F$1)-SUM(F4:F6)</f>
        <v>60542</v>
      </c>
      <c r="G7" s="5">
        <f>SUMIFS('Census T3'!$D:$D,'Census T3'!$A:$A,0,'Census T3'!$B:$B,0,'Census T3'!$C:$C,G$1)-SUM(G4:G6)</f>
        <v>62112</v>
      </c>
      <c r="H7" s="5">
        <f>SUMIFS('Census T3'!$D:$D,'Census T3'!$A:$A,0,'Census T3'!$B:$B,0,'Census T3'!$C:$C,H$1)-SUM(H4:H6)</f>
        <v>63661</v>
      </c>
      <c r="I7" s="5">
        <f>SUMIFS('Census T3'!$D:$D,'Census T3'!$A:$A,0,'Census T3'!$B:$B,0,'Census T3'!$C:$C,I$1)-SUM(I4:I6)</f>
        <v>65319</v>
      </c>
      <c r="J7" s="5">
        <f>SUMIFS('Census T3'!$D:$D,'Census T3'!$A:$A,0,'Census T3'!$B:$B,0,'Census T3'!$C:$C,J$1)-SUM(J4:J6)</f>
        <v>67090</v>
      </c>
      <c r="K7" s="5">
        <f>SUMIFS('Census T3'!$D:$D,'Census T3'!$A:$A,0,'Census T3'!$B:$B,0,'Census T3'!$C:$C,K$1)-SUM(K4:K6)</f>
        <v>68904</v>
      </c>
      <c r="L7" s="5">
        <f>SUMIFS('Census T3'!$D:$D,'Census T3'!$A:$A,0,'Census T3'!$B:$B,0,'Census T3'!$C:$C,L$1)-SUM(L4:L6)</f>
        <v>70772</v>
      </c>
      <c r="M7" s="5">
        <f>SUMIFS('Census T3'!$D:$D,'Census T3'!$A:$A,0,'Census T3'!$B:$B,0,'Census T3'!$C:$C,M$1)-SUM(M4:M6)</f>
        <v>72710</v>
      </c>
      <c r="N7" s="5">
        <f>SUMIFS('Census T3'!$D:$D,'Census T3'!$A:$A,0,'Census T3'!$B:$B,0,'Census T3'!$C:$C,N$1)-SUM(N4:N6)</f>
        <v>74710</v>
      </c>
      <c r="O7" s="5">
        <f>SUMIFS('Census T3'!$D:$D,'Census T3'!$A:$A,0,'Census T3'!$B:$B,0,'Census T3'!$C:$C,O$1)-SUM(O4:O6)</f>
        <v>76788</v>
      </c>
      <c r="P7" s="5">
        <f>SUMIFS('Census T3'!$D:$D,'Census T3'!$A:$A,0,'Census T3'!$B:$B,0,'Census T3'!$C:$C,P$1)-SUM(P4:P6)</f>
        <v>78910</v>
      </c>
      <c r="Q7" s="5">
        <f>SUMIFS('Census T3'!$D:$D,'Census T3'!$A:$A,0,'Census T3'!$B:$B,0,'Census T3'!$C:$C,Q$1)-SUM(Q4:Q6)</f>
        <v>81081</v>
      </c>
      <c r="R7" s="5">
        <f>SUMIFS('Census T3'!$D:$D,'Census T3'!$A:$A,0,'Census T3'!$B:$B,0,'Census T3'!$C:$C,R$1)-SUM(R4:R6)</f>
        <v>83300</v>
      </c>
      <c r="S7" s="5">
        <f>SUMIFS('Census T3'!$D:$D,'Census T3'!$A:$A,0,'Census T3'!$B:$B,0,'Census T3'!$C:$C,S$1)-SUM(S4:S6)</f>
        <v>85565</v>
      </c>
      <c r="T7" s="5">
        <f>SUMIFS('Census T3'!$D:$D,'Census T3'!$A:$A,0,'Census T3'!$B:$B,0,'Census T3'!$C:$C,T$1)-SUM(T4:T6)</f>
        <v>87879</v>
      </c>
      <c r="U7" s="5">
        <f>SUMIFS('Census T3'!$D:$D,'Census T3'!$A:$A,0,'Census T3'!$B:$B,0,'Census T3'!$C:$C,U$1)-SUM(U4:U6)</f>
        <v>90193</v>
      </c>
      <c r="V7" s="5">
        <f>SUMIFS('Census T3'!$D:$D,'Census T3'!$A:$A,0,'Census T3'!$B:$B,0,'Census T3'!$C:$C,V$1)-SUM(V4:V6)</f>
        <v>92534</v>
      </c>
      <c r="W7" s="5">
        <f>SUMIFS('Census T3'!$D:$D,'Census T3'!$A:$A,0,'Census T3'!$B:$B,0,'Census T3'!$C:$C,W$1)-SUM(W4:W6)</f>
        <v>94933</v>
      </c>
      <c r="X7" s="5">
        <f>SUMIFS('Census T3'!$D:$D,'Census T3'!$A:$A,0,'Census T3'!$B:$B,0,'Census T3'!$C:$C,X$1)-SUM(X4:X6)</f>
        <v>97263</v>
      </c>
      <c r="Y7" s="5">
        <f>SUMIFS('Census T3'!$D:$D,'Census T3'!$A:$A,0,'Census T3'!$B:$B,0,'Census T3'!$C:$C,Y$1)-SUM(Y4:Y6)</f>
        <v>99639</v>
      </c>
      <c r="Z7" s="5">
        <f>SUMIFS('Census T3'!$D:$D,'Census T3'!$A:$A,0,'Census T3'!$B:$B,0,'Census T3'!$C:$C,Z$1)-SUM(Z4:Z6)</f>
        <v>101971</v>
      </c>
      <c r="AA7" s="5">
        <f>SUMIFS('Census T3'!$D:$D,'Census T3'!$A:$A,0,'Census T3'!$B:$B,0,'Census T3'!$C:$C,AA$1)-SUM(AA4:AA6)</f>
        <v>104295</v>
      </c>
      <c r="AB7" s="5">
        <f>SUMIFS('Census T3'!$D:$D,'Census T3'!$A:$A,0,'Census T3'!$B:$B,0,'Census T3'!$C:$C,AB$1)-SUM(AB4:AB6)</f>
        <v>106622</v>
      </c>
      <c r="AC7" s="5">
        <f>SUMIFS('Census T3'!$D:$D,'Census T3'!$A:$A,0,'Census T3'!$B:$B,0,'Census T3'!$C:$C,AC$1)-SUM(AC4:AC6)</f>
        <v>108925</v>
      </c>
      <c r="AD7" s="5">
        <f>SUMIFS('Census T3'!$D:$D,'Census T3'!$A:$A,0,'Census T3'!$B:$B,0,'Census T3'!$C:$C,AD$1)-SUM(AD4:AD6)</f>
        <v>111195</v>
      </c>
      <c r="AE7" s="5">
        <f>SUMIFS('Census T3'!$D:$D,'Census T3'!$A:$A,0,'Census T3'!$B:$B,0,'Census T3'!$C:$C,AE$1)-SUM(AE4:AE6)</f>
        <v>113473</v>
      </c>
      <c r="AF7" s="5">
        <f>SUMIFS('Census T3'!$D:$D,'Census T3'!$A:$A,0,'Census T3'!$B:$B,0,'Census T3'!$C:$C,AF$1)-SUM(AF4:AF6)</f>
        <v>115671</v>
      </c>
      <c r="AG7" s="5">
        <f>SUMIFS('Census T3'!$D:$D,'Census T3'!$A:$A,0,'Census T3'!$B:$B,0,'Census T3'!$C:$C,AG$1)-SUM(AG4:AG6)</f>
        <v>117889</v>
      </c>
      <c r="AH7" s="5">
        <f>SUMIFS('Census T3'!$D:$D,'Census T3'!$A:$A,0,'Census T3'!$B:$B,0,'Census T3'!$C:$C,AH$1)-SUM(AH4:AH6)</f>
        <v>120051</v>
      </c>
      <c r="AI7" s="5">
        <f>SUMIFS('Census T3'!$D:$D,'Census T3'!$A:$A,0,'Census T3'!$B:$B,0,'Census T3'!$C:$C,AI$1)-SUM(AI4:AI6)</f>
        <v>122212</v>
      </c>
      <c r="AJ7" s="5">
        <f>SUMIFS('Census T3'!$D:$D,'Census T3'!$A:$A,0,'Census T3'!$B:$B,0,'Census T3'!$C:$C,AJ$1)-SUM(AJ4:AJ6)</f>
        <v>124366</v>
      </c>
      <c r="AK7" s="5">
        <f>SUMIFS('Census T3'!$D:$D,'Census T3'!$A:$A,0,'Census T3'!$B:$B,0,'Census T3'!$C:$C,AK$1)-SUM(AK4:AK6)</f>
        <v>126548</v>
      </c>
      <c r="AL7" s="5">
        <f>SUMIFS('Census T3'!$D:$D,'Census T3'!$A:$A,0,'Census T3'!$B:$B,0,'Census T3'!$C:$C,AL$1)-SUM(AL4:AL6)</f>
        <v>128739</v>
      </c>
      <c r="AM7" s="5">
        <f>SUMIFS('Census T3'!$D:$D,'Census T3'!$A:$A,0,'Census T3'!$B:$B,0,'Census T3'!$C:$C,AM$1)-SUM(AM4:AM6)</f>
        <v>130952</v>
      </c>
      <c r="AN7" s="5">
        <f>SUMIFS('Census T3'!$D:$D,'Census T3'!$A:$A,0,'Census T3'!$B:$B,0,'Census T3'!$C:$C,AN$1)-SUM(AN4:AN6)</f>
        <v>133213</v>
      </c>
      <c r="AO7" s="5">
        <f>SUMIFS('Census T3'!$D:$D,'Census T3'!$A:$A,0,'Census T3'!$B:$B,0,'Census T3'!$C:$C,AO$1)-SUM(AO4:AO6)</f>
        <v>135535</v>
      </c>
      <c r="AP7" s="5">
        <f>SUMIFS('Census T3'!$D:$D,'Census T3'!$A:$A,0,'Census T3'!$B:$B,0,'Census T3'!$C:$C,AP$1)-SUM(AP4:AP6)</f>
        <v>137945</v>
      </c>
      <c r="AQ7" s="5">
        <f>SUMIFS('Census T3'!$D:$D,'Census T3'!$A:$A,0,'Census T3'!$B:$B,0,'Census T3'!$C:$C,AQ$1)-SUM(AQ4:AQ6)</f>
        <v>137949.12684989721</v>
      </c>
      <c r="AR7" s="5">
        <f>SUMIFS('Census T3'!$D:$D,'Census T3'!$A:$A,0,'Census T3'!$B:$B,0,'Census T3'!$C:$C,AR$1)-SUM(AR4:AR6)</f>
        <v>140319.06015758775</v>
      </c>
      <c r="AS7" s="5">
        <f>SUMIFS('Census T3'!$D:$D,'Census T3'!$A:$A,0,'Census T3'!$B:$B,0,'Census T3'!$C:$C,AS$1)-SUM(AS4:AS6)</f>
        <v>142685.26606986672</v>
      </c>
      <c r="AT7" s="5">
        <f>SUMIFS('Census T3'!$D:$D,'Census T3'!$A:$A,0,'Census T3'!$B:$B,0,'Census T3'!$C:$C,AT$1)-SUM(AT4:AT6)</f>
        <v>145044.44717026688</v>
      </c>
      <c r="AU7" s="5">
        <f>SUMIFS('Census T3'!$D:$D,'Census T3'!$A:$A,0,'Census T3'!$B:$B,0,'Census T3'!$C:$C,AU$1)-SUM(AU4:AU6)</f>
        <v>147394.34896459244</v>
      </c>
      <c r="AV7" s="5">
        <f>SUMIFS('Census T3'!$D:$D,'Census T3'!$A:$A,0,'Census T3'!$B:$B,0,'Census T3'!$C:$C,AV$1)-SUM(AV4:AV6)</f>
        <v>149733.70447220467</v>
      </c>
      <c r="AW7" s="5">
        <f>SUMIFS('Census T3'!$D:$D,'Census T3'!$A:$A,0,'Census T3'!$B:$B,0,'Census T3'!$C:$C,AW$1)-SUM(AW4:AW6)</f>
        <v>152061.86286223866</v>
      </c>
      <c r="AX7" s="5">
        <f>SUMIFS('Census T3'!$D:$D,'Census T3'!$A:$A,0,'Census T3'!$B:$B,0,'Census T3'!$C:$C,AX$1)-SUM(AX4:AX6)</f>
        <v>154376.15815303475</v>
      </c>
      <c r="AY7" s="5">
        <f>SUMIFS('Census T3'!$D:$D,'Census T3'!$A:$A,0,'Census T3'!$B:$B,0,'Census T3'!$C:$C,AY$1)-SUM(AY4:AY6)</f>
        <v>156675.52089249343</v>
      </c>
      <c r="AZ7" s="5">
        <f>SUMIFS('Census T3'!$D:$D,'Census T3'!$A:$A,0,'Census T3'!$B:$B,0,'Census T3'!$C:$C,AZ$1)-SUM(AZ4:AZ6)</f>
        <v>158962.68777691014</v>
      </c>
    </row>
    <row r="8" spans="1:52" x14ac:dyDescent="0.2">
      <c r="A8" t="s">
        <v>32</v>
      </c>
      <c r="B8" s="5">
        <f>SUMIFS('Census T3'!$D:$D,'Census T3'!$A:$A,8,'Census T3'!$B:$B,0,'Census T3'!$C:$C,B$1)</f>
        <v>218889</v>
      </c>
      <c r="C8" s="5">
        <f>SUMIFS('Census T3'!$D:$D,'Census T3'!$A:$A,8,'Census T3'!$B:$B,0,'Census T3'!$C:$C,C$1)</f>
        <v>225675</v>
      </c>
      <c r="D8" s="5">
        <f>SUMIFS('Census T3'!$D:$D,'Census T3'!$A:$A,8,'Census T3'!$B:$B,0,'Census T3'!$C:$C,D$1)</f>
        <v>232814</v>
      </c>
      <c r="E8" s="5">
        <f>SUMIFS('Census T3'!$D:$D,'Census T3'!$A:$A,8,'Census T3'!$B:$B,0,'Census T3'!$C:$C,E$1)</f>
        <v>240210</v>
      </c>
      <c r="F8" s="5">
        <f>SUMIFS('Census T3'!$D:$D,'Census T3'!$A:$A,8,'Census T3'!$B:$B,0,'Census T3'!$C:$C,F$1)</f>
        <v>247965</v>
      </c>
      <c r="G8" s="5">
        <f>SUMIFS('Census T3'!$D:$D,'Census T3'!$A:$A,8,'Census T3'!$B:$B,0,'Census T3'!$C:$C,G$1)</f>
        <v>256017</v>
      </c>
      <c r="H8" s="5">
        <f>SUMIFS('Census T3'!$D:$D,'Census T3'!$A:$A,8,'Census T3'!$B:$B,0,'Census T3'!$C:$C,H$1)</f>
        <v>264411</v>
      </c>
      <c r="I8" s="5">
        <f>SUMIFS('Census T3'!$D:$D,'Census T3'!$A:$A,8,'Census T3'!$B:$B,0,'Census T3'!$C:$C,I$1)</f>
        <v>273169</v>
      </c>
      <c r="J8" s="5">
        <f>SUMIFS('Census T3'!$D:$D,'Census T3'!$A:$A,8,'Census T3'!$B:$B,0,'Census T3'!$C:$C,J$1)</f>
        <v>282334</v>
      </c>
      <c r="K8" s="5">
        <f>SUMIFS('Census T3'!$D:$D,'Census T3'!$A:$A,8,'Census T3'!$B:$B,0,'Census T3'!$C:$C,K$1)</f>
        <v>291883</v>
      </c>
      <c r="L8" s="5">
        <f>SUMIFS('Census T3'!$D:$D,'Census T3'!$A:$A,8,'Census T3'!$B:$B,0,'Census T3'!$C:$C,L$1)</f>
        <v>301878</v>
      </c>
      <c r="M8" s="5">
        <f>SUMIFS('Census T3'!$D:$D,'Census T3'!$A:$A,8,'Census T3'!$B:$B,0,'Census T3'!$C:$C,M$1)</f>
        <v>312190</v>
      </c>
      <c r="N8" s="5">
        <f>SUMIFS('Census T3'!$D:$D,'Census T3'!$A:$A,8,'Census T3'!$B:$B,0,'Census T3'!$C:$C,N$1)</f>
        <v>322962</v>
      </c>
      <c r="O8" s="5">
        <f>SUMIFS('Census T3'!$D:$D,'Census T3'!$A:$A,8,'Census T3'!$B:$B,0,'Census T3'!$C:$C,O$1)</f>
        <v>334098</v>
      </c>
      <c r="P8" s="5">
        <f>SUMIFS('Census T3'!$D:$D,'Census T3'!$A:$A,8,'Census T3'!$B:$B,0,'Census T3'!$C:$C,P$1)</f>
        <v>345580</v>
      </c>
      <c r="Q8" s="5">
        <f>SUMIFS('Census T3'!$D:$D,'Census T3'!$A:$A,8,'Census T3'!$B:$B,0,'Census T3'!$C:$C,Q$1)</f>
        <v>357514</v>
      </c>
      <c r="R8" s="5">
        <f>SUMIFS('Census T3'!$D:$D,'Census T3'!$A:$A,8,'Census T3'!$B:$B,0,'Census T3'!$C:$C,R$1)</f>
        <v>369815</v>
      </c>
      <c r="S8" s="5">
        <f>SUMIFS('Census T3'!$D:$D,'Census T3'!$A:$A,8,'Census T3'!$B:$B,0,'Census T3'!$C:$C,S$1)</f>
        <v>382416</v>
      </c>
      <c r="T8" s="5">
        <f>SUMIFS('Census T3'!$D:$D,'Census T3'!$A:$A,8,'Census T3'!$B:$B,0,'Census T3'!$C:$C,T$1)</f>
        <v>395312</v>
      </c>
      <c r="U8" s="5">
        <f>SUMIFS('Census T3'!$D:$D,'Census T3'!$A:$A,8,'Census T3'!$B:$B,0,'Census T3'!$C:$C,U$1)</f>
        <v>408544</v>
      </c>
      <c r="V8" s="5">
        <f>SUMIFS('Census T3'!$D:$D,'Census T3'!$A:$A,8,'Census T3'!$B:$B,0,'Census T3'!$C:$C,V$1)</f>
        <v>422047</v>
      </c>
      <c r="W8" s="5">
        <f>SUMIFS('Census T3'!$D:$D,'Census T3'!$A:$A,8,'Census T3'!$B:$B,0,'Census T3'!$C:$C,W$1)</f>
        <v>435734</v>
      </c>
      <c r="X8" s="5">
        <f>SUMIFS('Census T3'!$D:$D,'Census T3'!$A:$A,8,'Census T3'!$B:$B,0,'Census T3'!$C:$C,X$1)</f>
        <v>449637</v>
      </c>
      <c r="Y8" s="5">
        <f>SUMIFS('Census T3'!$D:$D,'Census T3'!$A:$A,8,'Census T3'!$B:$B,0,'Census T3'!$C:$C,Y$1)</f>
        <v>463744</v>
      </c>
      <c r="Z8" s="5">
        <f>SUMIFS('Census T3'!$D:$D,'Census T3'!$A:$A,8,'Census T3'!$B:$B,0,'Census T3'!$C:$C,Z$1)</f>
        <v>477956</v>
      </c>
      <c r="AA8" s="5">
        <f>SUMIFS('Census T3'!$D:$D,'Census T3'!$A:$A,8,'Census T3'!$B:$B,0,'Census T3'!$C:$C,AA$1)</f>
        <v>492266</v>
      </c>
      <c r="AB8" s="5">
        <f>SUMIFS('Census T3'!$D:$D,'Census T3'!$A:$A,8,'Census T3'!$B:$B,0,'Census T3'!$C:$C,AB$1)</f>
        <v>506629</v>
      </c>
      <c r="AC8" s="5">
        <f>SUMIFS('Census T3'!$D:$D,'Census T3'!$A:$A,8,'Census T3'!$B:$B,0,'Census T3'!$C:$C,AC$1)</f>
        <v>521040</v>
      </c>
      <c r="AD8" s="5">
        <f>SUMIFS('Census T3'!$D:$D,'Census T3'!$A:$A,8,'Census T3'!$B:$B,0,'Census T3'!$C:$C,AD$1)</f>
        <v>535466</v>
      </c>
      <c r="AE8" s="5">
        <f>SUMIFS('Census T3'!$D:$D,'Census T3'!$A:$A,8,'Census T3'!$B:$B,0,'Census T3'!$C:$C,AE$1)</f>
        <v>549807</v>
      </c>
      <c r="AF8" s="5">
        <f>SUMIFS('Census T3'!$D:$D,'Census T3'!$A:$A,8,'Census T3'!$B:$B,0,'Census T3'!$C:$C,AF$1)</f>
        <v>564105</v>
      </c>
      <c r="AG8" s="5">
        <f>SUMIFS('Census T3'!$D:$D,'Census T3'!$A:$A,8,'Census T3'!$B:$B,0,'Census T3'!$C:$C,AG$1)</f>
        <v>578282</v>
      </c>
      <c r="AH8" s="5">
        <f>SUMIFS('Census T3'!$D:$D,'Census T3'!$A:$A,8,'Census T3'!$B:$B,0,'Census T3'!$C:$C,AH$1)</f>
        <v>592306</v>
      </c>
      <c r="AI8" s="5">
        <f>SUMIFS('Census T3'!$D:$D,'Census T3'!$A:$A,8,'Census T3'!$B:$B,0,'Census T3'!$C:$C,AI$1)</f>
        <v>606199</v>
      </c>
      <c r="AJ8" s="5">
        <f>SUMIFS('Census T3'!$D:$D,'Census T3'!$A:$A,8,'Census T3'!$B:$B,0,'Census T3'!$C:$C,AJ$1)</f>
        <v>619970</v>
      </c>
      <c r="AK8" s="5">
        <f>SUMIFS('Census T3'!$D:$D,'Census T3'!$A:$A,8,'Census T3'!$B:$B,0,'Census T3'!$C:$C,AK$1)</f>
        <v>633643</v>
      </c>
      <c r="AL8" s="5">
        <f>SUMIFS('Census T3'!$D:$D,'Census T3'!$A:$A,8,'Census T3'!$B:$B,0,'Census T3'!$C:$C,AL$1)</f>
        <v>647126</v>
      </c>
      <c r="AM8" s="5">
        <f>SUMIFS('Census T3'!$D:$D,'Census T3'!$A:$A,8,'Census T3'!$B:$B,0,'Census T3'!$C:$C,AM$1)</f>
        <v>660469</v>
      </c>
      <c r="AN8" s="5">
        <f>SUMIFS('Census T3'!$D:$D,'Census T3'!$A:$A,8,'Census T3'!$B:$B,0,'Census T3'!$C:$C,AN$1)</f>
        <v>673682</v>
      </c>
      <c r="AO8" s="5">
        <f>SUMIFS('Census T3'!$D:$D,'Census T3'!$A:$A,8,'Census T3'!$B:$B,0,'Census T3'!$C:$C,AO$1)</f>
        <v>686709</v>
      </c>
      <c r="AP8" s="5">
        <f>SUMIFS('Census T3'!$D:$D,'Census T3'!$A:$A,8,'Census T3'!$B:$B,0,'Census T3'!$C:$C,AP$1)</f>
        <v>699688</v>
      </c>
      <c r="AQ8" s="5">
        <f>SUMIFS('Census T3'!$D:$D,'Census T3'!$A:$A,8,'Census T3'!$B:$B,0,'Census T3'!$C:$C,AQ$1)</f>
        <v>693354.17653277144</v>
      </c>
      <c r="AR8" s="5">
        <f>SUMIFS('Census T3'!$D:$D,'Census T3'!$A:$A,8,'Census T3'!$B:$B,0,'Census T3'!$C:$C,AR$1)</f>
        <v>707441.02873342484</v>
      </c>
      <c r="AS8" s="5">
        <f>SUMIFS('Census T3'!$D:$D,'Census T3'!$A:$A,8,'Census T3'!$B:$B,0,'Census T3'!$C:$C,AS$1)</f>
        <v>721542.01704365015</v>
      </c>
      <c r="AT8" s="5">
        <f>SUMIFS('Census T3'!$D:$D,'Census T3'!$A:$A,8,'Census T3'!$B:$B,0,'Census T3'!$C:$C,AT$1)</f>
        <v>735643.72830153629</v>
      </c>
      <c r="AU8" s="5">
        <f>SUMIFS('Census T3'!$D:$D,'Census T3'!$A:$A,8,'Census T3'!$B:$B,0,'Census T3'!$C:$C,AU$1)</f>
        <v>749731.14898546785</v>
      </c>
      <c r="AV8" s="5">
        <f>SUMIFS('Census T3'!$D:$D,'Census T3'!$A:$A,8,'Census T3'!$B:$B,0,'Census T3'!$C:$C,AV$1)</f>
        <v>763790.4618405588</v>
      </c>
      <c r="AW8" s="5">
        <f>SUMIFS('Census T3'!$D:$D,'Census T3'!$A:$A,8,'Census T3'!$B:$B,0,'Census T3'!$C:$C,AW$1)</f>
        <v>777813.12190345302</v>
      </c>
      <c r="AX8" s="5">
        <f>SUMIFS('Census T3'!$D:$D,'Census T3'!$A:$A,8,'Census T3'!$B:$B,0,'Census T3'!$C:$C,AX$1)</f>
        <v>791786.34790703282</v>
      </c>
      <c r="AY8" s="5">
        <f>SUMIFS('Census T3'!$D:$D,'Census T3'!$A:$A,8,'Census T3'!$B:$B,0,'Census T3'!$C:$C,AY$1)</f>
        <v>805702.087727312</v>
      </c>
      <c r="AZ8" s="5">
        <f>SUMIFS('Census T3'!$D:$D,'Census T3'!$A:$A,8,'Census T3'!$B:$B,0,'Census T3'!$C:$C,AZ$1)</f>
        <v>819549.83767530322</v>
      </c>
    </row>
    <row r="9" spans="1:52" x14ac:dyDescent="0.2">
      <c r="A9" t="s">
        <v>33</v>
      </c>
      <c r="B9" s="5">
        <f>SUMIFS('Census T3'!$D:$D,'Census T3'!$A:$A,0,'Census T3'!$B:$B,0,'Census T3'!$C:$C,B$1)-B8</f>
        <v>2532922</v>
      </c>
      <c r="C9" s="5">
        <f>SUMIFS('Census T3'!$D:$D,'Census T3'!$A:$A,0,'Census T3'!$B:$B,0,'Census T3'!$C:$C,C$1)-C8</f>
        <v>2555128</v>
      </c>
      <c r="D9" s="5">
        <f>SUMIFS('Census T3'!$D:$D,'Census T3'!$A:$A,0,'Census T3'!$B:$B,0,'Census T3'!$C:$C,D$1)-D8</f>
        <v>2578522</v>
      </c>
      <c r="E9" s="5">
        <f>SUMIFS('Census T3'!$D:$D,'Census T3'!$A:$A,0,'Census T3'!$B:$B,0,'Census T3'!$C:$C,E$1)-E8</f>
        <v>2603553</v>
      </c>
      <c r="F9" s="5">
        <f>SUMIFS('Census T3'!$D:$D,'Census T3'!$A:$A,0,'Census T3'!$B:$B,0,'Census T3'!$C:$C,F$1)-F8</f>
        <v>2630360</v>
      </c>
      <c r="G9" s="5">
        <f>SUMIFS('Census T3'!$D:$D,'Census T3'!$A:$A,0,'Census T3'!$B:$B,0,'Census T3'!$C:$C,G$1)-G8</f>
        <v>2659121</v>
      </c>
      <c r="H9" s="5">
        <f>SUMIFS('Census T3'!$D:$D,'Census T3'!$A:$A,0,'Census T3'!$B:$B,0,'Census T3'!$C:$C,H$1)-H8</f>
        <v>2689837</v>
      </c>
      <c r="I9" s="5">
        <f>SUMIFS('Census T3'!$D:$D,'Census T3'!$A:$A,0,'Census T3'!$B:$B,0,'Census T3'!$C:$C,I$1)-I8</f>
        <v>2722671</v>
      </c>
      <c r="J9" s="5">
        <f>SUMIFS('Census T3'!$D:$D,'Census T3'!$A:$A,0,'Census T3'!$B:$B,0,'Census T3'!$C:$C,J$1)-J8</f>
        <v>2757456</v>
      </c>
      <c r="K9" s="5">
        <f>SUMIFS('Census T3'!$D:$D,'Census T3'!$A:$A,0,'Census T3'!$B:$B,0,'Census T3'!$C:$C,K$1)-K8</f>
        <v>2793943</v>
      </c>
      <c r="L9" s="5">
        <f>SUMIFS('Census T3'!$D:$D,'Census T3'!$A:$A,0,'Census T3'!$B:$B,0,'Census T3'!$C:$C,L$1)-L8</f>
        <v>2831997</v>
      </c>
      <c r="M9" s="5">
        <f>SUMIFS('Census T3'!$D:$D,'Census T3'!$A:$A,0,'Census T3'!$B:$B,0,'Census T3'!$C:$C,M$1)-M8</f>
        <v>2871389</v>
      </c>
      <c r="N9" s="5">
        <f>SUMIFS('Census T3'!$D:$D,'Census T3'!$A:$A,0,'Census T3'!$B:$B,0,'Census T3'!$C:$C,N$1)-N8</f>
        <v>2911628</v>
      </c>
      <c r="O9" s="5">
        <f>SUMIFS('Census T3'!$D:$D,'Census T3'!$A:$A,0,'Census T3'!$B:$B,0,'Census T3'!$C:$C,O$1)-O8</f>
        <v>2952403</v>
      </c>
      <c r="P9" s="5">
        <f>SUMIFS('Census T3'!$D:$D,'Census T3'!$A:$A,0,'Census T3'!$B:$B,0,'Census T3'!$C:$C,P$1)-P8</f>
        <v>2993278</v>
      </c>
      <c r="Q9" s="5">
        <f>SUMIFS('Census T3'!$D:$D,'Census T3'!$A:$A,0,'Census T3'!$B:$B,0,'Census T3'!$C:$C,Q$1)-Q8</f>
        <v>3033902</v>
      </c>
      <c r="R9" s="5">
        <f>SUMIFS('Census T3'!$D:$D,'Census T3'!$A:$A,0,'Census T3'!$B:$B,0,'Census T3'!$C:$C,R$1)-R8</f>
        <v>3073742</v>
      </c>
      <c r="S9" s="5">
        <f>SUMIFS('Census T3'!$D:$D,'Census T3'!$A:$A,0,'Census T3'!$B:$B,0,'Census T3'!$C:$C,S$1)-S8</f>
        <v>3112312</v>
      </c>
      <c r="T9" s="5">
        <f>SUMIFS('Census T3'!$D:$D,'Census T3'!$A:$A,0,'Census T3'!$B:$B,0,'Census T3'!$C:$C,T$1)-T8</f>
        <v>3149216</v>
      </c>
      <c r="U9" s="5">
        <f>SUMIFS('Census T3'!$D:$D,'Census T3'!$A:$A,0,'Census T3'!$B:$B,0,'Census T3'!$C:$C,U$1)-U8</f>
        <v>3183823</v>
      </c>
      <c r="V9" s="5">
        <f>SUMIFS('Census T3'!$D:$D,'Census T3'!$A:$A,0,'Census T3'!$B:$B,0,'Census T3'!$C:$C,V$1)-V8</f>
        <v>3215831</v>
      </c>
      <c r="W9" s="5">
        <f>SUMIFS('Census T3'!$D:$D,'Census T3'!$A:$A,0,'Census T3'!$B:$B,0,'Census T3'!$C:$C,W$1)-W8</f>
        <v>3244914</v>
      </c>
      <c r="X9" s="5">
        <f>SUMIFS('Census T3'!$D:$D,'Census T3'!$A:$A,0,'Census T3'!$B:$B,0,'Census T3'!$C:$C,X$1)-X8</f>
        <v>3270822</v>
      </c>
      <c r="Y9" s="5">
        <f>SUMIFS('Census T3'!$D:$D,'Census T3'!$A:$A,0,'Census T3'!$B:$B,0,'Census T3'!$C:$C,Y$1)-Y8</f>
        <v>3293549</v>
      </c>
      <c r="Z9" s="5">
        <f>SUMIFS('Census T3'!$D:$D,'Census T3'!$A:$A,0,'Census T3'!$B:$B,0,'Census T3'!$C:$C,Z$1)-Z8</f>
        <v>3312344</v>
      </c>
      <c r="AA9" s="5">
        <f>SUMIFS('Census T3'!$D:$D,'Census T3'!$A:$A,0,'Census T3'!$B:$B,0,'Census T3'!$C:$C,AA$1)-AA8</f>
        <v>3327021</v>
      </c>
      <c r="AB9" s="5">
        <f>SUMIFS('Census T3'!$D:$D,'Census T3'!$A:$A,0,'Census T3'!$B:$B,0,'Census T3'!$C:$C,AB$1)-AB8</f>
        <v>3337508</v>
      </c>
      <c r="AC9" s="5">
        <f>SUMIFS('Census T3'!$D:$D,'Census T3'!$A:$A,0,'Census T3'!$B:$B,0,'Census T3'!$C:$C,AC$1)-AC8</f>
        <v>3345475</v>
      </c>
      <c r="AD9" s="5">
        <f>SUMIFS('Census T3'!$D:$D,'Census T3'!$A:$A,0,'Census T3'!$B:$B,0,'Census T3'!$C:$C,AD$1)-AD8</f>
        <v>3349645</v>
      </c>
      <c r="AE9" s="5">
        <f>SUMIFS('Census T3'!$D:$D,'Census T3'!$A:$A,0,'Census T3'!$B:$B,0,'Census T3'!$C:$C,AE$1)-AE8</f>
        <v>3349877</v>
      </c>
      <c r="AF9" s="5">
        <f>SUMIFS('Census T3'!$D:$D,'Census T3'!$A:$A,0,'Census T3'!$B:$B,0,'Census T3'!$C:$C,AF$1)-AF8</f>
        <v>3346356</v>
      </c>
      <c r="AG9" s="5">
        <f>SUMIFS('Census T3'!$D:$D,'Census T3'!$A:$A,0,'Census T3'!$B:$B,0,'Census T3'!$C:$C,AG$1)-AG8</f>
        <v>3339514</v>
      </c>
      <c r="AH9" s="5">
        <f>SUMIFS('Census T3'!$D:$D,'Census T3'!$A:$A,0,'Census T3'!$B:$B,0,'Census T3'!$C:$C,AH$1)-AH8</f>
        <v>3329790</v>
      </c>
      <c r="AI9" s="5">
        <f>SUMIFS('Census T3'!$D:$D,'Census T3'!$A:$A,0,'Census T3'!$B:$B,0,'Census T3'!$C:$C,AI$1)-AI8</f>
        <v>3317738</v>
      </c>
      <c r="AJ9" s="5">
        <f>SUMIFS('Census T3'!$D:$D,'Census T3'!$A:$A,0,'Census T3'!$B:$B,0,'Census T3'!$C:$C,AJ$1)-AJ8</f>
        <v>3303879</v>
      </c>
      <c r="AK9" s="5">
        <f>SUMIFS('Census T3'!$D:$D,'Census T3'!$A:$A,0,'Census T3'!$B:$B,0,'Census T3'!$C:$C,AK$1)-AK8</f>
        <v>3288715</v>
      </c>
      <c r="AL9" s="5">
        <f>SUMIFS('Census T3'!$D:$D,'Census T3'!$A:$A,0,'Census T3'!$B:$B,0,'Census T3'!$C:$C,AL$1)-AL8</f>
        <v>3272452</v>
      </c>
      <c r="AM9" s="5">
        <f>SUMIFS('Census T3'!$D:$D,'Census T3'!$A:$A,0,'Census T3'!$B:$B,0,'Census T3'!$C:$C,AM$1)-AM8</f>
        <v>3255627</v>
      </c>
      <c r="AN9" s="5">
        <f>SUMIFS('Census T3'!$D:$D,'Census T3'!$A:$A,0,'Census T3'!$B:$B,0,'Census T3'!$C:$C,AN$1)-AN8</f>
        <v>3238607</v>
      </c>
      <c r="AO9" s="5">
        <f>SUMIFS('Census T3'!$D:$D,'Census T3'!$A:$A,0,'Census T3'!$B:$B,0,'Census T3'!$C:$C,AO$1)-AO8</f>
        <v>3221883</v>
      </c>
      <c r="AP9" s="5">
        <f>SUMIFS('Census T3'!$D:$D,'Census T3'!$A:$A,0,'Census T3'!$B:$B,0,'Census T3'!$C:$C,AP$1)-AP8</f>
        <v>3206147</v>
      </c>
      <c r="AQ9" s="5">
        <f>SUMIFS('Census T3'!$D:$D,'Census T3'!$A:$A,0,'Census T3'!$B:$B,0,'Census T3'!$C:$C,AQ$1)-AQ8</f>
        <v>3519537.4756871052</v>
      </c>
      <c r="AR9" s="5">
        <f>SUMIFS('Census T3'!$D:$D,'Census T3'!$A:$A,0,'Census T3'!$B:$B,0,'Census T3'!$C:$C,AR$1)-AR8</f>
        <v>3536823.6870074868</v>
      </c>
      <c r="AS9" s="5">
        <f>SUMIFS('Census T3'!$D:$D,'Census T3'!$A:$A,0,'Census T3'!$B:$B,0,'Census T3'!$C:$C,AS$1)-AS8</f>
        <v>3553451.6665588468</v>
      </c>
      <c r="AT9" s="5">
        <f>SUMIFS('Census T3'!$D:$D,'Census T3'!$A:$A,0,'Census T3'!$B:$B,0,'Census T3'!$C:$C,AT$1)-AT8</f>
        <v>3569315.8587744646</v>
      </c>
      <c r="AU9" s="5">
        <f>SUMIFS('Census T3'!$D:$D,'Census T3'!$A:$A,0,'Census T3'!$B:$B,0,'Census T3'!$C:$C,AU$1)-AU8</f>
        <v>3584359.6710015908</v>
      </c>
      <c r="AV9" s="5">
        <f>SUMIFS('Census T3'!$D:$D,'Census T3'!$A:$A,0,'Census T3'!$B:$B,0,'Census T3'!$C:$C,AV$1)-AV8</f>
        <v>3598564.2255914919</v>
      </c>
      <c r="AW9" s="5">
        <f>SUMIFS('Census T3'!$D:$D,'Census T3'!$A:$A,0,'Census T3'!$B:$B,0,'Census T3'!$C:$C,AW$1)-AW8</f>
        <v>3611933.7069062702</v>
      </c>
      <c r="AX9" s="5">
        <f>SUMIFS('Census T3'!$D:$D,'Census T3'!$A:$A,0,'Census T3'!$B:$B,0,'Census T3'!$C:$C,AX$1)-AX8</f>
        <v>3624500.9416209273</v>
      </c>
      <c r="AY9" s="5">
        <f>SUMIFS('Census T3'!$D:$D,'Census T3'!$A:$A,0,'Census T3'!$B:$B,0,'Census T3'!$C:$C,AY$1)-AY8</f>
        <v>3636316.3391947336</v>
      </c>
      <c r="AZ9" s="5">
        <f>SUMIFS('Census T3'!$D:$D,'Census T3'!$A:$A,0,'Census T3'!$B:$B,0,'Census T3'!$C:$C,AZ$1)-AZ8</f>
        <v>3647451.7234138772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Census T3</vt:lpstr>
      <vt:lpstr>BDbDT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Sy, Saidou Abdoulaye</cp:lastModifiedBy>
  <dcterms:created xsi:type="dcterms:W3CDTF">2021-04-27T04:15:55Z</dcterms:created>
  <dcterms:modified xsi:type="dcterms:W3CDTF">2024-08-19T15:43:49Z</dcterms:modified>
</cp:coreProperties>
</file>