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Users/ssy02/Desktop/Postdoc Projects/eps-indonesia-cpl/InputData/endo-learn/BGBSC/"/>
    </mc:Choice>
  </mc:AlternateContent>
  <xr:revisionPtr revIDLastSave="0" documentId="13_ncr:1_{D5158121-D461-7841-BF32-D18D8284B9FC}" xr6:coauthVersionLast="47" xr6:coauthVersionMax="47" xr10:uidLastSave="{00000000-0000-0000-0000-000000000000}"/>
  <bookViews>
    <workbookView xWindow="0" yWindow="760" windowWidth="34200" windowHeight="21380" activeTab="5" xr2:uid="{00000000-000D-0000-FFFF-FFFF00000000}"/>
  </bookViews>
  <sheets>
    <sheet name="About" sheetId="1" r:id="rId1"/>
    <sheet name="Grid Battery Storage" sheetId="8" r:id="rId2"/>
    <sheet name="EV Batteries" sheetId="5" r:id="rId3"/>
    <sheet name="EV Sigmoid Fitting" sheetId="10" r:id="rId4"/>
    <sheet name="Calculations" sheetId="7" r:id="rId5"/>
    <sheet name="BGBSC" sheetId="6" r:id="rId6"/>
  </sheets>
  <externalReferences>
    <externalReference r:id="rId7"/>
  </externalReference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 i="6" l="1"/>
  <c r="AJ2" i="6"/>
  <c r="AK2" i="6"/>
  <c r="AL2" i="6"/>
  <c r="AM2" i="6"/>
  <c r="AN2" i="6"/>
  <c r="AO2" i="6"/>
  <c r="AP2" i="6"/>
  <c r="AQ2" i="6"/>
  <c r="AR2" i="6"/>
  <c r="AS2" i="6"/>
  <c r="AT2" i="6"/>
  <c r="AU2" i="6"/>
  <c r="AV2" i="6"/>
  <c r="AW2" i="6"/>
  <c r="AX2" i="6"/>
  <c r="AY2" i="6"/>
  <c r="AZ2" i="6"/>
  <c r="BA2" i="6"/>
  <c r="AH2" i="6"/>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Y14" i="7" l="1"/>
  <c r="Z14" i="7"/>
  <c r="AA14" i="7"/>
  <c r="AB14" i="7"/>
  <c r="AC14" i="7"/>
  <c r="AD14" i="7"/>
  <c r="AE14" i="7"/>
  <c r="AF14" i="7"/>
  <c r="AG14" i="7"/>
  <c r="X14" i="7"/>
  <c r="Y11" i="5" l="1"/>
  <c r="G12" i="7"/>
  <c r="B12" i="7"/>
  <c r="C17" i="7" s="1"/>
  <c r="I10" i="5"/>
  <c r="O10" i="5"/>
  <c r="J10" i="5" s="1"/>
  <c r="H12" i="7" s="1"/>
  <c r="AD6" i="7"/>
  <c r="AC6" i="7"/>
  <c r="AB6" i="7"/>
  <c r="AA6" i="7"/>
  <c r="Z6" i="7"/>
  <c r="U6" i="7"/>
  <c r="J6" i="7"/>
  <c r="C6" i="7"/>
  <c r="B6" i="7"/>
  <c r="E11" i="5"/>
  <c r="F11" i="5"/>
  <c r="G11" i="5"/>
  <c r="H11" i="5"/>
  <c r="I11" i="5"/>
  <c r="J11" i="5"/>
  <c r="K11" i="5"/>
  <c r="L11" i="5"/>
  <c r="M11" i="5"/>
  <c r="N11" i="5"/>
  <c r="O11" i="5"/>
  <c r="P11" i="5"/>
  <c r="Q11" i="5"/>
  <c r="R11" i="5"/>
  <c r="S11" i="5"/>
  <c r="T11" i="5"/>
  <c r="U11" i="5"/>
  <c r="V11" i="5"/>
  <c r="W11" i="5"/>
  <c r="X11" i="5"/>
  <c r="D11" i="5"/>
  <c r="C6" i="8"/>
  <c r="I6" i="7" s="1"/>
  <c r="D6" i="8"/>
  <c r="Q6" i="7" s="1"/>
  <c r="E6" i="8"/>
  <c r="V6" i="7" s="1"/>
  <c r="F6" i="8"/>
  <c r="Y6" i="7" s="1"/>
  <c r="G6" i="8"/>
  <c r="AG6" i="7" s="1"/>
  <c r="H6" i="8"/>
  <c r="AE6" i="7" s="1"/>
  <c r="B6" i="8"/>
  <c r="G6" i="7" s="1"/>
  <c r="R6" i="7" l="1"/>
  <c r="E10" i="5"/>
  <c r="C12" i="7" s="1"/>
  <c r="H10" i="5"/>
  <c r="F12" i="7" s="1"/>
  <c r="G10" i="5"/>
  <c r="E12" i="7" s="1"/>
  <c r="E6" i="7"/>
  <c r="N10" i="5"/>
  <c r="L12" i="7" s="1"/>
  <c r="L10" i="5"/>
  <c r="J12" i="7" s="1"/>
  <c r="S6" i="7"/>
  <c r="D6" i="7"/>
  <c r="L6" i="7"/>
  <c r="T6" i="7"/>
  <c r="F10" i="5"/>
  <c r="D12" i="7" s="1"/>
  <c r="G2" i="10" s="1" a="1"/>
  <c r="M12" i="7"/>
  <c r="O13" i="7" s="1"/>
  <c r="O6" i="7"/>
  <c r="W6" i="7"/>
  <c r="H6" i="7"/>
  <c r="P6" i="7"/>
  <c r="X6" i="7"/>
  <c r="AF6" i="7"/>
  <c r="K10" i="5"/>
  <c r="I12" i="7" s="1"/>
  <c r="K6" i="7"/>
  <c r="M6" i="7"/>
  <c r="F6" i="7"/>
  <c r="N6" i="7"/>
  <c r="M10" i="5"/>
  <c r="K12" i="7" s="1"/>
  <c r="D17" i="7"/>
  <c r="B2" i="6"/>
  <c r="N13" i="7"/>
  <c r="Q13" i="7" l="1"/>
  <c r="T13" i="7"/>
  <c r="U13" i="7"/>
  <c r="V13" i="7"/>
  <c r="E17" i="7"/>
  <c r="F17" i="7" s="1"/>
  <c r="G17" i="7" s="1"/>
  <c r="H17" i="7" s="1"/>
  <c r="I17" i="7" s="1"/>
  <c r="J17" i="7" s="1"/>
  <c r="K17" i="7" s="1"/>
  <c r="L17" i="7" s="1"/>
  <c r="M17" i="7" s="1"/>
  <c r="N17" i="7" s="1"/>
  <c r="M2" i="6" s="1"/>
  <c r="W13" i="7"/>
  <c r="P13" i="7"/>
  <c r="G14" i="10" s="1" a="1"/>
  <c r="R13" i="7"/>
  <c r="S13" i="7"/>
  <c r="C2" i="6"/>
  <c r="G2" i="10"/>
  <c r="G11" i="10"/>
  <c r="G4" i="10"/>
  <c r="G13" i="10"/>
  <c r="G3" i="10"/>
  <c r="G9" i="10"/>
  <c r="G10" i="10"/>
  <c r="G6" i="10"/>
  <c r="G12" i="10"/>
  <c r="G5" i="10"/>
  <c r="G8" i="10"/>
  <c r="G7" i="10"/>
  <c r="L2" i="6" l="1"/>
  <c r="K2" i="6"/>
  <c r="G2" i="6"/>
  <c r="O17" i="7"/>
  <c r="F2" i="6"/>
  <c r="H2" i="6"/>
  <c r="J2" i="6"/>
  <c r="I2" i="6"/>
  <c r="E2" i="6"/>
  <c r="D2" i="6"/>
  <c r="G14" i="10"/>
  <c r="G20" i="10"/>
  <c r="G22" i="10"/>
  <c r="G19" i="10"/>
  <c r="G17" i="10"/>
  <c r="G18" i="10"/>
  <c r="G16" i="10"/>
  <c r="G21" i="10"/>
  <c r="G23" i="10"/>
  <c r="G15" i="10"/>
  <c r="P17" i="7" l="1"/>
  <c r="N2" i="6"/>
  <c r="B7" i="10"/>
  <c r="Q17" i="7" l="1"/>
  <c r="O2" i="6"/>
  <c r="R17" i="7" l="1"/>
  <c r="P2" i="6"/>
  <c r="S17" i="7" l="1"/>
  <c r="Q2" i="6"/>
  <c r="T17" i="7" l="1"/>
  <c r="R2" i="6"/>
  <c r="U17" i="7" l="1"/>
  <c r="S2" i="6"/>
  <c r="V17" i="7" l="1"/>
  <c r="T2" i="6"/>
  <c r="W17" i="7" l="1"/>
  <c r="U2" i="6"/>
  <c r="X17" i="7" l="1"/>
  <c r="V2" i="6"/>
  <c r="Y17" i="7" l="1"/>
  <c r="W2" i="6"/>
  <c r="Z17" i="7" l="1"/>
  <c r="X2" i="6"/>
  <c r="AA17" i="7" l="1"/>
  <c r="Y2" i="6"/>
  <c r="AB17" i="7" l="1"/>
  <c r="Z2" i="6"/>
  <c r="AC17" i="7" l="1"/>
  <c r="AA2" i="6"/>
  <c r="AD17" i="7" l="1"/>
  <c r="AB2" i="6"/>
  <c r="AE17" i="7" l="1"/>
  <c r="AC2" i="6"/>
  <c r="AF17" i="7" l="1"/>
  <c r="AD2" i="6"/>
  <c r="AG17" i="7" l="1"/>
  <c r="AE2" i="6"/>
  <c r="AH17" i="7" l="1"/>
  <c r="AG2" i="6" s="1"/>
  <c r="AF2" i="6"/>
</calcChain>
</file>

<file path=xl/sharedStrings.xml><?xml version="1.0" encoding="utf-8"?>
<sst xmlns="http://schemas.openxmlformats.org/spreadsheetml/2006/main" count="66" uniqueCount="62">
  <si>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</si>
  <si>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</si>
  <si>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</si>
  <si>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</si>
  <si>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</si>
  <si>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</si>
  <si>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</si>
  <si>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</si>
  <si>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</si>
  <si>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</si>
  <si>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</si>
  <si>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</si>
  <si>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</si>
  <si>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</si>
  <si>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</si>
  <si>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</si>
  <si>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</si>
  <si>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</si>
  <si>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</si>
  <si>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</si>
  <si>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</si>
  <si>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</si>
  <si>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</si>
  <si>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</si>
  <si>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</si>
  <si>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</si>
  <si>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</si>
  <si>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</si>
  <si>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</si>
  <si>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</si>
  <si>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</si>
  <si>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</si>
  <si>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</si>
  <si>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</si>
  <si>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</si>
  <si>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</si>
  <si>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</si>
  <si>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</si>
  <si>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</si>
  <si>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</si>
  <si>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</si>
  <si>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</si>
  <si>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</si>
  <si>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</si>
  <si>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</si>
  <si>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</si>
  <si>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</si>
  <si>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</si>
  <si>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</si>
  <si>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Sum-of-series multiplier for years prior to 2019</t>
  </si>
  <si>
    <t>EV battery cap, cumulative (MWh)</t>
  </si>
  <si>
    <t>New Energy Outlook 2020</t>
  </si>
  <si>
    <t>Executive Summary</t>
  </si>
  <si>
    <t>Figure 3</t>
  </si>
  <si>
    <t>Grid batteries and EV batteries through 2030</t>
  </si>
  <si>
    <t>EV sales</t>
  </si>
  <si>
    <t>Electric Vehicle Outlook 2020</t>
  </si>
  <si>
    <t>Sigmoid fitting in Excel</t>
  </si>
  <si>
    <t>https://www.protocols.io/view/sigmoid-fitting-in-excel-excel-solver-add-in-78ihrue?step=1</t>
  </si>
  <si>
    <t>Procedure recreated in this file, see EV Sigmoid Fitting tab</t>
  </si>
  <si>
    <t>https://about.bnef.com/new-energy-outlook/</t>
  </si>
  <si>
    <t>https://about.bnef.com/electric-vehicle-outlook/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</si>
</sst>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1" applyNumberFormat="0">
      <alignment horizontal="left" vertical="center"/>
    </xf>
    <xf numFmtId="0" fontId="6" fillId="0" borderId="0"/>
  </cellStyleXfs>
  <cellXfs count="22">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4"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9" fontId="0" fillId="0" borderId="0" xfId="2" applyFon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cellXfs>
  <cellStyles count="5">
    <cellStyle name="Comma" xfId="1" builtinId="3"/>
    <cellStyle name="Normal" xfId="0" builtinId="0"/>
    <cellStyle name="Normal 10" xfId="4" xr:uid="{00000000-0005-0000-0000-000002000000}"/>
    <cellStyle name="Percent" xfId="2" builtinId="5"/>
    <cellStyle name="Table Header 2"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[1]Sheet1!$G$1</c:f>
              <c:strCache>
                <c:ptCount val="1"/>
                <c:pt idx="0">
                  <c:v>y</c:v>
                </c:pt>
              </c:strCache>
            </c:strRef>
          </c:tx>
          <c:spPr>
            <a:ln w="19050" cap="rnd">
              <a:noFill/>
              <a:round/>
            </a:ln>
            <a:effectLst/>
          </c:spPr>
          <c:marker>
            <c:symbol val="circle"/>
            <c:size val="5"/>
            <c:spPr>
              <a:solidFill>
                <a:schemeClr val="accent1"/>
              </a:solidFill>
              <a:ln w="9525">
                <a:solidFill>
                  <a:schemeClr val="accent1"/>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[1]Sheet1!$G$2:$G$35</c:f>
              <c:numCache>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Cache>
            </c:numRef>
          </c:yVal>
          <c:smooth val="0"/>
          <c:extLst>
            <c:ext xmlns:c16="http://schemas.microsoft.com/office/drawing/2014/chart" uri="{C3380CC4-5D6E-409C-BE32-E72D297353CC}">
              <c16:uniqueId val="{00000000-A34B-4D6D-B9E2-A842BF8A7B23}"/>
            </c:ext>
          </c:extLst>
        </c:ser>
        <c:ser>
          <c:idx val="1"/>
          <c:order val="1"/>
          <c:tx>
            <c:strRef>
              <c:f>[1]Sheet1!$H$1</c:f>
              <c:strCache>
                <c:ptCount val="1"/>
                <c:pt idx="0">
                  <c:v>ycalc</c:v>
                </c:pt>
              </c:strCache>
            </c:strRef>
          </c:tx>
          <c:spPr>
            <a:ln w="19050" cap="rnd">
              <a:noFill/>
              <a:round/>
            </a:ln>
            <a:effectLst/>
          </c:spPr>
          <c:marker>
            <c:symbol val="circle"/>
            <c:size val="5"/>
            <c:spPr>
              <a:solidFill>
                <a:schemeClr val="accent2"/>
              </a:solidFill>
              <a:ln w="9525">
                <a:solidFill>
                  <a:schemeClr val="accent2"/>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[1]Sheet1!$H$2:$H$35</c:f>
              <c:numCache>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Cache>
            </c:numRef>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[1]Sheet1!$G$1</c:f>
              <c:strCache>
                <c:ptCount val="1"/>
                <c:pt idx="0">
                  <c:v>y</c:v>
                </c:pt>
              </c:strCache>
            </c:strRef>
          </c:tx>
          <c:spPr>
            <a:ln w="19050" cap="rnd">
              <a:noFill/>
              <a:round/>
            </a:ln>
            <a:effectLst/>
          </c:spPr>
          <c:marker>
            <c:symbol val="circle"/>
            <c:size val="5"/>
            <c:spPr>
              <a:solidFill>
                <a:schemeClr val="accent1"/>
              </a:solidFill>
              <a:ln w="9525">
                <a:solidFill>
                  <a:schemeClr val="accent1"/>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[1]Sheet1!$G$2:$G$35</c:f>
              <c:numCache>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Cache>
            </c:numRef>
          </c:yVal>
          <c:smooth val="0"/>
          <c:extLst>
            <c:ext xmlns:c16="http://schemas.microsoft.com/office/drawing/2014/chart" uri="{C3380CC4-5D6E-409C-BE32-E72D297353CC}">
              <c16:uniqueId val="{00000000-C4AE-470A-89B2-A28B6FEFCED5}"/>
            </c:ext>
          </c:extLst>
        </c:ser>
        <c:ser>
          <c:idx val="1"/>
          <c:order val="1"/>
          <c:tx>
            <c:strRef>
              <c:f>[1]Sheet1!$H$1</c:f>
              <c:strCache>
                <c:ptCount val="1"/>
                <c:pt idx="0">
                  <c:v>ycalc</c:v>
                </c:pt>
              </c:strCache>
            </c:strRef>
          </c:tx>
          <c:spPr>
            <a:ln w="19050" cap="rnd">
              <a:noFill/>
              <a:round/>
            </a:ln>
            <a:effectLst/>
          </c:spPr>
          <c:marker>
            <c:symbol val="circle"/>
            <c:size val="5"/>
            <c:spPr>
              <a:solidFill>
                <a:schemeClr val="accent2"/>
              </a:solidFill>
              <a:ln w="9525">
                <a:solidFill>
                  <a:schemeClr val="accent2"/>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[1]Sheet1!$H$2:$H$35</c:f>
              <c:numCache>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Cache>
            </c:numRef>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Calculations!$A$12</c:f>
              <c:strCache>
                <c:ptCount val="1"/>
                <c:pt idx="0">
                  <c:v>EV battery new sales (MWh)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Calculations!$B$11:$AG$11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Calculations!$B$12:$AG$12</c:f>
              <c:numCache>
                <c:formatCode>General</c:formatCode>
                <c:ptCount val="32"/>
                <c:pt idx="0">
                  <c:v>230000</c:v>
                </c:pt>
                <c:pt idx="1">
                  <c:v>351470.58823529416</c:v>
                </c:pt>
                <c:pt idx="2">
                  <c:v>403529.41176470584</c:v>
                </c:pt>
                <c:pt idx="3">
                  <c:v>498970.5882352941</c:v>
                </c:pt>
                <c:pt idx="4">
                  <c:v>603088.23529411759</c:v>
                </c:pt>
                <c:pt idx="5">
                  <c:v>715882.35294117662</c:v>
                </c:pt>
                <c:pt idx="6">
                  <c:v>820000</c:v>
                </c:pt>
                <c:pt idx="7">
                  <c:v>950147.0588235294</c:v>
                </c:pt>
                <c:pt idx="8">
                  <c:v>1175735.294117647</c:v>
                </c:pt>
                <c:pt idx="9">
                  <c:v>1418676.4705882352</c:v>
                </c:pt>
                <c:pt idx="10">
                  <c:v>1687647.0588235292</c:v>
                </c:pt>
                <c:pt idx="11">
                  <c:v>2000000</c:v>
                </c:pt>
              </c:numCache>
            </c:numRef>
          </c:yVal>
          <c:smooth val="1"/>
          <c:extLst>
            <c:ext xmlns:c16="http://schemas.microsoft.com/office/drawing/2014/chart" uri="{C3380CC4-5D6E-409C-BE32-E72D297353CC}">
              <c16:uniqueId val="{00000000-D93C-44B6-A2D3-E34118BC424F}"/>
            </c:ext>
          </c:extLst>
        </c:ser>
        <c:ser>
          <c:idx val="1"/>
          <c:order val="1"/>
          <c:tx>
            <c:strRef>
              <c:f>Calculations!$A$13</c:f>
              <c:strCache>
                <c:ptCount val="1"/>
                <c:pt idx="0">
                  <c:v>EV battery new sales, extrapolated 2031-2040 (GWh)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Calculations!$B$11:$AG$11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Calculations!$B$13:$AK$13</c:f>
              <c:numCache>
                <c:formatCode>General</c:formatCode>
                <c:ptCount val="36"/>
                <c:pt idx="12">
                  <c:v>2294117.6470588231</c:v>
                </c:pt>
                <c:pt idx="13">
                  <c:v>2617647.0588235296</c:v>
                </c:pt>
                <c:pt idx="14">
                  <c:v>2872549.0196078434</c:v>
                </c:pt>
                <c:pt idx="15">
                  <c:v>3117647.0588235296</c:v>
                </c:pt>
                <c:pt idx="16">
                  <c:v>3343137.254901961</c:v>
                </c:pt>
                <c:pt idx="17">
                  <c:v>3549019.6078431369</c:v>
                </c:pt>
                <c:pt idx="18">
                  <c:v>3715686.2745098039</c:v>
                </c:pt>
                <c:pt idx="19">
                  <c:v>3872549.0196078434</c:v>
                </c:pt>
                <c:pt idx="20">
                  <c:v>4049019.6078431369</c:v>
                </c:pt>
                <c:pt idx="21">
                  <c:v>4245098.0392156867</c:v>
                </c:pt>
              </c:numCache>
            </c:numRef>
          </c:yVal>
          <c:smooth val="1"/>
          <c:extLst>
            <c:ext xmlns:c16="http://schemas.microsoft.com/office/drawing/2014/chart" uri="{C3380CC4-5D6E-409C-BE32-E72D297353CC}">
              <c16:uniqueId val="{00000001-D93C-44B6-A2D3-E34118BC424F}"/>
            </c:ext>
          </c:extLst>
        </c:ser>
        <c:ser>
          <c:idx val="2"/>
          <c:order val="2"/>
          <c:tx>
            <c:strRef>
              <c:f>Calculations!$A$14</c:f>
              <c:strCache>
                <c:ptCount val="1"/>
                <c:pt idx="0">
                  <c:v>EV battery new sales, extrapolated 2041-2050 (GWh)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Calculations!$B$11:$AG$11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Calculations!$B$14:$AK$14</c:f>
              <c:numCache>
                <c:formatCode>General</c:formatCode>
                <c:ptCount val="36"/>
                <c:pt idx="22">
                  <c:v>4249381.218936245</c:v>
                </c:pt>
                <c:pt idx="23">
                  <c:v>4319057.8987108367</c:v>
                </c:pt>
                <c:pt idx="24">
                  <c:v>4374282.7762160646</c:v>
                </c:pt>
                <c:pt idx="25">
                  <c:v>4417768.075591377</c:v>
                </c:pt>
                <c:pt idx="26">
                  <c:v>4451833.4089139272</c:v>
                </c:pt>
                <c:pt idx="27">
                  <c:v>4478411.8204253027</c:v>
                </c:pt>
                <c:pt idx="28">
                  <c:v>4499083.5324107874</c:v>
                </c:pt>
                <c:pt idx="29">
                  <c:v>4515121.8487209175</c:v>
                </c:pt>
                <c:pt idx="30">
                  <c:v>4527541.6461870577</c:v>
                </c:pt>
                <c:pt idx="31">
                  <c:v>4537145.1567553291</c:v>
                </c:pt>
              </c:numCache>
            </c:numRef>
          </c:yVal>
          <c:smooth val="1"/>
          <c:extLst>
            <c:ext xmlns:c16="http://schemas.microsoft.com/office/drawing/2014/chart" uri="{C3380CC4-5D6E-409C-BE32-E72D297353CC}">
              <c16:uniqueId val="{00000002-D93C-44B6-A2D3-E34118BC424F}"/>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Calculations!$A$17</c:f>
              <c:strCache>
                <c:ptCount val="1"/>
                <c:pt idx="0">
                  <c:v>EV battery cap, cumulative (MWh)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Calculations!$C$16:$AH$16</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Calculations!$C$17:$AH$17</c:f>
              <c:numCache>
                <c:formatCode>General</c:formatCode>
                <c:ptCount val="32"/>
                <c:pt idx="0">
                  <c:v>230000</c:v>
                </c:pt>
                <c:pt idx="1">
                  <c:v>581470.58823529421</c:v>
                </c:pt>
                <c:pt idx="2">
                  <c:v>985000</c:v>
                </c:pt>
                <c:pt idx="3">
                  <c:v>1483970.588235294</c:v>
                </c:pt>
                <c:pt idx="4">
                  <c:v>2087058.8235294116</c:v>
                </c:pt>
                <c:pt idx="5">
                  <c:v>2802941.176470588</c:v>
                </c:pt>
                <c:pt idx="6">
                  <c:v>3622941.176470588</c:v>
                </c:pt>
                <c:pt idx="7">
                  <c:v>4573088.2352941176</c:v>
                </c:pt>
                <c:pt idx="8">
                  <c:v>5748823.5294117648</c:v>
                </c:pt>
                <c:pt idx="9">
                  <c:v>7167500</c:v>
                </c:pt>
                <c:pt idx="10">
                  <c:v>8855147.0588235296</c:v>
                </c:pt>
                <c:pt idx="11">
                  <c:v>10855147.05882353</c:v>
                </c:pt>
                <c:pt idx="12">
                  <c:v>13149264.705882352</c:v>
                </c:pt>
                <c:pt idx="13">
                  <c:v>15766911.764705881</c:v>
                </c:pt>
                <c:pt idx="14">
                  <c:v>18639460.784313723</c:v>
                </c:pt>
                <c:pt idx="15">
                  <c:v>21757107.843137253</c:v>
                </c:pt>
                <c:pt idx="16">
                  <c:v>25100245.098039214</c:v>
                </c:pt>
                <c:pt idx="17">
                  <c:v>28649264.705882352</c:v>
                </c:pt>
                <c:pt idx="18">
                  <c:v>32364950.980392154</c:v>
                </c:pt>
                <c:pt idx="19">
                  <c:v>36237500</c:v>
                </c:pt>
                <c:pt idx="20">
                  <c:v>40286519.607843138</c:v>
                </c:pt>
                <c:pt idx="21">
                  <c:v>44531617.647058822</c:v>
                </c:pt>
                <c:pt idx="22">
                  <c:v>48780998.865995064</c:v>
                </c:pt>
                <c:pt idx="23">
                  <c:v>53100056.764705904</c:v>
                </c:pt>
                <c:pt idx="24">
                  <c:v>57474339.540921971</c:v>
                </c:pt>
                <c:pt idx="25">
                  <c:v>61892107.616513349</c:v>
                </c:pt>
                <c:pt idx="26">
                  <c:v>66343941.025427274</c:v>
                </c:pt>
                <c:pt idx="27">
                  <c:v>70822352.845852584</c:v>
                </c:pt>
                <c:pt idx="28">
                  <c:v>75321436.378263369</c:v>
                </c:pt>
                <c:pt idx="29">
                  <c:v>79836558.226984292</c:v>
                </c:pt>
                <c:pt idx="30">
                  <c:v>84364099.873171344</c:v>
                </c:pt>
                <c:pt idx="31">
                  <c:v>88901245.029926673</c:v>
                </c:pt>
              </c:numCache>
            </c:numRef>
          </c:yVal>
          <c:smooth val="0"/>
          <c:extLst>
            <c:ext xmlns:c16="http://schemas.microsoft.com/office/drawing/2014/chart" uri="{C3380CC4-5D6E-409C-BE32-E72D297353CC}">
              <c16:uniqueId val="{00000000-9D16-4C1B-86B2-1D08B3D0497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EBB3AE92-85FF-4410-8B7A-9C3D744457A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0</xdr:col>
      <xdr:colOff>176212</xdr:colOff>
      <xdr:row>23</xdr:row>
      <xdr:rowOff>85724</xdr:rowOff>
    </xdr:from>
    <xdr:to>
      <xdr:col>4</xdr:col>
      <xdr:colOff>166687</xdr:colOff>
      <xdr:row>65</xdr:row>
      <xdr:rowOff>164291</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76212" y="4362449"/>
          <a:ext cx="10044113" cy="7679517"/>
        </a:xfrm>
        <a:prstGeom prst="rect">
          <a:avLst/>
        </a:prstGeom>
      </xdr:spPr>
    </xdr:pic>
    <xdr:clientData/>
  </xdr:twoCellAnchor>
  <xdr:twoCellAnchor editAs="oneCell">
    <xdr:from>
      <xdr:col>5</xdr:col>
      <xdr:colOff>0</xdr:colOff>
      <xdr:row>24</xdr:row>
      <xdr:rowOff>0</xdr:rowOff>
    </xdr:from>
    <xdr:to>
      <xdr:col>10</xdr:col>
      <xdr:colOff>489854</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stretch>
          <a:fillRect/>
        </a:stretch>
      </xdr:blipFill>
      <xdr:spPr>
        <a:xfrm>
          <a:off x="11525250" y="4457700"/>
          <a:ext cx="5466667" cy="3342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E2A32DE8-1D48-4756-9875-0FA797A58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E2A32DE8-1D48-4756-9875-0FA797A58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36635</xdr:colOff>
      <xdr:row>19</xdr:row>
      <xdr:rowOff>167054</xdr:rowOff>
    </xdr:from>
    <xdr:to>
      <xdr:col>11</xdr:col>
      <xdr:colOff>556846</xdr:colOff>
      <xdr:row>43</xdr:row>
      <xdr:rowOff>87923</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44</xdr:row>
      <xdr:rowOff>3313</xdr:rowOff>
    </xdr:from>
    <xdr:to>
      <xdr:col>12</xdr:col>
      <xdr:colOff>0</xdr:colOff>
      <xdr:row>64</xdr:row>
      <xdr:rowOff>16565</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eganM/Downloads/ExcelSolver_Sigmoi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
          <cell r="G1" t="str">
            <v>y</v>
          </cell>
          <cell r="H1" t="str">
            <v>ycalc</v>
          </cell>
        </row>
        <row r="2">
          <cell r="F2">
            <v>2019</v>
          </cell>
          <cell r="G2">
            <v>2375000</v>
          </cell>
          <cell r="H2">
            <v>1389132.164056371</v>
          </cell>
        </row>
        <row r="3">
          <cell r="F3">
            <v>2020</v>
          </cell>
          <cell r="G3">
            <v>1750000</v>
          </cell>
          <cell r="H3">
            <v>2021843.2718926258</v>
          </cell>
        </row>
        <row r="4">
          <cell r="F4">
            <v>2021</v>
          </cell>
          <cell r="G4">
            <v>2500000</v>
          </cell>
          <cell r="H4">
            <v>2835096.85528416</v>
          </cell>
        </row>
        <row r="5">
          <cell r="F5">
            <v>2022</v>
          </cell>
          <cell r="G5">
            <v>3875000</v>
          </cell>
          <cell r="H5">
            <v>3872186.6405841364</v>
          </cell>
        </row>
        <row r="6">
          <cell r="F6">
            <v>2023</v>
          </cell>
          <cell r="G6">
            <v>5375000</v>
          </cell>
          <cell r="H6">
            <v>5181480.7302558515</v>
          </cell>
        </row>
        <row r="7">
          <cell r="F7">
            <v>2024</v>
          </cell>
          <cell r="G7">
            <v>7000000</v>
          </cell>
          <cell r="H7">
            <v>6813588.8256108928</v>
          </cell>
        </row>
        <row r="8">
          <cell r="F8">
            <v>2025</v>
          </cell>
          <cell r="G8">
            <v>8500000</v>
          </cell>
          <cell r="H8">
            <v>8816233.2840826623</v>
          </cell>
        </row>
        <row r="9">
          <cell r="F9">
            <v>2026</v>
          </cell>
          <cell r="G9">
            <v>10375000</v>
          </cell>
          <cell r="H9">
            <v>11226473.258701244</v>
          </cell>
        </row>
        <row r="10">
          <cell r="F10">
            <v>2027</v>
          </cell>
          <cell r="G10">
            <v>13625000</v>
          </cell>
          <cell r="H10">
            <v>14060660.844756193</v>
          </cell>
        </row>
        <row r="11">
          <cell r="F11">
            <v>2028</v>
          </cell>
          <cell r="G11">
            <v>17125000</v>
          </cell>
          <cell r="H11">
            <v>17303745.690459114</v>
          </cell>
        </row>
        <row r="12">
          <cell r="F12">
            <v>2029</v>
          </cell>
          <cell r="G12">
            <v>21000000</v>
          </cell>
          <cell r="H12">
            <v>20900972.172630183</v>
          </cell>
        </row>
        <row r="13">
          <cell r="F13">
            <v>2030</v>
          </cell>
          <cell r="G13">
            <v>25500000</v>
          </cell>
          <cell r="H13">
            <v>24755807.045043826</v>
          </cell>
        </row>
        <row r="14">
          <cell r="F14">
            <v>2031</v>
          </cell>
          <cell r="G14">
            <v>29250000</v>
          </cell>
          <cell r="H14">
            <v>28737059.300076034</v>
          </cell>
        </row>
        <row r="15">
          <cell r="F15">
            <v>2032</v>
          </cell>
          <cell r="G15">
            <v>33375000</v>
          </cell>
          <cell r="H15">
            <v>32695224.467196576</v>
          </cell>
        </row>
        <row r="16">
          <cell r="F16">
            <v>2033</v>
          </cell>
          <cell r="G16">
            <v>36625000</v>
          </cell>
          <cell r="H16">
            <v>36484206.532142162</v>
          </cell>
        </row>
        <row r="17">
          <cell r="F17">
            <v>2034</v>
          </cell>
          <cell r="G17">
            <v>39750000</v>
          </cell>
          <cell r="H17">
            <v>39982014.338317864</v>
          </cell>
        </row>
        <row r="18">
          <cell r="F18">
            <v>2035</v>
          </cell>
          <cell r="G18">
            <v>42625000</v>
          </cell>
          <cell r="H18">
            <v>43104531.090709515</v>
          </cell>
        </row>
        <row r="19">
          <cell r="F19">
            <v>2036</v>
          </cell>
          <cell r="G19">
            <v>45250000</v>
          </cell>
          <cell r="H19">
            <v>45809663.601785377</v>
          </cell>
        </row>
        <row r="20">
          <cell r="F20">
            <v>2037</v>
          </cell>
          <cell r="G20">
            <v>47375000</v>
          </cell>
          <cell r="H20">
            <v>48092978.656097099</v>
          </cell>
        </row>
        <row r="21">
          <cell r="F21">
            <v>2038</v>
          </cell>
          <cell r="G21">
            <v>49375000</v>
          </cell>
          <cell r="H21">
            <v>49978278.595441304</v>
          </cell>
        </row>
        <row r="22">
          <cell r="F22">
            <v>2039</v>
          </cell>
          <cell r="G22">
            <v>51625000</v>
          </cell>
          <cell r="H22">
            <v>51506844.678802423</v>
          </cell>
        </row>
        <row r="23">
          <cell r="F23">
            <v>2040</v>
          </cell>
          <cell r="G23">
            <v>54125000</v>
          </cell>
          <cell r="H23">
            <v>52727977.781544022</v>
          </cell>
        </row>
        <row r="24">
          <cell r="F24">
            <v>2041</v>
          </cell>
          <cell r="H24">
            <v>53692031.914074436</v>
          </cell>
        </row>
        <row r="25">
          <cell r="F25">
            <v>2042</v>
          </cell>
          <cell r="H25">
            <v>54446041.034588695</v>
          </cell>
        </row>
        <row r="26">
          <cell r="F26">
            <v>2043</v>
          </cell>
          <cell r="H26">
            <v>55031465.127539933</v>
          </cell>
        </row>
        <row r="27">
          <cell r="F27">
            <v>2044</v>
          </cell>
          <cell r="H27">
            <v>55483417.471983574</v>
          </cell>
        </row>
        <row r="28">
          <cell r="F28">
            <v>2045</v>
          </cell>
          <cell r="H28">
            <v>55830797.702772141</v>
          </cell>
        </row>
        <row r="29">
          <cell r="F29">
            <v>2046</v>
          </cell>
          <cell r="H29">
            <v>56096900.262841031</v>
          </cell>
        </row>
        <row r="30">
          <cell r="F30">
            <v>2047</v>
          </cell>
          <cell r="H30">
            <v>56300214.433481641</v>
          </cell>
        </row>
        <row r="31">
          <cell r="F31">
            <v>2048</v>
          </cell>
          <cell r="H31">
            <v>56455248.150785372</v>
          </cell>
        </row>
        <row r="32">
          <cell r="F32">
            <v>2049</v>
          </cell>
          <cell r="H32">
            <v>56573288.007629298</v>
          </cell>
        </row>
        <row r="33">
          <cell r="F33">
            <v>2050</v>
          </cell>
          <cell r="H33">
            <v>56663058.09199407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election activeCell="B11" sqref="B11"/>
    </sheetView>
  </sheetViews>
  <sheetFormatPr baseColWidth="10" defaultColWidth="8.83203125" defaultRowHeight="15" x14ac:dyDescent="0.2"/>
  <cols>
    <col min="2" max="2" width="60.83203125" customWidth="1"/>
  </cols>
  <sheetData>
    <row r="1" spans="1:2" x14ac:dyDescent="0.2">
      <c r="A1" s="1" t="s">
        <v>0</v>
      </c>
    </row>
    <row r="3" spans="1:2" x14ac:dyDescent="0.2">
      <c r="A3" s="1" t="s">
        <v>1</v>
      </c>
      <c r="B3" s="2" t="s">
        <v>54</v>
      </c>
    </row>
    <row r="4" spans="1:2" x14ac:dyDescent="0.2">
      <c r="B4" t="s">
        <v>8</v>
      </c>
    </row>
    <row r="5" spans="1:2" x14ac:dyDescent="0.2">
      <c r="B5" s="12">
        <v>2020</v>
      </c>
    </row>
    <row r="6" spans="1:2" x14ac:dyDescent="0.2">
      <c r="B6" t="s">
        <v>51</v>
      </c>
    </row>
    <row r="7" spans="1:2" x14ac:dyDescent="0.2">
      <c r="B7" t="s">
        <v>60</v>
      </c>
    </row>
    <row r="8" spans="1:2" x14ac:dyDescent="0.2">
      <c r="B8" s="13" t="s">
        <v>52</v>
      </c>
    </row>
    <row r="9" spans="1:2" x14ac:dyDescent="0.2">
      <c r="B9" s="13" t="s">
        <v>53</v>
      </c>
    </row>
    <row r="11" spans="1:2" x14ac:dyDescent="0.2">
      <c r="B11" s="2" t="s">
        <v>55</v>
      </c>
    </row>
    <row r="12" spans="1:2" x14ac:dyDescent="0.2">
      <c r="B12" t="s">
        <v>8</v>
      </c>
    </row>
    <row r="13" spans="1:2" x14ac:dyDescent="0.2">
      <c r="B13" s="12">
        <v>2020</v>
      </c>
    </row>
    <row r="14" spans="1:2" x14ac:dyDescent="0.2">
      <c r="B14" s="13" t="s">
        <v>56</v>
      </c>
    </row>
    <row r="15" spans="1:2" x14ac:dyDescent="0.2">
      <c r="B15" s="13" t="s">
        <v>61</v>
      </c>
    </row>
    <row r="16" spans="1:2" x14ac:dyDescent="0.2">
      <c r="B16" t="s">
        <v>52</v>
      </c>
    </row>
    <row r="17" spans="2:2" x14ac:dyDescent="0.2">
      <c r="B17" t="s">
        <v>53</v>
      </c>
    </row>
    <row r="19" spans="2:2" x14ac:dyDescent="0.2">
      <c r="B19" s="2" t="s">
        <v>57</v>
      </c>
    </row>
    <row r="20" spans="2:2" x14ac:dyDescent="0.2">
      <c r="B20" t="s">
        <v>58</v>
      </c>
    </row>
    <row r="21" spans="2:2" x14ac:dyDescent="0.2">
      <c r="B21" t="s">
        <v>59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baseColWidth="10" defaultColWidth="8.83203125" defaultRowHeight="15" x14ac:dyDescent="0.2"/>
  <cols>
    <col min="1" max="1" width="17" customWidth="1"/>
  </cols>
  <sheetData>
    <row r="1" spans="1:33" x14ac:dyDescent="0.2">
      <c r="A1" t="s">
        <v>15</v>
      </c>
    </row>
    <row r="2" spans="1:33" x14ac:dyDescent="0.2">
      <c r="A2" t="s">
        <v>17</v>
      </c>
      <c r="B2">
        <v>42</v>
      </c>
    </row>
    <row r="4" spans="1:33" x14ac:dyDescent="0.2">
      <c r="B4">
        <v>2020</v>
      </c>
      <c r="C4">
        <v>2025</v>
      </c>
      <c r="D4">
        <v>2030</v>
      </c>
      <c r="E4">
        <v>2035</v>
      </c>
      <c r="F4">
        <v>2040</v>
      </c>
      <c r="G4">
        <v>2045</v>
      </c>
      <c r="H4">
        <v>2050</v>
      </c>
    </row>
    <row r="5" spans="1:33" x14ac:dyDescent="0.2">
      <c r="A5" t="s">
        <v>16</v>
      </c>
      <c r="B5">
        <v>2</v>
      </c>
      <c r="C5">
        <v>13</v>
      </c>
      <c r="D5">
        <v>48</v>
      </c>
      <c r="E5">
        <v>96</v>
      </c>
      <c r="F5">
        <v>170</v>
      </c>
      <c r="G5">
        <v>270</v>
      </c>
      <c r="H5">
        <v>365</v>
      </c>
    </row>
    <row r="6" spans="1:33" x14ac:dyDescent="0.2">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topLeftCell="B1" workbookViewId="0">
      <selection activeCell="D11" sqref="D11:Y11"/>
    </sheetView>
  </sheetViews>
  <sheetFormatPr baseColWidth="10" defaultColWidth="8.83203125" defaultRowHeight="15" x14ac:dyDescent="0.2"/>
  <cols>
    <col min="1" max="1" width="48.1640625" bestFit="1" customWidth="1"/>
    <col min="2" max="2" width="45.6640625" customWidth="1"/>
    <col min="3" max="3" width="20.6640625" bestFit="1" customWidth="1"/>
    <col min="4" max="4" width="26.33203125" bestFit="1" customWidth="1"/>
    <col min="5" max="5" width="20.6640625" bestFit="1" customWidth="1"/>
    <col min="6" max="6" width="26.33203125" bestFit="1" customWidth="1"/>
    <col min="7" max="9" width="10.6640625" bestFit="1" customWidth="1"/>
    <col min="10" max="15" width="11.6640625" bestFit="1" customWidth="1"/>
    <col min="16" max="17" width="11.33203125" bestFit="1" customWidth="1"/>
    <col min="18" max="18" width="11.6640625" bestFit="1" customWidth="1"/>
    <col min="19" max="19" width="12.6640625" bestFit="1" customWidth="1"/>
    <col min="20" max="25" width="11.33203125" bestFit="1" customWidth="1"/>
    <col min="26" max="26" width="14.6640625" bestFit="1" customWidth="1"/>
    <col min="27" max="29" width="11.33203125" bestFit="1" customWidth="1"/>
    <col min="30" max="31" width="11" bestFit="1" customWidth="1"/>
  </cols>
  <sheetData>
    <row r="1" spans="1:35" x14ac:dyDescent="0.2">
      <c r="A1" s="1"/>
      <c r="B1" s="5"/>
      <c r="C1" s="5"/>
      <c r="D1" s="5"/>
      <c r="E1" s="5"/>
      <c r="F1" s="5"/>
    </row>
    <row r="8" spans="1:35" ht="24" x14ac:dyDescent="0.3">
      <c r="A8" s="4" t="s">
        <v>2</v>
      </c>
    </row>
    <row r="9" spans="1:35" x14ac:dyDescent="0.2">
      <c r="A9" s="3" t="s">
        <v>3</v>
      </c>
      <c r="B9" s="6"/>
      <c r="C9" s="6"/>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
      <c r="A10" t="s">
        <v>4</v>
      </c>
      <c r="D10" s="20">
        <v>230</v>
      </c>
      <c r="E10" s="15">
        <f>$D$10+($O$10-$D$10)*(E11/$O$11)</f>
        <v>351.47058823529414</v>
      </c>
      <c r="F10" s="15">
        <f>$D$10+($O$10-$D$10)*(F11/$O$11)</f>
        <v>403.52941176470586</v>
      </c>
      <c r="G10" s="15">
        <f t="shared" ref="G10:N10" si="0">$D$10+($O$10-$D$10)*(G11/$O$11)</f>
        <v>498.97058823529409</v>
      </c>
      <c r="H10" s="15">
        <f t="shared" si="0"/>
        <v>603.08823529411757</v>
      </c>
      <c r="I10" s="15">
        <f t="shared" si="0"/>
        <v>715.88235294117658</v>
      </c>
      <c r="J10" s="15">
        <f t="shared" si="0"/>
        <v>820</v>
      </c>
      <c r="K10" s="15">
        <f t="shared" si="0"/>
        <v>950.14705882352939</v>
      </c>
      <c r="L10" s="15">
        <f t="shared" si="0"/>
        <v>1175.7352941176471</v>
      </c>
      <c r="M10" s="15">
        <f t="shared" si="0"/>
        <v>1418.6764705882351</v>
      </c>
      <c r="N10" s="15">
        <f t="shared" si="0"/>
        <v>1687.6470588235293</v>
      </c>
      <c r="O10" s="20">
        <f>2000</f>
        <v>2000</v>
      </c>
      <c r="P10" s="9"/>
      <c r="Q10" s="9"/>
      <c r="R10" s="9"/>
      <c r="S10" s="9"/>
      <c r="T10" s="9"/>
      <c r="U10" s="9"/>
      <c r="V10" s="9"/>
      <c r="W10" s="9"/>
      <c r="X10" s="9"/>
      <c r="Y10" s="9"/>
    </row>
    <row r="11" spans="1:35" x14ac:dyDescent="0.2">
      <c r="A11" t="s">
        <v>5</v>
      </c>
      <c r="D11" s="8">
        <f>G18/$G$20*10000000</f>
        <v>2375000</v>
      </c>
      <c r="E11" s="8">
        <f t="shared" ref="E11:X11" si="1">H18/$G$20*10000000</f>
        <v>1750000</v>
      </c>
      <c r="F11" s="8">
        <f t="shared" si="1"/>
        <v>2500000</v>
      </c>
      <c r="G11" s="8">
        <f t="shared" si="1"/>
        <v>3875000</v>
      </c>
      <c r="H11" s="8">
        <f t="shared" si="1"/>
        <v>5375000</v>
      </c>
      <c r="I11" s="8">
        <f t="shared" si="1"/>
        <v>7000000</v>
      </c>
      <c r="J11" s="8">
        <f t="shared" si="1"/>
        <v>8500000</v>
      </c>
      <c r="K11" s="8">
        <f t="shared" si="1"/>
        <v>10375000</v>
      </c>
      <c r="L11" s="8">
        <f t="shared" si="1"/>
        <v>13625000</v>
      </c>
      <c r="M11" s="8">
        <f t="shared" si="1"/>
        <v>17125000</v>
      </c>
      <c r="N11" s="8">
        <f t="shared" si="1"/>
        <v>21000000</v>
      </c>
      <c r="O11" s="8">
        <f t="shared" si="1"/>
        <v>25500000</v>
      </c>
      <c r="P11" s="8">
        <f t="shared" si="1"/>
        <v>29250000</v>
      </c>
      <c r="Q11" s="8">
        <f t="shared" si="1"/>
        <v>33375000</v>
      </c>
      <c r="R11" s="8">
        <f t="shared" si="1"/>
        <v>36625000</v>
      </c>
      <c r="S11" s="8">
        <f t="shared" si="1"/>
        <v>39750000</v>
      </c>
      <c r="T11" s="8">
        <f t="shared" si="1"/>
        <v>42625000</v>
      </c>
      <c r="U11" s="8">
        <f t="shared" si="1"/>
        <v>45250000</v>
      </c>
      <c r="V11" s="8">
        <f t="shared" si="1"/>
        <v>47375000</v>
      </c>
      <c r="W11" s="8">
        <f t="shared" si="1"/>
        <v>49375000</v>
      </c>
      <c r="X11" s="8">
        <f t="shared" si="1"/>
        <v>51625000</v>
      </c>
      <c r="Y11" s="8">
        <f>AB18/$G$20*10000000</f>
        <v>54125000</v>
      </c>
    </row>
    <row r="12" spans="1:35" x14ac:dyDescent="0.2">
      <c r="A12" t="s">
        <v>23</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row>
    <row r="13" spans="1:35" x14ac:dyDescent="0.2">
      <c r="E13" s="11"/>
    </row>
    <row r="17" spans="6:28" x14ac:dyDescent="0.2">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B4" sqref="B4"/>
    </sheetView>
  </sheetViews>
  <sheetFormatPr baseColWidth="10" defaultColWidth="8.83203125" defaultRowHeight="15" x14ac:dyDescent="0.2"/>
  <cols>
    <col min="2" max="2" width="10.5" bestFit="1" customWidth="1"/>
    <col min="7" max="7" width="11" bestFit="1" customWidth="1"/>
  </cols>
  <sheetData>
    <row r="1" spans="1:16" ht="16" x14ac:dyDescent="0.2">
      <c r="A1" s="16" t="s">
        <v>24</v>
      </c>
      <c r="B1" s="17"/>
      <c r="C1" s="17"/>
      <c r="D1" s="17"/>
      <c r="E1" s="17"/>
      <c r="F1" s="17" t="s">
        <v>25</v>
      </c>
      <c r="G1" s="17" t="s">
        <v>26</v>
      </c>
      <c r="H1" s="18" t="s">
        <v>27</v>
      </c>
      <c r="I1" s="17"/>
      <c r="J1" s="17"/>
      <c r="K1" s="17"/>
      <c r="L1" s="17"/>
      <c r="M1" s="17"/>
      <c r="N1" s="17"/>
      <c r="O1" s="17"/>
      <c r="P1" s="17"/>
    </row>
    <row r="2" spans="1:16" ht="16" x14ac:dyDescent="0.2">
      <c r="A2" s="17" t="s">
        <v>28</v>
      </c>
      <c r="B2" s="17">
        <v>104988.75274561244</v>
      </c>
      <c r="C2" s="18" t="s">
        <v>29</v>
      </c>
      <c r="D2" s="17"/>
      <c r="E2" s="17"/>
      <c r="F2">
        <v>2019</v>
      </c>
      <c r="G2" s="8">
        <f t="array" ref="G2:G13">TRANSPOSE(Calculations!B12:M12)</f>
        <v>230000</v>
      </c>
      <c r="H2" s="18">
        <f t="shared" ref="H2:H33" si="0">min+(max-min)/(1+EXP(-$B$5*(F2-ec_50)))</f>
        <v>278783.70203185978</v>
      </c>
      <c r="I2" s="17"/>
      <c r="J2" s="19" t="s">
        <v>30</v>
      </c>
      <c r="K2" s="17"/>
      <c r="L2" s="17"/>
      <c r="M2" s="17"/>
      <c r="N2" s="17"/>
      <c r="O2" s="17"/>
      <c r="P2" s="17"/>
    </row>
    <row r="3" spans="1:16" ht="16" x14ac:dyDescent="0.2">
      <c r="A3" s="17" t="s">
        <v>31</v>
      </c>
      <c r="B3" s="17">
        <v>4569491.3134608204</v>
      </c>
      <c r="C3" s="18" t="s">
        <v>32</v>
      </c>
      <c r="D3" s="17"/>
      <c r="E3" s="17"/>
      <c r="F3">
        <v>2020</v>
      </c>
      <c r="G3" s="8">
        <v>351470.58823529416</v>
      </c>
      <c r="H3" s="18">
        <f t="shared" si="0"/>
        <v>328267.45651416713</v>
      </c>
      <c r="I3" s="17"/>
      <c r="J3" s="18" t="s">
        <v>33</v>
      </c>
      <c r="K3" s="17"/>
      <c r="L3" s="17"/>
      <c r="M3" s="17"/>
      <c r="N3" s="17"/>
      <c r="O3" s="17"/>
      <c r="P3" s="17"/>
    </row>
    <row r="4" spans="1:16" ht="16" x14ac:dyDescent="0.2">
      <c r="A4" s="17" t="s">
        <v>34</v>
      </c>
      <c r="B4" s="17">
        <v>2031.231161586554</v>
      </c>
      <c r="C4" s="18" t="s">
        <v>35</v>
      </c>
      <c r="D4" s="17"/>
      <c r="E4" s="17"/>
      <c r="F4">
        <v>2021</v>
      </c>
      <c r="G4" s="8">
        <v>403529.41176470584</v>
      </c>
      <c r="H4" s="18">
        <f t="shared" si="0"/>
        <v>390901.62654664449</v>
      </c>
      <c r="I4" s="17"/>
      <c r="J4" s="18" t="s">
        <v>36</v>
      </c>
      <c r="K4" s="17"/>
      <c r="L4" s="17"/>
      <c r="M4" s="17"/>
      <c r="N4" s="17"/>
      <c r="O4" s="17"/>
      <c r="P4" s="17"/>
    </row>
    <row r="5" spans="1:16" ht="16" x14ac:dyDescent="0.2">
      <c r="A5" s="17" t="s">
        <v>37</v>
      </c>
      <c r="B5" s="17">
        <v>0.26214442251490144</v>
      </c>
      <c r="C5" s="17"/>
      <c r="D5" s="17"/>
      <c r="E5" s="17"/>
      <c r="F5">
        <v>2022</v>
      </c>
      <c r="G5" s="8">
        <v>498970.5882352941</v>
      </c>
      <c r="H5" s="18">
        <f t="shared" si="0"/>
        <v>469595.48318729002</v>
      </c>
      <c r="I5" s="17"/>
      <c r="J5" s="18" t="s">
        <v>38</v>
      </c>
      <c r="K5" s="17"/>
      <c r="L5" s="17"/>
      <c r="M5" s="17"/>
      <c r="N5" s="17"/>
      <c r="O5" s="17"/>
      <c r="P5" s="17"/>
    </row>
    <row r="6" spans="1:16" ht="16" x14ac:dyDescent="0.2">
      <c r="A6" s="17"/>
      <c r="B6" s="17"/>
      <c r="C6" s="17"/>
      <c r="D6" s="17"/>
      <c r="E6" s="17"/>
      <c r="F6">
        <v>2023</v>
      </c>
      <c r="G6" s="8">
        <v>603088.23529411759</v>
      </c>
      <c r="H6" s="18">
        <f t="shared" si="0"/>
        <v>567551.15074796393</v>
      </c>
      <c r="I6" s="17"/>
      <c r="J6" s="18" t="s">
        <v>39</v>
      </c>
      <c r="K6" s="17"/>
      <c r="L6" s="17"/>
      <c r="M6" s="17"/>
      <c r="N6" s="17"/>
      <c r="O6" s="17"/>
      <c r="P6" s="17"/>
    </row>
    <row r="7" spans="1:16" ht="16" x14ac:dyDescent="0.2">
      <c r="A7" s="18" t="s">
        <v>40</v>
      </c>
      <c r="B7" s="18">
        <f>SUMXMY2(G2:G49,H2:H49)</f>
        <v>29259652454.410839</v>
      </c>
      <c r="C7" s="17"/>
      <c r="D7" s="17"/>
      <c r="E7" s="17"/>
      <c r="F7">
        <v>2024</v>
      </c>
      <c r="G7" s="8">
        <v>715882.35294117662</v>
      </c>
      <c r="H7" s="18">
        <f t="shared" si="0"/>
        <v>688080.8827985992</v>
      </c>
      <c r="I7" s="17"/>
      <c r="J7" s="18" t="s">
        <v>41</v>
      </c>
      <c r="K7" s="17"/>
      <c r="L7" s="17"/>
      <c r="M7" s="17"/>
      <c r="N7" s="17"/>
      <c r="O7" s="17"/>
      <c r="P7" s="17"/>
    </row>
    <row r="8" spans="1:16" ht="16" x14ac:dyDescent="0.2">
      <c r="A8" s="17"/>
      <c r="B8" s="17"/>
      <c r="C8" s="17"/>
      <c r="D8" s="17"/>
      <c r="E8" s="17"/>
      <c r="F8">
        <v>2025</v>
      </c>
      <c r="G8" s="8">
        <v>820000</v>
      </c>
      <c r="H8" s="18">
        <f t="shared" si="0"/>
        <v>834293.57521290798</v>
      </c>
      <c r="I8" s="17"/>
      <c r="J8" s="18" t="s">
        <v>42</v>
      </c>
      <c r="K8" s="17"/>
      <c r="L8" s="17"/>
      <c r="M8" s="17"/>
      <c r="N8" s="17"/>
      <c r="O8" s="17"/>
      <c r="P8" s="17"/>
    </row>
    <row r="9" spans="1:16" ht="16" x14ac:dyDescent="0.2">
      <c r="A9" s="17"/>
      <c r="B9" s="17"/>
      <c r="C9" s="17"/>
      <c r="D9" s="17"/>
      <c r="E9" s="17"/>
      <c r="F9">
        <v>2026</v>
      </c>
      <c r="G9" s="8">
        <v>950147.0588235294</v>
      </c>
      <c r="H9" s="18">
        <f t="shared" si="0"/>
        <v>1008633.9439861275</v>
      </c>
      <c r="I9" s="17"/>
      <c r="J9" s="18" t="s">
        <v>43</v>
      </c>
      <c r="K9" s="17"/>
      <c r="L9" s="17"/>
      <c r="M9" s="17"/>
      <c r="N9" s="17"/>
      <c r="O9" s="17"/>
      <c r="P9" s="17"/>
    </row>
    <row r="10" spans="1:16" ht="16" x14ac:dyDescent="0.2">
      <c r="A10" s="18" t="s">
        <v>44</v>
      </c>
      <c r="B10" s="18" t="s">
        <v>45</v>
      </c>
      <c r="C10" s="17"/>
      <c r="D10" s="17"/>
      <c r="E10" s="17"/>
      <c r="F10">
        <v>2027</v>
      </c>
      <c r="G10" s="8">
        <v>1175735.294117647</v>
      </c>
      <c r="H10" s="18">
        <f t="shared" si="0"/>
        <v>1212295.4353729906</v>
      </c>
      <c r="I10" s="17"/>
      <c r="J10" s="18" t="s">
        <v>46</v>
      </c>
      <c r="K10" s="17"/>
      <c r="L10" s="17"/>
      <c r="M10" s="17"/>
      <c r="N10" s="17"/>
      <c r="O10" s="17"/>
      <c r="P10" s="17"/>
    </row>
    <row r="11" spans="1:16" ht="16" x14ac:dyDescent="0.2">
      <c r="A11" s="17"/>
      <c r="B11" s="17"/>
      <c r="C11" s="17"/>
      <c r="D11" s="17"/>
      <c r="E11" s="17"/>
      <c r="F11">
        <v>2028</v>
      </c>
      <c r="G11" s="8">
        <v>1418676.4705882352</v>
      </c>
      <c r="H11" s="18">
        <f t="shared" si="0"/>
        <v>1444589.739180157</v>
      </c>
      <c r="I11" s="17"/>
      <c r="J11" s="18"/>
      <c r="K11" s="17"/>
      <c r="L11" s="17"/>
      <c r="M11" s="17"/>
      <c r="N11" s="17"/>
      <c r="O11" s="17"/>
      <c r="P11" s="17"/>
    </row>
    <row r="12" spans="1:16" ht="16" x14ac:dyDescent="0.2">
      <c r="A12" s="17"/>
      <c r="B12" s="17"/>
      <c r="C12" s="17"/>
      <c r="D12" s="17"/>
      <c r="E12" s="17"/>
      <c r="F12">
        <v>2029</v>
      </c>
      <c r="G12" s="8">
        <v>1687647.0588235292</v>
      </c>
      <c r="H12" s="18">
        <f t="shared" si="0"/>
        <v>1702427.8234259335</v>
      </c>
      <c r="I12" s="17"/>
      <c r="J12" s="18" t="s">
        <v>47</v>
      </c>
      <c r="K12" s="17"/>
      <c r="L12" s="17"/>
      <c r="M12" s="17"/>
      <c r="N12" s="17"/>
      <c r="O12" s="17"/>
      <c r="P12" s="17"/>
    </row>
    <row r="13" spans="1:16" ht="16" x14ac:dyDescent="0.2">
      <c r="A13" s="17"/>
      <c r="B13" s="17"/>
      <c r="C13" s="17"/>
      <c r="D13" s="17"/>
      <c r="E13" s="17"/>
      <c r="F13">
        <v>2030</v>
      </c>
      <c r="G13" s="8">
        <v>2000000</v>
      </c>
      <c r="H13" s="18">
        <f t="shared" si="0"/>
        <v>1980113.8134141492</v>
      </c>
      <c r="I13" s="17"/>
      <c r="J13" s="18" t="s">
        <v>48</v>
      </c>
      <c r="K13" s="17"/>
      <c r="L13" s="17"/>
      <c r="M13" s="17"/>
      <c r="N13" s="17"/>
      <c r="O13" s="17"/>
      <c r="P13" s="17"/>
    </row>
    <row r="14" spans="1:16" ht="16" x14ac:dyDescent="0.2">
      <c r="A14" s="17"/>
      <c r="B14" s="17"/>
      <c r="C14" s="17"/>
      <c r="D14" s="17"/>
      <c r="E14" s="17"/>
      <c r="F14">
        <v>2031</v>
      </c>
      <c r="G14" s="8">
        <f t="array" ref="G14:G23">TRANSPOSE(Calculations!N13:W13)</f>
        <v>2294117.6470588231</v>
      </c>
      <c r="H14" s="18">
        <f t="shared" si="0"/>
        <v>2269626.0524723819</v>
      </c>
      <c r="I14" s="17"/>
      <c r="J14" s="17"/>
      <c r="K14" s="17"/>
      <c r="L14" s="17"/>
      <c r="M14" s="17"/>
      <c r="N14" s="17"/>
      <c r="O14" s="17"/>
      <c r="P14" s="17"/>
    </row>
    <row r="15" spans="1:16" ht="16" x14ac:dyDescent="0.2">
      <c r="A15" s="17"/>
      <c r="B15" s="17"/>
      <c r="C15" s="17"/>
      <c r="D15" s="17"/>
      <c r="E15" s="17"/>
      <c r="F15">
        <v>2032</v>
      </c>
      <c r="G15" s="8">
        <v>2617647.0588235296</v>
      </c>
      <c r="H15" s="18">
        <f t="shared" si="0"/>
        <v>2561433.0745960292</v>
      </c>
      <c r="I15" s="17"/>
      <c r="J15" s="17"/>
      <c r="K15" s="17"/>
      <c r="L15" s="17"/>
      <c r="M15" s="17"/>
      <c r="N15" s="17"/>
      <c r="O15" s="17"/>
      <c r="P15" s="17"/>
    </row>
    <row r="16" spans="1:16" ht="16" x14ac:dyDescent="0.2">
      <c r="A16" s="17"/>
      <c r="B16" s="17"/>
      <c r="C16" s="17"/>
      <c r="D16" s="17"/>
      <c r="E16" s="17"/>
      <c r="F16">
        <v>2033</v>
      </c>
      <c r="G16" s="8">
        <v>2872549.0196078434</v>
      </c>
      <c r="H16" s="18">
        <f t="shared" si="0"/>
        <v>2845699.7623751801</v>
      </c>
      <c r="I16" s="17"/>
      <c r="J16" s="17"/>
      <c r="K16" s="17"/>
      <c r="L16" s="17"/>
      <c r="M16" s="17"/>
      <c r="N16" s="17"/>
      <c r="O16" s="17"/>
      <c r="P16" s="17"/>
    </row>
    <row r="17" spans="1:16" ht="16" x14ac:dyDescent="0.2">
      <c r="A17" s="17"/>
      <c r="B17" s="17"/>
      <c r="C17" s="17"/>
      <c r="D17" s="17"/>
      <c r="E17" s="17"/>
      <c r="F17">
        <v>2034</v>
      </c>
      <c r="G17" s="8">
        <v>3117647.0588235296</v>
      </c>
      <c r="H17" s="18">
        <f t="shared" si="0"/>
        <v>3113575.7210382498</v>
      </c>
      <c r="I17" s="17"/>
      <c r="J17" s="17"/>
      <c r="K17" s="17"/>
      <c r="L17" s="17"/>
      <c r="M17" s="17"/>
      <c r="N17" s="17"/>
      <c r="O17" s="17"/>
      <c r="P17" s="17"/>
    </row>
    <row r="18" spans="1:16" ht="16" x14ac:dyDescent="0.2">
      <c r="A18" s="17"/>
      <c r="B18" s="17"/>
      <c r="C18" s="17"/>
      <c r="D18" s="17"/>
      <c r="E18" s="17"/>
      <c r="F18">
        <v>2035</v>
      </c>
      <c r="G18" s="8">
        <v>3343137.254901961</v>
      </c>
      <c r="H18" s="18">
        <f t="shared" si="0"/>
        <v>3358221.5158605184</v>
      </c>
      <c r="I18" s="17"/>
      <c r="J18" s="17"/>
      <c r="K18" s="17"/>
      <c r="L18" s="17"/>
      <c r="M18" s="17"/>
      <c r="N18" s="17"/>
      <c r="O18" s="17"/>
      <c r="P18" s="17"/>
    </row>
    <row r="19" spans="1:16" ht="16" x14ac:dyDescent="0.2">
      <c r="A19" s="17"/>
      <c r="B19" s="17"/>
      <c r="C19" s="17"/>
      <c r="D19" s="17"/>
      <c r="E19" s="17"/>
      <c r="F19">
        <v>2036</v>
      </c>
      <c r="G19" s="8">
        <v>3549019.6078431369</v>
      </c>
      <c r="H19" s="18">
        <f t="shared" si="0"/>
        <v>3575342.1035233433</v>
      </c>
      <c r="I19" s="17"/>
      <c r="J19" s="17"/>
      <c r="K19" s="17"/>
      <c r="L19" s="17"/>
      <c r="M19" s="17"/>
      <c r="N19" s="17"/>
      <c r="O19" s="17"/>
      <c r="P19" s="17"/>
    </row>
    <row r="20" spans="1:16" ht="16" x14ac:dyDescent="0.2">
      <c r="A20" s="17"/>
      <c r="B20" s="17"/>
      <c r="C20" s="17"/>
      <c r="D20" s="17"/>
      <c r="E20" s="17"/>
      <c r="F20">
        <v>2037</v>
      </c>
      <c r="G20" s="8">
        <v>3715686.2745098039</v>
      </c>
      <c r="H20" s="18">
        <f t="shared" si="0"/>
        <v>3763189.6578150792</v>
      </c>
      <c r="I20" s="17"/>
      <c r="J20" s="17"/>
      <c r="K20" s="17"/>
      <c r="L20" s="17"/>
      <c r="M20" s="17"/>
      <c r="N20" s="17"/>
      <c r="O20" s="17"/>
      <c r="P20" s="17"/>
    </row>
    <row r="21" spans="1:16" ht="16" x14ac:dyDescent="0.2">
      <c r="A21" s="17"/>
      <c r="B21" s="17"/>
      <c r="C21" s="17"/>
      <c r="D21" s="17"/>
      <c r="E21" s="17"/>
      <c r="F21">
        <v>2038</v>
      </c>
      <c r="G21" s="8">
        <v>3872549.0196078434</v>
      </c>
      <c r="H21" s="18">
        <f t="shared" si="0"/>
        <v>3922163.6311920611</v>
      </c>
      <c r="I21" s="17"/>
      <c r="J21" s="17"/>
      <c r="K21" s="17"/>
      <c r="L21" s="17"/>
      <c r="M21" s="17"/>
      <c r="N21" s="17"/>
      <c r="O21" s="17"/>
      <c r="P21" s="17"/>
    </row>
    <row r="22" spans="1:16" ht="16" x14ac:dyDescent="0.2">
      <c r="A22" s="17"/>
      <c r="B22" s="17"/>
      <c r="C22" s="17"/>
      <c r="D22" s="17"/>
      <c r="E22" s="17"/>
      <c r="F22">
        <v>2039</v>
      </c>
      <c r="G22" s="8">
        <v>4049019.6078431369</v>
      </c>
      <c r="H22" s="18">
        <f t="shared" si="0"/>
        <v>4054208.6165724192</v>
      </c>
      <c r="I22" s="17"/>
      <c r="J22" s="17"/>
      <c r="K22" s="17"/>
      <c r="L22" s="17"/>
      <c r="M22" s="17"/>
      <c r="N22" s="17"/>
      <c r="O22" s="17"/>
      <c r="P22" s="17"/>
    </row>
    <row r="23" spans="1:16" ht="16" x14ac:dyDescent="0.2">
      <c r="A23" s="17"/>
      <c r="B23" s="17"/>
      <c r="C23" s="17"/>
      <c r="D23" s="17"/>
      <c r="E23" s="17"/>
      <c r="F23">
        <v>2040</v>
      </c>
      <c r="G23" s="8">
        <v>4245098.0392156867</v>
      </c>
      <c r="H23" s="18">
        <f t="shared" si="0"/>
        <v>4162192.4631264298</v>
      </c>
      <c r="I23" s="17"/>
      <c r="J23" s="17"/>
      <c r="K23" s="17"/>
      <c r="L23" s="17"/>
      <c r="M23" s="17"/>
      <c r="N23" s="17"/>
      <c r="O23" s="17"/>
      <c r="P23" s="17"/>
    </row>
    <row r="24" spans="1:16" ht="16" x14ac:dyDescent="0.2">
      <c r="A24" s="17"/>
      <c r="B24" s="17"/>
      <c r="C24" s="17"/>
      <c r="D24" s="17"/>
      <c r="E24" s="17"/>
      <c r="F24" s="21">
        <v>2041</v>
      </c>
      <c r="G24" s="17"/>
      <c r="H24" s="18">
        <f t="shared" si="0"/>
        <v>4249381.218936245</v>
      </c>
      <c r="I24" s="17"/>
      <c r="J24" s="17"/>
      <c r="K24" s="17"/>
      <c r="L24" s="17"/>
      <c r="M24" s="17"/>
      <c r="N24" s="17"/>
      <c r="O24" s="17"/>
      <c r="P24" s="17"/>
    </row>
    <row r="25" spans="1:16" ht="16" x14ac:dyDescent="0.2">
      <c r="A25" s="17"/>
      <c r="B25" s="17"/>
      <c r="C25" s="17"/>
      <c r="D25" s="17"/>
      <c r="E25" s="17"/>
      <c r="F25" s="21">
        <v>2042</v>
      </c>
      <c r="G25" s="17"/>
      <c r="H25" s="18">
        <f t="shared" si="0"/>
        <v>4319057.8987108367</v>
      </c>
      <c r="I25" s="17"/>
      <c r="J25" s="17"/>
      <c r="K25" s="17"/>
      <c r="L25" s="17"/>
      <c r="M25" s="17"/>
      <c r="N25" s="17"/>
      <c r="O25" s="17"/>
      <c r="P25" s="17"/>
    </row>
    <row r="26" spans="1:16" ht="16" x14ac:dyDescent="0.2">
      <c r="A26" s="17"/>
      <c r="B26" s="17"/>
      <c r="C26" s="17"/>
      <c r="D26" s="17"/>
      <c r="E26" s="17"/>
      <c r="F26" s="21">
        <v>2043</v>
      </c>
      <c r="G26" s="17"/>
      <c r="H26" s="18">
        <f t="shared" si="0"/>
        <v>4374282.7762160646</v>
      </c>
      <c r="I26" s="17"/>
      <c r="J26" s="17"/>
      <c r="K26" s="17"/>
      <c r="L26" s="17"/>
      <c r="M26" s="17"/>
      <c r="N26" s="17"/>
      <c r="O26" s="17"/>
      <c r="P26" s="17"/>
    </row>
    <row r="27" spans="1:16" ht="16" x14ac:dyDescent="0.2">
      <c r="A27" s="17"/>
      <c r="B27" s="17"/>
      <c r="C27" s="17"/>
      <c r="D27" s="17"/>
      <c r="E27" s="17"/>
      <c r="F27" s="21">
        <v>2044</v>
      </c>
      <c r="G27" s="17"/>
      <c r="H27" s="18">
        <f t="shared" si="0"/>
        <v>4417768.075591377</v>
      </c>
      <c r="I27" s="17"/>
      <c r="J27" s="17"/>
      <c r="K27" s="17"/>
      <c r="L27" s="17"/>
      <c r="M27" s="17"/>
      <c r="N27" s="17"/>
      <c r="O27" s="17"/>
      <c r="P27" s="17"/>
    </row>
    <row r="28" spans="1:16" ht="16" x14ac:dyDescent="0.2">
      <c r="A28" s="17"/>
      <c r="B28" s="17"/>
      <c r="C28" s="17"/>
      <c r="D28" s="17"/>
      <c r="E28" s="17"/>
      <c r="F28" s="21">
        <v>2045</v>
      </c>
      <c r="G28" s="17"/>
      <c r="H28" s="18">
        <f t="shared" si="0"/>
        <v>4451833.4089139272</v>
      </c>
      <c r="I28" s="17"/>
      <c r="J28" s="17"/>
      <c r="K28" s="17"/>
      <c r="L28" s="17"/>
      <c r="M28" s="17"/>
      <c r="N28" s="17"/>
      <c r="O28" s="17"/>
      <c r="P28" s="17"/>
    </row>
    <row r="29" spans="1:16" ht="16" x14ac:dyDescent="0.2">
      <c r="A29" s="17"/>
      <c r="B29" s="17"/>
      <c r="C29" s="17"/>
      <c r="D29" s="17"/>
      <c r="E29" s="17"/>
      <c r="F29" s="21">
        <v>2046</v>
      </c>
      <c r="G29" s="17"/>
      <c r="H29" s="18">
        <f t="shared" si="0"/>
        <v>4478411.8204253027</v>
      </c>
      <c r="I29" s="17"/>
      <c r="J29" s="17"/>
      <c r="K29" s="17"/>
      <c r="L29" s="17"/>
      <c r="M29" s="17"/>
      <c r="N29" s="17"/>
      <c r="O29" s="17"/>
      <c r="P29" s="17"/>
    </row>
    <row r="30" spans="1:16" ht="16" x14ac:dyDescent="0.2">
      <c r="A30" s="17"/>
      <c r="B30" s="17"/>
      <c r="C30" s="17"/>
      <c r="D30" s="17"/>
      <c r="E30" s="17"/>
      <c r="F30" s="21">
        <v>2047</v>
      </c>
      <c r="G30" s="17"/>
      <c r="H30" s="18">
        <f t="shared" si="0"/>
        <v>4499083.5324107874</v>
      </c>
      <c r="I30" s="17"/>
      <c r="J30" s="17"/>
      <c r="K30" s="17"/>
      <c r="L30" s="17"/>
      <c r="M30" s="17"/>
      <c r="N30" s="17"/>
      <c r="O30" s="17"/>
      <c r="P30" s="17"/>
    </row>
    <row r="31" spans="1:16" ht="16" x14ac:dyDescent="0.2">
      <c r="A31" s="17"/>
      <c r="B31" s="17"/>
      <c r="C31" s="17"/>
      <c r="D31" s="17"/>
      <c r="E31" s="17"/>
      <c r="F31" s="21">
        <v>2048</v>
      </c>
      <c r="G31" s="17"/>
      <c r="H31" s="18">
        <f t="shared" si="0"/>
        <v>4515121.8487209175</v>
      </c>
      <c r="I31" s="17"/>
      <c r="J31" s="17"/>
      <c r="K31" s="17"/>
      <c r="L31" s="17"/>
      <c r="M31" s="17"/>
      <c r="N31" s="17"/>
      <c r="O31" s="17"/>
      <c r="P31" s="17"/>
    </row>
    <row r="32" spans="1:16" ht="16" x14ac:dyDescent="0.2">
      <c r="A32" s="17"/>
      <c r="B32" s="17"/>
      <c r="C32" s="17"/>
      <c r="D32" s="17"/>
      <c r="E32" s="17"/>
      <c r="F32" s="21">
        <v>2049</v>
      </c>
      <c r="G32" s="17"/>
      <c r="H32" s="18">
        <f t="shared" si="0"/>
        <v>4527541.6461870577</v>
      </c>
      <c r="I32" s="17"/>
      <c r="J32" s="17"/>
      <c r="K32" s="17"/>
      <c r="L32" s="17"/>
      <c r="M32" s="17"/>
      <c r="N32" s="17"/>
      <c r="O32" s="17"/>
      <c r="P32" s="17"/>
    </row>
    <row r="33" spans="1:16" ht="16" x14ac:dyDescent="0.2">
      <c r="A33" s="17"/>
      <c r="B33" s="17"/>
      <c r="C33" s="17"/>
      <c r="D33" s="17"/>
      <c r="E33" s="17"/>
      <c r="F33" s="21">
        <v>2050</v>
      </c>
      <c r="G33" s="17"/>
      <c r="H33" s="18">
        <f t="shared" si="0"/>
        <v>4537145.1567553291</v>
      </c>
      <c r="I33" s="17"/>
      <c r="J33" s="17"/>
      <c r="K33" s="17"/>
      <c r="L33" s="17"/>
      <c r="M33" s="17"/>
      <c r="N33" s="17"/>
      <c r="O33" s="17"/>
      <c r="P33" s="17"/>
    </row>
    <row r="34" spans="1:16" ht="16" x14ac:dyDescent="0.2">
      <c r="A34" s="17"/>
      <c r="B34" s="17"/>
      <c r="C34" s="17"/>
      <c r="D34" s="17"/>
      <c r="E34" s="17"/>
      <c r="G34" s="17"/>
      <c r="H34" s="18"/>
      <c r="I34" s="17"/>
      <c r="J34" s="17"/>
      <c r="K34" s="17"/>
      <c r="L34" s="17"/>
      <c r="M34" s="17"/>
      <c r="N34" s="17"/>
      <c r="O34" s="17"/>
      <c r="P34" s="17"/>
    </row>
    <row r="35" spans="1:16" ht="16" x14ac:dyDescent="0.2">
      <c r="A35" s="17"/>
      <c r="B35" s="17"/>
      <c r="C35" s="17"/>
      <c r="D35" s="17"/>
      <c r="E35" s="17"/>
      <c r="G35" s="17"/>
      <c r="H35" s="18"/>
      <c r="I35" s="17"/>
      <c r="J35" s="17"/>
      <c r="K35" s="17"/>
      <c r="L35" s="17"/>
      <c r="M35" s="17"/>
      <c r="N35" s="17"/>
      <c r="O35" s="17"/>
      <c r="P35" s="1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topLeftCell="K1" zoomScale="115" zoomScaleNormal="115" workbookViewId="0">
      <selection activeCell="AA32" sqref="AA32"/>
    </sheetView>
  </sheetViews>
  <sheetFormatPr baseColWidth="10" defaultColWidth="8.83203125" defaultRowHeight="15" x14ac:dyDescent="0.2"/>
  <cols>
    <col min="1" max="1" width="47.83203125" customWidth="1"/>
    <col min="2" max="2" width="9.6640625" bestFit="1" customWidth="1"/>
    <col min="3" max="3" width="11.6640625" bestFit="1" customWidth="1"/>
    <col min="17" max="17" width="11.6640625" bestFit="1" customWidth="1"/>
  </cols>
  <sheetData>
    <row r="1" spans="1:34" x14ac:dyDescent="0.2">
      <c r="A1" t="s">
        <v>7</v>
      </c>
    </row>
    <row r="2" spans="1:34" x14ac:dyDescent="0.2">
      <c r="A2" t="s">
        <v>11</v>
      </c>
    </row>
    <row r="3" spans="1:34" x14ac:dyDescent="0.2">
      <c r="A3" t="s">
        <v>12</v>
      </c>
    </row>
    <row r="5" spans="1:34" x14ac:dyDescent="0.2">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
      <c r="A6" t="s">
        <v>21</v>
      </c>
      <c r="B6" s="14">
        <f>'Grid Battery Storage'!B6</f>
        <v>23809.523809523806</v>
      </c>
      <c r="C6">
        <f>TREND('Grid Battery Storage'!$B$6:$C$6,'Grid Battery Storage'!$B$4:$C$4,'Grid Battery Storage'!C8)</f>
        <v>23809.52380952239</v>
      </c>
      <c r="D6">
        <f>TREND('Grid Battery Storage'!$B$6:$C$6,'Grid Battery Storage'!$B$4:$C$4,'Grid Battery Storage'!D8)</f>
        <v>50000</v>
      </c>
      <c r="E6">
        <f>TREND('Grid Battery Storage'!$B$6:$C$6,'Grid Battery Storage'!$B$4:$C$4,'Grid Battery Storage'!E8)</f>
        <v>76190.47619047761</v>
      </c>
      <c r="F6">
        <f>TREND('Grid Battery Storage'!$B$6:$C$6,'Grid Battery Storage'!$B$4:$C$4,'Grid Battery Storage'!F8)</f>
        <v>102380.95238095522</v>
      </c>
      <c r="G6">
        <f>TREND('Grid Battery Storage'!$B$6:$C$6,'Grid Battery Storage'!$B$4:$C$4,'Grid Battery Storage'!G8)</f>
        <v>128571.42857143283</v>
      </c>
      <c r="H6">
        <f>TREND('Grid Battery Storage'!$B$6:$C$6,'Grid Battery Storage'!$B$4:$C$4,'Grid Battery Storage'!H8)</f>
        <v>154761.90476190299</v>
      </c>
      <c r="I6">
        <f>TREND('Grid Battery Storage'!$C$6:$D$6,'Grid Battery Storage'!$C$4:$D$4,'Grid Battery Storage'!I8)</f>
        <v>238095.2380952239</v>
      </c>
      <c r="J6">
        <f>TREND('Grid Battery Storage'!$C$6:$D$6,'Grid Battery Storage'!$C$4:$D$4,'Grid Battery Storage'!J8)</f>
        <v>321428.57142856717</v>
      </c>
      <c r="K6">
        <f>TREND('Grid Battery Storage'!$C$6:$D$6,'Grid Battery Storage'!$C$4:$D$4,'Grid Battery Storage'!K8)</f>
        <v>404761.90476191044</v>
      </c>
      <c r="L6">
        <f>TREND('Grid Battery Storage'!$C$6:$D$6,'Grid Battery Storage'!$C$4:$D$4,'Grid Battery Storage'!L8)</f>
        <v>488095.2380952239</v>
      </c>
      <c r="M6">
        <f>TREND('Grid Battery Storage'!$C$6:$D$6,'Grid Battery Storage'!$C$4:$D$4,'Grid Battery Storage'!M8)</f>
        <v>571428.57142856717</v>
      </c>
      <c r="N6">
        <f>TREND('Grid Battery Storage'!$D$6:$E$6,'Grid Battery Storage'!$D$4:$E$4,'Grid Battery Storage'!N8)</f>
        <v>685714.28571429849</v>
      </c>
      <c r="O6">
        <f>TREND('Grid Battery Storage'!$D$6:$E$6,'Grid Battery Storage'!$D$4:$E$4,'Grid Battery Storage'!O8)</f>
        <v>800000</v>
      </c>
      <c r="P6">
        <f>TREND('Grid Battery Storage'!$D$6:$E$6,'Grid Battery Storage'!$D$4:$E$4,'Grid Battery Storage'!P8)</f>
        <v>914285.71428573132</v>
      </c>
      <c r="Q6">
        <f>TREND('Grid Battery Storage'!$D$6:$E$6,'Grid Battery Storage'!$D$4:$E$4,'Grid Battery Storage'!Q8)</f>
        <v>1028571.4285714328</v>
      </c>
      <c r="R6">
        <f>TREND('Grid Battery Storage'!$D$6:$E$6,'Grid Battery Storage'!$D$4:$E$4,'Grid Battery Storage'!R8)</f>
        <v>1142857.1428571343</v>
      </c>
      <c r="S6">
        <f>TREND('Grid Battery Storage'!$E$6:$F$6,'Grid Battery Storage'!$E$4:$F$4,'Grid Battery Storage'!S8)</f>
        <v>1319047.6190475821</v>
      </c>
      <c r="T6">
        <f>TREND('Grid Battery Storage'!$E$6:$F$6,'Grid Battery Storage'!$E$4:$F$4,'Grid Battery Storage'!T8)</f>
        <v>1495238.0952380896</v>
      </c>
      <c r="U6">
        <f>TREND('Grid Battery Storage'!$E$6:$F$6,'Grid Battery Storage'!$E$4:$F$4,'Grid Battery Storage'!U8)</f>
        <v>1671428.5714285374</v>
      </c>
      <c r="V6">
        <f>TREND('Grid Battery Storage'!$E$6:$F$6,'Grid Battery Storage'!$E$4:$F$4,'Grid Battery Storage'!V8)</f>
        <v>1847619.0476190448</v>
      </c>
      <c r="W6">
        <f>TREND('Grid Battery Storage'!$E$6:$F$6,'Grid Battery Storage'!$E$4:$F$4,'Grid Battery Storage'!W8)</f>
        <v>2023809.5238094926</v>
      </c>
      <c r="X6">
        <f>TREND('Grid Battery Storage'!$F$6:$G$6,'Grid Battery Storage'!$F$4:$G$4,'Grid Battery Storage'!X8)</f>
        <v>2261904.7619047761</v>
      </c>
      <c r="Y6">
        <f>TREND('Grid Battery Storage'!$F$6:$G$6,'Grid Battery Storage'!$F$4:$G$4,'Grid Battery Storage'!Y8)</f>
        <v>2500000.0000000596</v>
      </c>
      <c r="Z6">
        <f>TREND('Grid Battery Storage'!$F$6:$G$6,'Grid Battery Storage'!$F$4:$G$4,'Grid Battery Storage'!Z8)</f>
        <v>2738095.2380952835</v>
      </c>
      <c r="AA6">
        <f>TREND('Grid Battery Storage'!$F$6:$G$6,'Grid Battery Storage'!$F$4:$G$4,'Grid Battery Storage'!AA8)</f>
        <v>2976190.4761905074</v>
      </c>
      <c r="AB6">
        <f>TREND('Grid Battery Storage'!$F$6:$G$6,'Grid Battery Storage'!$F$4:$G$4,'Grid Battery Storage'!AB8)</f>
        <v>3214285.7142857313</v>
      </c>
      <c r="AC6">
        <f>TREND('Grid Battery Storage'!$G$6:$H$6,'Grid Battery Storage'!$G$4:$H$4,'Grid Battery Storage'!AC8)</f>
        <v>3440476.1904761791</v>
      </c>
      <c r="AD6">
        <f>TREND('Grid Battery Storage'!$G$6:$H$6,'Grid Battery Storage'!$G$4:$H$4,'Grid Battery Storage'!AD8)</f>
        <v>3666666.6666666865</v>
      </c>
      <c r="AE6">
        <f>TREND('Grid Battery Storage'!$G$6:$H$6,'Grid Battery Storage'!$G$4:$H$4,'Grid Battery Storage'!AE8)</f>
        <v>3892857.1428571343</v>
      </c>
      <c r="AF6">
        <f>TREND('Grid Battery Storage'!$G$6:$H$6,'Grid Battery Storage'!$G$4:$H$4,'Grid Battery Storage'!AF8)</f>
        <v>4119047.6190475821</v>
      </c>
      <c r="AG6">
        <f>TREND('Grid Battery Storage'!$G$6:$H$6,'Grid Battery Storage'!$G$4:$H$4,'Grid Battery Storage'!AG8)</f>
        <v>4345238.0952380896</v>
      </c>
    </row>
    <row r="8" spans="1:34" x14ac:dyDescent="0.2">
      <c r="A8" t="s">
        <v>13</v>
      </c>
    </row>
    <row r="9" spans="1:34" x14ac:dyDescent="0.2">
      <c r="A9" t="s">
        <v>14</v>
      </c>
    </row>
    <row r="11" spans="1:34" x14ac:dyDescent="0.2">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
      <c r="A12" t="s">
        <v>22</v>
      </c>
      <c r="B12">
        <f>'EV Batteries'!D10*1000</f>
        <v>230000</v>
      </c>
      <c r="C12">
        <f>'EV Batteries'!E10*1000</f>
        <v>351470.58823529416</v>
      </c>
      <c r="D12">
        <f>'EV Batteries'!F10*1000</f>
        <v>403529.41176470584</v>
      </c>
      <c r="E12">
        <f>'EV Batteries'!G10*1000</f>
        <v>498970.5882352941</v>
      </c>
      <c r="F12">
        <f>'EV Batteries'!H10*1000</f>
        <v>603088.23529411759</v>
      </c>
      <c r="G12">
        <f>'EV Batteries'!I10*1000</f>
        <v>715882.35294117662</v>
      </c>
      <c r="H12">
        <f>'EV Batteries'!J10*1000</f>
        <v>820000</v>
      </c>
      <c r="I12">
        <f>'EV Batteries'!K10*1000</f>
        <v>950147.0588235294</v>
      </c>
      <c r="J12">
        <f>'EV Batteries'!L10*1000</f>
        <v>1175735.294117647</v>
      </c>
      <c r="K12">
        <f>'EV Batteries'!M10*1000</f>
        <v>1418676.4705882352</v>
      </c>
      <c r="L12">
        <f>'EV Batteries'!N10*1000</f>
        <v>1687647.0588235292</v>
      </c>
      <c r="M12">
        <f>'EV Batteries'!O10*1000</f>
        <v>2000000</v>
      </c>
    </row>
    <row r="13" spans="1:34" x14ac:dyDescent="0.2">
      <c r="A13" t="s">
        <v>9</v>
      </c>
      <c r="N13">
        <f>$M$12*('EV Batteries'!P11/'EV Batteries'!$O$11)</f>
        <v>2294117.6470588231</v>
      </c>
      <c r="O13">
        <f>$M$12*('EV Batteries'!Q11/'EV Batteries'!$O$11)</f>
        <v>2617647.0588235296</v>
      </c>
      <c r="P13">
        <f>$M$12*('EV Batteries'!R11/'EV Batteries'!$O$11)</f>
        <v>2872549.0196078434</v>
      </c>
      <c r="Q13">
        <f>$M$12*('EV Batteries'!S11/'EV Batteries'!$O$11)</f>
        <v>3117647.0588235296</v>
      </c>
      <c r="R13">
        <f>$M$12*('EV Batteries'!T11/'EV Batteries'!$O$11)</f>
        <v>3343137.254901961</v>
      </c>
      <c r="S13">
        <f>$M$12*('EV Batteries'!U11/'EV Batteries'!$O$11)</f>
        <v>3549019.6078431369</v>
      </c>
      <c r="T13">
        <f>$M$12*('EV Batteries'!V11/'EV Batteries'!$O$11)</f>
        <v>3715686.2745098039</v>
      </c>
      <c r="U13">
        <f>$M$12*('EV Batteries'!W11/'EV Batteries'!$O$11)</f>
        <v>3872549.0196078434</v>
      </c>
      <c r="V13">
        <f>$M$12*('EV Batteries'!X11/'EV Batteries'!$O$11)</f>
        <v>4049019.6078431369</v>
      </c>
      <c r="W13">
        <f>$M$12*('EV Batteries'!Y11/'EV Batteries'!$O$11)</f>
        <v>4245098.0392156867</v>
      </c>
    </row>
    <row r="14" spans="1:34" x14ac:dyDescent="0.2">
      <c r="A14" t="s">
        <v>10</v>
      </c>
      <c r="X14">
        <f>INDEX('EV Sigmoid Fitting'!$H$24:$H$33,MATCH(Calculations!X11,'EV Sigmoid Fitting'!$F$24:$F$33,0))</f>
        <v>4249381.218936245</v>
      </c>
      <c r="Y14">
        <f>INDEX('EV Sigmoid Fitting'!$H$24:$H$33,MATCH(Calculations!Y11,'EV Sigmoid Fitting'!$F$24:$F$33,0))</f>
        <v>4319057.8987108367</v>
      </c>
      <c r="Z14">
        <f>INDEX('EV Sigmoid Fitting'!$H$24:$H$33,MATCH(Calculations!Z11,'EV Sigmoid Fitting'!$F$24:$F$33,0))</f>
        <v>4374282.7762160646</v>
      </c>
      <c r="AA14">
        <f>INDEX('EV Sigmoid Fitting'!$H$24:$H$33,MATCH(Calculations!AA11,'EV Sigmoid Fitting'!$F$24:$F$33,0))</f>
        <v>4417768.075591377</v>
      </c>
      <c r="AB14">
        <f>INDEX('EV Sigmoid Fitting'!$H$24:$H$33,MATCH(Calculations!AB11,'EV Sigmoid Fitting'!$F$24:$F$33,0))</f>
        <v>4451833.4089139272</v>
      </c>
      <c r="AC14">
        <f>INDEX('EV Sigmoid Fitting'!$H$24:$H$33,MATCH(Calculations!AC11,'EV Sigmoid Fitting'!$F$24:$F$33,0))</f>
        <v>4478411.8204253027</v>
      </c>
      <c r="AD14">
        <f>INDEX('EV Sigmoid Fitting'!$H$24:$H$33,MATCH(Calculations!AD11,'EV Sigmoid Fitting'!$F$24:$F$33,0))</f>
        <v>4499083.5324107874</v>
      </c>
      <c r="AE14">
        <f>INDEX('EV Sigmoid Fitting'!$H$24:$H$33,MATCH(Calculations!AE11,'EV Sigmoid Fitting'!$F$24:$F$33,0))</f>
        <v>4515121.8487209175</v>
      </c>
      <c r="AF14">
        <f>INDEX('EV Sigmoid Fitting'!$H$24:$H$33,MATCH(Calculations!AF11,'EV Sigmoid Fitting'!$F$24:$F$33,0))</f>
        <v>4527541.6461870577</v>
      </c>
      <c r="AG14">
        <f>INDEX('EV Sigmoid Fitting'!$H$24:$H$33,MATCH(Calculations!AG11,'EV Sigmoid Fitting'!$F$24:$F$33,0))</f>
        <v>4537145.1567553291</v>
      </c>
    </row>
    <row r="16" spans="1:34" x14ac:dyDescent="0.2">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
      <c r="A17" t="s">
        <v>50</v>
      </c>
      <c r="C17">
        <f t="shared" ref="C17:AH17" si="0">SUM(B12:B14,B17)</f>
        <v>230000</v>
      </c>
      <c r="D17">
        <f t="shared" si="0"/>
        <v>581470.58823529421</v>
      </c>
      <c r="E17">
        <f t="shared" si="0"/>
        <v>985000</v>
      </c>
      <c r="F17">
        <f t="shared" si="0"/>
        <v>1483970.588235294</v>
      </c>
      <c r="G17">
        <f t="shared" si="0"/>
        <v>2087058.8235294116</v>
      </c>
      <c r="H17">
        <f t="shared" si="0"/>
        <v>2802941.176470588</v>
      </c>
      <c r="I17">
        <f t="shared" si="0"/>
        <v>3622941.176470588</v>
      </c>
      <c r="J17">
        <f t="shared" si="0"/>
        <v>4573088.2352941176</v>
      </c>
      <c r="K17">
        <f t="shared" si="0"/>
        <v>5748823.5294117648</v>
      </c>
      <c r="L17">
        <f t="shared" si="0"/>
        <v>7167500</v>
      </c>
      <c r="M17">
        <f t="shared" si="0"/>
        <v>8855147.0588235296</v>
      </c>
      <c r="N17">
        <f t="shared" si="0"/>
        <v>10855147.05882353</v>
      </c>
      <c r="O17">
        <f t="shared" si="0"/>
        <v>13149264.705882352</v>
      </c>
      <c r="P17">
        <f t="shared" si="0"/>
        <v>15766911.764705881</v>
      </c>
      <c r="Q17">
        <f t="shared" si="0"/>
        <v>18639460.784313723</v>
      </c>
      <c r="R17">
        <f t="shared" si="0"/>
        <v>21757107.843137253</v>
      </c>
      <c r="S17">
        <f t="shared" si="0"/>
        <v>25100245.098039214</v>
      </c>
      <c r="T17">
        <f t="shared" si="0"/>
        <v>28649264.705882352</v>
      </c>
      <c r="U17">
        <f t="shared" si="0"/>
        <v>32364950.980392154</v>
      </c>
      <c r="V17">
        <f t="shared" si="0"/>
        <v>36237500</v>
      </c>
      <c r="W17">
        <f t="shared" si="0"/>
        <v>40286519.607843138</v>
      </c>
      <c r="X17">
        <f t="shared" si="0"/>
        <v>44531617.647058822</v>
      </c>
      <c r="Y17">
        <f t="shared" si="0"/>
        <v>48780998.865995064</v>
      </c>
      <c r="Z17">
        <f t="shared" si="0"/>
        <v>53100056.764705904</v>
      </c>
      <c r="AA17">
        <f t="shared" si="0"/>
        <v>57474339.540921971</v>
      </c>
      <c r="AB17">
        <f t="shared" si="0"/>
        <v>61892107.616513349</v>
      </c>
      <c r="AC17">
        <f t="shared" si="0"/>
        <v>66343941.025427274</v>
      </c>
      <c r="AD17">
        <f t="shared" si="0"/>
        <v>70822352.845852584</v>
      </c>
      <c r="AE17">
        <f t="shared" si="0"/>
        <v>75321436.378263369</v>
      </c>
      <c r="AF17">
        <f t="shared" si="0"/>
        <v>79836558.226984292</v>
      </c>
      <c r="AG17">
        <f t="shared" si="0"/>
        <v>84364099.873171344</v>
      </c>
      <c r="AH17">
        <f t="shared" si="0"/>
        <v>88901245.029926673</v>
      </c>
    </row>
    <row r="18" spans="1:34" x14ac:dyDescent="0.2">
      <c r="A18" t="s">
        <v>49</v>
      </c>
      <c r="B18" s="14">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BA2"/>
  <sheetViews>
    <sheetView tabSelected="1" topLeftCell="Z1" workbookViewId="0">
      <selection activeCell="AH2" sqref="AH2:BA2"/>
    </sheetView>
  </sheetViews>
  <sheetFormatPr baseColWidth="10" defaultColWidth="8.83203125" defaultRowHeight="15" x14ac:dyDescent="0.2"/>
  <cols>
    <col min="1" max="1" width="26.6640625" customWidth="1"/>
    <col min="2" max="13" width="9.6640625" bestFit="1" customWidth="1"/>
    <col min="14" max="35" width="10.6640625" bestFit="1" customWidth="1"/>
  </cols>
  <sheetData>
    <row r="1" spans="1:53" x14ac:dyDescent="0.2">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6</v>
      </c>
      <c r="B2" s="10">
        <f>Calculations!B6+Calculations!C17</f>
        <v>253809.52380952382</v>
      </c>
      <c r="C2" s="10">
        <f>Calculations!C6+Calculations!D17</f>
        <v>605280.1120448166</v>
      </c>
      <c r="D2" s="10">
        <f>Calculations!D6+Calculations!E17</f>
        <v>1035000</v>
      </c>
      <c r="E2" s="10">
        <f>Calculations!E6+Calculations!F17</f>
        <v>1560161.0644257716</v>
      </c>
      <c r="F2" s="10">
        <f>Calculations!F6+Calculations!G17</f>
        <v>2189439.7759103668</v>
      </c>
      <c r="G2" s="10">
        <f>Calculations!G6+Calculations!H17</f>
        <v>2931512.6050420208</v>
      </c>
      <c r="H2" s="10">
        <f>Calculations!H6+Calculations!I17</f>
        <v>3777703.0812324909</v>
      </c>
      <c r="I2" s="10">
        <f>Calculations!I6+Calculations!J17</f>
        <v>4811183.4733893415</v>
      </c>
      <c r="J2" s="10">
        <f>Calculations!J6+Calculations!K17</f>
        <v>6070252.100840332</v>
      </c>
      <c r="K2" s="10">
        <f>Calculations!K6+Calculations!L17</f>
        <v>7572261.9047619104</v>
      </c>
      <c r="L2" s="10">
        <f>Calculations!L6+Calculations!M17</f>
        <v>9343242.2969187535</v>
      </c>
      <c r="M2" s="10">
        <f>Calculations!M6+Calculations!N17</f>
        <v>11426575.630252097</v>
      </c>
      <c r="N2" s="10">
        <f>Calculations!N6+Calculations!O17</f>
        <v>13834978.99159665</v>
      </c>
      <c r="O2" s="10">
        <f>Calculations!O6+Calculations!P17</f>
        <v>16566911.764705881</v>
      </c>
      <c r="P2" s="10">
        <f>Calculations!P6+Calculations!Q17</f>
        <v>19553746.498599455</v>
      </c>
      <c r="Q2" s="10">
        <f>Calculations!Q6+Calculations!R17</f>
        <v>22785679.271708686</v>
      </c>
      <c r="R2" s="10">
        <f>Calculations!R6+Calculations!S17</f>
        <v>26243102.240896348</v>
      </c>
      <c r="S2" s="10">
        <f>Calculations!S6+Calculations!T17</f>
        <v>29968312.324929934</v>
      </c>
      <c r="T2" s="10">
        <f>Calculations!T6+Calculations!U17</f>
        <v>33860189.075630248</v>
      </c>
      <c r="U2" s="10">
        <f>Calculations!U6+Calculations!V17</f>
        <v>37908928.571428537</v>
      </c>
      <c r="V2" s="10">
        <f>Calculations!V6+Calculations!W17</f>
        <v>42134138.655462183</v>
      </c>
      <c r="W2" s="10">
        <f>Calculations!W6+Calculations!X17</f>
        <v>46555427.170868315</v>
      </c>
      <c r="X2" s="10">
        <f>Calculations!X6+Calculations!Y17</f>
        <v>51042903.62789984</v>
      </c>
      <c r="Y2" s="10">
        <f>Calculations!Y6+Calculations!Z17</f>
        <v>55600056.764705963</v>
      </c>
      <c r="Z2" s="10">
        <f>Calculations!Z6+Calculations!AA17</f>
        <v>60212434.779017255</v>
      </c>
      <c r="AA2" s="10">
        <f>Calculations!AA6+Calculations!AB17</f>
        <v>64868298.092703857</v>
      </c>
      <c r="AB2" s="10">
        <f>Calculations!AB6+Calculations!AC17</f>
        <v>69558226.739713013</v>
      </c>
      <c r="AC2" s="10">
        <f>Calculations!AC6+Calculations!AD17</f>
        <v>74262829.036328763</v>
      </c>
      <c r="AD2" s="10">
        <f>Calculations!AD6+Calculations!AE17</f>
        <v>78988103.044930056</v>
      </c>
      <c r="AE2" s="10">
        <f>Calculations!AE6+Calculations!AF17</f>
        <v>83729415.369841427</v>
      </c>
      <c r="AF2" s="10">
        <f>Calculations!AF6+Calculations!AG17</f>
        <v>88483147.492218927</v>
      </c>
      <c r="AG2" s="10">
        <f>Calculations!AG6+Calculations!AH17</f>
        <v>93246483.125164762</v>
      </c>
      <c r="AH2">
        <f>_xlfn.FORECAST.LINEAR(AH1,$B$2:$AG$2,$B$1:$AG$1)</f>
        <v>84695504.782649994</v>
      </c>
      <c r="AI2">
        <f t="shared" ref="AI2:BA2" si="0">_xlfn.FORECAST.LINEAR(AI1,$B$2:$AG$2,$B$1:$AG$1)</f>
        <v>87819134.363781929</v>
      </c>
      <c r="AJ2">
        <f t="shared" si="0"/>
        <v>90942763.944914818</v>
      </c>
      <c r="AK2">
        <f t="shared" si="0"/>
        <v>94066393.526046753</v>
      </c>
      <c r="AL2">
        <f t="shared" si="0"/>
        <v>97190023.107178688</v>
      </c>
      <c r="AM2">
        <f t="shared" si="0"/>
        <v>100313652.68831158</v>
      </c>
      <c r="AN2">
        <f t="shared" si="0"/>
        <v>103437282.26944351</v>
      </c>
      <c r="AO2">
        <f t="shared" si="0"/>
        <v>106560911.85057545</v>
      </c>
      <c r="AP2">
        <f t="shared" si="0"/>
        <v>109684541.43170738</v>
      </c>
      <c r="AQ2">
        <f t="shared" si="0"/>
        <v>112808171.01284027</v>
      </c>
      <c r="AR2">
        <f t="shared" si="0"/>
        <v>115931800.59397221</v>
      </c>
      <c r="AS2">
        <f t="shared" si="0"/>
        <v>119055430.17510414</v>
      </c>
      <c r="AT2">
        <f t="shared" si="0"/>
        <v>122179059.75623703</v>
      </c>
      <c r="AU2">
        <f t="shared" si="0"/>
        <v>125302689.33736897</v>
      </c>
      <c r="AV2">
        <f t="shared" si="0"/>
        <v>128426318.9185009</v>
      </c>
      <c r="AW2">
        <f t="shared" si="0"/>
        <v>131549948.49963379</v>
      </c>
      <c r="AX2">
        <f t="shared" si="0"/>
        <v>134673578.08076572</v>
      </c>
      <c r="AY2">
        <f t="shared" si="0"/>
        <v>137797207.66189766</v>
      </c>
      <c r="AZ2">
        <f t="shared" si="0"/>
        <v>140920837.24303055</v>
      </c>
      <c r="BA2">
        <f t="shared" si="0"/>
        <v>144044466.82416248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About</vt:lpstr>
      <vt:lpstr>Grid Battery Storage</vt:lpstr>
      <vt:lpstr>EV Batteries</vt:lpstr>
      <vt:lpstr>EV Sigmoid Fitting</vt:lpstr>
      <vt:lpstr>Calculations</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2018-04-25T01:32:28Z</dcterms:created>
  <dcterms:modified xsi:type="dcterms:W3CDTF">2025-04-12T20:02:58Z</dcterms:modified>
</cp:coreProperties>
</file>